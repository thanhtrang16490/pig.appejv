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26b3c6b2e94e999/Desktop/nam gủi/"/>
    </mc:Choice>
  </mc:AlternateContent>
  <xr:revisionPtr revIDLastSave="44" documentId="10_ncr:8000_{CA5DBCE8-0B33-414A-B878-31C902E3E24B}" xr6:coauthVersionLast="47" xr6:coauthVersionMax="47" xr10:uidLastSave="{67A148B8-28B3-4575-8B6F-E6662A10A936}"/>
  <bookViews>
    <workbookView xWindow="-108" yWindow="-108" windowWidth="23256" windowHeight="12456" tabRatio="885" firstSheet="1" activeTab="6" xr2:uid="{00000000-000D-0000-FFFF-FFFF00000000}"/>
  </bookViews>
  <sheets>
    <sheet name="BÁO CÁO MỚI" sheetId="23" r:id="rId1"/>
    <sheet name="Theo dõi khách hàng heo thịt" sheetId="3" r:id="rId2"/>
    <sheet name="BÁO CÁO KẾ TOÁN" sheetId="21" state="hidden" r:id="rId3"/>
    <sheet name="Heo thịt_Nhập dữ liệu hàng ngày" sheetId="18" r:id="rId4"/>
    <sheet name="Data" sheetId="2" r:id="rId5"/>
    <sheet name="Heo con_Theo dõi khách hàng" sheetId="20" r:id="rId6"/>
    <sheet name="Heo con_Nhập dữ liệu" sheetId="19" r:id="rId7"/>
    <sheet name="MAIL CÔNG NỢ" sheetId="15" r:id="rId8"/>
    <sheet name="Sheet1" sheetId="22" r:id="rId9"/>
  </sheets>
  <externalReferences>
    <externalReference r:id="rId10"/>
  </externalReferences>
  <definedNames>
    <definedName name="_xlnm._FilterDatabase" localSheetId="2" hidden="1">'BÁO CÁO KẾ TOÁN'!$B$7:$P$1338</definedName>
    <definedName name="_xlnm._FilterDatabase" localSheetId="4" hidden="1">Data!$B$3:$Y$3</definedName>
    <definedName name="_xlnm._FilterDatabase" localSheetId="6" hidden="1">'Heo con_Nhập dữ liệu'!$B$3:$W$3</definedName>
    <definedName name="_xlnm._FilterDatabase" localSheetId="5" hidden="1">'Heo con_Theo dõi khách hàng'!$B$5:$J$112</definedName>
    <definedName name="_xlnm._FilterDatabase" localSheetId="3" hidden="1">'Heo thịt_Nhập dữ liệu hàng ngày'!$B$3:$AF$2042</definedName>
    <definedName name="_xlnm._FilterDatabase" localSheetId="7" hidden="1">'MAIL CÔNG NỢ'!$B$19:$G$63</definedName>
    <definedName name="_xlnm._FilterDatabase" localSheetId="1" hidden="1">'Theo dõi khách hàng heo thịt'!$B$4:$V$176</definedName>
    <definedName name="Z_0A0B97FA_E3A6_40D6_976A_E2B9E8D894E7_.wvu.FilterData" localSheetId="3" hidden="1">'Heo thịt_Nhập dữ liệu hàng ngày'!$J$3:$AE$60</definedName>
  </definedNames>
  <calcPr calcId="191029"/>
  <customWorkbookViews>
    <customWorkbookView name="Lập thạch" guid="{0A0B97FA-E3A6-40D6-976A-E2B9E8D894E7}" maximized="1" windowWidth="1362" windowHeight="522" activeSheetId="4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0" i="18" l="1"/>
  <c r="R50" i="18"/>
  <c r="U50" i="18"/>
  <c r="AC50" i="18" s="1"/>
  <c r="X50" i="18"/>
  <c r="AB50" i="18"/>
  <c r="AF50" i="18"/>
  <c r="I50" i="18" s="1"/>
  <c r="AD50" i="18" l="1"/>
  <c r="N5" i="18" l="1"/>
  <c r="R5" i="18"/>
  <c r="U5" i="18"/>
  <c r="AC5" i="18" s="1"/>
  <c r="X5" i="18"/>
  <c r="AB5" i="18"/>
  <c r="AF5" i="18"/>
  <c r="N6" i="18"/>
  <c r="R6" i="18"/>
  <c r="U6" i="18"/>
  <c r="AC6" i="18" s="1"/>
  <c r="X6" i="18"/>
  <c r="AB6" i="18"/>
  <c r="AF6" i="18"/>
  <c r="N7" i="18"/>
  <c r="R7" i="18"/>
  <c r="U7" i="18"/>
  <c r="X7" i="18"/>
  <c r="AB7" i="18"/>
  <c r="AF7" i="18"/>
  <c r="N8" i="18"/>
  <c r="R8" i="18"/>
  <c r="U8" i="18"/>
  <c r="AC8" i="18" s="1"/>
  <c r="X8" i="18"/>
  <c r="AB8" i="18"/>
  <c r="AF8" i="18"/>
  <c r="N9" i="18"/>
  <c r="R9" i="18"/>
  <c r="U9" i="18"/>
  <c r="AC9" i="18" s="1"/>
  <c r="X9" i="18"/>
  <c r="AB9" i="18"/>
  <c r="AF9" i="18"/>
  <c r="N10" i="18"/>
  <c r="R10" i="18"/>
  <c r="U10" i="18"/>
  <c r="AC10" i="18" s="1"/>
  <c r="X10" i="18"/>
  <c r="AB10" i="18"/>
  <c r="AF10" i="18"/>
  <c r="N11" i="18"/>
  <c r="R11" i="18"/>
  <c r="U11" i="18"/>
  <c r="AC11" i="18" s="1"/>
  <c r="X11" i="18"/>
  <c r="AB11" i="18"/>
  <c r="AF11" i="18"/>
  <c r="N12" i="18"/>
  <c r="R12" i="18"/>
  <c r="U12" i="18"/>
  <c r="AC12" i="18" s="1"/>
  <c r="X12" i="18"/>
  <c r="AB12" i="18"/>
  <c r="AF12" i="18"/>
  <c r="N13" i="18"/>
  <c r="R13" i="18"/>
  <c r="U13" i="18"/>
  <c r="AC13" i="18" s="1"/>
  <c r="X13" i="18"/>
  <c r="AB13" i="18"/>
  <c r="AF13" i="18"/>
  <c r="N14" i="18"/>
  <c r="R14" i="18"/>
  <c r="U14" i="18"/>
  <c r="AC14" i="18" s="1"/>
  <c r="X14" i="18"/>
  <c r="AB14" i="18"/>
  <c r="AF14" i="18"/>
  <c r="N15" i="18"/>
  <c r="R15" i="18"/>
  <c r="U15" i="18"/>
  <c r="AC15" i="18" s="1"/>
  <c r="X15" i="18"/>
  <c r="AB15" i="18"/>
  <c r="AF15" i="18"/>
  <c r="N16" i="18"/>
  <c r="R16" i="18"/>
  <c r="U16" i="18"/>
  <c r="AC16" i="18" s="1"/>
  <c r="X16" i="18"/>
  <c r="AB16" i="18"/>
  <c r="AF16" i="18"/>
  <c r="N17" i="18"/>
  <c r="R17" i="18"/>
  <c r="U17" i="18"/>
  <c r="AC17" i="18" s="1"/>
  <c r="X17" i="18"/>
  <c r="AB17" i="18"/>
  <c r="AF17" i="18"/>
  <c r="N18" i="18"/>
  <c r="R18" i="18"/>
  <c r="U18" i="18"/>
  <c r="AC18" i="18" s="1"/>
  <c r="X18" i="18"/>
  <c r="AB18" i="18"/>
  <c r="AF18" i="18"/>
  <c r="N19" i="18"/>
  <c r="R19" i="18"/>
  <c r="U19" i="18"/>
  <c r="X19" i="18"/>
  <c r="AB19" i="18"/>
  <c r="AF19" i="18"/>
  <c r="N20" i="18"/>
  <c r="R20" i="18"/>
  <c r="U20" i="18"/>
  <c r="AC20" i="18" s="1"/>
  <c r="X20" i="18"/>
  <c r="AB20" i="18"/>
  <c r="AF20" i="18"/>
  <c r="N21" i="18"/>
  <c r="R21" i="18"/>
  <c r="U21" i="18"/>
  <c r="AC21" i="18" s="1"/>
  <c r="X21" i="18"/>
  <c r="AB21" i="18"/>
  <c r="AF21" i="18"/>
  <c r="N22" i="18"/>
  <c r="R22" i="18"/>
  <c r="U22" i="18"/>
  <c r="AC22" i="18" s="1"/>
  <c r="X22" i="18"/>
  <c r="AB22" i="18"/>
  <c r="AF22" i="18"/>
  <c r="N23" i="18"/>
  <c r="R23" i="18"/>
  <c r="U23" i="18"/>
  <c r="AC23" i="18" s="1"/>
  <c r="X23" i="18"/>
  <c r="AB23" i="18"/>
  <c r="AF23" i="18"/>
  <c r="N24" i="18"/>
  <c r="R24" i="18"/>
  <c r="U24" i="18"/>
  <c r="AC24" i="18" s="1"/>
  <c r="X24" i="18"/>
  <c r="AB24" i="18"/>
  <c r="AF24" i="18"/>
  <c r="N25" i="18"/>
  <c r="R25" i="18"/>
  <c r="U25" i="18"/>
  <c r="AC25" i="18" s="1"/>
  <c r="X25" i="18"/>
  <c r="AB25" i="18"/>
  <c r="AF25" i="18"/>
  <c r="N26" i="18"/>
  <c r="R26" i="18"/>
  <c r="U26" i="18"/>
  <c r="AC26" i="18" s="1"/>
  <c r="X26" i="18"/>
  <c r="AB26" i="18"/>
  <c r="AF26" i="18"/>
  <c r="N27" i="18"/>
  <c r="R27" i="18"/>
  <c r="U27" i="18"/>
  <c r="AC27" i="18" s="1"/>
  <c r="X27" i="18"/>
  <c r="AB27" i="18"/>
  <c r="AF27" i="18"/>
  <c r="N28" i="18"/>
  <c r="R28" i="18"/>
  <c r="U28" i="18"/>
  <c r="AC28" i="18" s="1"/>
  <c r="X28" i="18"/>
  <c r="AB28" i="18"/>
  <c r="AF28" i="18"/>
  <c r="N29" i="18"/>
  <c r="R29" i="18"/>
  <c r="U29" i="18"/>
  <c r="AC29" i="18" s="1"/>
  <c r="X29" i="18"/>
  <c r="AB29" i="18"/>
  <c r="AF29" i="18"/>
  <c r="N30" i="18"/>
  <c r="R30" i="18"/>
  <c r="U30" i="18"/>
  <c r="AC30" i="18" s="1"/>
  <c r="X30" i="18"/>
  <c r="AB30" i="18"/>
  <c r="AF30" i="18"/>
  <c r="N31" i="18"/>
  <c r="R31" i="18"/>
  <c r="U31" i="18"/>
  <c r="AC31" i="18" s="1"/>
  <c r="X31" i="18"/>
  <c r="AB31" i="18"/>
  <c r="AF31" i="18"/>
  <c r="N32" i="18"/>
  <c r="R32" i="18"/>
  <c r="U32" i="18"/>
  <c r="AC32" i="18" s="1"/>
  <c r="X32" i="18"/>
  <c r="AB32" i="18"/>
  <c r="AF32" i="18"/>
  <c r="N33" i="18"/>
  <c r="R33" i="18"/>
  <c r="U33" i="18"/>
  <c r="AC33" i="18" s="1"/>
  <c r="X33" i="18"/>
  <c r="AB33" i="18"/>
  <c r="AF33" i="18"/>
  <c r="N34" i="18"/>
  <c r="R34" i="18"/>
  <c r="U34" i="18"/>
  <c r="AC34" i="18" s="1"/>
  <c r="X34" i="18"/>
  <c r="AB34" i="18"/>
  <c r="AF34" i="18"/>
  <c r="N35" i="18"/>
  <c r="R35" i="18"/>
  <c r="U35" i="18"/>
  <c r="AC35" i="18" s="1"/>
  <c r="X35" i="18"/>
  <c r="AB35" i="18"/>
  <c r="AF35" i="18"/>
  <c r="N36" i="18"/>
  <c r="R36" i="18"/>
  <c r="U36" i="18"/>
  <c r="AC36" i="18" s="1"/>
  <c r="X36" i="18"/>
  <c r="AB36" i="18"/>
  <c r="AF36" i="18"/>
  <c r="N37" i="18"/>
  <c r="R37" i="18"/>
  <c r="U37" i="18"/>
  <c r="AC37" i="18" s="1"/>
  <c r="X37" i="18"/>
  <c r="AB37" i="18"/>
  <c r="AF37" i="18"/>
  <c r="N38" i="18"/>
  <c r="R38" i="18"/>
  <c r="U38" i="18"/>
  <c r="AC38" i="18" s="1"/>
  <c r="X38" i="18"/>
  <c r="AB38" i="18"/>
  <c r="AF38" i="18"/>
  <c r="N39" i="18"/>
  <c r="R39" i="18"/>
  <c r="U39" i="18"/>
  <c r="AC39" i="18" s="1"/>
  <c r="X39" i="18"/>
  <c r="AB39" i="18"/>
  <c r="AF39" i="18"/>
  <c r="N40" i="18"/>
  <c r="R40" i="18"/>
  <c r="U40" i="18"/>
  <c r="AC40" i="18" s="1"/>
  <c r="X40" i="18"/>
  <c r="AB40" i="18"/>
  <c r="AF40" i="18"/>
  <c r="N41" i="18"/>
  <c r="R41" i="18"/>
  <c r="U41" i="18"/>
  <c r="AC41" i="18" s="1"/>
  <c r="X41" i="18"/>
  <c r="AB41" i="18"/>
  <c r="AF41" i="18"/>
  <c r="N42" i="18"/>
  <c r="R42" i="18"/>
  <c r="U42" i="18"/>
  <c r="AC42" i="18" s="1"/>
  <c r="X42" i="18"/>
  <c r="AB42" i="18"/>
  <c r="AF42" i="18"/>
  <c r="N43" i="18"/>
  <c r="R43" i="18"/>
  <c r="U43" i="18"/>
  <c r="AC43" i="18" s="1"/>
  <c r="X43" i="18"/>
  <c r="AB43" i="18"/>
  <c r="AF43" i="18"/>
  <c r="N44" i="18"/>
  <c r="R44" i="18"/>
  <c r="U44" i="18"/>
  <c r="AC44" i="18" s="1"/>
  <c r="X44" i="18"/>
  <c r="AB44" i="18"/>
  <c r="AF44" i="18"/>
  <c r="N45" i="18"/>
  <c r="R45" i="18"/>
  <c r="U45" i="18"/>
  <c r="AC45" i="18" s="1"/>
  <c r="X45" i="18"/>
  <c r="AB45" i="18"/>
  <c r="AF45" i="18"/>
  <c r="N46" i="18"/>
  <c r="R46" i="18"/>
  <c r="U46" i="18"/>
  <c r="AC46" i="18" s="1"/>
  <c r="X46" i="18"/>
  <c r="AB46" i="18"/>
  <c r="AF46" i="18"/>
  <c r="N47" i="18"/>
  <c r="R47" i="18"/>
  <c r="U47" i="18"/>
  <c r="AC47" i="18" s="1"/>
  <c r="X47" i="18"/>
  <c r="AB47" i="18"/>
  <c r="AF47" i="18"/>
  <c r="N48" i="18"/>
  <c r="R48" i="18"/>
  <c r="U48" i="18"/>
  <c r="AC48" i="18" s="1"/>
  <c r="X48" i="18"/>
  <c r="AB48" i="18"/>
  <c r="AF48" i="18"/>
  <c r="N49" i="18"/>
  <c r="R49" i="18"/>
  <c r="U49" i="18"/>
  <c r="AC49" i="18" s="1"/>
  <c r="X49" i="18"/>
  <c r="AB49" i="18"/>
  <c r="AF49" i="18"/>
  <c r="N51" i="18"/>
  <c r="R51" i="18"/>
  <c r="U51" i="18"/>
  <c r="AC51" i="18" s="1"/>
  <c r="X51" i="18"/>
  <c r="AB51" i="18"/>
  <c r="AF51" i="18"/>
  <c r="N52" i="18"/>
  <c r="R52" i="18"/>
  <c r="U52" i="18"/>
  <c r="AC52" i="18" s="1"/>
  <c r="X52" i="18"/>
  <c r="AB52" i="18"/>
  <c r="AF52" i="18"/>
  <c r="N53" i="18"/>
  <c r="R53" i="18"/>
  <c r="U53" i="18"/>
  <c r="AC53" i="18" s="1"/>
  <c r="X53" i="18"/>
  <c r="AB53" i="18"/>
  <c r="AF53" i="18"/>
  <c r="N54" i="18"/>
  <c r="R54" i="18"/>
  <c r="U54" i="18"/>
  <c r="AC54" i="18" s="1"/>
  <c r="X54" i="18"/>
  <c r="AB54" i="18"/>
  <c r="AF54" i="18"/>
  <c r="N55" i="18"/>
  <c r="R55" i="18"/>
  <c r="U55" i="18"/>
  <c r="AC55" i="18" s="1"/>
  <c r="X55" i="18"/>
  <c r="AB55" i="18"/>
  <c r="AF55" i="18"/>
  <c r="N56" i="18"/>
  <c r="R56" i="18"/>
  <c r="U56" i="18"/>
  <c r="AC56" i="18" s="1"/>
  <c r="X56" i="18"/>
  <c r="AB56" i="18"/>
  <c r="AF56" i="18"/>
  <c r="N57" i="18"/>
  <c r="R57" i="18"/>
  <c r="U57" i="18"/>
  <c r="AC57" i="18" s="1"/>
  <c r="X57" i="18"/>
  <c r="AB57" i="18"/>
  <c r="AF57" i="18"/>
  <c r="N58" i="18"/>
  <c r="R58" i="18"/>
  <c r="U58" i="18"/>
  <c r="AC58" i="18" s="1"/>
  <c r="X58" i="18"/>
  <c r="AB58" i="18"/>
  <c r="AF58" i="18"/>
  <c r="N59" i="18"/>
  <c r="R59" i="18"/>
  <c r="U59" i="18"/>
  <c r="AC59" i="18" s="1"/>
  <c r="X59" i="18"/>
  <c r="AB59" i="18"/>
  <c r="AF59" i="18"/>
  <c r="N60" i="18"/>
  <c r="R60" i="18"/>
  <c r="U60" i="18"/>
  <c r="AC60" i="18" s="1"/>
  <c r="X60" i="18"/>
  <c r="AB60" i="18"/>
  <c r="AF60" i="18"/>
  <c r="N61" i="18"/>
  <c r="R61" i="18"/>
  <c r="U61" i="18"/>
  <c r="AC61" i="18" s="1"/>
  <c r="X61" i="18"/>
  <c r="AB61" i="18"/>
  <c r="AF61" i="18"/>
  <c r="N62" i="18"/>
  <c r="R62" i="18"/>
  <c r="U62" i="18"/>
  <c r="AC62" i="18" s="1"/>
  <c r="X62" i="18"/>
  <c r="AB62" i="18"/>
  <c r="AF62" i="18"/>
  <c r="N63" i="18"/>
  <c r="R63" i="18"/>
  <c r="U63" i="18"/>
  <c r="AC63" i="18" s="1"/>
  <c r="X63" i="18"/>
  <c r="AB63" i="18"/>
  <c r="AF63" i="18"/>
  <c r="N64" i="18"/>
  <c r="R64" i="18"/>
  <c r="U64" i="18"/>
  <c r="AC64" i="18" s="1"/>
  <c r="X64" i="18"/>
  <c r="AB64" i="18"/>
  <c r="AF64" i="18"/>
  <c r="N65" i="18"/>
  <c r="R65" i="18"/>
  <c r="U65" i="18"/>
  <c r="AC65" i="18" s="1"/>
  <c r="X65" i="18"/>
  <c r="AB65" i="18"/>
  <c r="AF65" i="18"/>
  <c r="N66" i="18"/>
  <c r="R66" i="18"/>
  <c r="U66" i="18"/>
  <c r="AC66" i="18" s="1"/>
  <c r="X66" i="18"/>
  <c r="AB66" i="18"/>
  <c r="AF66" i="18"/>
  <c r="R67" i="18"/>
  <c r="U67" i="18"/>
  <c r="AC67" i="18" s="1"/>
  <c r="X67" i="18"/>
  <c r="AB67" i="18"/>
  <c r="AF67" i="18"/>
  <c r="N68" i="18"/>
  <c r="R68" i="18"/>
  <c r="U68" i="18"/>
  <c r="AC68" i="18" s="1"/>
  <c r="X68" i="18"/>
  <c r="AB68" i="18"/>
  <c r="AF68" i="18"/>
  <c r="N69" i="18"/>
  <c r="R69" i="18"/>
  <c r="U69" i="18"/>
  <c r="AC69" i="18" s="1"/>
  <c r="X69" i="18"/>
  <c r="AB69" i="18"/>
  <c r="AF69" i="18"/>
  <c r="N70" i="18"/>
  <c r="R70" i="18"/>
  <c r="U70" i="18"/>
  <c r="AC70" i="18" s="1"/>
  <c r="X70" i="18"/>
  <c r="AB70" i="18"/>
  <c r="AF70" i="18"/>
  <c r="N71" i="18"/>
  <c r="R71" i="18"/>
  <c r="U71" i="18"/>
  <c r="AC71" i="18" s="1"/>
  <c r="X71" i="18"/>
  <c r="AB71" i="18"/>
  <c r="AF71" i="18"/>
  <c r="N72" i="18"/>
  <c r="R72" i="18"/>
  <c r="U72" i="18"/>
  <c r="AC72" i="18" s="1"/>
  <c r="X72" i="18"/>
  <c r="AB72" i="18"/>
  <c r="AF72" i="18"/>
  <c r="N73" i="18"/>
  <c r="R73" i="18"/>
  <c r="U73" i="18"/>
  <c r="AC73" i="18" s="1"/>
  <c r="X73" i="18"/>
  <c r="AB73" i="18"/>
  <c r="AF73" i="18"/>
  <c r="N74" i="18"/>
  <c r="R74" i="18"/>
  <c r="U74" i="18"/>
  <c r="AC74" i="18" s="1"/>
  <c r="X74" i="18"/>
  <c r="AB74" i="18"/>
  <c r="AF74" i="18"/>
  <c r="N75" i="18"/>
  <c r="R75" i="18"/>
  <c r="U75" i="18"/>
  <c r="AC75" i="18" s="1"/>
  <c r="X75" i="18"/>
  <c r="AB75" i="18"/>
  <c r="AF75" i="18"/>
  <c r="N76" i="18"/>
  <c r="R76" i="18"/>
  <c r="U76" i="18"/>
  <c r="AC76" i="18" s="1"/>
  <c r="X76" i="18"/>
  <c r="AB76" i="18"/>
  <c r="AF76" i="18"/>
  <c r="N77" i="18"/>
  <c r="R77" i="18"/>
  <c r="U77" i="18"/>
  <c r="AC77" i="18" s="1"/>
  <c r="X77" i="18"/>
  <c r="AB77" i="18"/>
  <c r="AF77" i="18"/>
  <c r="N78" i="18"/>
  <c r="R78" i="18"/>
  <c r="U78" i="18"/>
  <c r="AC78" i="18" s="1"/>
  <c r="X78" i="18"/>
  <c r="AB78" i="18"/>
  <c r="AF78" i="18"/>
  <c r="N79" i="18"/>
  <c r="R79" i="18"/>
  <c r="U79" i="18"/>
  <c r="AC79" i="18" s="1"/>
  <c r="X79" i="18"/>
  <c r="AB79" i="18"/>
  <c r="AF79" i="18"/>
  <c r="N80" i="18"/>
  <c r="R80" i="18"/>
  <c r="U80" i="18"/>
  <c r="AC80" i="18" s="1"/>
  <c r="X80" i="18"/>
  <c r="AB80" i="18"/>
  <c r="AF80" i="18"/>
  <c r="N81" i="18"/>
  <c r="R81" i="18"/>
  <c r="U81" i="18"/>
  <c r="AC81" i="18" s="1"/>
  <c r="X81" i="18"/>
  <c r="AB81" i="18"/>
  <c r="AF81" i="18"/>
  <c r="N82" i="18"/>
  <c r="R82" i="18"/>
  <c r="U82" i="18"/>
  <c r="AC82" i="18" s="1"/>
  <c r="X82" i="18"/>
  <c r="AB82" i="18"/>
  <c r="AF82" i="18"/>
  <c r="N83" i="18"/>
  <c r="R83" i="18"/>
  <c r="U83" i="18"/>
  <c r="AC83" i="18" s="1"/>
  <c r="X83" i="18"/>
  <c r="AB83" i="18"/>
  <c r="AF83" i="18"/>
  <c r="N84" i="18"/>
  <c r="R84" i="18"/>
  <c r="U84" i="18"/>
  <c r="AC84" i="18" s="1"/>
  <c r="X84" i="18"/>
  <c r="AB84" i="18"/>
  <c r="AF84" i="18"/>
  <c r="N85" i="18"/>
  <c r="R85" i="18"/>
  <c r="U85" i="18"/>
  <c r="AC85" i="18" s="1"/>
  <c r="X85" i="18"/>
  <c r="AB85" i="18"/>
  <c r="AF85" i="18"/>
  <c r="N86" i="18"/>
  <c r="R86" i="18"/>
  <c r="U86" i="18"/>
  <c r="AC86" i="18" s="1"/>
  <c r="X86" i="18"/>
  <c r="AB86" i="18"/>
  <c r="AF86" i="18"/>
  <c r="N87" i="18"/>
  <c r="R87" i="18"/>
  <c r="U87" i="18"/>
  <c r="AC87" i="18" s="1"/>
  <c r="X87" i="18"/>
  <c r="AB87" i="18"/>
  <c r="AF87" i="18"/>
  <c r="N88" i="18"/>
  <c r="R88" i="18"/>
  <c r="U88" i="18"/>
  <c r="AC88" i="18" s="1"/>
  <c r="X88" i="18"/>
  <c r="AB88" i="18"/>
  <c r="AF88" i="18"/>
  <c r="N89" i="18"/>
  <c r="R89" i="18"/>
  <c r="U89" i="18"/>
  <c r="AC89" i="18" s="1"/>
  <c r="X89" i="18"/>
  <c r="AB89" i="18"/>
  <c r="AF89" i="18"/>
  <c r="N90" i="18"/>
  <c r="R90" i="18"/>
  <c r="U90" i="18"/>
  <c r="AC90" i="18" s="1"/>
  <c r="X90" i="18"/>
  <c r="AB90" i="18"/>
  <c r="AF90" i="18"/>
  <c r="N91" i="18"/>
  <c r="R91" i="18"/>
  <c r="U91" i="18"/>
  <c r="AC91" i="18" s="1"/>
  <c r="X91" i="18"/>
  <c r="AB91" i="18"/>
  <c r="AF91" i="18"/>
  <c r="N92" i="18"/>
  <c r="R92" i="18"/>
  <c r="U92" i="18"/>
  <c r="AC92" i="18" s="1"/>
  <c r="X92" i="18"/>
  <c r="AB92" i="18"/>
  <c r="AF92" i="18"/>
  <c r="N93" i="18"/>
  <c r="R93" i="18"/>
  <c r="U93" i="18"/>
  <c r="AC93" i="18" s="1"/>
  <c r="X93" i="18"/>
  <c r="AB93" i="18"/>
  <c r="AF93" i="18"/>
  <c r="N94" i="18"/>
  <c r="R94" i="18"/>
  <c r="U94" i="18"/>
  <c r="AC94" i="18" s="1"/>
  <c r="X94" i="18"/>
  <c r="AB94" i="18"/>
  <c r="AF94" i="18"/>
  <c r="N95" i="18"/>
  <c r="R95" i="18"/>
  <c r="U95" i="18"/>
  <c r="AC95" i="18" s="1"/>
  <c r="X95" i="18"/>
  <c r="AB95" i="18"/>
  <c r="AF95" i="18"/>
  <c r="N96" i="18"/>
  <c r="R96" i="18"/>
  <c r="U96" i="18"/>
  <c r="AC96" i="18" s="1"/>
  <c r="X96" i="18"/>
  <c r="AB96" i="18"/>
  <c r="AF96" i="18"/>
  <c r="N97" i="18"/>
  <c r="R97" i="18"/>
  <c r="U97" i="18"/>
  <c r="AC97" i="18" s="1"/>
  <c r="X97" i="18"/>
  <c r="AB97" i="18"/>
  <c r="AF97" i="18"/>
  <c r="N98" i="18"/>
  <c r="R98" i="18"/>
  <c r="U98" i="18"/>
  <c r="AC98" i="18" s="1"/>
  <c r="X98" i="18"/>
  <c r="AB98" i="18"/>
  <c r="AF98" i="18"/>
  <c r="N99" i="18"/>
  <c r="R99" i="18"/>
  <c r="U99" i="18"/>
  <c r="AC99" i="18" s="1"/>
  <c r="X99" i="18"/>
  <c r="AB99" i="18"/>
  <c r="AF99" i="18"/>
  <c r="N100" i="18"/>
  <c r="R100" i="18"/>
  <c r="U100" i="18"/>
  <c r="AC100" i="18" s="1"/>
  <c r="X100" i="18"/>
  <c r="AB100" i="18"/>
  <c r="AF100" i="18"/>
  <c r="N101" i="18"/>
  <c r="R101" i="18"/>
  <c r="U101" i="18"/>
  <c r="AC101" i="18" s="1"/>
  <c r="X101" i="18"/>
  <c r="AB101" i="18"/>
  <c r="AF101" i="18"/>
  <c r="N102" i="18"/>
  <c r="R102" i="18"/>
  <c r="U102" i="18"/>
  <c r="AC102" i="18" s="1"/>
  <c r="X102" i="18"/>
  <c r="AB102" i="18"/>
  <c r="AF102" i="18"/>
  <c r="N103" i="18"/>
  <c r="R103" i="18"/>
  <c r="U103" i="18"/>
  <c r="AC103" i="18" s="1"/>
  <c r="X103" i="18"/>
  <c r="AB103" i="18"/>
  <c r="AF103" i="18"/>
  <c r="N104" i="18"/>
  <c r="R104" i="18"/>
  <c r="U104" i="18"/>
  <c r="X104" i="18"/>
  <c r="AB104" i="18"/>
  <c r="AF104" i="18"/>
  <c r="N105" i="18"/>
  <c r="R105" i="18"/>
  <c r="U105" i="18"/>
  <c r="AC105" i="18" s="1"/>
  <c r="X105" i="18"/>
  <c r="AB105" i="18"/>
  <c r="AF105" i="18"/>
  <c r="N106" i="18"/>
  <c r="R106" i="18"/>
  <c r="U106" i="18"/>
  <c r="AC106" i="18" s="1"/>
  <c r="X106" i="18"/>
  <c r="AB106" i="18"/>
  <c r="AF106" i="18"/>
  <c r="N107" i="18"/>
  <c r="R107" i="18"/>
  <c r="U107" i="18"/>
  <c r="AC107" i="18" s="1"/>
  <c r="X107" i="18"/>
  <c r="AB107" i="18"/>
  <c r="AF107" i="18"/>
  <c r="N108" i="18"/>
  <c r="R108" i="18"/>
  <c r="U108" i="18"/>
  <c r="AC108" i="18" s="1"/>
  <c r="X108" i="18"/>
  <c r="AB108" i="18"/>
  <c r="AF108" i="18"/>
  <c r="N109" i="18"/>
  <c r="R109" i="18"/>
  <c r="U109" i="18"/>
  <c r="AC109" i="18" s="1"/>
  <c r="X109" i="18"/>
  <c r="AB109" i="18"/>
  <c r="AF109" i="18"/>
  <c r="N110" i="18"/>
  <c r="R110" i="18"/>
  <c r="U110" i="18"/>
  <c r="AC110" i="18" s="1"/>
  <c r="X110" i="18"/>
  <c r="AB110" i="18"/>
  <c r="AF110" i="18"/>
  <c r="N111" i="18"/>
  <c r="R111" i="18"/>
  <c r="U111" i="18"/>
  <c r="AC111" i="18" s="1"/>
  <c r="X111" i="18"/>
  <c r="AB111" i="18"/>
  <c r="AF111" i="18"/>
  <c r="N112" i="18"/>
  <c r="R112" i="18"/>
  <c r="U112" i="18"/>
  <c r="AC112" i="18" s="1"/>
  <c r="X112" i="18"/>
  <c r="AB112" i="18"/>
  <c r="AF112" i="18"/>
  <c r="N113" i="18"/>
  <c r="R113" i="18"/>
  <c r="U113" i="18"/>
  <c r="AC113" i="18" s="1"/>
  <c r="X113" i="18"/>
  <c r="AB113" i="18"/>
  <c r="AF113" i="18"/>
  <c r="N114" i="18"/>
  <c r="R114" i="18"/>
  <c r="U114" i="18"/>
  <c r="AC114" i="18" s="1"/>
  <c r="X114" i="18"/>
  <c r="AB114" i="18"/>
  <c r="AF114" i="18"/>
  <c r="N115" i="18"/>
  <c r="R115" i="18"/>
  <c r="U115" i="18"/>
  <c r="AC115" i="18" s="1"/>
  <c r="X115" i="18"/>
  <c r="AB115" i="18"/>
  <c r="AF115" i="18"/>
  <c r="N116" i="18"/>
  <c r="R116" i="18"/>
  <c r="U116" i="18"/>
  <c r="AC116" i="18" s="1"/>
  <c r="X116" i="18"/>
  <c r="AB116" i="18"/>
  <c r="AF116" i="18"/>
  <c r="N117" i="18"/>
  <c r="R117" i="18"/>
  <c r="U117" i="18"/>
  <c r="AC117" i="18" s="1"/>
  <c r="X117" i="18"/>
  <c r="AB117" i="18"/>
  <c r="AF117" i="18"/>
  <c r="N118" i="18"/>
  <c r="R118" i="18"/>
  <c r="U118" i="18"/>
  <c r="AC118" i="18" s="1"/>
  <c r="X118" i="18"/>
  <c r="AB118" i="18"/>
  <c r="AF118" i="18"/>
  <c r="N119" i="18"/>
  <c r="R119" i="18"/>
  <c r="U119" i="18"/>
  <c r="AC119" i="18" s="1"/>
  <c r="X119" i="18"/>
  <c r="AB119" i="18"/>
  <c r="AF119" i="18"/>
  <c r="N120" i="18"/>
  <c r="R120" i="18"/>
  <c r="U120" i="18"/>
  <c r="AC120" i="18" s="1"/>
  <c r="X120" i="18"/>
  <c r="AB120" i="18"/>
  <c r="AF120" i="18"/>
  <c r="N121" i="18"/>
  <c r="R121" i="18"/>
  <c r="U121" i="18"/>
  <c r="AC121" i="18" s="1"/>
  <c r="X121" i="18"/>
  <c r="AB121" i="18"/>
  <c r="AF121" i="18"/>
  <c r="N122" i="18"/>
  <c r="R122" i="18"/>
  <c r="U122" i="18"/>
  <c r="AC122" i="18" s="1"/>
  <c r="X122" i="18"/>
  <c r="AB122" i="18"/>
  <c r="AF122" i="18"/>
  <c r="N123" i="18"/>
  <c r="R123" i="18"/>
  <c r="U123" i="18"/>
  <c r="AC123" i="18" s="1"/>
  <c r="X123" i="18"/>
  <c r="AB123" i="18"/>
  <c r="AF123" i="18"/>
  <c r="N124" i="18"/>
  <c r="R124" i="18"/>
  <c r="U124" i="18"/>
  <c r="AC124" i="18" s="1"/>
  <c r="X124" i="18"/>
  <c r="AB124" i="18"/>
  <c r="AF124" i="18"/>
  <c r="N125" i="18"/>
  <c r="R125" i="18"/>
  <c r="U125" i="18"/>
  <c r="AC125" i="18" s="1"/>
  <c r="X125" i="18"/>
  <c r="AB125" i="18"/>
  <c r="AF125" i="18"/>
  <c r="N126" i="18"/>
  <c r="R126" i="18"/>
  <c r="U126" i="18"/>
  <c r="AC126" i="18" s="1"/>
  <c r="X126" i="18"/>
  <c r="AB126" i="18"/>
  <c r="AF126" i="18"/>
  <c r="N127" i="18"/>
  <c r="R127" i="18"/>
  <c r="U127" i="18"/>
  <c r="AC127" i="18" s="1"/>
  <c r="X127" i="18"/>
  <c r="AB127" i="18"/>
  <c r="AF127" i="18"/>
  <c r="N128" i="18"/>
  <c r="R128" i="18"/>
  <c r="U128" i="18"/>
  <c r="AC128" i="18" s="1"/>
  <c r="X128" i="18"/>
  <c r="AB128" i="18"/>
  <c r="AF128" i="18"/>
  <c r="N129" i="18"/>
  <c r="R129" i="18"/>
  <c r="U129" i="18"/>
  <c r="AC129" i="18" s="1"/>
  <c r="X129" i="18"/>
  <c r="AB129" i="18"/>
  <c r="AF129" i="18"/>
  <c r="N130" i="18"/>
  <c r="R130" i="18"/>
  <c r="U130" i="18"/>
  <c r="AC130" i="18" s="1"/>
  <c r="X130" i="18"/>
  <c r="AB130" i="18"/>
  <c r="AF130" i="18"/>
  <c r="N131" i="18"/>
  <c r="R131" i="18"/>
  <c r="U131" i="18"/>
  <c r="AC131" i="18" s="1"/>
  <c r="X131" i="18"/>
  <c r="AB131" i="18"/>
  <c r="AF131" i="18"/>
  <c r="N132" i="18"/>
  <c r="R132" i="18"/>
  <c r="U132" i="18"/>
  <c r="AC132" i="18" s="1"/>
  <c r="X132" i="18"/>
  <c r="AB132" i="18"/>
  <c r="AF132" i="18"/>
  <c r="N133" i="18"/>
  <c r="R133" i="18"/>
  <c r="U133" i="18"/>
  <c r="AC133" i="18" s="1"/>
  <c r="X133" i="18"/>
  <c r="AB133" i="18"/>
  <c r="AF133" i="18"/>
  <c r="N134" i="18"/>
  <c r="R134" i="18"/>
  <c r="U134" i="18"/>
  <c r="AC134" i="18" s="1"/>
  <c r="X134" i="18"/>
  <c r="AB134" i="18"/>
  <c r="AF134" i="18"/>
  <c r="N135" i="18"/>
  <c r="R135" i="18"/>
  <c r="U135" i="18"/>
  <c r="AC135" i="18" s="1"/>
  <c r="X135" i="18"/>
  <c r="AB135" i="18"/>
  <c r="AF135" i="18"/>
  <c r="N136" i="18"/>
  <c r="R136" i="18"/>
  <c r="U136" i="18"/>
  <c r="AC136" i="18" s="1"/>
  <c r="X136" i="18"/>
  <c r="AB136" i="18"/>
  <c r="AF136" i="18"/>
  <c r="N137" i="18"/>
  <c r="R137" i="18"/>
  <c r="U137" i="18"/>
  <c r="AC137" i="18" s="1"/>
  <c r="X137" i="18"/>
  <c r="AB137" i="18"/>
  <c r="AF137" i="18"/>
  <c r="N138" i="18"/>
  <c r="R138" i="18"/>
  <c r="U138" i="18"/>
  <c r="AC138" i="18" s="1"/>
  <c r="X138" i="18"/>
  <c r="AB138" i="18"/>
  <c r="AF138" i="18"/>
  <c r="N139" i="18"/>
  <c r="R139" i="18"/>
  <c r="U139" i="18"/>
  <c r="AC139" i="18" s="1"/>
  <c r="X139" i="18"/>
  <c r="AB139" i="18"/>
  <c r="AF139" i="18"/>
  <c r="N140" i="18"/>
  <c r="R140" i="18"/>
  <c r="U140" i="18"/>
  <c r="AC140" i="18" s="1"/>
  <c r="X140" i="18"/>
  <c r="AB140" i="18"/>
  <c r="AF140" i="18"/>
  <c r="N141" i="18"/>
  <c r="R141" i="18"/>
  <c r="U141" i="18"/>
  <c r="AC141" i="18" s="1"/>
  <c r="X141" i="18"/>
  <c r="AB141" i="18"/>
  <c r="AF141" i="18"/>
  <c r="N142" i="18"/>
  <c r="R142" i="18"/>
  <c r="U142" i="18"/>
  <c r="AC142" i="18" s="1"/>
  <c r="X142" i="18"/>
  <c r="AB142" i="18"/>
  <c r="AF142" i="18"/>
  <c r="N143" i="18"/>
  <c r="R143" i="18"/>
  <c r="U143" i="18"/>
  <c r="AC143" i="18" s="1"/>
  <c r="X143" i="18"/>
  <c r="AB143" i="18"/>
  <c r="AF143" i="18"/>
  <c r="N144" i="18"/>
  <c r="R144" i="18"/>
  <c r="U144" i="18"/>
  <c r="AC144" i="18" s="1"/>
  <c r="X144" i="18"/>
  <c r="AB144" i="18"/>
  <c r="AF144" i="18"/>
  <c r="N145" i="18"/>
  <c r="R145" i="18"/>
  <c r="U145" i="18"/>
  <c r="AC145" i="18" s="1"/>
  <c r="X145" i="18"/>
  <c r="AB145" i="18"/>
  <c r="AF145" i="18"/>
  <c r="N146" i="18"/>
  <c r="R146" i="18"/>
  <c r="U146" i="18"/>
  <c r="AC146" i="18" s="1"/>
  <c r="X146" i="18"/>
  <c r="AB146" i="18"/>
  <c r="AF146" i="18"/>
  <c r="N147" i="18"/>
  <c r="R147" i="18"/>
  <c r="U147" i="18"/>
  <c r="AC147" i="18" s="1"/>
  <c r="X147" i="18"/>
  <c r="AB147" i="18"/>
  <c r="AF147" i="18"/>
  <c r="N148" i="18"/>
  <c r="R148" i="18"/>
  <c r="U148" i="18"/>
  <c r="AC148" i="18" s="1"/>
  <c r="X148" i="18"/>
  <c r="AB148" i="18"/>
  <c r="AF148" i="18"/>
  <c r="N149" i="18"/>
  <c r="R149" i="18"/>
  <c r="U149" i="18"/>
  <c r="AC149" i="18" s="1"/>
  <c r="X149" i="18"/>
  <c r="AB149" i="18"/>
  <c r="AF149" i="18"/>
  <c r="N150" i="18"/>
  <c r="R150" i="18"/>
  <c r="U150" i="18"/>
  <c r="AC150" i="18" s="1"/>
  <c r="X150" i="18"/>
  <c r="AB150" i="18"/>
  <c r="AF150" i="18"/>
  <c r="N151" i="18"/>
  <c r="R151" i="18"/>
  <c r="U151" i="18"/>
  <c r="AC151" i="18" s="1"/>
  <c r="X151" i="18"/>
  <c r="AB151" i="18"/>
  <c r="AF151" i="18"/>
  <c r="N152" i="18"/>
  <c r="R152" i="18"/>
  <c r="U152" i="18"/>
  <c r="AC152" i="18" s="1"/>
  <c r="X152" i="18"/>
  <c r="AB152" i="18"/>
  <c r="AF152" i="18"/>
  <c r="N153" i="18"/>
  <c r="R153" i="18"/>
  <c r="U153" i="18"/>
  <c r="X153" i="18"/>
  <c r="AB153" i="18"/>
  <c r="AF153" i="18"/>
  <c r="N154" i="18"/>
  <c r="R154" i="18"/>
  <c r="U154" i="18"/>
  <c r="AC154" i="18" s="1"/>
  <c r="X154" i="18"/>
  <c r="AB154" i="18"/>
  <c r="AF154" i="18"/>
  <c r="N155" i="18"/>
  <c r="R155" i="18"/>
  <c r="U155" i="18"/>
  <c r="AC155" i="18" s="1"/>
  <c r="X155" i="18"/>
  <c r="AB155" i="18"/>
  <c r="AF155" i="18"/>
  <c r="N156" i="18"/>
  <c r="R156" i="18"/>
  <c r="U156" i="18"/>
  <c r="AC156" i="18" s="1"/>
  <c r="X156" i="18"/>
  <c r="AB156" i="18"/>
  <c r="AF156" i="18"/>
  <c r="N157" i="18"/>
  <c r="R157" i="18"/>
  <c r="U157" i="18"/>
  <c r="AC157" i="18" s="1"/>
  <c r="X157" i="18"/>
  <c r="AB157" i="18"/>
  <c r="AF157" i="18"/>
  <c r="N158" i="18"/>
  <c r="R158" i="18"/>
  <c r="U158" i="18"/>
  <c r="AC158" i="18" s="1"/>
  <c r="X158" i="18"/>
  <c r="AB158" i="18"/>
  <c r="AF158" i="18"/>
  <c r="N159" i="18"/>
  <c r="R159" i="18"/>
  <c r="U159" i="18"/>
  <c r="AC159" i="18" s="1"/>
  <c r="X159" i="18"/>
  <c r="AB159" i="18"/>
  <c r="AF159" i="18"/>
  <c r="N160" i="18"/>
  <c r="R160" i="18"/>
  <c r="U160" i="18"/>
  <c r="AC160" i="18" s="1"/>
  <c r="X160" i="18"/>
  <c r="AB160" i="18"/>
  <c r="AF160" i="18"/>
  <c r="N161" i="18"/>
  <c r="R161" i="18"/>
  <c r="U161" i="18"/>
  <c r="AC161" i="18" s="1"/>
  <c r="X161" i="18"/>
  <c r="AB161" i="18"/>
  <c r="AF161" i="18"/>
  <c r="N162" i="18"/>
  <c r="R162" i="18"/>
  <c r="U162" i="18"/>
  <c r="AC162" i="18" s="1"/>
  <c r="X162" i="18"/>
  <c r="AB162" i="18"/>
  <c r="AF162" i="18"/>
  <c r="N163" i="18"/>
  <c r="R163" i="18"/>
  <c r="U163" i="18"/>
  <c r="AC163" i="18" s="1"/>
  <c r="X163" i="18"/>
  <c r="AB163" i="18"/>
  <c r="AF163" i="18"/>
  <c r="N164" i="18"/>
  <c r="R164" i="18"/>
  <c r="U164" i="18"/>
  <c r="AC164" i="18" s="1"/>
  <c r="X164" i="18"/>
  <c r="AB164" i="18"/>
  <c r="AF164" i="18"/>
  <c r="N165" i="18"/>
  <c r="R165" i="18"/>
  <c r="U165" i="18"/>
  <c r="AC165" i="18" s="1"/>
  <c r="X165" i="18"/>
  <c r="AB165" i="18"/>
  <c r="AF165" i="18"/>
  <c r="N166" i="18"/>
  <c r="R166" i="18"/>
  <c r="U166" i="18"/>
  <c r="AC166" i="18" s="1"/>
  <c r="X166" i="18"/>
  <c r="AB166" i="18"/>
  <c r="AF166" i="18"/>
  <c r="N167" i="18"/>
  <c r="R167" i="18"/>
  <c r="U167" i="18"/>
  <c r="AC167" i="18" s="1"/>
  <c r="X167" i="18"/>
  <c r="AB167" i="18"/>
  <c r="AF167" i="18"/>
  <c r="N168" i="18"/>
  <c r="R168" i="18"/>
  <c r="U168" i="18"/>
  <c r="AC168" i="18" s="1"/>
  <c r="X168" i="18"/>
  <c r="AB168" i="18"/>
  <c r="AF168" i="18"/>
  <c r="N169" i="18"/>
  <c r="R169" i="18"/>
  <c r="U169" i="18"/>
  <c r="X169" i="18"/>
  <c r="AB169" i="18"/>
  <c r="AF169" i="18"/>
  <c r="N170" i="18"/>
  <c r="R170" i="18"/>
  <c r="U170" i="18"/>
  <c r="AC170" i="18" s="1"/>
  <c r="X170" i="18"/>
  <c r="AB170" i="18"/>
  <c r="AF170" i="18"/>
  <c r="N171" i="18"/>
  <c r="R171" i="18"/>
  <c r="U171" i="18"/>
  <c r="AC171" i="18" s="1"/>
  <c r="X171" i="18"/>
  <c r="AB171" i="18"/>
  <c r="AF171" i="18"/>
  <c r="N172" i="18"/>
  <c r="R172" i="18"/>
  <c r="U172" i="18"/>
  <c r="AC172" i="18" s="1"/>
  <c r="X172" i="18"/>
  <c r="AB172" i="18"/>
  <c r="AF172" i="18"/>
  <c r="N173" i="18"/>
  <c r="R173" i="18"/>
  <c r="U173" i="18"/>
  <c r="AC173" i="18" s="1"/>
  <c r="X173" i="18"/>
  <c r="AB173" i="18"/>
  <c r="AF173" i="18"/>
  <c r="N174" i="18"/>
  <c r="R174" i="18"/>
  <c r="U174" i="18"/>
  <c r="AC174" i="18" s="1"/>
  <c r="X174" i="18"/>
  <c r="AB174" i="18"/>
  <c r="AF174" i="18"/>
  <c r="N175" i="18"/>
  <c r="R175" i="18"/>
  <c r="U175" i="18"/>
  <c r="AC175" i="18" s="1"/>
  <c r="X175" i="18"/>
  <c r="AB175" i="18"/>
  <c r="AF175" i="18"/>
  <c r="N176" i="18"/>
  <c r="R176" i="18"/>
  <c r="U176" i="18"/>
  <c r="AC176" i="18" s="1"/>
  <c r="X176" i="18"/>
  <c r="AB176" i="18"/>
  <c r="AF176" i="18"/>
  <c r="N177" i="18"/>
  <c r="R177" i="18"/>
  <c r="U177" i="18"/>
  <c r="AC177" i="18" s="1"/>
  <c r="X177" i="18"/>
  <c r="AB177" i="18"/>
  <c r="AF177" i="18"/>
  <c r="N178" i="18"/>
  <c r="R178" i="18"/>
  <c r="U178" i="18"/>
  <c r="AC178" i="18" s="1"/>
  <c r="X178" i="18"/>
  <c r="AB178" i="18"/>
  <c r="AF178" i="18"/>
  <c r="N179" i="18"/>
  <c r="R179" i="18"/>
  <c r="U179" i="18"/>
  <c r="AC179" i="18" s="1"/>
  <c r="X179" i="18"/>
  <c r="AB179" i="18"/>
  <c r="AF179" i="18"/>
  <c r="N180" i="18"/>
  <c r="R180" i="18"/>
  <c r="U180" i="18"/>
  <c r="AC180" i="18" s="1"/>
  <c r="X180" i="18"/>
  <c r="AB180" i="18"/>
  <c r="AF180" i="18"/>
  <c r="N181" i="18"/>
  <c r="R181" i="18"/>
  <c r="U181" i="18"/>
  <c r="AC181" i="18" s="1"/>
  <c r="X181" i="18"/>
  <c r="AB181" i="18"/>
  <c r="AF181" i="18"/>
  <c r="N182" i="18"/>
  <c r="R182" i="18"/>
  <c r="U182" i="18"/>
  <c r="AC182" i="18" s="1"/>
  <c r="X182" i="18"/>
  <c r="AB182" i="18"/>
  <c r="AF182" i="18"/>
  <c r="N183" i="18"/>
  <c r="R183" i="18"/>
  <c r="U183" i="18"/>
  <c r="AC183" i="18" s="1"/>
  <c r="X183" i="18"/>
  <c r="AB183" i="18"/>
  <c r="AF183" i="18"/>
  <c r="N184" i="18"/>
  <c r="R184" i="18"/>
  <c r="U184" i="18"/>
  <c r="AC184" i="18" s="1"/>
  <c r="X184" i="18"/>
  <c r="AB184" i="18"/>
  <c r="AF184" i="18"/>
  <c r="N185" i="18"/>
  <c r="R185" i="18"/>
  <c r="U185" i="18"/>
  <c r="X185" i="18"/>
  <c r="AB185" i="18"/>
  <c r="AF185" i="18"/>
  <c r="N186" i="18"/>
  <c r="R186" i="18"/>
  <c r="U186" i="18"/>
  <c r="AC186" i="18" s="1"/>
  <c r="X186" i="18"/>
  <c r="AB186" i="18"/>
  <c r="AF186" i="18"/>
  <c r="N187" i="18"/>
  <c r="R187" i="18"/>
  <c r="U187" i="18"/>
  <c r="AC187" i="18" s="1"/>
  <c r="X187" i="18"/>
  <c r="AB187" i="18"/>
  <c r="AF187" i="18"/>
  <c r="N188" i="18"/>
  <c r="R188" i="18"/>
  <c r="U188" i="18"/>
  <c r="AC188" i="18" s="1"/>
  <c r="X188" i="18"/>
  <c r="AB188" i="18"/>
  <c r="AF188" i="18"/>
  <c r="N189" i="18"/>
  <c r="R189" i="18"/>
  <c r="U189" i="18"/>
  <c r="AC189" i="18" s="1"/>
  <c r="X189" i="18"/>
  <c r="AB189" i="18"/>
  <c r="AF189" i="18"/>
  <c r="N190" i="18"/>
  <c r="R190" i="18"/>
  <c r="U190" i="18"/>
  <c r="X190" i="18"/>
  <c r="AB190" i="18"/>
  <c r="AF190" i="18"/>
  <c r="N191" i="18"/>
  <c r="R191" i="18"/>
  <c r="U191" i="18"/>
  <c r="AC191" i="18" s="1"/>
  <c r="X191" i="18"/>
  <c r="AB191" i="18"/>
  <c r="AF191" i="18"/>
  <c r="N192" i="18"/>
  <c r="R192" i="18"/>
  <c r="U192" i="18"/>
  <c r="AC192" i="18" s="1"/>
  <c r="X192" i="18"/>
  <c r="AB192" i="18"/>
  <c r="AF192" i="18"/>
  <c r="N193" i="18"/>
  <c r="R193" i="18"/>
  <c r="U193" i="18"/>
  <c r="AC193" i="18" s="1"/>
  <c r="X193" i="18"/>
  <c r="AB193" i="18"/>
  <c r="AF193" i="18"/>
  <c r="N194" i="18"/>
  <c r="R194" i="18"/>
  <c r="U194" i="18"/>
  <c r="AC194" i="18" s="1"/>
  <c r="X194" i="18"/>
  <c r="AB194" i="18"/>
  <c r="AF194" i="18"/>
  <c r="N195" i="18"/>
  <c r="R195" i="18"/>
  <c r="U195" i="18"/>
  <c r="AC195" i="18" s="1"/>
  <c r="X195" i="18"/>
  <c r="AB195" i="18"/>
  <c r="AF195" i="18"/>
  <c r="N196" i="18"/>
  <c r="R196" i="18"/>
  <c r="U196" i="18"/>
  <c r="AC196" i="18" s="1"/>
  <c r="X196" i="18"/>
  <c r="AB196" i="18"/>
  <c r="AF196" i="18"/>
  <c r="N197" i="18"/>
  <c r="R197" i="18"/>
  <c r="U197" i="18"/>
  <c r="AC197" i="18" s="1"/>
  <c r="X197" i="18"/>
  <c r="AB197" i="18"/>
  <c r="AF197" i="18"/>
  <c r="N198" i="18"/>
  <c r="R198" i="18"/>
  <c r="U198" i="18"/>
  <c r="AC198" i="18" s="1"/>
  <c r="X198" i="18"/>
  <c r="AB198" i="18"/>
  <c r="AF198" i="18"/>
  <c r="N199" i="18"/>
  <c r="R199" i="18"/>
  <c r="U199" i="18"/>
  <c r="AC199" i="18" s="1"/>
  <c r="X199" i="18"/>
  <c r="AB199" i="18"/>
  <c r="AF199" i="18"/>
  <c r="N200" i="18"/>
  <c r="R200" i="18"/>
  <c r="U200" i="18"/>
  <c r="AC200" i="18" s="1"/>
  <c r="X200" i="18"/>
  <c r="AB200" i="18"/>
  <c r="AF200" i="18"/>
  <c r="N201" i="18"/>
  <c r="R201" i="18"/>
  <c r="U201" i="18"/>
  <c r="AC201" i="18" s="1"/>
  <c r="X201" i="18"/>
  <c r="AB201" i="18"/>
  <c r="AF201" i="18"/>
  <c r="N202" i="18"/>
  <c r="R202" i="18"/>
  <c r="U202" i="18"/>
  <c r="AC202" i="18" s="1"/>
  <c r="X202" i="18"/>
  <c r="AB202" i="18"/>
  <c r="AF202" i="18"/>
  <c r="N203" i="18"/>
  <c r="R203" i="18"/>
  <c r="U203" i="18"/>
  <c r="AC203" i="18" s="1"/>
  <c r="X203" i="18"/>
  <c r="AB203" i="18"/>
  <c r="AF203" i="18"/>
  <c r="N204" i="18"/>
  <c r="R204" i="18"/>
  <c r="U204" i="18"/>
  <c r="AC204" i="18" s="1"/>
  <c r="X204" i="18"/>
  <c r="AB204" i="18"/>
  <c r="AF204" i="18"/>
  <c r="N205" i="18"/>
  <c r="R205" i="18"/>
  <c r="U205" i="18"/>
  <c r="AC205" i="18" s="1"/>
  <c r="X205" i="18"/>
  <c r="AB205" i="18"/>
  <c r="AF205" i="18"/>
  <c r="N206" i="18"/>
  <c r="R206" i="18"/>
  <c r="U206" i="18"/>
  <c r="AC206" i="18" s="1"/>
  <c r="X206" i="18"/>
  <c r="AB206" i="18"/>
  <c r="AF206" i="18"/>
  <c r="N207" i="18"/>
  <c r="R207" i="18"/>
  <c r="U207" i="18"/>
  <c r="X207" i="18"/>
  <c r="AB207" i="18"/>
  <c r="AF207" i="18"/>
  <c r="N208" i="18"/>
  <c r="R208" i="18"/>
  <c r="U208" i="18"/>
  <c r="AC208" i="18" s="1"/>
  <c r="X208" i="18"/>
  <c r="AB208" i="18"/>
  <c r="AF208" i="18"/>
  <c r="N209" i="18"/>
  <c r="R209" i="18"/>
  <c r="U209" i="18"/>
  <c r="AC209" i="18" s="1"/>
  <c r="X209" i="18"/>
  <c r="AB209" i="18"/>
  <c r="AF209" i="18"/>
  <c r="N210" i="18"/>
  <c r="R210" i="18"/>
  <c r="U210" i="18"/>
  <c r="AC210" i="18" s="1"/>
  <c r="X210" i="18"/>
  <c r="AB210" i="18"/>
  <c r="AF210" i="18"/>
  <c r="N211" i="18"/>
  <c r="R211" i="18"/>
  <c r="U211" i="18"/>
  <c r="X211" i="18"/>
  <c r="AB211" i="18"/>
  <c r="AF211" i="18"/>
  <c r="N212" i="18"/>
  <c r="R212" i="18"/>
  <c r="U212" i="18"/>
  <c r="AC212" i="18" s="1"/>
  <c r="X212" i="18"/>
  <c r="AB212" i="18"/>
  <c r="AF212" i="18"/>
  <c r="N213" i="18"/>
  <c r="R213" i="18"/>
  <c r="U213" i="18"/>
  <c r="AC213" i="18" s="1"/>
  <c r="X213" i="18"/>
  <c r="AB213" i="18"/>
  <c r="AF213" i="18"/>
  <c r="N214" i="18"/>
  <c r="R214" i="18"/>
  <c r="U214" i="18"/>
  <c r="AC214" i="18" s="1"/>
  <c r="X214" i="18"/>
  <c r="AB214" i="18"/>
  <c r="AF214" i="18"/>
  <c r="N215" i="18"/>
  <c r="R215" i="18"/>
  <c r="U215" i="18"/>
  <c r="X215" i="18"/>
  <c r="AB215" i="18"/>
  <c r="AF215" i="18"/>
  <c r="N216" i="18"/>
  <c r="R216" i="18"/>
  <c r="U216" i="18"/>
  <c r="AC216" i="18" s="1"/>
  <c r="X216" i="18"/>
  <c r="AB216" i="18"/>
  <c r="AF216" i="18"/>
  <c r="N217" i="18"/>
  <c r="R217" i="18"/>
  <c r="U217" i="18"/>
  <c r="AC217" i="18" s="1"/>
  <c r="X217" i="18"/>
  <c r="AB217" i="18"/>
  <c r="AF217" i="18"/>
  <c r="N218" i="18"/>
  <c r="R218" i="18"/>
  <c r="U218" i="18"/>
  <c r="AC218" i="18" s="1"/>
  <c r="X218" i="18"/>
  <c r="AB218" i="18"/>
  <c r="AF218" i="18"/>
  <c r="N219" i="18"/>
  <c r="R219" i="18"/>
  <c r="U219" i="18"/>
  <c r="X219" i="18"/>
  <c r="AB219" i="18"/>
  <c r="AF219" i="18"/>
  <c r="N220" i="18"/>
  <c r="R220" i="18"/>
  <c r="U220" i="18"/>
  <c r="AC220" i="18" s="1"/>
  <c r="X220" i="18"/>
  <c r="AB220" i="18"/>
  <c r="AF220" i="18"/>
  <c r="N221" i="18"/>
  <c r="R221" i="18"/>
  <c r="U221" i="18"/>
  <c r="AC221" i="18" s="1"/>
  <c r="X221" i="18"/>
  <c r="AB221" i="18"/>
  <c r="AF221" i="18"/>
  <c r="N222" i="18"/>
  <c r="R222" i="18"/>
  <c r="U222" i="18"/>
  <c r="AC222" i="18" s="1"/>
  <c r="X222" i="18"/>
  <c r="AB222" i="18"/>
  <c r="AF222" i="18"/>
  <c r="N223" i="18"/>
  <c r="R223" i="18"/>
  <c r="U223" i="18"/>
  <c r="X223" i="18"/>
  <c r="AB223" i="18"/>
  <c r="AF223" i="18"/>
  <c r="N224" i="18"/>
  <c r="R224" i="18"/>
  <c r="U224" i="18"/>
  <c r="AC224" i="18" s="1"/>
  <c r="X224" i="18"/>
  <c r="AB224" i="18"/>
  <c r="AF224" i="18"/>
  <c r="N225" i="18"/>
  <c r="R225" i="18"/>
  <c r="U225" i="18"/>
  <c r="AC225" i="18" s="1"/>
  <c r="X225" i="18"/>
  <c r="AB225" i="18"/>
  <c r="AF225" i="18"/>
  <c r="N226" i="18"/>
  <c r="R226" i="18"/>
  <c r="U226" i="18"/>
  <c r="AC226" i="18" s="1"/>
  <c r="X226" i="18"/>
  <c r="AB226" i="18"/>
  <c r="AF226" i="18"/>
  <c r="N227" i="18"/>
  <c r="R227" i="18"/>
  <c r="U227" i="18"/>
  <c r="X227" i="18"/>
  <c r="AB227" i="18"/>
  <c r="AF227" i="18"/>
  <c r="N228" i="18"/>
  <c r="R228" i="18"/>
  <c r="U228" i="18"/>
  <c r="AC228" i="18" s="1"/>
  <c r="X228" i="18"/>
  <c r="AB228" i="18"/>
  <c r="AF228" i="18"/>
  <c r="N229" i="18"/>
  <c r="R229" i="18"/>
  <c r="U229" i="18"/>
  <c r="AC229" i="18" s="1"/>
  <c r="X229" i="18"/>
  <c r="AB229" i="18"/>
  <c r="AF229" i="18"/>
  <c r="N230" i="18"/>
  <c r="R230" i="18"/>
  <c r="U230" i="18"/>
  <c r="AC230" i="18" s="1"/>
  <c r="X230" i="18"/>
  <c r="AB230" i="18"/>
  <c r="AF230" i="18"/>
  <c r="N231" i="18"/>
  <c r="R231" i="18"/>
  <c r="U231" i="18"/>
  <c r="AC231" i="18" s="1"/>
  <c r="X231" i="18"/>
  <c r="AB231" i="18"/>
  <c r="AF231" i="18"/>
  <c r="N232" i="18"/>
  <c r="R232" i="18"/>
  <c r="U232" i="18"/>
  <c r="AC232" i="18" s="1"/>
  <c r="X232" i="18"/>
  <c r="AB232" i="18"/>
  <c r="AF232" i="18"/>
  <c r="N233" i="18"/>
  <c r="R233" i="18"/>
  <c r="U233" i="18"/>
  <c r="AC233" i="18" s="1"/>
  <c r="X233" i="18"/>
  <c r="AB233" i="18"/>
  <c r="AF233" i="18"/>
  <c r="N234" i="18"/>
  <c r="R234" i="18"/>
  <c r="U234" i="18"/>
  <c r="X234" i="18"/>
  <c r="AB234" i="18"/>
  <c r="AF234" i="18"/>
  <c r="N235" i="18"/>
  <c r="R235" i="18"/>
  <c r="U235" i="18"/>
  <c r="AC235" i="18" s="1"/>
  <c r="X235" i="18"/>
  <c r="AB235" i="18"/>
  <c r="AF235" i="18"/>
  <c r="N236" i="18"/>
  <c r="R236" i="18"/>
  <c r="U236" i="18"/>
  <c r="AC236" i="18" s="1"/>
  <c r="X236" i="18"/>
  <c r="AB236" i="18"/>
  <c r="AF236" i="18"/>
  <c r="N237" i="18"/>
  <c r="R237" i="18"/>
  <c r="U237" i="18"/>
  <c r="AC237" i="18" s="1"/>
  <c r="X237" i="18"/>
  <c r="AB237" i="18"/>
  <c r="AF237" i="18"/>
  <c r="N238" i="18"/>
  <c r="R238" i="18"/>
  <c r="U238" i="18"/>
  <c r="X238" i="18"/>
  <c r="AB238" i="18"/>
  <c r="AF238" i="18"/>
  <c r="N239" i="18"/>
  <c r="R239" i="18"/>
  <c r="U239" i="18"/>
  <c r="AC239" i="18" s="1"/>
  <c r="X239" i="18"/>
  <c r="AB239" i="18"/>
  <c r="AF239" i="18"/>
  <c r="N240" i="18"/>
  <c r="R240" i="18"/>
  <c r="U240" i="18"/>
  <c r="AC240" i="18" s="1"/>
  <c r="X240" i="18"/>
  <c r="AB240" i="18"/>
  <c r="AF240" i="18"/>
  <c r="N241" i="18"/>
  <c r="R241" i="18"/>
  <c r="U241" i="18"/>
  <c r="AC241" i="18" s="1"/>
  <c r="X241" i="18"/>
  <c r="AB241" i="18"/>
  <c r="AF241" i="18"/>
  <c r="N242" i="18"/>
  <c r="R242" i="18"/>
  <c r="U242" i="18"/>
  <c r="X242" i="18"/>
  <c r="AB242" i="18"/>
  <c r="AF242" i="18"/>
  <c r="N243" i="18"/>
  <c r="R243" i="18"/>
  <c r="U243" i="18"/>
  <c r="X243" i="18"/>
  <c r="AB243" i="18"/>
  <c r="AF243" i="18"/>
  <c r="N244" i="18"/>
  <c r="R244" i="18"/>
  <c r="U244" i="18"/>
  <c r="AC244" i="18" s="1"/>
  <c r="X244" i="18"/>
  <c r="AB244" i="18"/>
  <c r="AF244" i="18"/>
  <c r="N245" i="18"/>
  <c r="R245" i="18"/>
  <c r="U245" i="18"/>
  <c r="AC245" i="18" s="1"/>
  <c r="X245" i="18"/>
  <c r="AB245" i="18"/>
  <c r="AF245" i="18"/>
  <c r="N246" i="18"/>
  <c r="R246" i="18"/>
  <c r="U246" i="18"/>
  <c r="X246" i="18"/>
  <c r="AB246" i="18"/>
  <c r="AF246" i="18"/>
  <c r="N247" i="18"/>
  <c r="R247" i="18"/>
  <c r="U247" i="18"/>
  <c r="AC247" i="18" s="1"/>
  <c r="X247" i="18"/>
  <c r="AB247" i="18"/>
  <c r="AF247" i="18"/>
  <c r="N248" i="18"/>
  <c r="R248" i="18"/>
  <c r="U248" i="18"/>
  <c r="AC248" i="18" s="1"/>
  <c r="X248" i="18"/>
  <c r="AB248" i="18"/>
  <c r="AF248" i="18"/>
  <c r="N249" i="18"/>
  <c r="R249" i="18"/>
  <c r="U249" i="18"/>
  <c r="AC249" i="18" s="1"/>
  <c r="X249" i="18"/>
  <c r="AB249" i="18"/>
  <c r="AF249" i="18"/>
  <c r="N250" i="18"/>
  <c r="R250" i="18"/>
  <c r="U250" i="18"/>
  <c r="X250" i="18"/>
  <c r="AB250" i="18"/>
  <c r="AF250" i="18"/>
  <c r="N251" i="18"/>
  <c r="R251" i="18"/>
  <c r="U251" i="18"/>
  <c r="AC251" i="18" s="1"/>
  <c r="X251" i="18"/>
  <c r="AB251" i="18"/>
  <c r="AF251" i="18"/>
  <c r="N252" i="18"/>
  <c r="R252" i="18"/>
  <c r="U252" i="18"/>
  <c r="AC252" i="18" s="1"/>
  <c r="X252" i="18"/>
  <c r="AB252" i="18"/>
  <c r="AF252" i="18"/>
  <c r="N253" i="18"/>
  <c r="R253" i="18"/>
  <c r="U253" i="18"/>
  <c r="X253" i="18"/>
  <c r="AB253" i="18"/>
  <c r="AF253" i="18"/>
  <c r="N254" i="18"/>
  <c r="R254" i="18"/>
  <c r="U254" i="18"/>
  <c r="X254" i="18"/>
  <c r="AB254" i="18"/>
  <c r="AF254" i="18"/>
  <c r="N255" i="18"/>
  <c r="R255" i="18"/>
  <c r="U255" i="18"/>
  <c r="AC255" i="18" s="1"/>
  <c r="X255" i="18"/>
  <c r="AB255" i="18"/>
  <c r="AF255" i="18"/>
  <c r="N256" i="18"/>
  <c r="R256" i="18"/>
  <c r="U256" i="18"/>
  <c r="AC256" i="18" s="1"/>
  <c r="X256" i="18"/>
  <c r="AB256" i="18"/>
  <c r="AF256" i="18"/>
  <c r="N257" i="18"/>
  <c r="R257" i="18"/>
  <c r="U257" i="18"/>
  <c r="AC257" i="18" s="1"/>
  <c r="X257" i="18"/>
  <c r="AB257" i="18"/>
  <c r="AF257" i="18"/>
  <c r="N258" i="18"/>
  <c r="R258" i="18"/>
  <c r="U258" i="18"/>
  <c r="X258" i="18"/>
  <c r="AB258" i="18"/>
  <c r="AF258" i="18"/>
  <c r="N259" i="18"/>
  <c r="R259" i="18"/>
  <c r="U259" i="18"/>
  <c r="AC259" i="18" s="1"/>
  <c r="X259" i="18"/>
  <c r="AB259" i="18"/>
  <c r="AF259" i="18"/>
  <c r="N260" i="18"/>
  <c r="R260" i="18"/>
  <c r="U260" i="18"/>
  <c r="AC260" i="18" s="1"/>
  <c r="X260" i="18"/>
  <c r="AB260" i="18"/>
  <c r="AF260" i="18"/>
  <c r="N261" i="18"/>
  <c r="R261" i="18"/>
  <c r="U261" i="18"/>
  <c r="AC261" i="18" s="1"/>
  <c r="X261" i="18"/>
  <c r="AB261" i="18"/>
  <c r="AF261" i="18"/>
  <c r="N262" i="18"/>
  <c r="R262" i="18"/>
  <c r="U262" i="18"/>
  <c r="X262" i="18"/>
  <c r="AB262" i="18"/>
  <c r="AF262" i="18"/>
  <c r="N263" i="18"/>
  <c r="R263" i="18"/>
  <c r="U263" i="18"/>
  <c r="AC263" i="18" s="1"/>
  <c r="X263" i="18"/>
  <c r="AB263" i="18"/>
  <c r="AF263" i="18"/>
  <c r="N264" i="18"/>
  <c r="R264" i="18"/>
  <c r="U264" i="18"/>
  <c r="AC264" i="18" s="1"/>
  <c r="X264" i="18"/>
  <c r="AB264" i="18"/>
  <c r="AF264" i="18"/>
  <c r="N265" i="18"/>
  <c r="R265" i="18"/>
  <c r="U265" i="18"/>
  <c r="AC265" i="18" s="1"/>
  <c r="X265" i="18"/>
  <c r="AB265" i="18"/>
  <c r="AF265" i="18"/>
  <c r="N266" i="18"/>
  <c r="R266" i="18"/>
  <c r="U266" i="18"/>
  <c r="X266" i="18"/>
  <c r="AB266" i="18"/>
  <c r="AF266" i="18"/>
  <c r="N267" i="18"/>
  <c r="R267" i="18"/>
  <c r="U267" i="18"/>
  <c r="AC267" i="18" s="1"/>
  <c r="X267" i="18"/>
  <c r="AB267" i="18"/>
  <c r="AF267" i="18"/>
  <c r="N268" i="18"/>
  <c r="R268" i="18"/>
  <c r="U268" i="18"/>
  <c r="AC268" i="18" s="1"/>
  <c r="X268" i="18"/>
  <c r="AB268" i="18"/>
  <c r="AF268" i="18"/>
  <c r="N269" i="18"/>
  <c r="R269" i="18"/>
  <c r="U269" i="18"/>
  <c r="AC269" i="18" s="1"/>
  <c r="X269" i="18"/>
  <c r="AB269" i="18"/>
  <c r="AF269" i="18"/>
  <c r="N270" i="18"/>
  <c r="R270" i="18"/>
  <c r="U270" i="18"/>
  <c r="X270" i="18"/>
  <c r="AB270" i="18"/>
  <c r="AF270" i="18"/>
  <c r="N271" i="18"/>
  <c r="R271" i="18"/>
  <c r="U271" i="18"/>
  <c r="AC271" i="18" s="1"/>
  <c r="X271" i="18"/>
  <c r="AB271" i="18"/>
  <c r="AF271" i="18"/>
  <c r="N272" i="18"/>
  <c r="R272" i="18"/>
  <c r="U272" i="18"/>
  <c r="AC272" i="18" s="1"/>
  <c r="X272" i="18"/>
  <c r="AB272" i="18"/>
  <c r="AF272" i="18"/>
  <c r="N273" i="18"/>
  <c r="R273" i="18"/>
  <c r="U273" i="18"/>
  <c r="AC273" i="18" s="1"/>
  <c r="X273" i="18"/>
  <c r="AB273" i="18"/>
  <c r="AF273" i="18"/>
  <c r="N274" i="18"/>
  <c r="R274" i="18"/>
  <c r="U274" i="18"/>
  <c r="X274" i="18"/>
  <c r="AB274" i="18"/>
  <c r="AF274" i="18"/>
  <c r="N275" i="18"/>
  <c r="R275" i="18"/>
  <c r="U275" i="18"/>
  <c r="X275" i="18"/>
  <c r="AB275" i="18"/>
  <c r="AF275" i="18"/>
  <c r="N276" i="18"/>
  <c r="R276" i="18"/>
  <c r="U276" i="18"/>
  <c r="AC276" i="18" s="1"/>
  <c r="X276" i="18"/>
  <c r="AB276" i="18"/>
  <c r="AF276" i="18"/>
  <c r="N277" i="18"/>
  <c r="R277" i="18"/>
  <c r="U277" i="18"/>
  <c r="AC277" i="18" s="1"/>
  <c r="X277" i="18"/>
  <c r="AB277" i="18"/>
  <c r="AF277" i="18"/>
  <c r="N278" i="18"/>
  <c r="R278" i="18"/>
  <c r="U278" i="18"/>
  <c r="X278" i="18"/>
  <c r="AB278" i="18"/>
  <c r="AF278" i="18"/>
  <c r="N279" i="18"/>
  <c r="R279" i="18"/>
  <c r="U279" i="18"/>
  <c r="AC279" i="18" s="1"/>
  <c r="X279" i="18"/>
  <c r="AB279" i="18"/>
  <c r="AF279" i="18"/>
  <c r="N280" i="18"/>
  <c r="R280" i="18"/>
  <c r="U280" i="18"/>
  <c r="AC280" i="18" s="1"/>
  <c r="X280" i="18"/>
  <c r="AB280" i="18"/>
  <c r="AF280" i="18"/>
  <c r="N281" i="18"/>
  <c r="R281" i="18"/>
  <c r="U281" i="18"/>
  <c r="AC281" i="18" s="1"/>
  <c r="X281" i="18"/>
  <c r="AB281" i="18"/>
  <c r="AF281" i="18"/>
  <c r="N282" i="18"/>
  <c r="R282" i="18"/>
  <c r="U282" i="18"/>
  <c r="X282" i="18"/>
  <c r="AB282" i="18"/>
  <c r="AF282" i="18"/>
  <c r="N283" i="18"/>
  <c r="R283" i="18"/>
  <c r="U283" i="18"/>
  <c r="AC283" i="18" s="1"/>
  <c r="X283" i="18"/>
  <c r="AB283" i="18"/>
  <c r="AF283" i="18"/>
  <c r="N284" i="18"/>
  <c r="R284" i="18"/>
  <c r="U284" i="18"/>
  <c r="AC284" i="18" s="1"/>
  <c r="X284" i="18"/>
  <c r="AB284" i="18"/>
  <c r="AF284" i="18"/>
  <c r="N285" i="18"/>
  <c r="R285" i="18"/>
  <c r="U285" i="18"/>
  <c r="X285" i="18"/>
  <c r="AB285" i="18"/>
  <c r="AF285" i="18"/>
  <c r="N286" i="18"/>
  <c r="R286" i="18"/>
  <c r="U286" i="18"/>
  <c r="X286" i="18"/>
  <c r="AB286" i="18"/>
  <c r="AF286" i="18"/>
  <c r="N287" i="18"/>
  <c r="R287" i="18"/>
  <c r="U287" i="18"/>
  <c r="AC287" i="18" s="1"/>
  <c r="X287" i="18"/>
  <c r="AB287" i="18"/>
  <c r="AF287" i="18"/>
  <c r="N288" i="18"/>
  <c r="R288" i="18"/>
  <c r="U288" i="18"/>
  <c r="AC288" i="18" s="1"/>
  <c r="X288" i="18"/>
  <c r="AB288" i="18"/>
  <c r="AF288" i="18"/>
  <c r="N289" i="18"/>
  <c r="R289" i="18"/>
  <c r="U289" i="18"/>
  <c r="AC289" i="18" s="1"/>
  <c r="X289" i="18"/>
  <c r="AB289" i="18"/>
  <c r="AF289" i="18"/>
  <c r="N290" i="18"/>
  <c r="R290" i="18"/>
  <c r="U290" i="18"/>
  <c r="X290" i="18"/>
  <c r="AB290" i="18"/>
  <c r="AF290" i="18"/>
  <c r="N291" i="18"/>
  <c r="R291" i="18"/>
  <c r="U291" i="18"/>
  <c r="AC291" i="18" s="1"/>
  <c r="X291" i="18"/>
  <c r="AB291" i="18"/>
  <c r="AF291" i="18"/>
  <c r="N292" i="18"/>
  <c r="R292" i="18"/>
  <c r="U292" i="18"/>
  <c r="AC292" i="18" s="1"/>
  <c r="X292" i="18"/>
  <c r="AB292" i="18"/>
  <c r="AF292" i="18"/>
  <c r="N293" i="18"/>
  <c r="R293" i="18"/>
  <c r="U293" i="18"/>
  <c r="AC293" i="18" s="1"/>
  <c r="X293" i="18"/>
  <c r="AB293" i="18"/>
  <c r="AF293" i="18"/>
  <c r="N294" i="18"/>
  <c r="R294" i="18"/>
  <c r="U294" i="18"/>
  <c r="X294" i="18"/>
  <c r="AB294" i="18"/>
  <c r="AF294" i="18"/>
  <c r="N295" i="18"/>
  <c r="R295" i="18"/>
  <c r="U295" i="18"/>
  <c r="AC295" i="18" s="1"/>
  <c r="X295" i="18"/>
  <c r="AB295" i="18"/>
  <c r="AF295" i="18"/>
  <c r="N296" i="18"/>
  <c r="R296" i="18"/>
  <c r="U296" i="18"/>
  <c r="AC296" i="18" s="1"/>
  <c r="X296" i="18"/>
  <c r="AB296" i="18"/>
  <c r="AF296" i="18"/>
  <c r="N297" i="18"/>
  <c r="R297" i="18"/>
  <c r="U297" i="18"/>
  <c r="AC297" i="18" s="1"/>
  <c r="X297" i="18"/>
  <c r="AB297" i="18"/>
  <c r="AF297" i="18"/>
  <c r="N298" i="18"/>
  <c r="R298" i="18"/>
  <c r="U298" i="18"/>
  <c r="X298" i="18"/>
  <c r="AB298" i="18"/>
  <c r="AF298" i="18"/>
  <c r="N299" i="18"/>
  <c r="R299" i="18"/>
  <c r="U299" i="18"/>
  <c r="AC299" i="18" s="1"/>
  <c r="X299" i="18"/>
  <c r="AB299" i="18"/>
  <c r="AF299" i="18"/>
  <c r="N300" i="18"/>
  <c r="R300" i="18"/>
  <c r="U300" i="18"/>
  <c r="AC300" i="18" s="1"/>
  <c r="X300" i="18"/>
  <c r="AB300" i="18"/>
  <c r="AF300" i="18"/>
  <c r="N301" i="18"/>
  <c r="R301" i="18"/>
  <c r="U301" i="18"/>
  <c r="AC301" i="18" s="1"/>
  <c r="X301" i="18"/>
  <c r="AB301" i="18"/>
  <c r="AF301" i="18"/>
  <c r="N302" i="18"/>
  <c r="R302" i="18"/>
  <c r="U302" i="18"/>
  <c r="X302" i="18"/>
  <c r="AB302" i="18"/>
  <c r="AF302" i="18"/>
  <c r="N303" i="18"/>
  <c r="R303" i="18"/>
  <c r="U303" i="18"/>
  <c r="AC303" i="18" s="1"/>
  <c r="X303" i="18"/>
  <c r="AB303" i="18"/>
  <c r="AF303" i="18"/>
  <c r="N304" i="18"/>
  <c r="R304" i="18"/>
  <c r="U304" i="18"/>
  <c r="AC304" i="18" s="1"/>
  <c r="X304" i="18"/>
  <c r="AB304" i="18"/>
  <c r="AF304" i="18"/>
  <c r="N305" i="18"/>
  <c r="R305" i="18"/>
  <c r="U305" i="18"/>
  <c r="AC305" i="18" s="1"/>
  <c r="X305" i="18"/>
  <c r="AB305" i="18"/>
  <c r="AF305" i="18"/>
  <c r="N306" i="18"/>
  <c r="R306" i="18"/>
  <c r="U306" i="18"/>
  <c r="X306" i="18"/>
  <c r="AB306" i="18"/>
  <c r="AF306" i="18"/>
  <c r="N307" i="18"/>
  <c r="R307" i="18"/>
  <c r="U307" i="18"/>
  <c r="X307" i="18"/>
  <c r="AB307" i="18"/>
  <c r="AF307" i="18"/>
  <c r="N308" i="18"/>
  <c r="R308" i="18"/>
  <c r="U308" i="18"/>
  <c r="AC308" i="18" s="1"/>
  <c r="X308" i="18"/>
  <c r="AB308" i="18"/>
  <c r="AF308" i="18"/>
  <c r="N309" i="18"/>
  <c r="R309" i="18"/>
  <c r="U309" i="18"/>
  <c r="AC309" i="18" s="1"/>
  <c r="X309" i="18"/>
  <c r="AB309" i="18"/>
  <c r="AF309" i="18"/>
  <c r="N310" i="18"/>
  <c r="R310" i="18"/>
  <c r="U310" i="18"/>
  <c r="AC310" i="18" s="1"/>
  <c r="X310" i="18"/>
  <c r="AB310" i="18"/>
  <c r="AF310" i="18"/>
  <c r="N311" i="18"/>
  <c r="R311" i="18"/>
  <c r="U311" i="18"/>
  <c r="X311" i="18"/>
  <c r="AB311" i="18"/>
  <c r="AF311" i="18"/>
  <c r="N312" i="18"/>
  <c r="R312" i="18"/>
  <c r="U312" i="18"/>
  <c r="AC312" i="18" s="1"/>
  <c r="X312" i="18"/>
  <c r="AB312" i="18"/>
  <c r="AF312" i="18"/>
  <c r="N313" i="18"/>
  <c r="R313" i="18"/>
  <c r="U313" i="18"/>
  <c r="AC313" i="18" s="1"/>
  <c r="X313" i="18"/>
  <c r="AB313" i="18"/>
  <c r="AF313" i="18"/>
  <c r="N314" i="18"/>
  <c r="R314" i="18"/>
  <c r="U314" i="18"/>
  <c r="AC314" i="18" s="1"/>
  <c r="X314" i="18"/>
  <c r="AB314" i="18"/>
  <c r="AF314" i="18"/>
  <c r="N315" i="18"/>
  <c r="R315" i="18"/>
  <c r="U315" i="18"/>
  <c r="X315" i="18"/>
  <c r="AB315" i="18"/>
  <c r="AF315" i="18"/>
  <c r="N316" i="18"/>
  <c r="R316" i="18"/>
  <c r="U316" i="18"/>
  <c r="AC316" i="18" s="1"/>
  <c r="X316" i="18"/>
  <c r="AB316" i="18"/>
  <c r="AF316" i="18"/>
  <c r="N317" i="18"/>
  <c r="R317" i="18"/>
  <c r="U317" i="18"/>
  <c r="AC317" i="18" s="1"/>
  <c r="X317" i="18"/>
  <c r="AB317" i="18"/>
  <c r="AF317" i="18"/>
  <c r="N318" i="18"/>
  <c r="R318" i="18"/>
  <c r="U318" i="18"/>
  <c r="AC318" i="18" s="1"/>
  <c r="X318" i="18"/>
  <c r="AB318" i="18"/>
  <c r="AF318" i="18"/>
  <c r="N319" i="18"/>
  <c r="R319" i="18"/>
  <c r="U319" i="18"/>
  <c r="X319" i="18"/>
  <c r="AB319" i="18"/>
  <c r="AF319" i="18"/>
  <c r="N320" i="18"/>
  <c r="R320" i="18"/>
  <c r="U320" i="18"/>
  <c r="AC320" i="18" s="1"/>
  <c r="X320" i="18"/>
  <c r="AB320" i="18"/>
  <c r="AF320" i="18"/>
  <c r="N321" i="18"/>
  <c r="R321" i="18"/>
  <c r="U321" i="18"/>
  <c r="AC321" i="18" s="1"/>
  <c r="X321" i="18"/>
  <c r="AB321" i="18"/>
  <c r="AF321" i="18"/>
  <c r="N322" i="18"/>
  <c r="R322" i="18"/>
  <c r="U322" i="18"/>
  <c r="AC322" i="18" s="1"/>
  <c r="X322" i="18"/>
  <c r="AB322" i="18"/>
  <c r="AF322" i="18"/>
  <c r="N323" i="18"/>
  <c r="R323" i="18"/>
  <c r="U323" i="18"/>
  <c r="X323" i="18"/>
  <c r="AB323" i="18"/>
  <c r="AF323" i="18"/>
  <c r="N324" i="18"/>
  <c r="R324" i="18"/>
  <c r="U324" i="18"/>
  <c r="AC324" i="18" s="1"/>
  <c r="X324" i="18"/>
  <c r="AB324" i="18"/>
  <c r="AF324" i="18"/>
  <c r="N325" i="18"/>
  <c r="R325" i="18"/>
  <c r="U325" i="18"/>
  <c r="AC325" i="18" s="1"/>
  <c r="X325" i="18"/>
  <c r="AB325" i="18"/>
  <c r="AF325" i="18"/>
  <c r="N326" i="18"/>
  <c r="R326" i="18"/>
  <c r="U326" i="18"/>
  <c r="X326" i="18"/>
  <c r="AB326" i="18"/>
  <c r="AF326" i="18"/>
  <c r="N327" i="18"/>
  <c r="R327" i="18"/>
  <c r="U327" i="18"/>
  <c r="X327" i="18"/>
  <c r="AB327" i="18"/>
  <c r="AF327" i="18"/>
  <c r="N328" i="18"/>
  <c r="R328" i="18"/>
  <c r="U328" i="18"/>
  <c r="X328" i="18"/>
  <c r="AB328" i="18"/>
  <c r="AF328" i="18"/>
  <c r="N329" i="18"/>
  <c r="R329" i="18"/>
  <c r="U329" i="18"/>
  <c r="AC329" i="18" s="1"/>
  <c r="X329" i="18"/>
  <c r="AB329" i="18"/>
  <c r="AF329" i="18"/>
  <c r="N330" i="18"/>
  <c r="R330" i="18"/>
  <c r="U330" i="18"/>
  <c r="AC330" i="18" s="1"/>
  <c r="X330" i="18"/>
  <c r="AB330" i="18"/>
  <c r="AF330" i="18"/>
  <c r="N331" i="18"/>
  <c r="R331" i="18"/>
  <c r="U331" i="18"/>
  <c r="X331" i="18"/>
  <c r="AB331" i="18"/>
  <c r="AF331" i="18"/>
  <c r="N332" i="18"/>
  <c r="R332" i="18"/>
  <c r="U332" i="18"/>
  <c r="AC332" i="18" s="1"/>
  <c r="X332" i="18"/>
  <c r="AB332" i="18"/>
  <c r="AF332" i="18"/>
  <c r="N333" i="18"/>
  <c r="R333" i="18"/>
  <c r="U333" i="18"/>
  <c r="AC333" i="18" s="1"/>
  <c r="X333" i="18"/>
  <c r="AB333" i="18"/>
  <c r="AF333" i="18"/>
  <c r="N334" i="18"/>
  <c r="R334" i="18"/>
  <c r="U334" i="18"/>
  <c r="AC334" i="18" s="1"/>
  <c r="X334" i="18"/>
  <c r="AB334" i="18"/>
  <c r="AF334" i="18"/>
  <c r="N335" i="18"/>
  <c r="R335" i="18"/>
  <c r="U335" i="18"/>
  <c r="X335" i="18"/>
  <c r="AB335" i="18"/>
  <c r="AF335" i="18"/>
  <c r="N336" i="18"/>
  <c r="R336" i="18"/>
  <c r="U336" i="18"/>
  <c r="AC336" i="18" s="1"/>
  <c r="X336" i="18"/>
  <c r="AB336" i="18"/>
  <c r="AF336" i="18"/>
  <c r="N337" i="18"/>
  <c r="R337" i="18"/>
  <c r="U337" i="18"/>
  <c r="AC337" i="18" s="1"/>
  <c r="X337" i="18"/>
  <c r="AB337" i="18"/>
  <c r="AF337" i="18"/>
  <c r="N338" i="18"/>
  <c r="R338" i="18"/>
  <c r="U338" i="18"/>
  <c r="AC338" i="18" s="1"/>
  <c r="X338" i="18"/>
  <c r="AB338" i="18"/>
  <c r="AF338" i="18"/>
  <c r="N339" i="18"/>
  <c r="R339" i="18"/>
  <c r="U339" i="18"/>
  <c r="X339" i="18"/>
  <c r="AB339" i="18"/>
  <c r="AF339" i="18"/>
  <c r="N340" i="18"/>
  <c r="R340" i="18"/>
  <c r="U340" i="18"/>
  <c r="AC340" i="18" s="1"/>
  <c r="X340" i="18"/>
  <c r="AB340" i="18"/>
  <c r="AF340" i="18"/>
  <c r="N341" i="18"/>
  <c r="R341" i="18"/>
  <c r="U341" i="18"/>
  <c r="AC341" i="18" s="1"/>
  <c r="X341" i="18"/>
  <c r="AB341" i="18"/>
  <c r="AF341" i="18"/>
  <c r="N342" i="18"/>
  <c r="R342" i="18"/>
  <c r="U342" i="18"/>
  <c r="AC342" i="18" s="1"/>
  <c r="X342" i="18"/>
  <c r="AB342" i="18"/>
  <c r="AF342" i="18"/>
  <c r="N343" i="18"/>
  <c r="R343" i="18"/>
  <c r="U343" i="18"/>
  <c r="X343" i="18"/>
  <c r="AB343" i="18"/>
  <c r="AF343" i="18"/>
  <c r="N344" i="18"/>
  <c r="R344" i="18"/>
  <c r="U344" i="18"/>
  <c r="AC344" i="18" s="1"/>
  <c r="X344" i="18"/>
  <c r="AB344" i="18"/>
  <c r="AF344" i="18"/>
  <c r="N345" i="18"/>
  <c r="R345" i="18"/>
  <c r="U345" i="18"/>
  <c r="AC345" i="18" s="1"/>
  <c r="X345" i="18"/>
  <c r="AB345" i="18"/>
  <c r="AF345" i="18"/>
  <c r="N346" i="18"/>
  <c r="R346" i="18"/>
  <c r="U346" i="18"/>
  <c r="AC346" i="18" s="1"/>
  <c r="X346" i="18"/>
  <c r="AB346" i="18"/>
  <c r="AF346" i="18"/>
  <c r="N347" i="18"/>
  <c r="R347" i="18"/>
  <c r="U347" i="18"/>
  <c r="X347" i="18"/>
  <c r="AB347" i="18"/>
  <c r="AF347" i="18"/>
  <c r="N348" i="18"/>
  <c r="R348" i="18"/>
  <c r="U348" i="18"/>
  <c r="AC348" i="18" s="1"/>
  <c r="X348" i="18"/>
  <c r="AB348" i="18"/>
  <c r="AF348" i="18"/>
  <c r="N349" i="18"/>
  <c r="R349" i="18"/>
  <c r="U349" i="18"/>
  <c r="AC349" i="18" s="1"/>
  <c r="X349" i="18"/>
  <c r="AB349" i="18"/>
  <c r="AF349" i="18"/>
  <c r="N350" i="18"/>
  <c r="R350" i="18"/>
  <c r="U350" i="18"/>
  <c r="AC350" i="18" s="1"/>
  <c r="X350" i="18"/>
  <c r="AB350" i="18"/>
  <c r="AF350" i="18"/>
  <c r="N351" i="18"/>
  <c r="R351" i="18"/>
  <c r="U351" i="18"/>
  <c r="X351" i="18"/>
  <c r="AB351" i="18"/>
  <c r="AF351" i="18"/>
  <c r="N352" i="18"/>
  <c r="R352" i="18"/>
  <c r="U352" i="18"/>
  <c r="AC352" i="18" s="1"/>
  <c r="X352" i="18"/>
  <c r="AB352" i="18"/>
  <c r="AF352" i="18"/>
  <c r="N353" i="18"/>
  <c r="R353" i="18"/>
  <c r="U353" i="18"/>
  <c r="AC353" i="18" s="1"/>
  <c r="X353" i="18"/>
  <c r="AB353" i="18"/>
  <c r="AF353" i="18"/>
  <c r="N354" i="18"/>
  <c r="R354" i="18"/>
  <c r="U354" i="18"/>
  <c r="AC354" i="18" s="1"/>
  <c r="X354" i="18"/>
  <c r="AB354" i="18"/>
  <c r="AF354" i="18"/>
  <c r="N355" i="18"/>
  <c r="R355" i="18"/>
  <c r="U355" i="18"/>
  <c r="X355" i="18"/>
  <c r="AB355" i="18"/>
  <c r="AF355" i="18"/>
  <c r="N356" i="18"/>
  <c r="R356" i="18"/>
  <c r="U356" i="18"/>
  <c r="AC356" i="18" s="1"/>
  <c r="X356" i="18"/>
  <c r="AB356" i="18"/>
  <c r="AF356" i="18"/>
  <c r="N357" i="18"/>
  <c r="R357" i="18"/>
  <c r="U357" i="18"/>
  <c r="AC357" i="18" s="1"/>
  <c r="X357" i="18"/>
  <c r="AB357" i="18"/>
  <c r="AF357" i="18"/>
  <c r="N358" i="18"/>
  <c r="R358" i="18"/>
  <c r="U358" i="18"/>
  <c r="X358" i="18"/>
  <c r="AB358" i="18"/>
  <c r="AF358" i="18"/>
  <c r="N359" i="18"/>
  <c r="R359" i="18"/>
  <c r="U359" i="18"/>
  <c r="X359" i="18"/>
  <c r="AB359" i="18"/>
  <c r="AF359" i="18"/>
  <c r="N360" i="18"/>
  <c r="R360" i="18"/>
  <c r="U360" i="18"/>
  <c r="X360" i="18"/>
  <c r="AB360" i="18"/>
  <c r="AF360" i="18"/>
  <c r="N361" i="18"/>
  <c r="R361" i="18"/>
  <c r="U361" i="18"/>
  <c r="AC361" i="18" s="1"/>
  <c r="X361" i="18"/>
  <c r="AB361" i="18"/>
  <c r="AF361" i="18"/>
  <c r="N362" i="18"/>
  <c r="R362" i="18"/>
  <c r="U362" i="18"/>
  <c r="AC362" i="18" s="1"/>
  <c r="X362" i="18"/>
  <c r="AB362" i="18"/>
  <c r="AF362" i="18"/>
  <c r="N363" i="18"/>
  <c r="R363" i="18"/>
  <c r="U363" i="18"/>
  <c r="X363" i="18"/>
  <c r="AB363" i="18"/>
  <c r="AF363" i="18"/>
  <c r="N364" i="18"/>
  <c r="R364" i="18"/>
  <c r="U364" i="18"/>
  <c r="AC364" i="18" s="1"/>
  <c r="X364" i="18"/>
  <c r="AB364" i="18"/>
  <c r="AF364" i="18"/>
  <c r="N365" i="18"/>
  <c r="R365" i="18"/>
  <c r="U365" i="18"/>
  <c r="AC365" i="18" s="1"/>
  <c r="X365" i="18"/>
  <c r="AB365" i="18"/>
  <c r="AF365" i="18"/>
  <c r="N366" i="18"/>
  <c r="R366" i="18"/>
  <c r="U366" i="18"/>
  <c r="AC366" i="18" s="1"/>
  <c r="X366" i="18"/>
  <c r="AB366" i="18"/>
  <c r="AF366" i="18"/>
  <c r="N367" i="18"/>
  <c r="R367" i="18"/>
  <c r="U367" i="18"/>
  <c r="X367" i="18"/>
  <c r="AB367" i="18"/>
  <c r="AF367" i="18"/>
  <c r="N368" i="18"/>
  <c r="R368" i="18"/>
  <c r="U368" i="18"/>
  <c r="AC368" i="18" s="1"/>
  <c r="X368" i="18"/>
  <c r="AB368" i="18"/>
  <c r="AF368" i="18"/>
  <c r="N369" i="18"/>
  <c r="R369" i="18"/>
  <c r="U369" i="18"/>
  <c r="AC369" i="18" s="1"/>
  <c r="X369" i="18"/>
  <c r="AB369" i="18"/>
  <c r="AF369" i="18"/>
  <c r="N370" i="18"/>
  <c r="R370" i="18"/>
  <c r="U370" i="18"/>
  <c r="AC370" i="18" s="1"/>
  <c r="X370" i="18"/>
  <c r="AB370" i="18"/>
  <c r="AF370" i="18"/>
  <c r="N371" i="18"/>
  <c r="R371" i="18"/>
  <c r="U371" i="18"/>
  <c r="X371" i="18"/>
  <c r="AB371" i="18"/>
  <c r="AF371" i="18"/>
  <c r="N372" i="18"/>
  <c r="R372" i="18"/>
  <c r="U372" i="18"/>
  <c r="AC372" i="18" s="1"/>
  <c r="X372" i="18"/>
  <c r="AB372" i="18"/>
  <c r="AF372" i="18"/>
  <c r="N373" i="18"/>
  <c r="R373" i="18"/>
  <c r="U373" i="18"/>
  <c r="AC373" i="18" s="1"/>
  <c r="X373" i="18"/>
  <c r="AB373" i="18"/>
  <c r="AF373" i="18"/>
  <c r="N374" i="18"/>
  <c r="R374" i="18"/>
  <c r="U374" i="18"/>
  <c r="AC374" i="18" s="1"/>
  <c r="X374" i="18"/>
  <c r="AB374" i="18"/>
  <c r="AF374" i="18"/>
  <c r="N375" i="18"/>
  <c r="R375" i="18"/>
  <c r="U375" i="18"/>
  <c r="X375" i="18"/>
  <c r="AB375" i="18"/>
  <c r="AF375" i="18"/>
  <c r="N376" i="18"/>
  <c r="R376" i="18"/>
  <c r="U376" i="18"/>
  <c r="AC376" i="18" s="1"/>
  <c r="X376" i="18"/>
  <c r="AB376" i="18"/>
  <c r="AF376" i="18"/>
  <c r="N377" i="18"/>
  <c r="R377" i="18"/>
  <c r="U377" i="18"/>
  <c r="AC377" i="18" s="1"/>
  <c r="X377" i="18"/>
  <c r="AB377" i="18"/>
  <c r="AF377" i="18"/>
  <c r="N378" i="18"/>
  <c r="R378" i="18"/>
  <c r="U378" i="18"/>
  <c r="AC378" i="18" s="1"/>
  <c r="X378" i="18"/>
  <c r="AB378" i="18"/>
  <c r="AF378" i="18"/>
  <c r="N379" i="18"/>
  <c r="R379" i="18"/>
  <c r="U379" i="18"/>
  <c r="X379" i="18"/>
  <c r="AB379" i="18"/>
  <c r="AF379" i="18"/>
  <c r="N380" i="18"/>
  <c r="R380" i="18"/>
  <c r="U380" i="18"/>
  <c r="AC380" i="18" s="1"/>
  <c r="X380" i="18"/>
  <c r="AB380" i="18"/>
  <c r="AF380" i="18"/>
  <c r="N381" i="18"/>
  <c r="R381" i="18"/>
  <c r="U381" i="18"/>
  <c r="AC381" i="18" s="1"/>
  <c r="X381" i="18"/>
  <c r="AB381" i="18"/>
  <c r="AF381" i="18"/>
  <c r="N382" i="18"/>
  <c r="R382" i="18"/>
  <c r="U382" i="18"/>
  <c r="X382" i="18"/>
  <c r="AB382" i="18"/>
  <c r="AF382" i="18"/>
  <c r="N383" i="18"/>
  <c r="R383" i="18"/>
  <c r="U383" i="18"/>
  <c r="X383" i="18"/>
  <c r="AB383" i="18"/>
  <c r="AF383" i="18"/>
  <c r="N384" i="18"/>
  <c r="R384" i="18"/>
  <c r="U384" i="18"/>
  <c r="AC384" i="18" s="1"/>
  <c r="X384" i="18"/>
  <c r="AB384" i="18"/>
  <c r="AF384" i="18"/>
  <c r="N385" i="18"/>
  <c r="R385" i="18"/>
  <c r="U385" i="18"/>
  <c r="AC385" i="18" s="1"/>
  <c r="X385" i="18"/>
  <c r="AB385" i="18"/>
  <c r="AF385" i="18"/>
  <c r="N386" i="18"/>
  <c r="R386" i="18"/>
  <c r="U386" i="18"/>
  <c r="AC386" i="18" s="1"/>
  <c r="X386" i="18"/>
  <c r="AB386" i="18"/>
  <c r="AF386" i="18"/>
  <c r="N387" i="18"/>
  <c r="R387" i="18"/>
  <c r="U387" i="18"/>
  <c r="X387" i="18"/>
  <c r="AB387" i="18"/>
  <c r="AF387" i="18"/>
  <c r="N388" i="18"/>
  <c r="R388" i="18"/>
  <c r="U388" i="18"/>
  <c r="AC388" i="18" s="1"/>
  <c r="X388" i="18"/>
  <c r="AB388" i="18"/>
  <c r="AF388" i="18"/>
  <c r="N389" i="18"/>
  <c r="R389" i="18"/>
  <c r="U389" i="18"/>
  <c r="AC389" i="18" s="1"/>
  <c r="X389" i="18"/>
  <c r="AB389" i="18"/>
  <c r="AF389" i="18"/>
  <c r="N390" i="18"/>
  <c r="R390" i="18"/>
  <c r="U390" i="18"/>
  <c r="X390" i="18"/>
  <c r="AB390" i="18"/>
  <c r="AF390" i="18"/>
  <c r="N391" i="18"/>
  <c r="R391" i="18"/>
  <c r="U391" i="18"/>
  <c r="X391" i="18"/>
  <c r="AB391" i="18"/>
  <c r="AF391" i="18"/>
  <c r="N392" i="18"/>
  <c r="R392" i="18"/>
  <c r="U392" i="18"/>
  <c r="X392" i="18"/>
  <c r="AB392" i="18"/>
  <c r="AF392" i="18"/>
  <c r="N393" i="18"/>
  <c r="R393" i="18"/>
  <c r="U393" i="18"/>
  <c r="AC393" i="18" s="1"/>
  <c r="X393" i="18"/>
  <c r="AB393" i="18"/>
  <c r="AF393" i="18"/>
  <c r="N394" i="18"/>
  <c r="R394" i="18"/>
  <c r="U394" i="18"/>
  <c r="AC394" i="18" s="1"/>
  <c r="X394" i="18"/>
  <c r="AB394" i="18"/>
  <c r="AF394" i="18"/>
  <c r="N395" i="18"/>
  <c r="R395" i="18"/>
  <c r="U395" i="18"/>
  <c r="X395" i="18"/>
  <c r="AB395" i="18"/>
  <c r="AF395" i="18"/>
  <c r="N396" i="18"/>
  <c r="R396" i="18"/>
  <c r="U396" i="18"/>
  <c r="AC396" i="18" s="1"/>
  <c r="X396" i="18"/>
  <c r="AB396" i="18"/>
  <c r="AF396" i="18"/>
  <c r="N397" i="18"/>
  <c r="R397" i="18"/>
  <c r="U397" i="18"/>
  <c r="AC397" i="18" s="1"/>
  <c r="X397" i="18"/>
  <c r="AB397" i="18"/>
  <c r="AF397" i="18"/>
  <c r="N398" i="18"/>
  <c r="R398" i="18"/>
  <c r="U398" i="18"/>
  <c r="X398" i="18"/>
  <c r="AB398" i="18"/>
  <c r="AF398" i="18"/>
  <c r="N399" i="18"/>
  <c r="R399" i="18"/>
  <c r="U399" i="18"/>
  <c r="X399" i="18"/>
  <c r="AB399" i="18"/>
  <c r="AF399" i="18"/>
  <c r="N400" i="18"/>
  <c r="R400" i="18"/>
  <c r="U400" i="18"/>
  <c r="AC400" i="18" s="1"/>
  <c r="X400" i="18"/>
  <c r="AB400" i="18"/>
  <c r="AF400" i="18"/>
  <c r="N401" i="18"/>
  <c r="R401" i="18"/>
  <c r="U401" i="18"/>
  <c r="AC401" i="18" s="1"/>
  <c r="X401" i="18"/>
  <c r="AB401" i="18"/>
  <c r="AF401" i="18"/>
  <c r="N402" i="18"/>
  <c r="R402" i="18"/>
  <c r="U402" i="18"/>
  <c r="AC402" i="18" s="1"/>
  <c r="X402" i="18"/>
  <c r="AB402" i="18"/>
  <c r="AF402" i="18"/>
  <c r="N403" i="18"/>
  <c r="R403" i="18"/>
  <c r="U403" i="18"/>
  <c r="X403" i="18"/>
  <c r="AB403" i="18"/>
  <c r="AF403" i="18"/>
  <c r="N404" i="18"/>
  <c r="R404" i="18"/>
  <c r="U404" i="18"/>
  <c r="AC404" i="18" s="1"/>
  <c r="X404" i="18"/>
  <c r="AB404" i="18"/>
  <c r="AF404" i="18"/>
  <c r="N405" i="18"/>
  <c r="R405" i="18"/>
  <c r="U405" i="18"/>
  <c r="AC405" i="18" s="1"/>
  <c r="X405" i="18"/>
  <c r="AB405" i="18"/>
  <c r="AF405" i="18"/>
  <c r="N406" i="18"/>
  <c r="R406" i="18"/>
  <c r="U406" i="18"/>
  <c r="X406" i="18"/>
  <c r="AB406" i="18"/>
  <c r="AF406" i="18"/>
  <c r="N407" i="18"/>
  <c r="R407" i="18"/>
  <c r="U407" i="18"/>
  <c r="X407" i="18"/>
  <c r="AB407" i="18"/>
  <c r="AF407" i="18"/>
  <c r="N408" i="18"/>
  <c r="R408" i="18"/>
  <c r="U408" i="18"/>
  <c r="AC408" i="18" s="1"/>
  <c r="X408" i="18"/>
  <c r="AB408" i="18"/>
  <c r="AF408" i="18"/>
  <c r="N409" i="18"/>
  <c r="R409" i="18"/>
  <c r="U409" i="18"/>
  <c r="AC409" i="18" s="1"/>
  <c r="X409" i="18"/>
  <c r="AB409" i="18"/>
  <c r="AF409" i="18"/>
  <c r="N410" i="18"/>
  <c r="R410" i="18"/>
  <c r="U410" i="18"/>
  <c r="AC410" i="18" s="1"/>
  <c r="X410" i="18"/>
  <c r="AB410" i="18"/>
  <c r="AF410" i="18"/>
  <c r="N411" i="18"/>
  <c r="R411" i="18"/>
  <c r="U411" i="18"/>
  <c r="X411" i="18"/>
  <c r="AB411" i="18"/>
  <c r="AF411" i="18"/>
  <c r="N412" i="18"/>
  <c r="R412" i="18"/>
  <c r="U412" i="18"/>
  <c r="AC412" i="18" s="1"/>
  <c r="X412" i="18"/>
  <c r="AB412" i="18"/>
  <c r="AF412" i="18"/>
  <c r="N413" i="18"/>
  <c r="R413" i="18"/>
  <c r="U413" i="18"/>
  <c r="AC413" i="18" s="1"/>
  <c r="X413" i="18"/>
  <c r="AB413" i="18"/>
  <c r="AF413" i="18"/>
  <c r="N414" i="18"/>
  <c r="R414" i="18"/>
  <c r="U414" i="18"/>
  <c r="X414" i="18"/>
  <c r="AB414" i="18"/>
  <c r="AF414" i="18"/>
  <c r="N415" i="18"/>
  <c r="R415" i="18"/>
  <c r="U415" i="18"/>
  <c r="X415" i="18"/>
  <c r="AB415" i="18"/>
  <c r="AF415" i="18"/>
  <c r="N416" i="18"/>
  <c r="R416" i="18"/>
  <c r="U416" i="18"/>
  <c r="AC416" i="18" s="1"/>
  <c r="X416" i="18"/>
  <c r="AB416" i="18"/>
  <c r="AF416" i="18"/>
  <c r="N417" i="18"/>
  <c r="R417" i="18"/>
  <c r="U417" i="18"/>
  <c r="AC417" i="18" s="1"/>
  <c r="X417" i="18"/>
  <c r="AB417" i="18"/>
  <c r="AF417" i="18"/>
  <c r="N418" i="18"/>
  <c r="R418" i="18"/>
  <c r="U418" i="18"/>
  <c r="AC418" i="18" s="1"/>
  <c r="X418" i="18"/>
  <c r="AB418" i="18"/>
  <c r="AF418" i="18"/>
  <c r="N419" i="18"/>
  <c r="R419" i="18"/>
  <c r="U419" i="18"/>
  <c r="X419" i="18"/>
  <c r="AB419" i="18"/>
  <c r="AF419" i="18"/>
  <c r="N420" i="18"/>
  <c r="R420" i="18"/>
  <c r="U420" i="18"/>
  <c r="AC420" i="18" s="1"/>
  <c r="X420" i="18"/>
  <c r="AB420" i="18"/>
  <c r="AF420" i="18"/>
  <c r="N421" i="18"/>
  <c r="R421" i="18"/>
  <c r="U421" i="18"/>
  <c r="AC421" i="18" s="1"/>
  <c r="X421" i="18"/>
  <c r="AB421" i="18"/>
  <c r="AF421" i="18"/>
  <c r="N422" i="18"/>
  <c r="R422" i="18"/>
  <c r="U422" i="18"/>
  <c r="X422" i="18"/>
  <c r="AB422" i="18"/>
  <c r="AF422" i="18"/>
  <c r="N423" i="18"/>
  <c r="R423" i="18"/>
  <c r="U423" i="18"/>
  <c r="X423" i="18"/>
  <c r="AB423" i="18"/>
  <c r="AF423" i="18"/>
  <c r="N424" i="18"/>
  <c r="R424" i="18"/>
  <c r="U424" i="18"/>
  <c r="X424" i="18"/>
  <c r="AB424" i="18"/>
  <c r="AF424" i="18"/>
  <c r="N425" i="18"/>
  <c r="R425" i="18"/>
  <c r="U425" i="18"/>
  <c r="AC425" i="18" s="1"/>
  <c r="X425" i="18"/>
  <c r="AB425" i="18"/>
  <c r="AF425" i="18"/>
  <c r="N426" i="18"/>
  <c r="R426" i="18"/>
  <c r="U426" i="18"/>
  <c r="AC426" i="18" s="1"/>
  <c r="X426" i="18"/>
  <c r="AB426" i="18"/>
  <c r="AF426" i="18"/>
  <c r="N427" i="18"/>
  <c r="R427" i="18"/>
  <c r="U427" i="18"/>
  <c r="X427" i="18"/>
  <c r="AB427" i="18"/>
  <c r="AF427" i="18"/>
  <c r="N428" i="18"/>
  <c r="R428" i="18"/>
  <c r="U428" i="18"/>
  <c r="AC428" i="18" s="1"/>
  <c r="X428" i="18"/>
  <c r="AB428" i="18"/>
  <c r="AF428" i="18"/>
  <c r="N429" i="18"/>
  <c r="R429" i="18"/>
  <c r="U429" i="18"/>
  <c r="AC429" i="18" s="1"/>
  <c r="X429" i="18"/>
  <c r="AB429" i="18"/>
  <c r="AF429" i="18"/>
  <c r="N430" i="18"/>
  <c r="R430" i="18"/>
  <c r="U430" i="18"/>
  <c r="X430" i="18"/>
  <c r="AB430" i="18"/>
  <c r="AF430" i="18"/>
  <c r="N431" i="18"/>
  <c r="R431" i="18"/>
  <c r="U431" i="18"/>
  <c r="X431" i="18"/>
  <c r="AB431" i="18"/>
  <c r="AF431" i="18"/>
  <c r="N432" i="18"/>
  <c r="R432" i="18"/>
  <c r="U432" i="18"/>
  <c r="AC432" i="18" s="1"/>
  <c r="X432" i="18"/>
  <c r="AB432" i="18"/>
  <c r="AF432" i="18"/>
  <c r="N433" i="18"/>
  <c r="R433" i="18"/>
  <c r="U433" i="18"/>
  <c r="AC433" i="18" s="1"/>
  <c r="X433" i="18"/>
  <c r="AB433" i="18"/>
  <c r="AF433" i="18"/>
  <c r="N434" i="18"/>
  <c r="R434" i="18"/>
  <c r="U434" i="18"/>
  <c r="AC434" i="18" s="1"/>
  <c r="X434" i="18"/>
  <c r="AB434" i="18"/>
  <c r="AF434" i="18"/>
  <c r="N435" i="18"/>
  <c r="R435" i="18"/>
  <c r="U435" i="18"/>
  <c r="X435" i="18"/>
  <c r="AB435" i="18"/>
  <c r="AF435" i="18"/>
  <c r="N436" i="18"/>
  <c r="R436" i="18"/>
  <c r="U436" i="18"/>
  <c r="AC436" i="18" s="1"/>
  <c r="X436" i="18"/>
  <c r="AB436" i="18"/>
  <c r="AF436" i="18"/>
  <c r="N437" i="18"/>
  <c r="R437" i="18"/>
  <c r="U437" i="18"/>
  <c r="AC437" i="18" s="1"/>
  <c r="X437" i="18"/>
  <c r="AB437" i="18"/>
  <c r="AF437" i="18"/>
  <c r="N438" i="18"/>
  <c r="R438" i="18"/>
  <c r="U438" i="18"/>
  <c r="X438" i="18"/>
  <c r="AB438" i="18"/>
  <c r="AF438" i="18"/>
  <c r="N439" i="18"/>
  <c r="R439" i="18"/>
  <c r="U439" i="18"/>
  <c r="X439" i="18"/>
  <c r="AB439" i="18"/>
  <c r="AF439" i="18"/>
  <c r="N440" i="18"/>
  <c r="R440" i="18"/>
  <c r="U440" i="18"/>
  <c r="AC440" i="18" s="1"/>
  <c r="X440" i="18"/>
  <c r="AB440" i="18"/>
  <c r="AF440" i="18"/>
  <c r="N441" i="18"/>
  <c r="R441" i="18"/>
  <c r="U441" i="18"/>
  <c r="AC441" i="18" s="1"/>
  <c r="X441" i="18"/>
  <c r="AB441" i="18"/>
  <c r="AF441" i="18"/>
  <c r="N442" i="18"/>
  <c r="R442" i="18"/>
  <c r="U442" i="18"/>
  <c r="AC442" i="18" s="1"/>
  <c r="X442" i="18"/>
  <c r="AB442" i="18"/>
  <c r="AF442" i="18"/>
  <c r="N443" i="18"/>
  <c r="R443" i="18"/>
  <c r="U443" i="18"/>
  <c r="X443" i="18"/>
  <c r="AB443" i="18"/>
  <c r="AF443" i="18"/>
  <c r="N444" i="18"/>
  <c r="R444" i="18"/>
  <c r="U444" i="18"/>
  <c r="X444" i="18"/>
  <c r="AB444" i="18"/>
  <c r="AF444" i="18"/>
  <c r="N445" i="18"/>
  <c r="R445" i="18"/>
  <c r="U445" i="18"/>
  <c r="AC445" i="18" s="1"/>
  <c r="X445" i="18"/>
  <c r="AB445" i="18"/>
  <c r="AF445" i="18"/>
  <c r="N446" i="18"/>
  <c r="R446" i="18"/>
  <c r="U446" i="18"/>
  <c r="AC446" i="18" s="1"/>
  <c r="X446" i="18"/>
  <c r="AB446" i="18"/>
  <c r="AF446" i="18"/>
  <c r="N447" i="18"/>
  <c r="R447" i="18"/>
  <c r="U447" i="18"/>
  <c r="X447" i="18"/>
  <c r="AB447" i="18"/>
  <c r="AF447" i="18"/>
  <c r="N448" i="18"/>
  <c r="R448" i="18"/>
  <c r="U448" i="18"/>
  <c r="X448" i="18"/>
  <c r="AB448" i="18"/>
  <c r="AF448" i="18"/>
  <c r="N449" i="18"/>
  <c r="R449" i="18"/>
  <c r="U449" i="18"/>
  <c r="AC449" i="18" s="1"/>
  <c r="X449" i="18"/>
  <c r="AB449" i="18"/>
  <c r="AF449" i="18"/>
  <c r="N450" i="18"/>
  <c r="R450" i="18"/>
  <c r="U450" i="18"/>
  <c r="AC450" i="18" s="1"/>
  <c r="X450" i="18"/>
  <c r="AB450" i="18"/>
  <c r="AF450" i="18"/>
  <c r="N451" i="18"/>
  <c r="R451" i="18"/>
  <c r="U451" i="18"/>
  <c r="X451" i="18"/>
  <c r="AB451" i="18"/>
  <c r="AF451" i="18"/>
  <c r="N452" i="18"/>
  <c r="R452" i="18"/>
  <c r="U452" i="18"/>
  <c r="X452" i="18"/>
  <c r="AB452" i="18"/>
  <c r="AF452" i="18"/>
  <c r="N453" i="18"/>
  <c r="R453" i="18"/>
  <c r="U453" i="18"/>
  <c r="AC453" i="18" s="1"/>
  <c r="X453" i="18"/>
  <c r="AB453" i="18"/>
  <c r="AF453" i="18"/>
  <c r="N454" i="18"/>
  <c r="R454" i="18"/>
  <c r="U454" i="18"/>
  <c r="X454" i="18"/>
  <c r="AB454" i="18"/>
  <c r="AF454" i="18"/>
  <c r="N455" i="18"/>
  <c r="R455" i="18"/>
  <c r="U455" i="18"/>
  <c r="X455" i="18"/>
  <c r="AB455" i="18"/>
  <c r="AF455" i="18"/>
  <c r="N456" i="18"/>
  <c r="R456" i="18"/>
  <c r="U456" i="18"/>
  <c r="AC456" i="18" s="1"/>
  <c r="X456" i="18"/>
  <c r="AB456" i="18"/>
  <c r="AF456" i="18"/>
  <c r="N457" i="18"/>
  <c r="R457" i="18"/>
  <c r="U457" i="18"/>
  <c r="AC457" i="18" s="1"/>
  <c r="X457" i="18"/>
  <c r="AB457" i="18"/>
  <c r="AF457" i="18"/>
  <c r="N458" i="18"/>
  <c r="R458" i="18"/>
  <c r="U458" i="18"/>
  <c r="AC458" i="18" s="1"/>
  <c r="X458" i="18"/>
  <c r="AB458" i="18"/>
  <c r="AF458" i="18"/>
  <c r="N459" i="18"/>
  <c r="R459" i="18"/>
  <c r="U459" i="18"/>
  <c r="X459" i="18"/>
  <c r="AB459" i="18"/>
  <c r="AF459" i="18"/>
  <c r="N460" i="18"/>
  <c r="R460" i="18"/>
  <c r="U460" i="18"/>
  <c r="AC460" i="18" s="1"/>
  <c r="X460" i="18"/>
  <c r="AB460" i="18"/>
  <c r="AF460" i="18"/>
  <c r="N461" i="18"/>
  <c r="R461" i="18"/>
  <c r="U461" i="18"/>
  <c r="AC461" i="18" s="1"/>
  <c r="X461" i="18"/>
  <c r="AB461" i="18"/>
  <c r="AF461" i="18"/>
  <c r="N462" i="18"/>
  <c r="R462" i="18"/>
  <c r="U462" i="18"/>
  <c r="X462" i="18"/>
  <c r="AB462" i="18"/>
  <c r="AF462" i="18"/>
  <c r="N463" i="18"/>
  <c r="R463" i="18"/>
  <c r="U463" i="18"/>
  <c r="AC463" i="18" s="1"/>
  <c r="X463" i="18"/>
  <c r="AB463" i="18"/>
  <c r="AF463" i="18"/>
  <c r="N464" i="18"/>
  <c r="R464" i="18"/>
  <c r="U464" i="18"/>
  <c r="AC464" i="18" s="1"/>
  <c r="X464" i="18"/>
  <c r="AB464" i="18"/>
  <c r="AF464" i="18"/>
  <c r="N465" i="18"/>
  <c r="R465" i="18"/>
  <c r="U465" i="18"/>
  <c r="X465" i="18"/>
  <c r="AB465" i="18"/>
  <c r="AF465" i="18"/>
  <c r="N466" i="18"/>
  <c r="R466" i="18"/>
  <c r="U466" i="18"/>
  <c r="AC466" i="18" s="1"/>
  <c r="X466" i="18"/>
  <c r="AB466" i="18"/>
  <c r="AF466" i="18"/>
  <c r="N467" i="18"/>
  <c r="R467" i="18"/>
  <c r="U467" i="18"/>
  <c r="AC467" i="18" s="1"/>
  <c r="X467" i="18"/>
  <c r="AB467" i="18"/>
  <c r="AF467" i="18"/>
  <c r="N468" i="18"/>
  <c r="R468" i="18"/>
  <c r="U468" i="18"/>
  <c r="X468" i="18"/>
  <c r="AB468" i="18"/>
  <c r="AF468" i="18"/>
  <c r="N469" i="18"/>
  <c r="R469" i="18"/>
  <c r="U469" i="18"/>
  <c r="AC469" i="18" s="1"/>
  <c r="X469" i="18"/>
  <c r="AB469" i="18"/>
  <c r="AF469" i="18"/>
  <c r="N470" i="18"/>
  <c r="R470" i="18"/>
  <c r="U470" i="18"/>
  <c r="X470" i="18"/>
  <c r="AB470" i="18"/>
  <c r="AF470" i="18"/>
  <c r="N471" i="18"/>
  <c r="R471" i="18"/>
  <c r="U471" i="18"/>
  <c r="AC471" i="18" s="1"/>
  <c r="X471" i="18"/>
  <c r="AB471" i="18"/>
  <c r="AF471" i="18"/>
  <c r="N472" i="18"/>
  <c r="R472" i="18"/>
  <c r="U472" i="18"/>
  <c r="AC472" i="18" s="1"/>
  <c r="X472" i="18"/>
  <c r="AB472" i="18"/>
  <c r="AF472" i="18"/>
  <c r="N473" i="18"/>
  <c r="R473" i="18"/>
  <c r="U473" i="18"/>
  <c r="AC473" i="18" s="1"/>
  <c r="X473" i="18"/>
  <c r="AB473" i="18"/>
  <c r="AF473" i="18"/>
  <c r="N474" i="18"/>
  <c r="R474" i="18"/>
  <c r="U474" i="18"/>
  <c r="AC474" i="18" s="1"/>
  <c r="X474" i="18"/>
  <c r="AB474" i="18"/>
  <c r="AF474" i="18"/>
  <c r="N475" i="18"/>
  <c r="R475" i="18"/>
  <c r="U475" i="18"/>
  <c r="AC475" i="18" s="1"/>
  <c r="X475" i="18"/>
  <c r="AB475" i="18"/>
  <c r="AF475" i="18"/>
  <c r="N476" i="18"/>
  <c r="R476" i="18"/>
  <c r="U476" i="18"/>
  <c r="AC476" i="18" s="1"/>
  <c r="X476" i="18"/>
  <c r="AB476" i="18"/>
  <c r="AF476" i="18"/>
  <c r="N477" i="18"/>
  <c r="R477" i="18"/>
  <c r="U477" i="18"/>
  <c r="AC477" i="18" s="1"/>
  <c r="X477" i="18"/>
  <c r="AB477" i="18"/>
  <c r="AF477" i="18"/>
  <c r="N478" i="18"/>
  <c r="R478" i="18"/>
  <c r="U478" i="18"/>
  <c r="X478" i="18"/>
  <c r="AB478" i="18"/>
  <c r="AF478" i="18"/>
  <c r="N479" i="18"/>
  <c r="R479" i="18"/>
  <c r="U479" i="18"/>
  <c r="AC479" i="18" s="1"/>
  <c r="X479" i="18"/>
  <c r="AB479" i="18"/>
  <c r="AF479" i="18"/>
  <c r="N480" i="18"/>
  <c r="R480" i="18"/>
  <c r="U480" i="18"/>
  <c r="AC480" i="18" s="1"/>
  <c r="X480" i="18"/>
  <c r="AB480" i="18"/>
  <c r="AF480" i="18"/>
  <c r="N481" i="18"/>
  <c r="R481" i="18"/>
  <c r="U481" i="18"/>
  <c r="AC481" i="18" s="1"/>
  <c r="X481" i="18"/>
  <c r="AB481" i="18"/>
  <c r="AF481" i="18"/>
  <c r="N482" i="18"/>
  <c r="R482" i="18"/>
  <c r="U482" i="18"/>
  <c r="X482" i="18"/>
  <c r="AB482" i="18"/>
  <c r="AF482" i="18"/>
  <c r="N483" i="18"/>
  <c r="R483" i="18"/>
  <c r="U483" i="18"/>
  <c r="AC483" i="18" s="1"/>
  <c r="X483" i="18"/>
  <c r="AB483" i="18"/>
  <c r="AF483" i="18"/>
  <c r="N484" i="18"/>
  <c r="R484" i="18"/>
  <c r="U484" i="18"/>
  <c r="AC484" i="18" s="1"/>
  <c r="X484" i="18"/>
  <c r="AB484" i="18"/>
  <c r="AF484" i="18"/>
  <c r="N485" i="18"/>
  <c r="R485" i="18"/>
  <c r="U485" i="18"/>
  <c r="X485" i="18"/>
  <c r="AB485" i="18"/>
  <c r="AF485" i="18"/>
  <c r="N486" i="18"/>
  <c r="R486" i="18"/>
  <c r="U486" i="18"/>
  <c r="X486" i="18"/>
  <c r="AB486" i="18"/>
  <c r="AF486" i="18"/>
  <c r="N487" i="18"/>
  <c r="R487" i="18"/>
  <c r="U487" i="18"/>
  <c r="AC487" i="18" s="1"/>
  <c r="X487" i="18"/>
  <c r="AB487" i="18"/>
  <c r="AF487" i="18"/>
  <c r="N488" i="18"/>
  <c r="R488" i="18"/>
  <c r="U488" i="18"/>
  <c r="X488" i="18"/>
  <c r="AB488" i="18"/>
  <c r="AF488" i="18"/>
  <c r="N489" i="18"/>
  <c r="R489" i="18"/>
  <c r="U489" i="18"/>
  <c r="AC489" i="18" s="1"/>
  <c r="X489" i="18"/>
  <c r="AB489" i="18"/>
  <c r="AF489" i="18"/>
  <c r="N490" i="18"/>
  <c r="R490" i="18"/>
  <c r="U490" i="18"/>
  <c r="AC490" i="18" s="1"/>
  <c r="X490" i="18"/>
  <c r="AB490" i="18"/>
  <c r="AF490" i="18"/>
  <c r="N491" i="18"/>
  <c r="R491" i="18"/>
  <c r="U491" i="18"/>
  <c r="X491" i="18"/>
  <c r="AB491" i="18"/>
  <c r="AF491" i="18"/>
  <c r="N492" i="18"/>
  <c r="R492" i="18"/>
  <c r="U492" i="18"/>
  <c r="AC492" i="18" s="1"/>
  <c r="X492" i="18"/>
  <c r="AB492" i="18"/>
  <c r="AF492" i="18"/>
  <c r="N493" i="18"/>
  <c r="R493" i="18"/>
  <c r="U493" i="18"/>
  <c r="AC493" i="18" s="1"/>
  <c r="X493" i="18"/>
  <c r="AB493" i="18"/>
  <c r="AF493" i="18"/>
  <c r="N494" i="18"/>
  <c r="R494" i="18"/>
  <c r="U494" i="18"/>
  <c r="X494" i="18"/>
  <c r="AB494" i="18"/>
  <c r="AF494" i="18"/>
  <c r="N495" i="18"/>
  <c r="R495" i="18"/>
  <c r="U495" i="18"/>
  <c r="AC495" i="18" s="1"/>
  <c r="X495" i="18"/>
  <c r="AB495" i="18"/>
  <c r="AF495" i="18"/>
  <c r="N496" i="18"/>
  <c r="R496" i="18"/>
  <c r="U496" i="18"/>
  <c r="AC496" i="18" s="1"/>
  <c r="X496" i="18"/>
  <c r="AB496" i="18"/>
  <c r="AF496" i="18"/>
  <c r="N497" i="18"/>
  <c r="R497" i="18"/>
  <c r="U497" i="18"/>
  <c r="AC497" i="18" s="1"/>
  <c r="X497" i="18"/>
  <c r="AB497" i="18"/>
  <c r="AF497" i="18"/>
  <c r="N498" i="18"/>
  <c r="R498" i="18"/>
  <c r="U498" i="18"/>
  <c r="AC498" i="18" s="1"/>
  <c r="X498" i="18"/>
  <c r="AB498" i="18"/>
  <c r="AF498" i="18"/>
  <c r="N499" i="18"/>
  <c r="R499" i="18"/>
  <c r="U499" i="18"/>
  <c r="AC499" i="18" s="1"/>
  <c r="X499" i="18"/>
  <c r="AB499" i="18"/>
  <c r="AF499" i="18"/>
  <c r="N500" i="18"/>
  <c r="R500" i="18"/>
  <c r="U500" i="18"/>
  <c r="X500" i="18"/>
  <c r="AB500" i="18"/>
  <c r="AF500" i="18"/>
  <c r="N501" i="18"/>
  <c r="R501" i="18"/>
  <c r="U501" i="18"/>
  <c r="X501" i="18"/>
  <c r="AB501" i="18"/>
  <c r="AF501" i="18"/>
  <c r="N502" i="18"/>
  <c r="R502" i="18"/>
  <c r="U502" i="18"/>
  <c r="X502" i="18"/>
  <c r="AB502" i="18"/>
  <c r="AF502" i="18"/>
  <c r="N503" i="18"/>
  <c r="R503" i="18"/>
  <c r="U503" i="18"/>
  <c r="AC503" i="18" s="1"/>
  <c r="X503" i="18"/>
  <c r="AB503" i="18"/>
  <c r="AF503" i="18"/>
  <c r="N504" i="18"/>
  <c r="R504" i="18"/>
  <c r="U504" i="18"/>
  <c r="AC504" i="18" s="1"/>
  <c r="X504" i="18"/>
  <c r="AB504" i="18"/>
  <c r="AF504" i="18"/>
  <c r="N505" i="18"/>
  <c r="R505" i="18"/>
  <c r="U505" i="18"/>
  <c r="AC505" i="18" s="1"/>
  <c r="X505" i="18"/>
  <c r="AB505" i="18"/>
  <c r="AF505" i="18"/>
  <c r="N506" i="18"/>
  <c r="R506" i="18"/>
  <c r="U506" i="18"/>
  <c r="X506" i="18"/>
  <c r="AB506" i="18"/>
  <c r="AF506" i="18"/>
  <c r="N507" i="18"/>
  <c r="R507" i="18"/>
  <c r="U507" i="18"/>
  <c r="AC507" i="18" s="1"/>
  <c r="X507" i="18"/>
  <c r="AB507" i="18"/>
  <c r="AF507" i="18"/>
  <c r="N508" i="18"/>
  <c r="R508" i="18"/>
  <c r="U508" i="18"/>
  <c r="AC508" i="18" s="1"/>
  <c r="X508" i="18"/>
  <c r="AB508" i="18"/>
  <c r="AF508" i="18"/>
  <c r="N509" i="18"/>
  <c r="R509" i="18"/>
  <c r="U509" i="18"/>
  <c r="AC509" i="18" s="1"/>
  <c r="X509" i="18"/>
  <c r="AB509" i="18"/>
  <c r="AF509" i="18"/>
  <c r="N510" i="18"/>
  <c r="R510" i="18"/>
  <c r="U510" i="18"/>
  <c r="X510" i="18"/>
  <c r="AB510" i="18"/>
  <c r="AF510" i="18"/>
  <c r="N511" i="18"/>
  <c r="R511" i="18"/>
  <c r="U511" i="18"/>
  <c r="AC511" i="18" s="1"/>
  <c r="X511" i="18"/>
  <c r="AB511" i="18"/>
  <c r="AF511" i="18"/>
  <c r="N512" i="18"/>
  <c r="R512" i="18"/>
  <c r="U512" i="18"/>
  <c r="AC512" i="18" s="1"/>
  <c r="X512" i="18"/>
  <c r="AB512" i="18"/>
  <c r="AF512" i="18"/>
  <c r="N513" i="18"/>
  <c r="R513" i="18"/>
  <c r="U513" i="18"/>
  <c r="AC513" i="18" s="1"/>
  <c r="X513" i="18"/>
  <c r="AB513" i="18"/>
  <c r="AF513" i="18"/>
  <c r="N514" i="18"/>
  <c r="R514" i="18"/>
  <c r="U514" i="18"/>
  <c r="X514" i="18"/>
  <c r="AB514" i="18"/>
  <c r="AF514" i="18"/>
  <c r="N515" i="18"/>
  <c r="R515" i="18"/>
  <c r="U515" i="18"/>
  <c r="AC515" i="18" s="1"/>
  <c r="X515" i="18"/>
  <c r="AB515" i="18"/>
  <c r="AF515" i="18"/>
  <c r="N516" i="18"/>
  <c r="R516" i="18"/>
  <c r="U516" i="18"/>
  <c r="AC516" i="18" s="1"/>
  <c r="X516" i="18"/>
  <c r="AB516" i="18"/>
  <c r="AF516" i="18"/>
  <c r="N517" i="18"/>
  <c r="R517" i="18"/>
  <c r="U517" i="18"/>
  <c r="X517" i="18"/>
  <c r="AB517" i="18"/>
  <c r="AF517" i="18"/>
  <c r="N518" i="18"/>
  <c r="R518" i="18"/>
  <c r="U518" i="18"/>
  <c r="X518" i="18"/>
  <c r="AB518" i="18"/>
  <c r="AF518" i="18"/>
  <c r="N519" i="18"/>
  <c r="R519" i="18"/>
  <c r="U519" i="18"/>
  <c r="AC519" i="18" s="1"/>
  <c r="X519" i="18"/>
  <c r="AB519" i="18"/>
  <c r="AF519" i="18"/>
  <c r="N520" i="18"/>
  <c r="R520" i="18"/>
  <c r="U520" i="18"/>
  <c r="AC520" i="18" s="1"/>
  <c r="X520" i="18"/>
  <c r="AB520" i="18"/>
  <c r="AF520" i="18"/>
  <c r="N521" i="18"/>
  <c r="R521" i="18"/>
  <c r="U521" i="18"/>
  <c r="AC521" i="18" s="1"/>
  <c r="X521" i="18"/>
  <c r="AB521" i="18"/>
  <c r="AF521" i="18"/>
  <c r="N522" i="18"/>
  <c r="R522" i="18"/>
  <c r="U522" i="18"/>
  <c r="AC522" i="18" s="1"/>
  <c r="X522" i="18"/>
  <c r="AB522" i="18"/>
  <c r="AF522" i="18"/>
  <c r="N523" i="18"/>
  <c r="R523" i="18"/>
  <c r="U523" i="18"/>
  <c r="X523" i="18"/>
  <c r="AB523" i="18"/>
  <c r="AF523" i="18"/>
  <c r="N524" i="18"/>
  <c r="R524" i="18"/>
  <c r="U524" i="18"/>
  <c r="AC524" i="18" s="1"/>
  <c r="X524" i="18"/>
  <c r="AB524" i="18"/>
  <c r="AF524" i="18"/>
  <c r="N525" i="18"/>
  <c r="R525" i="18"/>
  <c r="U525" i="18"/>
  <c r="AC525" i="18" s="1"/>
  <c r="X525" i="18"/>
  <c r="AB525" i="18"/>
  <c r="AF525" i="18"/>
  <c r="N526" i="18"/>
  <c r="R526" i="18"/>
  <c r="U526" i="18"/>
  <c r="X526" i="18"/>
  <c r="AB526" i="18"/>
  <c r="AF526" i="18"/>
  <c r="N527" i="18"/>
  <c r="R527" i="18"/>
  <c r="U527" i="18"/>
  <c r="AC527" i="18" s="1"/>
  <c r="X527" i="18"/>
  <c r="AB527" i="18"/>
  <c r="AF527" i="18"/>
  <c r="N528" i="18"/>
  <c r="R528" i="18"/>
  <c r="U528" i="18"/>
  <c r="AC528" i="18" s="1"/>
  <c r="X528" i="18"/>
  <c r="AB528" i="18"/>
  <c r="AF528" i="18"/>
  <c r="N529" i="18"/>
  <c r="R529" i="18"/>
  <c r="U529" i="18"/>
  <c r="AC529" i="18" s="1"/>
  <c r="X529" i="18"/>
  <c r="AB529" i="18"/>
  <c r="AF529" i="18"/>
  <c r="N530" i="18"/>
  <c r="R530" i="18"/>
  <c r="U530" i="18"/>
  <c r="X530" i="18"/>
  <c r="AB530" i="18"/>
  <c r="AF530" i="18"/>
  <c r="N531" i="18"/>
  <c r="R531" i="18"/>
  <c r="U531" i="18"/>
  <c r="AC531" i="18" s="1"/>
  <c r="X531" i="18"/>
  <c r="AB531" i="18"/>
  <c r="AF531" i="18"/>
  <c r="N532" i="18"/>
  <c r="R532" i="18"/>
  <c r="U532" i="18"/>
  <c r="AC532" i="18" s="1"/>
  <c r="X532" i="18"/>
  <c r="AB532" i="18"/>
  <c r="AF532" i="18"/>
  <c r="N533" i="18"/>
  <c r="R533" i="18"/>
  <c r="U533" i="18"/>
  <c r="AC533" i="18" s="1"/>
  <c r="X533" i="18"/>
  <c r="AB533" i="18"/>
  <c r="AF533" i="18"/>
  <c r="N534" i="18"/>
  <c r="R534" i="18"/>
  <c r="U534" i="18"/>
  <c r="X534" i="18"/>
  <c r="AB534" i="18"/>
  <c r="AF534" i="18"/>
  <c r="N535" i="18"/>
  <c r="R535" i="18"/>
  <c r="U535" i="18"/>
  <c r="AD535" i="18" s="1"/>
  <c r="X535" i="18"/>
  <c r="AB535" i="18"/>
  <c r="AF535" i="18"/>
  <c r="N536" i="18"/>
  <c r="R536" i="18"/>
  <c r="U536" i="18"/>
  <c r="X536" i="18"/>
  <c r="AB536" i="18"/>
  <c r="AF536" i="18"/>
  <c r="N537" i="18"/>
  <c r="R537" i="18"/>
  <c r="U537" i="18"/>
  <c r="AD537" i="18" s="1"/>
  <c r="X537" i="18"/>
  <c r="AB537" i="18"/>
  <c r="AF537" i="18"/>
  <c r="N538" i="18"/>
  <c r="R538" i="18"/>
  <c r="U538" i="18"/>
  <c r="AD538" i="18" s="1"/>
  <c r="X538" i="18"/>
  <c r="AB538" i="18"/>
  <c r="AF538" i="18"/>
  <c r="N539" i="18"/>
  <c r="R539" i="18"/>
  <c r="U539" i="18"/>
  <c r="AD539" i="18" s="1"/>
  <c r="X539" i="18"/>
  <c r="AB539" i="18"/>
  <c r="AF539" i="18"/>
  <c r="N540" i="18"/>
  <c r="R540" i="18"/>
  <c r="U540" i="18"/>
  <c r="AD540" i="18" s="1"/>
  <c r="X540" i="18"/>
  <c r="AB540" i="18"/>
  <c r="AF540" i="18"/>
  <c r="N541" i="18"/>
  <c r="R541" i="18"/>
  <c r="U541" i="18"/>
  <c r="AD541" i="18" s="1"/>
  <c r="X541" i="18"/>
  <c r="AB541" i="18"/>
  <c r="AF541" i="18"/>
  <c r="N542" i="18"/>
  <c r="R542" i="18"/>
  <c r="U542" i="18"/>
  <c r="X542" i="18"/>
  <c r="AB542" i="18"/>
  <c r="AF542" i="18"/>
  <c r="N543" i="18"/>
  <c r="R543" i="18"/>
  <c r="U543" i="18"/>
  <c r="AD543" i="18" s="1"/>
  <c r="X543" i="18"/>
  <c r="AB543" i="18"/>
  <c r="AF543" i="18"/>
  <c r="N544" i="18"/>
  <c r="R544" i="18"/>
  <c r="U544" i="18"/>
  <c r="AD544" i="18" s="1"/>
  <c r="X544" i="18"/>
  <c r="AB544" i="18"/>
  <c r="AF544" i="18"/>
  <c r="N545" i="18"/>
  <c r="R545" i="18"/>
  <c r="U545" i="18"/>
  <c r="AD545" i="18" s="1"/>
  <c r="X545" i="18"/>
  <c r="AB545" i="18"/>
  <c r="AF545" i="18"/>
  <c r="N546" i="18"/>
  <c r="R546" i="18"/>
  <c r="U546" i="18"/>
  <c r="X546" i="18"/>
  <c r="AB546" i="18"/>
  <c r="AF546" i="18"/>
  <c r="N547" i="18"/>
  <c r="R547" i="18"/>
  <c r="U547" i="18"/>
  <c r="AD547" i="18" s="1"/>
  <c r="X547" i="18"/>
  <c r="AB547" i="18"/>
  <c r="AF547" i="18"/>
  <c r="N548" i="18"/>
  <c r="R548" i="18"/>
  <c r="U548" i="18"/>
  <c r="AD548" i="18" s="1"/>
  <c r="X548" i="18"/>
  <c r="AB548" i="18"/>
  <c r="AF548" i="18"/>
  <c r="N549" i="18"/>
  <c r="R549" i="18"/>
  <c r="U549" i="18"/>
  <c r="AD549" i="18" s="1"/>
  <c r="X549" i="18"/>
  <c r="AB549" i="18"/>
  <c r="AF549" i="18"/>
  <c r="N550" i="18"/>
  <c r="R550" i="18"/>
  <c r="U550" i="18"/>
  <c r="AD550" i="18" s="1"/>
  <c r="X550" i="18"/>
  <c r="AB550" i="18"/>
  <c r="AF550" i="18"/>
  <c r="N551" i="18"/>
  <c r="R551" i="18"/>
  <c r="U551" i="18"/>
  <c r="AD551" i="18" s="1"/>
  <c r="X551" i="18"/>
  <c r="AB551" i="18"/>
  <c r="AF551" i="18"/>
  <c r="N552" i="18"/>
  <c r="R552" i="18"/>
  <c r="U552" i="18"/>
  <c r="X552" i="18"/>
  <c r="AB552" i="18"/>
  <c r="AF552" i="18"/>
  <c r="N553" i="18"/>
  <c r="R553" i="18"/>
  <c r="U553" i="18"/>
  <c r="AD553" i="18" s="1"/>
  <c r="X553" i="18"/>
  <c r="AB553" i="18"/>
  <c r="AF553" i="18"/>
  <c r="N554" i="18"/>
  <c r="R554" i="18"/>
  <c r="U554" i="18"/>
  <c r="AD554" i="18" s="1"/>
  <c r="X554" i="18"/>
  <c r="AB554" i="18"/>
  <c r="AF554" i="18"/>
  <c r="N555" i="18"/>
  <c r="R555" i="18"/>
  <c r="U555" i="18"/>
  <c r="AD555" i="18" s="1"/>
  <c r="X555" i="18"/>
  <c r="AB555" i="18"/>
  <c r="AF555" i="18"/>
  <c r="N556" i="18"/>
  <c r="R556" i="18"/>
  <c r="U556" i="18"/>
  <c r="AD556" i="18" s="1"/>
  <c r="X556" i="18"/>
  <c r="AB556" i="18"/>
  <c r="AF556" i="18"/>
  <c r="N557" i="18"/>
  <c r="R557" i="18"/>
  <c r="U557" i="18"/>
  <c r="AD557" i="18" s="1"/>
  <c r="X557" i="18"/>
  <c r="AB557" i="18"/>
  <c r="AF557" i="18"/>
  <c r="N558" i="18"/>
  <c r="R558" i="18"/>
  <c r="U558" i="18"/>
  <c r="X558" i="18"/>
  <c r="AB558" i="18"/>
  <c r="AF558" i="18"/>
  <c r="N559" i="18"/>
  <c r="R559" i="18"/>
  <c r="U559" i="18"/>
  <c r="AD559" i="18" s="1"/>
  <c r="X559" i="18"/>
  <c r="AB559" i="18"/>
  <c r="AF559" i="18"/>
  <c r="N560" i="18"/>
  <c r="R560" i="18"/>
  <c r="U560" i="18"/>
  <c r="AD560" i="18" s="1"/>
  <c r="X560" i="18"/>
  <c r="AB560" i="18"/>
  <c r="AF560" i="18"/>
  <c r="N561" i="18"/>
  <c r="R561" i="18"/>
  <c r="U561" i="18"/>
  <c r="AD561" i="18" s="1"/>
  <c r="X561" i="18"/>
  <c r="AB561" i="18"/>
  <c r="AF561" i="18"/>
  <c r="N562" i="18"/>
  <c r="R562" i="18"/>
  <c r="U562" i="18"/>
  <c r="X562" i="18"/>
  <c r="AB562" i="18"/>
  <c r="AF562" i="18"/>
  <c r="N563" i="18"/>
  <c r="R563" i="18"/>
  <c r="U563" i="18"/>
  <c r="AD563" i="18" s="1"/>
  <c r="X563" i="18"/>
  <c r="AB563" i="18"/>
  <c r="AF563" i="18"/>
  <c r="N564" i="18"/>
  <c r="R564" i="18"/>
  <c r="U564" i="18"/>
  <c r="AD564" i="18" s="1"/>
  <c r="X564" i="18"/>
  <c r="AB564" i="18"/>
  <c r="AF564" i="18"/>
  <c r="N565" i="18"/>
  <c r="R565" i="18"/>
  <c r="U565" i="18"/>
  <c r="AD565" i="18" s="1"/>
  <c r="X565" i="18"/>
  <c r="AB565" i="18"/>
  <c r="AF565" i="18"/>
  <c r="N566" i="18"/>
  <c r="R566" i="18"/>
  <c r="U566" i="18"/>
  <c r="AD566" i="18" s="1"/>
  <c r="X566" i="18"/>
  <c r="AB566" i="18"/>
  <c r="AF566" i="18"/>
  <c r="N567" i="18"/>
  <c r="R567" i="18"/>
  <c r="U567" i="18"/>
  <c r="AD567" i="18" s="1"/>
  <c r="X567" i="18"/>
  <c r="AB567" i="18"/>
  <c r="AF567" i="18"/>
  <c r="N568" i="18"/>
  <c r="R568" i="18"/>
  <c r="U568" i="18"/>
  <c r="X568" i="18"/>
  <c r="AB568" i="18"/>
  <c r="AF568" i="18"/>
  <c r="N569" i="18"/>
  <c r="R569" i="18"/>
  <c r="U569" i="18"/>
  <c r="AD569" i="18" s="1"/>
  <c r="X569" i="18"/>
  <c r="AB569" i="18"/>
  <c r="AF569" i="18"/>
  <c r="N570" i="18"/>
  <c r="R570" i="18"/>
  <c r="U570" i="18"/>
  <c r="AD570" i="18" s="1"/>
  <c r="X570" i="18"/>
  <c r="AB570" i="18"/>
  <c r="AF570" i="18"/>
  <c r="N571" i="18"/>
  <c r="R571" i="18"/>
  <c r="U571" i="18"/>
  <c r="AD571" i="18" s="1"/>
  <c r="X571" i="18"/>
  <c r="AB571" i="18"/>
  <c r="AF571" i="18"/>
  <c r="N572" i="18"/>
  <c r="R572" i="18"/>
  <c r="U572" i="18"/>
  <c r="AD572" i="18" s="1"/>
  <c r="X572" i="18"/>
  <c r="AB572" i="18"/>
  <c r="AF572" i="18"/>
  <c r="N573" i="18"/>
  <c r="R573" i="18"/>
  <c r="U573" i="18"/>
  <c r="AD573" i="18" s="1"/>
  <c r="X573" i="18"/>
  <c r="AB573" i="18"/>
  <c r="AF573" i="18"/>
  <c r="N574" i="18"/>
  <c r="R574" i="18"/>
  <c r="U574" i="18"/>
  <c r="X574" i="18"/>
  <c r="AB574" i="18"/>
  <c r="AF574" i="18"/>
  <c r="N575" i="18"/>
  <c r="R575" i="18"/>
  <c r="U575" i="18"/>
  <c r="AD575" i="18" s="1"/>
  <c r="X575" i="18"/>
  <c r="AB575" i="18"/>
  <c r="AF575" i="18"/>
  <c r="N576" i="18"/>
  <c r="R576" i="18"/>
  <c r="U576" i="18"/>
  <c r="AD576" i="18" s="1"/>
  <c r="X576" i="18"/>
  <c r="AB576" i="18"/>
  <c r="AF576" i="18"/>
  <c r="N577" i="18"/>
  <c r="R577" i="18"/>
  <c r="U577" i="18"/>
  <c r="AD577" i="18" s="1"/>
  <c r="X577" i="18"/>
  <c r="AB577" i="18"/>
  <c r="AF577" i="18"/>
  <c r="N578" i="18"/>
  <c r="R578" i="18"/>
  <c r="U578" i="18"/>
  <c r="X578" i="18"/>
  <c r="AB578" i="18"/>
  <c r="AF578" i="18"/>
  <c r="N579" i="18"/>
  <c r="R579" i="18"/>
  <c r="U579" i="18"/>
  <c r="AD579" i="18" s="1"/>
  <c r="X579" i="18"/>
  <c r="AB579" i="18"/>
  <c r="AF579" i="18"/>
  <c r="N580" i="18"/>
  <c r="R580" i="18"/>
  <c r="U580" i="18"/>
  <c r="AD580" i="18" s="1"/>
  <c r="X580" i="18"/>
  <c r="AB580" i="18"/>
  <c r="AF580" i="18"/>
  <c r="N581" i="18"/>
  <c r="R581" i="18"/>
  <c r="U581" i="18"/>
  <c r="AD581" i="18" s="1"/>
  <c r="X581" i="18"/>
  <c r="AB581" i="18"/>
  <c r="AF581" i="18"/>
  <c r="N582" i="18"/>
  <c r="R582" i="18"/>
  <c r="U582" i="18"/>
  <c r="AD582" i="18" s="1"/>
  <c r="X582" i="18"/>
  <c r="AB582" i="18"/>
  <c r="AF582" i="18"/>
  <c r="N583" i="18"/>
  <c r="R583" i="18"/>
  <c r="U583" i="18"/>
  <c r="AD583" i="18" s="1"/>
  <c r="X583" i="18"/>
  <c r="AB583" i="18"/>
  <c r="AF583" i="18"/>
  <c r="N584" i="18"/>
  <c r="R584" i="18"/>
  <c r="U584" i="18"/>
  <c r="X584" i="18"/>
  <c r="AB584" i="18"/>
  <c r="AF584" i="18"/>
  <c r="N585" i="18"/>
  <c r="R585" i="18"/>
  <c r="U585" i="18"/>
  <c r="AD585" i="18" s="1"/>
  <c r="X585" i="18"/>
  <c r="AB585" i="18"/>
  <c r="AF585" i="18"/>
  <c r="N586" i="18"/>
  <c r="R586" i="18"/>
  <c r="U586" i="18"/>
  <c r="AD586" i="18" s="1"/>
  <c r="X586" i="18"/>
  <c r="AB586" i="18"/>
  <c r="AF586" i="18"/>
  <c r="N587" i="18"/>
  <c r="R587" i="18"/>
  <c r="U587" i="18"/>
  <c r="AD587" i="18" s="1"/>
  <c r="X587" i="18"/>
  <c r="AB587" i="18"/>
  <c r="AF587" i="18"/>
  <c r="N588" i="18"/>
  <c r="R588" i="18"/>
  <c r="U588" i="18"/>
  <c r="AD588" i="18" s="1"/>
  <c r="X588" i="18"/>
  <c r="AB588" i="18"/>
  <c r="AF588" i="18"/>
  <c r="N589" i="18"/>
  <c r="R589" i="18"/>
  <c r="U589" i="18"/>
  <c r="AD589" i="18" s="1"/>
  <c r="X589" i="18"/>
  <c r="AB589" i="18"/>
  <c r="AF589" i="18"/>
  <c r="N590" i="18"/>
  <c r="R590" i="18"/>
  <c r="U590" i="18"/>
  <c r="X590" i="18"/>
  <c r="AB590" i="18"/>
  <c r="AF590" i="18"/>
  <c r="N591" i="18"/>
  <c r="R591" i="18"/>
  <c r="U591" i="18"/>
  <c r="AD591" i="18" s="1"/>
  <c r="X591" i="18"/>
  <c r="AB591" i="18"/>
  <c r="AF591" i="18"/>
  <c r="N592" i="18"/>
  <c r="R592" i="18"/>
  <c r="U592" i="18"/>
  <c r="AD592" i="18" s="1"/>
  <c r="X592" i="18"/>
  <c r="AB592" i="18"/>
  <c r="AF592" i="18"/>
  <c r="N593" i="18"/>
  <c r="R593" i="18"/>
  <c r="U593" i="18"/>
  <c r="AD593" i="18" s="1"/>
  <c r="X593" i="18"/>
  <c r="AB593" i="18"/>
  <c r="AF593" i="18"/>
  <c r="N594" i="18"/>
  <c r="R594" i="18"/>
  <c r="U594" i="18"/>
  <c r="X594" i="18"/>
  <c r="AB594" i="18"/>
  <c r="AF594" i="18"/>
  <c r="N595" i="18"/>
  <c r="R595" i="18"/>
  <c r="U595" i="18"/>
  <c r="AD595" i="18" s="1"/>
  <c r="X595" i="18"/>
  <c r="AB595" i="18"/>
  <c r="AF595" i="18"/>
  <c r="N596" i="18"/>
  <c r="R596" i="18"/>
  <c r="U596" i="18"/>
  <c r="AD596" i="18" s="1"/>
  <c r="X596" i="18"/>
  <c r="AB596" i="18"/>
  <c r="AF596" i="18"/>
  <c r="N597" i="18"/>
  <c r="R597" i="18"/>
  <c r="U597" i="18"/>
  <c r="AD597" i="18" s="1"/>
  <c r="X597" i="18"/>
  <c r="AB597" i="18"/>
  <c r="AF597" i="18"/>
  <c r="N598" i="18"/>
  <c r="R598" i="18"/>
  <c r="U598" i="18"/>
  <c r="AD598" i="18" s="1"/>
  <c r="X598" i="18"/>
  <c r="AB598" i="18"/>
  <c r="AF598" i="18"/>
  <c r="N599" i="18"/>
  <c r="R599" i="18"/>
  <c r="U599" i="18"/>
  <c r="AD599" i="18" s="1"/>
  <c r="X599" i="18"/>
  <c r="AB599" i="18"/>
  <c r="AF599" i="18"/>
  <c r="N600" i="18"/>
  <c r="R600" i="18"/>
  <c r="U600" i="18"/>
  <c r="X600" i="18"/>
  <c r="AB600" i="18"/>
  <c r="AF600" i="18"/>
  <c r="N601" i="18"/>
  <c r="R601" i="18"/>
  <c r="U601" i="18"/>
  <c r="AD601" i="18" s="1"/>
  <c r="X601" i="18"/>
  <c r="AB601" i="18"/>
  <c r="AF601" i="18"/>
  <c r="N602" i="18"/>
  <c r="R602" i="18"/>
  <c r="U602" i="18"/>
  <c r="AD602" i="18" s="1"/>
  <c r="X602" i="18"/>
  <c r="AB602" i="18"/>
  <c r="AF602" i="18"/>
  <c r="N603" i="18"/>
  <c r="R603" i="18"/>
  <c r="U603" i="18"/>
  <c r="AD603" i="18" s="1"/>
  <c r="X603" i="18"/>
  <c r="AB603" i="18"/>
  <c r="AF603" i="18"/>
  <c r="N604" i="18"/>
  <c r="R604" i="18"/>
  <c r="U604" i="18"/>
  <c r="AD604" i="18" s="1"/>
  <c r="X604" i="18"/>
  <c r="AB604" i="18"/>
  <c r="AF604" i="18"/>
  <c r="N605" i="18"/>
  <c r="R605" i="18"/>
  <c r="U605" i="18"/>
  <c r="AD605" i="18" s="1"/>
  <c r="X605" i="18"/>
  <c r="AB605" i="18"/>
  <c r="AF605" i="18"/>
  <c r="N606" i="18"/>
  <c r="R606" i="18"/>
  <c r="U606" i="18"/>
  <c r="X606" i="18"/>
  <c r="AB606" i="18"/>
  <c r="AF606" i="18"/>
  <c r="N607" i="18"/>
  <c r="R607" i="18"/>
  <c r="U607" i="18"/>
  <c r="AD607" i="18" s="1"/>
  <c r="X607" i="18"/>
  <c r="AB607" i="18"/>
  <c r="AF607" i="18"/>
  <c r="N608" i="18"/>
  <c r="R608" i="18"/>
  <c r="U608" i="18"/>
  <c r="AD608" i="18" s="1"/>
  <c r="X608" i="18"/>
  <c r="AB608" i="18"/>
  <c r="AF608" i="18"/>
  <c r="N609" i="18"/>
  <c r="R609" i="18"/>
  <c r="U609" i="18"/>
  <c r="AC609" i="18" s="1"/>
  <c r="X609" i="18"/>
  <c r="AB609" i="18"/>
  <c r="AF609" i="18"/>
  <c r="N610" i="18"/>
  <c r="R610" i="18"/>
  <c r="U610" i="18"/>
  <c r="AC610" i="18" s="1"/>
  <c r="X610" i="18"/>
  <c r="AB610" i="18"/>
  <c r="AF610" i="18"/>
  <c r="N611" i="18"/>
  <c r="R611" i="18"/>
  <c r="U611" i="18"/>
  <c r="AC611" i="18" s="1"/>
  <c r="X611" i="18"/>
  <c r="AB611" i="18"/>
  <c r="AF611" i="18"/>
  <c r="N612" i="18"/>
  <c r="R612" i="18"/>
  <c r="U612" i="18"/>
  <c r="AC612" i="18" s="1"/>
  <c r="X612" i="18"/>
  <c r="AB612" i="18"/>
  <c r="AF612" i="18"/>
  <c r="N613" i="18"/>
  <c r="R613" i="18"/>
  <c r="U613" i="18"/>
  <c r="X613" i="18"/>
  <c r="AB613" i="18"/>
  <c r="AF613" i="18"/>
  <c r="N614" i="18"/>
  <c r="R614" i="18"/>
  <c r="U614" i="18"/>
  <c r="X614" i="18"/>
  <c r="AB614" i="18"/>
  <c r="AF614" i="18"/>
  <c r="N615" i="18"/>
  <c r="R615" i="18"/>
  <c r="U615" i="18"/>
  <c r="AC615" i="18" s="1"/>
  <c r="X615" i="18"/>
  <c r="AB615" i="18"/>
  <c r="AF615" i="18"/>
  <c r="N616" i="18"/>
  <c r="R616" i="18"/>
  <c r="U616" i="18"/>
  <c r="AC616" i="18" s="1"/>
  <c r="X616" i="18"/>
  <c r="AB616" i="18"/>
  <c r="AF616" i="18"/>
  <c r="N617" i="18"/>
  <c r="R617" i="18"/>
  <c r="U617" i="18"/>
  <c r="X617" i="18"/>
  <c r="AB617" i="18"/>
  <c r="AF617" i="18"/>
  <c r="N618" i="18"/>
  <c r="R618" i="18"/>
  <c r="U618" i="18"/>
  <c r="X618" i="18"/>
  <c r="AB618" i="18"/>
  <c r="AF618" i="18"/>
  <c r="N619" i="18"/>
  <c r="R619" i="18"/>
  <c r="U619" i="18"/>
  <c r="AC619" i="18" s="1"/>
  <c r="X619" i="18"/>
  <c r="AB619" i="18"/>
  <c r="AF619" i="18"/>
  <c r="N620" i="18"/>
  <c r="R620" i="18"/>
  <c r="U620" i="18"/>
  <c r="AC620" i="18" s="1"/>
  <c r="X620" i="18"/>
  <c r="AB620" i="18"/>
  <c r="AF620" i="18"/>
  <c r="N621" i="18"/>
  <c r="R621" i="18"/>
  <c r="U621" i="18"/>
  <c r="AC621" i="18" s="1"/>
  <c r="X621" i="18"/>
  <c r="AB621" i="18"/>
  <c r="AF621" i="18"/>
  <c r="N622" i="18"/>
  <c r="R622" i="18"/>
  <c r="U622" i="18"/>
  <c r="X622" i="18"/>
  <c r="AB622" i="18"/>
  <c r="AF622" i="18"/>
  <c r="N623" i="18"/>
  <c r="R623" i="18"/>
  <c r="U623" i="18"/>
  <c r="AC623" i="18" s="1"/>
  <c r="X623" i="18"/>
  <c r="AB623" i="18"/>
  <c r="AF623" i="18"/>
  <c r="N624" i="18"/>
  <c r="R624" i="18"/>
  <c r="U624" i="18"/>
  <c r="AC624" i="18" s="1"/>
  <c r="X624" i="18"/>
  <c r="AB624" i="18"/>
  <c r="AF624" i="18"/>
  <c r="N625" i="18"/>
  <c r="R625" i="18"/>
  <c r="U625" i="18"/>
  <c r="AC625" i="18" s="1"/>
  <c r="X625" i="18"/>
  <c r="AB625" i="18"/>
  <c r="AF625" i="18"/>
  <c r="N626" i="18"/>
  <c r="R626" i="18"/>
  <c r="U626" i="18"/>
  <c r="X626" i="18"/>
  <c r="AB626" i="18"/>
  <c r="AF626" i="18"/>
  <c r="N627" i="18"/>
  <c r="R627" i="18"/>
  <c r="U627" i="18"/>
  <c r="AC627" i="18" s="1"/>
  <c r="X627" i="18"/>
  <c r="AB627" i="18"/>
  <c r="AF627" i="18"/>
  <c r="N628" i="18"/>
  <c r="R628" i="18"/>
  <c r="U628" i="18"/>
  <c r="X628" i="18"/>
  <c r="AB628" i="18"/>
  <c r="AF628" i="18"/>
  <c r="N629" i="18"/>
  <c r="R629" i="18"/>
  <c r="U629" i="18"/>
  <c r="AC629" i="18" s="1"/>
  <c r="X629" i="18"/>
  <c r="AB629" i="18"/>
  <c r="AF629" i="18"/>
  <c r="N630" i="18"/>
  <c r="R630" i="18"/>
  <c r="U630" i="18"/>
  <c r="X630" i="18"/>
  <c r="AB630" i="18"/>
  <c r="AF630" i="18"/>
  <c r="N631" i="18"/>
  <c r="R631" i="18"/>
  <c r="U631" i="18"/>
  <c r="AC631" i="18" s="1"/>
  <c r="X631" i="18"/>
  <c r="AB631" i="18"/>
  <c r="AF631" i="18"/>
  <c r="N632" i="18"/>
  <c r="R632" i="18"/>
  <c r="U632" i="18"/>
  <c r="AC632" i="18" s="1"/>
  <c r="X632" i="18"/>
  <c r="AB632" i="18"/>
  <c r="AF632" i="18"/>
  <c r="N633" i="18"/>
  <c r="R633" i="18"/>
  <c r="U633" i="18"/>
  <c r="X633" i="18"/>
  <c r="AB633" i="18"/>
  <c r="AF633" i="18"/>
  <c r="N634" i="18"/>
  <c r="R634" i="18"/>
  <c r="U634" i="18"/>
  <c r="X634" i="18"/>
  <c r="AB634" i="18"/>
  <c r="AF634" i="18"/>
  <c r="N635" i="18"/>
  <c r="R635" i="18"/>
  <c r="U635" i="18"/>
  <c r="AC635" i="18" s="1"/>
  <c r="X635" i="18"/>
  <c r="AB635" i="18"/>
  <c r="AF635" i="18"/>
  <c r="N636" i="18"/>
  <c r="R636" i="18"/>
  <c r="U636" i="18"/>
  <c r="AC636" i="18" s="1"/>
  <c r="X636" i="18"/>
  <c r="AB636" i="18"/>
  <c r="AF636" i="18"/>
  <c r="N637" i="18"/>
  <c r="R637" i="18"/>
  <c r="U637" i="18"/>
  <c r="AC637" i="18" s="1"/>
  <c r="X637" i="18"/>
  <c r="AB637" i="18"/>
  <c r="AF637" i="18"/>
  <c r="N638" i="18"/>
  <c r="R638" i="18"/>
  <c r="U638" i="18"/>
  <c r="X638" i="18"/>
  <c r="AB638" i="18"/>
  <c r="AF638" i="18"/>
  <c r="N639" i="18"/>
  <c r="R639" i="18"/>
  <c r="U639" i="18"/>
  <c r="AC639" i="18" s="1"/>
  <c r="X639" i="18"/>
  <c r="AB639" i="18"/>
  <c r="AF639" i="18"/>
  <c r="N640" i="18"/>
  <c r="R640" i="18"/>
  <c r="U640" i="18"/>
  <c r="AC640" i="18" s="1"/>
  <c r="X640" i="18"/>
  <c r="AB640" i="18"/>
  <c r="AF640" i="18"/>
  <c r="N641" i="18"/>
  <c r="R641" i="18"/>
  <c r="U641" i="18"/>
  <c r="AC641" i="18" s="1"/>
  <c r="X641" i="18"/>
  <c r="AB641" i="18"/>
  <c r="AF641" i="18"/>
  <c r="N642" i="18"/>
  <c r="R642" i="18"/>
  <c r="U642" i="18"/>
  <c r="X642" i="18"/>
  <c r="AB642" i="18"/>
  <c r="AF642" i="18"/>
  <c r="N643" i="18"/>
  <c r="R643" i="18"/>
  <c r="U643" i="18"/>
  <c r="AC643" i="18" s="1"/>
  <c r="X643" i="18"/>
  <c r="AB643" i="18"/>
  <c r="AF643" i="18"/>
  <c r="N644" i="18"/>
  <c r="R644" i="18"/>
  <c r="U644" i="18"/>
  <c r="AC644" i="18" s="1"/>
  <c r="X644" i="18"/>
  <c r="AB644" i="18"/>
  <c r="AF644" i="18"/>
  <c r="N645" i="18"/>
  <c r="R645" i="18"/>
  <c r="U645" i="18"/>
  <c r="X645" i="18"/>
  <c r="AB645" i="18"/>
  <c r="AF645" i="18"/>
  <c r="N646" i="18"/>
  <c r="R646" i="18"/>
  <c r="U646" i="18"/>
  <c r="X646" i="18"/>
  <c r="AB646" i="18"/>
  <c r="AF646" i="18"/>
  <c r="N647" i="18"/>
  <c r="R647" i="18"/>
  <c r="U647" i="18"/>
  <c r="AC647" i="18" s="1"/>
  <c r="X647" i="18"/>
  <c r="AB647" i="18"/>
  <c r="AF647" i="18"/>
  <c r="N648" i="18"/>
  <c r="R648" i="18"/>
  <c r="U648" i="18"/>
  <c r="X648" i="18"/>
  <c r="AB648" i="18"/>
  <c r="AF648" i="18"/>
  <c r="N649" i="18"/>
  <c r="R649" i="18"/>
  <c r="U649" i="18"/>
  <c r="X649" i="18"/>
  <c r="AB649" i="18"/>
  <c r="AF649" i="18"/>
  <c r="N650" i="18"/>
  <c r="R650" i="18"/>
  <c r="U650" i="18"/>
  <c r="X650" i="18"/>
  <c r="AB650" i="18"/>
  <c r="AF650" i="18"/>
  <c r="N651" i="18"/>
  <c r="R651" i="18"/>
  <c r="U651" i="18"/>
  <c r="AC651" i="18" s="1"/>
  <c r="X651" i="18"/>
  <c r="AB651" i="18"/>
  <c r="AF651" i="18"/>
  <c r="N652" i="18"/>
  <c r="R652" i="18"/>
  <c r="U652" i="18"/>
  <c r="X652" i="18"/>
  <c r="AB652" i="18"/>
  <c r="AF652" i="18"/>
  <c r="N653" i="18"/>
  <c r="R653" i="18"/>
  <c r="U653" i="18"/>
  <c r="AC653" i="18" s="1"/>
  <c r="X653" i="18"/>
  <c r="AB653" i="18"/>
  <c r="AF653" i="18"/>
  <c r="N654" i="18"/>
  <c r="R654" i="18"/>
  <c r="U654" i="18"/>
  <c r="X654" i="18"/>
  <c r="AB654" i="18"/>
  <c r="AF654" i="18"/>
  <c r="N655" i="18"/>
  <c r="R655" i="18"/>
  <c r="U655" i="18"/>
  <c r="X655" i="18"/>
  <c r="AB655" i="18"/>
  <c r="AF655" i="18"/>
  <c r="N656" i="18"/>
  <c r="R656" i="18"/>
  <c r="U656" i="18"/>
  <c r="AC656" i="18" s="1"/>
  <c r="X656" i="18"/>
  <c r="AB656" i="18"/>
  <c r="AF656" i="18"/>
  <c r="N657" i="18"/>
  <c r="R657" i="18"/>
  <c r="U657" i="18"/>
  <c r="AC657" i="18" s="1"/>
  <c r="X657" i="18"/>
  <c r="AB657" i="18"/>
  <c r="AF657" i="18"/>
  <c r="N658" i="18"/>
  <c r="R658" i="18"/>
  <c r="U658" i="18"/>
  <c r="X658" i="18"/>
  <c r="AB658" i="18"/>
  <c r="AF658" i="18"/>
  <c r="N659" i="18"/>
  <c r="R659" i="18"/>
  <c r="U659" i="18"/>
  <c r="AC659" i="18" s="1"/>
  <c r="X659" i="18"/>
  <c r="AB659" i="18"/>
  <c r="AF659" i="18"/>
  <c r="N660" i="18"/>
  <c r="R660" i="18"/>
  <c r="U660" i="18"/>
  <c r="AC660" i="18" s="1"/>
  <c r="X660" i="18"/>
  <c r="AB660" i="18"/>
  <c r="AF660" i="18"/>
  <c r="N661" i="18"/>
  <c r="R661" i="18"/>
  <c r="U661" i="18"/>
  <c r="X661" i="18"/>
  <c r="AB661" i="18"/>
  <c r="AF661" i="18"/>
  <c r="N662" i="18"/>
  <c r="R662" i="18"/>
  <c r="U662" i="18"/>
  <c r="X662" i="18"/>
  <c r="AB662" i="18"/>
  <c r="AF662" i="18"/>
  <c r="N663" i="18"/>
  <c r="R663" i="18"/>
  <c r="U663" i="18"/>
  <c r="AC663" i="18" s="1"/>
  <c r="X663" i="18"/>
  <c r="AB663" i="18"/>
  <c r="AF663" i="18"/>
  <c r="N664" i="18"/>
  <c r="R664" i="18"/>
  <c r="U664" i="18"/>
  <c r="X664" i="18"/>
  <c r="AB664" i="18"/>
  <c r="AF664" i="18"/>
  <c r="N665" i="18"/>
  <c r="R665" i="18"/>
  <c r="U665" i="18"/>
  <c r="X665" i="18"/>
  <c r="AB665" i="18"/>
  <c r="AF665" i="18"/>
  <c r="N666" i="18"/>
  <c r="R666" i="18"/>
  <c r="U666" i="18"/>
  <c r="X666" i="18"/>
  <c r="AB666" i="18"/>
  <c r="AF666" i="18"/>
  <c r="N667" i="18"/>
  <c r="R667" i="18"/>
  <c r="U667" i="18"/>
  <c r="X667" i="18"/>
  <c r="AB667" i="18"/>
  <c r="AF667" i="18"/>
  <c r="N668" i="18"/>
  <c r="R668" i="18"/>
  <c r="U668" i="18"/>
  <c r="X668" i="18"/>
  <c r="AB668" i="18"/>
  <c r="AF668" i="18"/>
  <c r="N669" i="18"/>
  <c r="R669" i="18"/>
  <c r="U669" i="18"/>
  <c r="AC669" i="18" s="1"/>
  <c r="X669" i="18"/>
  <c r="AB669" i="18"/>
  <c r="AF669" i="18"/>
  <c r="N670" i="18"/>
  <c r="R670" i="18"/>
  <c r="U670" i="18"/>
  <c r="X670" i="18"/>
  <c r="AB670" i="18"/>
  <c r="AF670" i="18"/>
  <c r="N671" i="18"/>
  <c r="R671" i="18"/>
  <c r="U671" i="18"/>
  <c r="AC671" i="18" s="1"/>
  <c r="X671" i="18"/>
  <c r="AB671" i="18"/>
  <c r="AF671" i="18"/>
  <c r="N672" i="18"/>
  <c r="R672" i="18"/>
  <c r="U672" i="18"/>
  <c r="AC672" i="18" s="1"/>
  <c r="X672" i="18"/>
  <c r="AB672" i="18"/>
  <c r="AF672" i="18"/>
  <c r="N673" i="18"/>
  <c r="R673" i="18"/>
  <c r="U673" i="18"/>
  <c r="AC673" i="18" s="1"/>
  <c r="X673" i="18"/>
  <c r="AB673" i="18"/>
  <c r="AF673" i="18"/>
  <c r="N674" i="18"/>
  <c r="R674" i="18"/>
  <c r="U674" i="18"/>
  <c r="X674" i="18"/>
  <c r="AB674" i="18"/>
  <c r="AF674" i="18"/>
  <c r="N675" i="18"/>
  <c r="R675" i="18"/>
  <c r="U675" i="18"/>
  <c r="AC675" i="18" s="1"/>
  <c r="X675" i="18"/>
  <c r="AB675" i="18"/>
  <c r="AF675" i="18"/>
  <c r="N676" i="18"/>
  <c r="R676" i="18"/>
  <c r="U676" i="18"/>
  <c r="AC676" i="18" s="1"/>
  <c r="X676" i="18"/>
  <c r="AB676" i="18"/>
  <c r="AF676" i="18"/>
  <c r="N677" i="18"/>
  <c r="R677" i="18"/>
  <c r="U677" i="18"/>
  <c r="X677" i="18"/>
  <c r="AB677" i="18"/>
  <c r="AF677" i="18"/>
  <c r="N678" i="18"/>
  <c r="R678" i="18"/>
  <c r="U678" i="18"/>
  <c r="X678" i="18"/>
  <c r="AB678" i="18"/>
  <c r="AF678" i="18"/>
  <c r="N679" i="18"/>
  <c r="R679" i="18"/>
  <c r="U679" i="18"/>
  <c r="AC679" i="18" s="1"/>
  <c r="X679" i="18"/>
  <c r="AB679" i="18"/>
  <c r="AF679" i="18"/>
  <c r="N680" i="18"/>
  <c r="R680" i="18"/>
  <c r="U680" i="18"/>
  <c r="X680" i="18"/>
  <c r="AB680" i="18"/>
  <c r="AF680" i="18"/>
  <c r="N681" i="18"/>
  <c r="R681" i="18"/>
  <c r="U681" i="18"/>
  <c r="X681" i="18"/>
  <c r="AB681" i="18"/>
  <c r="AF681" i="18"/>
  <c r="N682" i="18"/>
  <c r="R682" i="18"/>
  <c r="U682" i="18"/>
  <c r="X682" i="18"/>
  <c r="AB682" i="18"/>
  <c r="AF682" i="18"/>
  <c r="N683" i="18"/>
  <c r="R683" i="18"/>
  <c r="U683" i="18"/>
  <c r="AC683" i="18" s="1"/>
  <c r="X683" i="18"/>
  <c r="AB683" i="18"/>
  <c r="AF683" i="18"/>
  <c r="N684" i="18"/>
  <c r="R684" i="18"/>
  <c r="U684" i="18"/>
  <c r="X684" i="18"/>
  <c r="AB684" i="18"/>
  <c r="AF684" i="18"/>
  <c r="N685" i="18"/>
  <c r="R685" i="18"/>
  <c r="U685" i="18"/>
  <c r="AC685" i="18" s="1"/>
  <c r="X685" i="18"/>
  <c r="AB685" i="18"/>
  <c r="AF685" i="18"/>
  <c r="N686" i="18"/>
  <c r="R686" i="18"/>
  <c r="U686" i="18"/>
  <c r="X686" i="18"/>
  <c r="AB686" i="18"/>
  <c r="AF686" i="18"/>
  <c r="N687" i="18"/>
  <c r="R687" i="18"/>
  <c r="U687" i="18"/>
  <c r="X687" i="18"/>
  <c r="AB687" i="18"/>
  <c r="AF687" i="18"/>
  <c r="N688" i="18"/>
  <c r="R688" i="18"/>
  <c r="U688" i="18"/>
  <c r="AC688" i="18" s="1"/>
  <c r="X688" i="18"/>
  <c r="AB688" i="18"/>
  <c r="AF688" i="18"/>
  <c r="N689" i="18"/>
  <c r="R689" i="18"/>
  <c r="U689" i="18"/>
  <c r="AC689" i="18" s="1"/>
  <c r="X689" i="18"/>
  <c r="AB689" i="18"/>
  <c r="AF689" i="18"/>
  <c r="N690" i="18"/>
  <c r="R690" i="18"/>
  <c r="U690" i="18"/>
  <c r="X690" i="18"/>
  <c r="AB690" i="18"/>
  <c r="AF690" i="18"/>
  <c r="N691" i="18"/>
  <c r="R691" i="18"/>
  <c r="U691" i="18"/>
  <c r="AC691" i="18" s="1"/>
  <c r="X691" i="18"/>
  <c r="AB691" i="18"/>
  <c r="AF691" i="18"/>
  <c r="N692" i="18"/>
  <c r="R692" i="18"/>
  <c r="U692" i="18"/>
  <c r="X692" i="18"/>
  <c r="AB692" i="18"/>
  <c r="AF692" i="18"/>
  <c r="N693" i="18"/>
  <c r="R693" i="18"/>
  <c r="U693" i="18"/>
  <c r="X693" i="18"/>
  <c r="AB693" i="18"/>
  <c r="AF693" i="18"/>
  <c r="N694" i="18"/>
  <c r="R694" i="18"/>
  <c r="U694" i="18"/>
  <c r="X694" i="18"/>
  <c r="AB694" i="18"/>
  <c r="AF694" i="18"/>
  <c r="N695" i="18"/>
  <c r="R695" i="18"/>
  <c r="U695" i="18"/>
  <c r="AC695" i="18" s="1"/>
  <c r="X695" i="18"/>
  <c r="AB695" i="18"/>
  <c r="AF695" i="18"/>
  <c r="N696" i="18"/>
  <c r="R696" i="18"/>
  <c r="U696" i="18"/>
  <c r="X696" i="18"/>
  <c r="AB696" i="18"/>
  <c r="AF696" i="18"/>
  <c r="N697" i="18"/>
  <c r="R697" i="18"/>
  <c r="U697" i="18"/>
  <c r="X697" i="18"/>
  <c r="AB697" i="18"/>
  <c r="AF697" i="18"/>
  <c r="N698" i="18"/>
  <c r="R698" i="18"/>
  <c r="U698" i="18"/>
  <c r="AC698" i="18" s="1"/>
  <c r="X698" i="18"/>
  <c r="AB698" i="18"/>
  <c r="AF698" i="18"/>
  <c r="N699" i="18"/>
  <c r="R699" i="18"/>
  <c r="U699" i="18"/>
  <c r="X699" i="18"/>
  <c r="AB699" i="18"/>
  <c r="AF699" i="18"/>
  <c r="N700" i="18"/>
  <c r="R700" i="18"/>
  <c r="U700" i="18"/>
  <c r="AC700" i="18" s="1"/>
  <c r="X700" i="18"/>
  <c r="AB700" i="18"/>
  <c r="AF700" i="18"/>
  <c r="N701" i="18"/>
  <c r="R701" i="18"/>
  <c r="U701" i="18"/>
  <c r="X701" i="18"/>
  <c r="AB701" i="18"/>
  <c r="AF701" i="18"/>
  <c r="N702" i="18"/>
  <c r="R702" i="18"/>
  <c r="U702" i="18"/>
  <c r="AC702" i="18" s="1"/>
  <c r="X702" i="18"/>
  <c r="AB702" i="18"/>
  <c r="AF702" i="18"/>
  <c r="N703" i="18"/>
  <c r="R703" i="18"/>
  <c r="U703" i="18"/>
  <c r="AC703" i="18" s="1"/>
  <c r="X703" i="18"/>
  <c r="AB703" i="18"/>
  <c r="AF703" i="18"/>
  <c r="N704" i="18"/>
  <c r="R704" i="18"/>
  <c r="U704" i="18"/>
  <c r="X704" i="18"/>
  <c r="AB704" i="18"/>
  <c r="AF704" i="18"/>
  <c r="N705" i="18"/>
  <c r="R705" i="18"/>
  <c r="U705" i="18"/>
  <c r="X705" i="18"/>
  <c r="AB705" i="18"/>
  <c r="AF705" i="18"/>
  <c r="N706" i="18"/>
  <c r="R706" i="18"/>
  <c r="U706" i="18"/>
  <c r="AC706" i="18" s="1"/>
  <c r="X706" i="18"/>
  <c r="AB706" i="18"/>
  <c r="AF706" i="18"/>
  <c r="N707" i="18"/>
  <c r="R707" i="18"/>
  <c r="U707" i="18"/>
  <c r="AC707" i="18" s="1"/>
  <c r="X707" i="18"/>
  <c r="AB707" i="18"/>
  <c r="AF707" i="18"/>
  <c r="N708" i="18"/>
  <c r="R708" i="18"/>
  <c r="U708" i="18"/>
  <c r="AC708" i="18" s="1"/>
  <c r="X708" i="18"/>
  <c r="AB708" i="18"/>
  <c r="AF708" i="18"/>
  <c r="N709" i="18"/>
  <c r="R709" i="18"/>
  <c r="U709" i="18"/>
  <c r="X709" i="18"/>
  <c r="AB709" i="18"/>
  <c r="AF709" i="18"/>
  <c r="N710" i="18"/>
  <c r="R710" i="18"/>
  <c r="U710" i="18"/>
  <c r="AC710" i="18" s="1"/>
  <c r="X710" i="18"/>
  <c r="AB710" i="18"/>
  <c r="AF710" i="18"/>
  <c r="N711" i="18"/>
  <c r="R711" i="18"/>
  <c r="U711" i="18"/>
  <c r="AC711" i="18" s="1"/>
  <c r="X711" i="18"/>
  <c r="AB711" i="18"/>
  <c r="AF711" i="18"/>
  <c r="N712" i="18"/>
  <c r="R712" i="18"/>
  <c r="U712" i="18"/>
  <c r="X712" i="18"/>
  <c r="AB712" i="18"/>
  <c r="AF712" i="18"/>
  <c r="N713" i="18"/>
  <c r="R713" i="18"/>
  <c r="U713" i="18"/>
  <c r="X713" i="18"/>
  <c r="AB713" i="18"/>
  <c r="AF713" i="18"/>
  <c r="N714" i="18"/>
  <c r="R714" i="18"/>
  <c r="U714" i="18"/>
  <c r="AC714" i="18" s="1"/>
  <c r="X714" i="18"/>
  <c r="AB714" i="18"/>
  <c r="AF714" i="18"/>
  <c r="N715" i="18"/>
  <c r="R715" i="18"/>
  <c r="U715" i="18"/>
  <c r="AC715" i="18" s="1"/>
  <c r="X715" i="18"/>
  <c r="AB715" i="18"/>
  <c r="AF715" i="18"/>
  <c r="N716" i="18"/>
  <c r="R716" i="18"/>
  <c r="U716" i="18"/>
  <c r="AC716" i="18" s="1"/>
  <c r="X716" i="18"/>
  <c r="AB716" i="18"/>
  <c r="AF716" i="18"/>
  <c r="N717" i="18"/>
  <c r="R717" i="18"/>
  <c r="U717" i="18"/>
  <c r="X717" i="18"/>
  <c r="AB717" i="18"/>
  <c r="AF717" i="18"/>
  <c r="N718" i="18"/>
  <c r="R718" i="18"/>
  <c r="U718" i="18"/>
  <c r="AC718" i="18" s="1"/>
  <c r="X718" i="18"/>
  <c r="AB718" i="18"/>
  <c r="AF718" i="18"/>
  <c r="N719" i="18"/>
  <c r="R719" i="18"/>
  <c r="U719" i="18"/>
  <c r="AC719" i="18" s="1"/>
  <c r="X719" i="18"/>
  <c r="AB719" i="18"/>
  <c r="AF719" i="18"/>
  <c r="N720" i="18"/>
  <c r="R720" i="18"/>
  <c r="U720" i="18"/>
  <c r="X720" i="18"/>
  <c r="AB720" i="18"/>
  <c r="AF720" i="18"/>
  <c r="N721" i="18"/>
  <c r="R721" i="18"/>
  <c r="U721" i="18"/>
  <c r="X721" i="18"/>
  <c r="AB721" i="18"/>
  <c r="AF721" i="18"/>
  <c r="N722" i="18"/>
  <c r="R722" i="18"/>
  <c r="U722" i="18"/>
  <c r="AC722" i="18" s="1"/>
  <c r="X722" i="18"/>
  <c r="AB722" i="18"/>
  <c r="AF722" i="18"/>
  <c r="N723" i="18"/>
  <c r="R723" i="18"/>
  <c r="U723" i="18"/>
  <c r="AC723" i="18" s="1"/>
  <c r="X723" i="18"/>
  <c r="AB723" i="18"/>
  <c r="AF723" i="18"/>
  <c r="N724" i="18"/>
  <c r="R724" i="18"/>
  <c r="U724" i="18"/>
  <c r="AC724" i="18" s="1"/>
  <c r="X724" i="18"/>
  <c r="AB724" i="18"/>
  <c r="AF724" i="18"/>
  <c r="N725" i="18"/>
  <c r="R725" i="18"/>
  <c r="U725" i="18"/>
  <c r="X725" i="18"/>
  <c r="AB725" i="18"/>
  <c r="AF725" i="18"/>
  <c r="N726" i="18"/>
  <c r="R726" i="18"/>
  <c r="U726" i="18"/>
  <c r="AC726" i="18" s="1"/>
  <c r="X726" i="18"/>
  <c r="AB726" i="18"/>
  <c r="AF726" i="18"/>
  <c r="N727" i="18"/>
  <c r="R727" i="18"/>
  <c r="U727" i="18"/>
  <c r="AC727" i="18" s="1"/>
  <c r="X727" i="18"/>
  <c r="AB727" i="18"/>
  <c r="AF727" i="18"/>
  <c r="N728" i="18"/>
  <c r="R728" i="18"/>
  <c r="U728" i="18"/>
  <c r="X728" i="18"/>
  <c r="AB728" i="18"/>
  <c r="AF728" i="18"/>
  <c r="N729" i="18"/>
  <c r="R729" i="18"/>
  <c r="U729" i="18"/>
  <c r="X729" i="18"/>
  <c r="AB729" i="18"/>
  <c r="AF729" i="18"/>
  <c r="N730" i="18"/>
  <c r="R730" i="18"/>
  <c r="U730" i="18"/>
  <c r="AC730" i="18" s="1"/>
  <c r="X730" i="18"/>
  <c r="AB730" i="18"/>
  <c r="AF730" i="18"/>
  <c r="N731" i="18"/>
  <c r="R731" i="18"/>
  <c r="U731" i="18"/>
  <c r="AC731" i="18" s="1"/>
  <c r="X731" i="18"/>
  <c r="AB731" i="18"/>
  <c r="AF731" i="18"/>
  <c r="N732" i="18"/>
  <c r="R732" i="18"/>
  <c r="U732" i="18"/>
  <c r="AC732" i="18" s="1"/>
  <c r="X732" i="18"/>
  <c r="AB732" i="18"/>
  <c r="AF732" i="18"/>
  <c r="N733" i="18"/>
  <c r="R733" i="18"/>
  <c r="U733" i="18"/>
  <c r="X733" i="18"/>
  <c r="AB733" i="18"/>
  <c r="AF733" i="18"/>
  <c r="N734" i="18"/>
  <c r="R734" i="18"/>
  <c r="U734" i="18"/>
  <c r="AC734" i="18" s="1"/>
  <c r="X734" i="18"/>
  <c r="AB734" i="18"/>
  <c r="AF734" i="18"/>
  <c r="N735" i="18"/>
  <c r="R735" i="18"/>
  <c r="U735" i="18"/>
  <c r="AC735" i="18" s="1"/>
  <c r="X735" i="18"/>
  <c r="AB735" i="18"/>
  <c r="AF735" i="18"/>
  <c r="N736" i="18"/>
  <c r="R736" i="18"/>
  <c r="U736" i="18"/>
  <c r="X736" i="18"/>
  <c r="AB736" i="18"/>
  <c r="AF736" i="18"/>
  <c r="N737" i="18"/>
  <c r="R737" i="18"/>
  <c r="U737" i="18"/>
  <c r="X737" i="18"/>
  <c r="AB737" i="18"/>
  <c r="AF737" i="18"/>
  <c r="N738" i="18"/>
  <c r="R738" i="18"/>
  <c r="U738" i="18"/>
  <c r="AC738" i="18" s="1"/>
  <c r="X738" i="18"/>
  <c r="AB738" i="18"/>
  <c r="AF738" i="18"/>
  <c r="N739" i="18"/>
  <c r="R739" i="18"/>
  <c r="U739" i="18"/>
  <c r="X739" i="18"/>
  <c r="AB739" i="18"/>
  <c r="AF739" i="18"/>
  <c r="N740" i="18"/>
  <c r="R740" i="18"/>
  <c r="U740" i="18"/>
  <c r="AC740" i="18" s="1"/>
  <c r="X740" i="18"/>
  <c r="AB740" i="18"/>
  <c r="AF740" i="18"/>
  <c r="N741" i="18"/>
  <c r="R741" i="18"/>
  <c r="U741" i="18"/>
  <c r="X741" i="18"/>
  <c r="AB741" i="18"/>
  <c r="AF741" i="18"/>
  <c r="N742" i="18"/>
  <c r="R742" i="18"/>
  <c r="U742" i="18"/>
  <c r="AC742" i="18" s="1"/>
  <c r="X742" i="18"/>
  <c r="AB742" i="18"/>
  <c r="AF742" i="18"/>
  <c r="N743" i="18"/>
  <c r="R743" i="18"/>
  <c r="U743" i="18"/>
  <c r="AC743" i="18" s="1"/>
  <c r="X743" i="18"/>
  <c r="AB743" i="18"/>
  <c r="AF743" i="18"/>
  <c r="N744" i="18"/>
  <c r="R744" i="18"/>
  <c r="U744" i="18"/>
  <c r="X744" i="18"/>
  <c r="AB744" i="18"/>
  <c r="AF744" i="18"/>
  <c r="N745" i="18"/>
  <c r="R745" i="18"/>
  <c r="U745" i="18"/>
  <c r="X745" i="18"/>
  <c r="AB745" i="18"/>
  <c r="AF745" i="18"/>
  <c r="N746" i="18"/>
  <c r="R746" i="18"/>
  <c r="U746" i="18"/>
  <c r="AC746" i="18" s="1"/>
  <c r="X746" i="18"/>
  <c r="AB746" i="18"/>
  <c r="AF746" i="18"/>
  <c r="N747" i="18"/>
  <c r="R747" i="18"/>
  <c r="U747" i="18"/>
  <c r="AC747" i="18" s="1"/>
  <c r="X747" i="18"/>
  <c r="AB747" i="18"/>
  <c r="AF747" i="18"/>
  <c r="N748" i="18"/>
  <c r="R748" i="18"/>
  <c r="U748" i="18"/>
  <c r="AC748" i="18" s="1"/>
  <c r="X748" i="18"/>
  <c r="AB748" i="18"/>
  <c r="AF748" i="18"/>
  <c r="N749" i="18"/>
  <c r="R749" i="18"/>
  <c r="U749" i="18"/>
  <c r="X749" i="18"/>
  <c r="AB749" i="18"/>
  <c r="AF749" i="18"/>
  <c r="N750" i="18"/>
  <c r="R750" i="18"/>
  <c r="U750" i="18"/>
  <c r="AC750" i="18" s="1"/>
  <c r="X750" i="18"/>
  <c r="AB750" i="18"/>
  <c r="AF750" i="18"/>
  <c r="N751" i="18"/>
  <c r="R751" i="18"/>
  <c r="U751" i="18"/>
  <c r="AC751" i="18" s="1"/>
  <c r="X751" i="18"/>
  <c r="AB751" i="18"/>
  <c r="AF751" i="18"/>
  <c r="N752" i="18"/>
  <c r="R752" i="18"/>
  <c r="U752" i="18"/>
  <c r="X752" i="18"/>
  <c r="AB752" i="18"/>
  <c r="AF752" i="18"/>
  <c r="N753" i="18"/>
  <c r="R753" i="18"/>
  <c r="U753" i="18"/>
  <c r="X753" i="18"/>
  <c r="AB753" i="18"/>
  <c r="AF753" i="18"/>
  <c r="N754" i="18"/>
  <c r="R754" i="18"/>
  <c r="U754" i="18"/>
  <c r="AC754" i="18" s="1"/>
  <c r="X754" i="18"/>
  <c r="AB754" i="18"/>
  <c r="AF754" i="18"/>
  <c r="N755" i="18"/>
  <c r="R755" i="18"/>
  <c r="U755" i="18"/>
  <c r="AC755" i="18" s="1"/>
  <c r="X755" i="18"/>
  <c r="AB755" i="18"/>
  <c r="AF755" i="18"/>
  <c r="N756" i="18"/>
  <c r="R756" i="18"/>
  <c r="U756" i="18"/>
  <c r="AC756" i="18" s="1"/>
  <c r="X756" i="18"/>
  <c r="AB756" i="18"/>
  <c r="AF756" i="18"/>
  <c r="N757" i="18"/>
  <c r="R757" i="18"/>
  <c r="U757" i="18"/>
  <c r="X757" i="18"/>
  <c r="AB757" i="18"/>
  <c r="AF757" i="18"/>
  <c r="N758" i="18"/>
  <c r="R758" i="18"/>
  <c r="U758" i="18"/>
  <c r="AC758" i="18" s="1"/>
  <c r="X758" i="18"/>
  <c r="AB758" i="18"/>
  <c r="AF758" i="18"/>
  <c r="N759" i="18"/>
  <c r="R759" i="18"/>
  <c r="U759" i="18"/>
  <c r="AC759" i="18" s="1"/>
  <c r="X759" i="18"/>
  <c r="AB759" i="18"/>
  <c r="AF759" i="18"/>
  <c r="N760" i="18"/>
  <c r="R760" i="18"/>
  <c r="U760" i="18"/>
  <c r="X760" i="18"/>
  <c r="AB760" i="18"/>
  <c r="AF760" i="18"/>
  <c r="N761" i="18"/>
  <c r="R761" i="18"/>
  <c r="U761" i="18"/>
  <c r="X761" i="18"/>
  <c r="AB761" i="18"/>
  <c r="AF761" i="18"/>
  <c r="N762" i="18"/>
  <c r="R762" i="18"/>
  <c r="U762" i="18"/>
  <c r="AC762" i="18" s="1"/>
  <c r="X762" i="18"/>
  <c r="AB762" i="18"/>
  <c r="AF762" i="18"/>
  <c r="N763" i="18"/>
  <c r="R763" i="18"/>
  <c r="U763" i="18"/>
  <c r="AC763" i="18" s="1"/>
  <c r="X763" i="18"/>
  <c r="AB763" i="18"/>
  <c r="AF763" i="18"/>
  <c r="N764" i="18"/>
  <c r="R764" i="18"/>
  <c r="U764" i="18"/>
  <c r="AC764" i="18" s="1"/>
  <c r="X764" i="18"/>
  <c r="AB764" i="18"/>
  <c r="AF764" i="18"/>
  <c r="N765" i="18"/>
  <c r="R765" i="18"/>
  <c r="U765" i="18"/>
  <c r="X765" i="18"/>
  <c r="AB765" i="18"/>
  <c r="AF765" i="18"/>
  <c r="N766" i="18"/>
  <c r="R766" i="18"/>
  <c r="U766" i="18"/>
  <c r="AC766" i="18" s="1"/>
  <c r="X766" i="18"/>
  <c r="AB766" i="18"/>
  <c r="AF766" i="18"/>
  <c r="N767" i="18"/>
  <c r="R767" i="18"/>
  <c r="U767" i="18"/>
  <c r="AC767" i="18" s="1"/>
  <c r="X767" i="18"/>
  <c r="AB767" i="18"/>
  <c r="AF767" i="18"/>
  <c r="N768" i="18"/>
  <c r="R768" i="18"/>
  <c r="U768" i="18"/>
  <c r="X768" i="18"/>
  <c r="AB768" i="18"/>
  <c r="AF768" i="18"/>
  <c r="N769" i="18"/>
  <c r="R769" i="18"/>
  <c r="U769" i="18"/>
  <c r="X769" i="18"/>
  <c r="AB769" i="18"/>
  <c r="AF769" i="18"/>
  <c r="N770" i="18"/>
  <c r="R770" i="18"/>
  <c r="U770" i="18"/>
  <c r="AC770" i="18" s="1"/>
  <c r="X770" i="18"/>
  <c r="AB770" i="18"/>
  <c r="AF770" i="18"/>
  <c r="N771" i="18"/>
  <c r="R771" i="18"/>
  <c r="U771" i="18"/>
  <c r="AC771" i="18" s="1"/>
  <c r="X771" i="18"/>
  <c r="AB771" i="18"/>
  <c r="AF771" i="18"/>
  <c r="N772" i="18"/>
  <c r="R772" i="18"/>
  <c r="U772" i="18"/>
  <c r="X772" i="18"/>
  <c r="AB772" i="18"/>
  <c r="AF772" i="18"/>
  <c r="N773" i="18"/>
  <c r="R773" i="18"/>
  <c r="U773" i="18"/>
  <c r="X773" i="18"/>
  <c r="AB773" i="18"/>
  <c r="AF773" i="18"/>
  <c r="N774" i="18"/>
  <c r="R774" i="18"/>
  <c r="U774" i="18"/>
  <c r="AC774" i="18" s="1"/>
  <c r="X774" i="18"/>
  <c r="AB774" i="18"/>
  <c r="AF774" i="18"/>
  <c r="N775" i="18"/>
  <c r="R775" i="18"/>
  <c r="U775" i="18"/>
  <c r="AC775" i="18" s="1"/>
  <c r="X775" i="18"/>
  <c r="AB775" i="18"/>
  <c r="AF775" i="18"/>
  <c r="N776" i="18"/>
  <c r="R776" i="18"/>
  <c r="U776" i="18"/>
  <c r="X776" i="18"/>
  <c r="AB776" i="18"/>
  <c r="AF776" i="18"/>
  <c r="N777" i="18"/>
  <c r="R777" i="18"/>
  <c r="U777" i="18"/>
  <c r="X777" i="18"/>
  <c r="AB777" i="18"/>
  <c r="AF777" i="18"/>
  <c r="N778" i="18"/>
  <c r="R778" i="18"/>
  <c r="U778" i="18"/>
  <c r="AC778" i="18" s="1"/>
  <c r="X778" i="18"/>
  <c r="AB778" i="18"/>
  <c r="AF778" i="18"/>
  <c r="N779" i="18"/>
  <c r="R779" i="18"/>
  <c r="U779" i="18"/>
  <c r="X779" i="18"/>
  <c r="AB779" i="18"/>
  <c r="AF779" i="18"/>
  <c r="N780" i="18"/>
  <c r="R780" i="18"/>
  <c r="U780" i="18"/>
  <c r="AC780" i="18" s="1"/>
  <c r="X780" i="18"/>
  <c r="AB780" i="18"/>
  <c r="AF780" i="18"/>
  <c r="N781" i="18"/>
  <c r="R781" i="18"/>
  <c r="U781" i="18"/>
  <c r="X781" i="18"/>
  <c r="AB781" i="18"/>
  <c r="AF781" i="18"/>
  <c r="N782" i="18"/>
  <c r="R782" i="18"/>
  <c r="U782" i="18"/>
  <c r="AC782" i="18" s="1"/>
  <c r="X782" i="18"/>
  <c r="AB782" i="18"/>
  <c r="AF782" i="18"/>
  <c r="N783" i="18"/>
  <c r="R783" i="18"/>
  <c r="U783" i="18"/>
  <c r="AC783" i="18" s="1"/>
  <c r="X783" i="18"/>
  <c r="AB783" i="18"/>
  <c r="AF783" i="18"/>
  <c r="N784" i="18"/>
  <c r="R784" i="18"/>
  <c r="U784" i="18"/>
  <c r="X784" i="18"/>
  <c r="AB784" i="18"/>
  <c r="AF784" i="18"/>
  <c r="N785" i="18"/>
  <c r="R785" i="18"/>
  <c r="U785" i="18"/>
  <c r="X785" i="18"/>
  <c r="AB785" i="18"/>
  <c r="AF785" i="18"/>
  <c r="N786" i="18"/>
  <c r="R786" i="18"/>
  <c r="U786" i="18"/>
  <c r="AC786" i="18" s="1"/>
  <c r="X786" i="18"/>
  <c r="AB786" i="18"/>
  <c r="AF786" i="18"/>
  <c r="N787" i="18"/>
  <c r="R787" i="18"/>
  <c r="U787" i="18"/>
  <c r="AC787" i="18" s="1"/>
  <c r="X787" i="18"/>
  <c r="AB787" i="18"/>
  <c r="AF787" i="18"/>
  <c r="N788" i="18"/>
  <c r="R788" i="18"/>
  <c r="U788" i="18"/>
  <c r="AC788" i="18" s="1"/>
  <c r="X788" i="18"/>
  <c r="AB788" i="18"/>
  <c r="AF788" i="18"/>
  <c r="N789" i="18"/>
  <c r="R789" i="18"/>
  <c r="U789" i="18"/>
  <c r="X789" i="18"/>
  <c r="AB789" i="18"/>
  <c r="AF789" i="18"/>
  <c r="N790" i="18"/>
  <c r="R790" i="18"/>
  <c r="U790" i="18"/>
  <c r="AC790" i="18" s="1"/>
  <c r="X790" i="18"/>
  <c r="AB790" i="18"/>
  <c r="AF790" i="18"/>
  <c r="N791" i="18"/>
  <c r="R791" i="18"/>
  <c r="U791" i="18"/>
  <c r="AC791" i="18" s="1"/>
  <c r="X791" i="18"/>
  <c r="AB791" i="18"/>
  <c r="AF791" i="18"/>
  <c r="N792" i="18"/>
  <c r="R792" i="18"/>
  <c r="U792" i="18"/>
  <c r="X792" i="18"/>
  <c r="AB792" i="18"/>
  <c r="AF792" i="18"/>
  <c r="N793" i="18"/>
  <c r="R793" i="18"/>
  <c r="U793" i="18"/>
  <c r="X793" i="18"/>
  <c r="AB793" i="18"/>
  <c r="AF793" i="18"/>
  <c r="N794" i="18"/>
  <c r="R794" i="18"/>
  <c r="U794" i="18"/>
  <c r="AC794" i="18" s="1"/>
  <c r="X794" i="18"/>
  <c r="AB794" i="18"/>
  <c r="AF794" i="18"/>
  <c r="N795" i="18"/>
  <c r="R795" i="18"/>
  <c r="U795" i="18"/>
  <c r="AC795" i="18" s="1"/>
  <c r="X795" i="18"/>
  <c r="AB795" i="18"/>
  <c r="AF795" i="18"/>
  <c r="N796" i="18"/>
  <c r="R796" i="18"/>
  <c r="U796" i="18"/>
  <c r="AC796" i="18" s="1"/>
  <c r="X796" i="18"/>
  <c r="AB796" i="18"/>
  <c r="AF796" i="18"/>
  <c r="N797" i="18"/>
  <c r="R797" i="18"/>
  <c r="U797" i="18"/>
  <c r="X797" i="18"/>
  <c r="AB797" i="18"/>
  <c r="AF797" i="18"/>
  <c r="N798" i="18"/>
  <c r="R798" i="18"/>
  <c r="U798" i="18"/>
  <c r="AC798" i="18" s="1"/>
  <c r="X798" i="18"/>
  <c r="AB798" i="18"/>
  <c r="AF798" i="18"/>
  <c r="N799" i="18"/>
  <c r="R799" i="18"/>
  <c r="U799" i="18"/>
  <c r="X799" i="18"/>
  <c r="AB799" i="18"/>
  <c r="AF799" i="18"/>
  <c r="N800" i="18"/>
  <c r="R800" i="18"/>
  <c r="U800" i="18"/>
  <c r="X800" i="18"/>
  <c r="AB800" i="18"/>
  <c r="AF800" i="18"/>
  <c r="N801" i="18"/>
  <c r="R801" i="18"/>
  <c r="U801" i="18"/>
  <c r="X801" i="18"/>
  <c r="AB801" i="18"/>
  <c r="AF801" i="18"/>
  <c r="N802" i="18"/>
  <c r="R802" i="18"/>
  <c r="U802" i="18"/>
  <c r="AC802" i="18" s="1"/>
  <c r="X802" i="18"/>
  <c r="AB802" i="18"/>
  <c r="AF802" i="18"/>
  <c r="N803" i="18"/>
  <c r="R803" i="18"/>
  <c r="U803" i="18"/>
  <c r="AC803" i="18" s="1"/>
  <c r="X803" i="18"/>
  <c r="AB803" i="18"/>
  <c r="AF803" i="18"/>
  <c r="N804" i="18"/>
  <c r="R804" i="18"/>
  <c r="U804" i="18"/>
  <c r="X804" i="18"/>
  <c r="AB804" i="18"/>
  <c r="AF804" i="18"/>
  <c r="N805" i="18"/>
  <c r="R805" i="18"/>
  <c r="U805" i="18"/>
  <c r="X805" i="18"/>
  <c r="AB805" i="18"/>
  <c r="AF805" i="18"/>
  <c r="N806" i="18"/>
  <c r="R806" i="18"/>
  <c r="U806" i="18"/>
  <c r="AC806" i="18" s="1"/>
  <c r="X806" i="18"/>
  <c r="AB806" i="18"/>
  <c r="AF806" i="18"/>
  <c r="N807" i="18"/>
  <c r="R807" i="18"/>
  <c r="U807" i="18"/>
  <c r="X807" i="18"/>
  <c r="AB807" i="18"/>
  <c r="AF807" i="18"/>
  <c r="N808" i="18"/>
  <c r="R808" i="18"/>
  <c r="U808" i="18"/>
  <c r="X808" i="18"/>
  <c r="AB808" i="18"/>
  <c r="AF808" i="18"/>
  <c r="N809" i="18"/>
  <c r="R809" i="18"/>
  <c r="U809" i="18"/>
  <c r="X809" i="18"/>
  <c r="AB809" i="18"/>
  <c r="AF809" i="18"/>
  <c r="N810" i="18"/>
  <c r="R810" i="18"/>
  <c r="U810" i="18"/>
  <c r="AC810" i="18" s="1"/>
  <c r="X810" i="18"/>
  <c r="AB810" i="18"/>
  <c r="AF810" i="18"/>
  <c r="N811" i="18"/>
  <c r="R811" i="18"/>
  <c r="U811" i="18"/>
  <c r="X811" i="18"/>
  <c r="AB811" i="18"/>
  <c r="AF811" i="18"/>
  <c r="N812" i="18"/>
  <c r="R812" i="18"/>
  <c r="U812" i="18"/>
  <c r="AC812" i="18" s="1"/>
  <c r="X812" i="18"/>
  <c r="AB812" i="18"/>
  <c r="AF812" i="18"/>
  <c r="N813" i="18"/>
  <c r="R813" i="18"/>
  <c r="U813" i="18"/>
  <c r="X813" i="18"/>
  <c r="AB813" i="18"/>
  <c r="AF813" i="18"/>
  <c r="N814" i="18"/>
  <c r="R814" i="18"/>
  <c r="U814" i="18"/>
  <c r="AC814" i="18" s="1"/>
  <c r="X814" i="18"/>
  <c r="AB814" i="18"/>
  <c r="AF814" i="18"/>
  <c r="N815" i="18"/>
  <c r="R815" i="18"/>
  <c r="U815" i="18"/>
  <c r="AC815" i="18" s="1"/>
  <c r="X815" i="18"/>
  <c r="AB815" i="18"/>
  <c r="AF815" i="18"/>
  <c r="N816" i="18"/>
  <c r="R816" i="18"/>
  <c r="U816" i="18"/>
  <c r="X816" i="18"/>
  <c r="AB816" i="18"/>
  <c r="AF816" i="18"/>
  <c r="N817" i="18"/>
  <c r="R817" i="18"/>
  <c r="U817" i="18"/>
  <c r="X817" i="18"/>
  <c r="AB817" i="18"/>
  <c r="AF817" i="18"/>
  <c r="N818" i="18"/>
  <c r="R818" i="18"/>
  <c r="U818" i="18"/>
  <c r="AC818" i="18" s="1"/>
  <c r="X818" i="18"/>
  <c r="AB818" i="18"/>
  <c r="AF818" i="18"/>
  <c r="N819" i="18"/>
  <c r="R819" i="18"/>
  <c r="U819" i="18"/>
  <c r="AC819" i="18" s="1"/>
  <c r="X819" i="18"/>
  <c r="AB819" i="18"/>
  <c r="AF819" i="18"/>
  <c r="N820" i="18"/>
  <c r="R820" i="18"/>
  <c r="U820" i="18"/>
  <c r="AC820" i="18" s="1"/>
  <c r="X820" i="18"/>
  <c r="AB820" i="18"/>
  <c r="AF820" i="18"/>
  <c r="N821" i="18"/>
  <c r="R821" i="18"/>
  <c r="U821" i="18"/>
  <c r="X821" i="18"/>
  <c r="AB821" i="18"/>
  <c r="AF821" i="18"/>
  <c r="N822" i="18"/>
  <c r="R822" i="18"/>
  <c r="U822" i="18"/>
  <c r="AC822" i="18" s="1"/>
  <c r="X822" i="18"/>
  <c r="AB822" i="18"/>
  <c r="AF822" i="18"/>
  <c r="N823" i="18"/>
  <c r="R823" i="18"/>
  <c r="U823" i="18"/>
  <c r="AC823" i="18" s="1"/>
  <c r="X823" i="18"/>
  <c r="AB823" i="18"/>
  <c r="AF823" i="18"/>
  <c r="N824" i="18"/>
  <c r="R824" i="18"/>
  <c r="U824" i="18"/>
  <c r="X824" i="18"/>
  <c r="AB824" i="18"/>
  <c r="AF824" i="18"/>
  <c r="N825" i="18"/>
  <c r="R825" i="18"/>
  <c r="U825" i="18"/>
  <c r="X825" i="18"/>
  <c r="AB825" i="18"/>
  <c r="AF825" i="18"/>
  <c r="N826" i="18"/>
  <c r="R826" i="18"/>
  <c r="U826" i="18"/>
  <c r="AC826" i="18" s="1"/>
  <c r="X826" i="18"/>
  <c r="AB826" i="18"/>
  <c r="AF826" i="18"/>
  <c r="N827" i="18"/>
  <c r="R827" i="18"/>
  <c r="U827" i="18"/>
  <c r="AC827" i="18" s="1"/>
  <c r="X827" i="18"/>
  <c r="AB827" i="18"/>
  <c r="AF827" i="18"/>
  <c r="N828" i="18"/>
  <c r="R828" i="18"/>
  <c r="U828" i="18"/>
  <c r="AC828" i="18" s="1"/>
  <c r="X828" i="18"/>
  <c r="AB828" i="18"/>
  <c r="AF828" i="18"/>
  <c r="N829" i="18"/>
  <c r="R829" i="18"/>
  <c r="U829" i="18"/>
  <c r="X829" i="18"/>
  <c r="AB829" i="18"/>
  <c r="AF829" i="18"/>
  <c r="N830" i="18"/>
  <c r="R830" i="18"/>
  <c r="U830" i="18"/>
  <c r="AC830" i="18" s="1"/>
  <c r="X830" i="18"/>
  <c r="AB830" i="18"/>
  <c r="AF830" i="18"/>
  <c r="N831" i="18"/>
  <c r="R831" i="18"/>
  <c r="U831" i="18"/>
  <c r="X831" i="18"/>
  <c r="AB831" i="18"/>
  <c r="AF831" i="18"/>
  <c r="N832" i="18"/>
  <c r="R832" i="18"/>
  <c r="U832" i="18"/>
  <c r="X832" i="18"/>
  <c r="AB832" i="18"/>
  <c r="AF832" i="18"/>
  <c r="N833" i="18"/>
  <c r="R833" i="18"/>
  <c r="U833" i="18"/>
  <c r="X833" i="18"/>
  <c r="AB833" i="18"/>
  <c r="AF833" i="18"/>
  <c r="N834" i="18"/>
  <c r="R834" i="18"/>
  <c r="U834" i="18"/>
  <c r="AC834" i="18" s="1"/>
  <c r="X834" i="18"/>
  <c r="AB834" i="18"/>
  <c r="AF834" i="18"/>
  <c r="N835" i="18"/>
  <c r="R835" i="18"/>
  <c r="U835" i="18"/>
  <c r="AC835" i="18" s="1"/>
  <c r="X835" i="18"/>
  <c r="AB835" i="18"/>
  <c r="AF835" i="18"/>
  <c r="N836" i="18"/>
  <c r="R836" i="18"/>
  <c r="U836" i="18"/>
  <c r="X836" i="18"/>
  <c r="AB836" i="18"/>
  <c r="AF836" i="18"/>
  <c r="N837" i="18"/>
  <c r="R837" i="18"/>
  <c r="U837" i="18"/>
  <c r="X837" i="18"/>
  <c r="AB837" i="18"/>
  <c r="AF837" i="18"/>
  <c r="N838" i="18"/>
  <c r="R838" i="18"/>
  <c r="U838" i="18"/>
  <c r="AC838" i="18" s="1"/>
  <c r="X838" i="18"/>
  <c r="AB838" i="18"/>
  <c r="AF838" i="18"/>
  <c r="N839" i="18"/>
  <c r="R839" i="18"/>
  <c r="U839" i="18"/>
  <c r="X839" i="18"/>
  <c r="AB839" i="18"/>
  <c r="AF839" i="18"/>
  <c r="N840" i="18"/>
  <c r="R840" i="18"/>
  <c r="U840" i="18"/>
  <c r="X840" i="18"/>
  <c r="AB840" i="18"/>
  <c r="AF840" i="18"/>
  <c r="N841" i="18"/>
  <c r="R841" i="18"/>
  <c r="U841" i="18"/>
  <c r="AC841" i="18" s="1"/>
  <c r="X841" i="18"/>
  <c r="AB841" i="18"/>
  <c r="AF841" i="18"/>
  <c r="N842" i="18"/>
  <c r="R842" i="18"/>
  <c r="U842" i="18"/>
  <c r="AC842" i="18" s="1"/>
  <c r="X842" i="18"/>
  <c r="AB842" i="18"/>
  <c r="AF842" i="18"/>
  <c r="N843" i="18"/>
  <c r="R843" i="18"/>
  <c r="U843" i="18"/>
  <c r="AC843" i="18" s="1"/>
  <c r="X843" i="18"/>
  <c r="AB843" i="18"/>
  <c r="AF843" i="18"/>
  <c r="N844" i="18"/>
  <c r="R844" i="18"/>
  <c r="U844" i="18"/>
  <c r="X844" i="18"/>
  <c r="AB844" i="18"/>
  <c r="AF844" i="18"/>
  <c r="N845" i="18"/>
  <c r="R845" i="18"/>
  <c r="U845" i="18"/>
  <c r="AC845" i="18" s="1"/>
  <c r="X845" i="18"/>
  <c r="AB845" i="18"/>
  <c r="AF845" i="18"/>
  <c r="N846" i="18"/>
  <c r="R846" i="18"/>
  <c r="U846" i="18"/>
  <c r="X846" i="18"/>
  <c r="AB846" i="18"/>
  <c r="AF846" i="18"/>
  <c r="N847" i="18"/>
  <c r="R847" i="18"/>
  <c r="U847" i="18"/>
  <c r="AC847" i="18" s="1"/>
  <c r="X847" i="18"/>
  <c r="AB847" i="18"/>
  <c r="AF847" i="18"/>
  <c r="N848" i="18"/>
  <c r="R848" i="18"/>
  <c r="U848" i="18"/>
  <c r="X848" i="18"/>
  <c r="AB848" i="18"/>
  <c r="AF848" i="18"/>
  <c r="N849" i="18"/>
  <c r="R849" i="18"/>
  <c r="U849" i="18"/>
  <c r="AC849" i="18" s="1"/>
  <c r="X849" i="18"/>
  <c r="AB849" i="18"/>
  <c r="AF849" i="18"/>
  <c r="N850" i="18"/>
  <c r="R850" i="18"/>
  <c r="U850" i="18"/>
  <c r="AC850" i="18" s="1"/>
  <c r="X850" i="18"/>
  <c r="AB850" i="18"/>
  <c r="AF850" i="18"/>
  <c r="N851" i="18"/>
  <c r="R851" i="18"/>
  <c r="U851" i="18"/>
  <c r="AC851" i="18" s="1"/>
  <c r="X851" i="18"/>
  <c r="AB851" i="18"/>
  <c r="AF851" i="18"/>
  <c r="N852" i="18"/>
  <c r="R852" i="18"/>
  <c r="U852" i="18"/>
  <c r="X852" i="18"/>
  <c r="AB852" i="18"/>
  <c r="AF852" i="18"/>
  <c r="N853" i="18"/>
  <c r="R853" i="18"/>
  <c r="U853" i="18"/>
  <c r="AC853" i="18" s="1"/>
  <c r="X853" i="18"/>
  <c r="AB853" i="18"/>
  <c r="AF853" i="18"/>
  <c r="N854" i="18"/>
  <c r="R854" i="18"/>
  <c r="U854" i="18"/>
  <c r="X854" i="18"/>
  <c r="AB854" i="18"/>
  <c r="AF854" i="18"/>
  <c r="N855" i="18"/>
  <c r="R855" i="18"/>
  <c r="U855" i="18"/>
  <c r="AC855" i="18" s="1"/>
  <c r="X855" i="18"/>
  <c r="AB855" i="18"/>
  <c r="AF855" i="18"/>
  <c r="N856" i="18"/>
  <c r="R856" i="18"/>
  <c r="U856" i="18"/>
  <c r="X856" i="18"/>
  <c r="AB856" i="18"/>
  <c r="AF856" i="18"/>
  <c r="N857" i="18"/>
  <c r="R857" i="18"/>
  <c r="U857" i="18"/>
  <c r="AC857" i="18" s="1"/>
  <c r="X857" i="18"/>
  <c r="AB857" i="18"/>
  <c r="AF857" i="18"/>
  <c r="N858" i="18"/>
  <c r="R858" i="18"/>
  <c r="U858" i="18"/>
  <c r="AC858" i="18" s="1"/>
  <c r="X858" i="18"/>
  <c r="AB858" i="18"/>
  <c r="AF858" i="18"/>
  <c r="N859" i="18"/>
  <c r="R859" i="18"/>
  <c r="U859" i="18"/>
  <c r="AC859" i="18" s="1"/>
  <c r="X859" i="18"/>
  <c r="AB859" i="18"/>
  <c r="AF859" i="18"/>
  <c r="N860" i="18"/>
  <c r="R860" i="18"/>
  <c r="U860" i="18"/>
  <c r="X860" i="18"/>
  <c r="AB860" i="18"/>
  <c r="AF860" i="18"/>
  <c r="N861" i="18"/>
  <c r="R861" i="18"/>
  <c r="U861" i="18"/>
  <c r="AC861" i="18" s="1"/>
  <c r="X861" i="18"/>
  <c r="AB861" i="18"/>
  <c r="AF861" i="18"/>
  <c r="N862" i="18"/>
  <c r="R862" i="18"/>
  <c r="U862" i="18"/>
  <c r="X862" i="18"/>
  <c r="AB862" i="18"/>
  <c r="AF862" i="18"/>
  <c r="N863" i="18"/>
  <c r="R863" i="18"/>
  <c r="U863" i="18"/>
  <c r="AC863" i="18" s="1"/>
  <c r="X863" i="18"/>
  <c r="AB863" i="18"/>
  <c r="AF863" i="18"/>
  <c r="N864" i="18"/>
  <c r="R864" i="18"/>
  <c r="U864" i="18"/>
  <c r="X864" i="18"/>
  <c r="AB864" i="18"/>
  <c r="AF864" i="18"/>
  <c r="N865" i="18"/>
  <c r="R865" i="18"/>
  <c r="U865" i="18"/>
  <c r="AC865" i="18" s="1"/>
  <c r="X865" i="18"/>
  <c r="AB865" i="18"/>
  <c r="AF865" i="18"/>
  <c r="N866" i="18"/>
  <c r="R866" i="18"/>
  <c r="U866" i="18"/>
  <c r="AC866" i="18" s="1"/>
  <c r="X866" i="18"/>
  <c r="AB866" i="18"/>
  <c r="AF866" i="18"/>
  <c r="N867" i="18"/>
  <c r="R867" i="18"/>
  <c r="U867" i="18"/>
  <c r="AC867" i="18" s="1"/>
  <c r="X867" i="18"/>
  <c r="AB867" i="18"/>
  <c r="AF867" i="18"/>
  <c r="N868" i="18"/>
  <c r="R868" i="18"/>
  <c r="U868" i="18"/>
  <c r="X868" i="18"/>
  <c r="AB868" i="18"/>
  <c r="AF868" i="18"/>
  <c r="N869" i="18"/>
  <c r="R869" i="18"/>
  <c r="U869" i="18"/>
  <c r="AC869" i="18" s="1"/>
  <c r="X869" i="18"/>
  <c r="AB869" i="18"/>
  <c r="AF869" i="18"/>
  <c r="N870" i="18"/>
  <c r="R870" i="18"/>
  <c r="U870" i="18"/>
  <c r="X870" i="18"/>
  <c r="AB870" i="18"/>
  <c r="AF870" i="18"/>
  <c r="N871" i="18"/>
  <c r="R871" i="18"/>
  <c r="U871" i="18"/>
  <c r="AC871" i="18" s="1"/>
  <c r="X871" i="18"/>
  <c r="AB871" i="18"/>
  <c r="AF871" i="18"/>
  <c r="N872" i="18"/>
  <c r="R872" i="18"/>
  <c r="U872" i="18"/>
  <c r="X872" i="18"/>
  <c r="AB872" i="18"/>
  <c r="AF872" i="18"/>
  <c r="N873" i="18"/>
  <c r="R873" i="18"/>
  <c r="U873" i="18"/>
  <c r="AC873" i="18" s="1"/>
  <c r="X873" i="18"/>
  <c r="AB873" i="18"/>
  <c r="AF873" i="18"/>
  <c r="N874" i="18"/>
  <c r="R874" i="18"/>
  <c r="U874" i="18"/>
  <c r="AC874" i="18" s="1"/>
  <c r="X874" i="18"/>
  <c r="AB874" i="18"/>
  <c r="AF874" i="18"/>
  <c r="N875" i="18"/>
  <c r="R875" i="18"/>
  <c r="U875" i="18"/>
  <c r="AC875" i="18" s="1"/>
  <c r="X875" i="18"/>
  <c r="AB875" i="18"/>
  <c r="AF875" i="18"/>
  <c r="N876" i="18"/>
  <c r="R876" i="18"/>
  <c r="U876" i="18"/>
  <c r="X876" i="18"/>
  <c r="AB876" i="18"/>
  <c r="AF876" i="18"/>
  <c r="N877" i="18"/>
  <c r="R877" i="18"/>
  <c r="U877" i="18"/>
  <c r="AC877" i="18" s="1"/>
  <c r="X877" i="18"/>
  <c r="AB877" i="18"/>
  <c r="AF877" i="18"/>
  <c r="N878" i="18"/>
  <c r="R878" i="18"/>
  <c r="U878" i="18"/>
  <c r="X878" i="18"/>
  <c r="AB878" i="18"/>
  <c r="AF878" i="18"/>
  <c r="N879" i="18"/>
  <c r="R879" i="18"/>
  <c r="U879" i="18"/>
  <c r="AC879" i="18" s="1"/>
  <c r="X879" i="18"/>
  <c r="AB879" i="18"/>
  <c r="AF879" i="18"/>
  <c r="N880" i="18"/>
  <c r="R880" i="18"/>
  <c r="U880" i="18"/>
  <c r="X880" i="18"/>
  <c r="AB880" i="18"/>
  <c r="AF880" i="18"/>
  <c r="N881" i="18"/>
  <c r="R881" i="18"/>
  <c r="U881" i="18"/>
  <c r="AC881" i="18" s="1"/>
  <c r="X881" i="18"/>
  <c r="AB881" i="18"/>
  <c r="AF881" i="18"/>
  <c r="N882" i="18"/>
  <c r="R882" i="18"/>
  <c r="U882" i="18"/>
  <c r="AC882" i="18" s="1"/>
  <c r="X882" i="18"/>
  <c r="AB882" i="18"/>
  <c r="AF882" i="18"/>
  <c r="N883" i="18"/>
  <c r="R883" i="18"/>
  <c r="U883" i="18"/>
  <c r="AC883" i="18" s="1"/>
  <c r="X883" i="18"/>
  <c r="AB883" i="18"/>
  <c r="AF883" i="18"/>
  <c r="N884" i="18"/>
  <c r="R884" i="18"/>
  <c r="U884" i="18"/>
  <c r="X884" i="18"/>
  <c r="AB884" i="18"/>
  <c r="AF884" i="18"/>
  <c r="N885" i="18"/>
  <c r="R885" i="18"/>
  <c r="U885" i="18"/>
  <c r="AC885" i="18" s="1"/>
  <c r="X885" i="18"/>
  <c r="AB885" i="18"/>
  <c r="AF885" i="18"/>
  <c r="N886" i="18"/>
  <c r="R886" i="18"/>
  <c r="U886" i="18"/>
  <c r="X886" i="18"/>
  <c r="AB886" i="18"/>
  <c r="AF886" i="18"/>
  <c r="N887" i="18"/>
  <c r="R887" i="18"/>
  <c r="U887" i="18"/>
  <c r="AC887" i="18" s="1"/>
  <c r="X887" i="18"/>
  <c r="AB887" i="18"/>
  <c r="AF887" i="18"/>
  <c r="N888" i="18"/>
  <c r="R888" i="18"/>
  <c r="U888" i="18"/>
  <c r="X888" i="18"/>
  <c r="AB888" i="18"/>
  <c r="AF888" i="18"/>
  <c r="N889" i="18"/>
  <c r="R889" i="18"/>
  <c r="U889" i="18"/>
  <c r="AC889" i="18" s="1"/>
  <c r="X889" i="18"/>
  <c r="AB889" i="18"/>
  <c r="AF889" i="18"/>
  <c r="N890" i="18"/>
  <c r="R890" i="18"/>
  <c r="U890" i="18"/>
  <c r="AC890" i="18" s="1"/>
  <c r="X890" i="18"/>
  <c r="AB890" i="18"/>
  <c r="AF890" i="18"/>
  <c r="N891" i="18"/>
  <c r="R891" i="18"/>
  <c r="U891" i="18"/>
  <c r="AC891" i="18" s="1"/>
  <c r="X891" i="18"/>
  <c r="AB891" i="18"/>
  <c r="AF891" i="18"/>
  <c r="N892" i="18"/>
  <c r="R892" i="18"/>
  <c r="U892" i="18"/>
  <c r="X892" i="18"/>
  <c r="AB892" i="18"/>
  <c r="AF892" i="18"/>
  <c r="N893" i="18"/>
  <c r="R893" i="18"/>
  <c r="U893" i="18"/>
  <c r="AC893" i="18" s="1"/>
  <c r="X893" i="18"/>
  <c r="AB893" i="18"/>
  <c r="AF893" i="18"/>
  <c r="N894" i="18"/>
  <c r="R894" i="18"/>
  <c r="U894" i="18"/>
  <c r="X894" i="18"/>
  <c r="AB894" i="18"/>
  <c r="AF894" i="18"/>
  <c r="N895" i="18"/>
  <c r="R895" i="18"/>
  <c r="U895" i="18"/>
  <c r="X895" i="18"/>
  <c r="AB895" i="18"/>
  <c r="AF895" i="18"/>
  <c r="N896" i="18"/>
  <c r="R896" i="18"/>
  <c r="U896" i="18"/>
  <c r="X896" i="18"/>
  <c r="AB896" i="18"/>
  <c r="AF896" i="18"/>
  <c r="N897" i="18"/>
  <c r="R897" i="18"/>
  <c r="U897" i="18"/>
  <c r="AC897" i="18" s="1"/>
  <c r="X897" i="18"/>
  <c r="AB897" i="18"/>
  <c r="AF897" i="18"/>
  <c r="N898" i="18"/>
  <c r="R898" i="18"/>
  <c r="U898" i="18"/>
  <c r="AC898" i="18" s="1"/>
  <c r="X898" i="18"/>
  <c r="AB898" i="18"/>
  <c r="AF898" i="18"/>
  <c r="N899" i="18"/>
  <c r="R899" i="18"/>
  <c r="U899" i="18"/>
  <c r="AC899" i="18" s="1"/>
  <c r="X899" i="18"/>
  <c r="AB899" i="18"/>
  <c r="AF899" i="18"/>
  <c r="N900" i="18"/>
  <c r="R900" i="18"/>
  <c r="U900" i="18"/>
  <c r="X900" i="18"/>
  <c r="AB900" i="18"/>
  <c r="AF900" i="18"/>
  <c r="N901" i="18"/>
  <c r="R901" i="18"/>
  <c r="U901" i="18"/>
  <c r="AC901" i="18" s="1"/>
  <c r="X901" i="18"/>
  <c r="AB901" i="18"/>
  <c r="AF901" i="18"/>
  <c r="N902" i="18"/>
  <c r="R902" i="18"/>
  <c r="U902" i="18"/>
  <c r="X902" i="18"/>
  <c r="AB902" i="18"/>
  <c r="AF902" i="18"/>
  <c r="N903" i="18"/>
  <c r="R903" i="18"/>
  <c r="U903" i="18"/>
  <c r="AC903" i="18" s="1"/>
  <c r="X903" i="18"/>
  <c r="AB903" i="18"/>
  <c r="AF903" i="18"/>
  <c r="N904" i="18"/>
  <c r="R904" i="18"/>
  <c r="U904" i="18"/>
  <c r="X904" i="18"/>
  <c r="AB904" i="18"/>
  <c r="AF904" i="18"/>
  <c r="N905" i="18"/>
  <c r="R905" i="18"/>
  <c r="U905" i="18"/>
  <c r="AC905" i="18" s="1"/>
  <c r="X905" i="18"/>
  <c r="AB905" i="18"/>
  <c r="AF905" i="18"/>
  <c r="N906" i="18"/>
  <c r="R906" i="18"/>
  <c r="U906" i="18"/>
  <c r="AC906" i="18" s="1"/>
  <c r="X906" i="18"/>
  <c r="AB906" i="18"/>
  <c r="AF906" i="18"/>
  <c r="N907" i="18"/>
  <c r="R907" i="18"/>
  <c r="U907" i="18"/>
  <c r="AC907" i="18" s="1"/>
  <c r="X907" i="18"/>
  <c r="AB907" i="18"/>
  <c r="AF907" i="18"/>
  <c r="N908" i="18"/>
  <c r="R908" i="18"/>
  <c r="U908" i="18"/>
  <c r="X908" i="18"/>
  <c r="AB908" i="18"/>
  <c r="AF908" i="18"/>
  <c r="N909" i="18"/>
  <c r="R909" i="18"/>
  <c r="U909" i="18"/>
  <c r="AC909" i="18" s="1"/>
  <c r="X909" i="18"/>
  <c r="AB909" i="18"/>
  <c r="AF909" i="18"/>
  <c r="N910" i="18"/>
  <c r="R910" i="18"/>
  <c r="U910" i="18"/>
  <c r="X910" i="18"/>
  <c r="AB910" i="18"/>
  <c r="AF910" i="18"/>
  <c r="N911" i="18"/>
  <c r="R911" i="18"/>
  <c r="U911" i="18"/>
  <c r="AC911" i="18" s="1"/>
  <c r="X911" i="18"/>
  <c r="AB911" i="18"/>
  <c r="AF911" i="18"/>
  <c r="N912" i="18"/>
  <c r="R912" i="18"/>
  <c r="U912" i="18"/>
  <c r="X912" i="18"/>
  <c r="AB912" i="18"/>
  <c r="AF912" i="18"/>
  <c r="N913" i="18"/>
  <c r="R913" i="18"/>
  <c r="U913" i="18"/>
  <c r="AC913" i="18" s="1"/>
  <c r="X913" i="18"/>
  <c r="AB913" i="18"/>
  <c r="AF913" i="18"/>
  <c r="N914" i="18"/>
  <c r="R914" i="18"/>
  <c r="U914" i="18"/>
  <c r="AC914" i="18" s="1"/>
  <c r="X914" i="18"/>
  <c r="AB914" i="18"/>
  <c r="AF914" i="18"/>
  <c r="N915" i="18"/>
  <c r="R915" i="18"/>
  <c r="U915" i="18"/>
  <c r="AC915" i="18" s="1"/>
  <c r="X915" i="18"/>
  <c r="AB915" i="18"/>
  <c r="AF915" i="18"/>
  <c r="N916" i="18"/>
  <c r="R916" i="18"/>
  <c r="U916" i="18"/>
  <c r="X916" i="18"/>
  <c r="AB916" i="18"/>
  <c r="AF916" i="18"/>
  <c r="N917" i="18"/>
  <c r="R917" i="18"/>
  <c r="U917" i="18"/>
  <c r="AC917" i="18" s="1"/>
  <c r="X917" i="18"/>
  <c r="AB917" i="18"/>
  <c r="AF917" i="18"/>
  <c r="N918" i="18"/>
  <c r="R918" i="18"/>
  <c r="U918" i="18"/>
  <c r="X918" i="18"/>
  <c r="AB918" i="18"/>
  <c r="AF918" i="18"/>
  <c r="N919" i="18"/>
  <c r="R919" i="18"/>
  <c r="U919" i="18"/>
  <c r="AC919" i="18" s="1"/>
  <c r="X919" i="18"/>
  <c r="AB919" i="18"/>
  <c r="AF919" i="18"/>
  <c r="N920" i="18"/>
  <c r="R920" i="18"/>
  <c r="U920" i="18"/>
  <c r="X920" i="18"/>
  <c r="AB920" i="18"/>
  <c r="AF920" i="18"/>
  <c r="N921" i="18"/>
  <c r="R921" i="18"/>
  <c r="U921" i="18"/>
  <c r="AC921" i="18" s="1"/>
  <c r="X921" i="18"/>
  <c r="AB921" i="18"/>
  <c r="AF921" i="18"/>
  <c r="N922" i="18"/>
  <c r="R922" i="18"/>
  <c r="U922" i="18"/>
  <c r="AC922" i="18" s="1"/>
  <c r="X922" i="18"/>
  <c r="AB922" i="18"/>
  <c r="AF922" i="18"/>
  <c r="N923" i="18"/>
  <c r="R923" i="18"/>
  <c r="U923" i="18"/>
  <c r="AC923" i="18" s="1"/>
  <c r="X923" i="18"/>
  <c r="AB923" i="18"/>
  <c r="AF923" i="18"/>
  <c r="N924" i="18"/>
  <c r="R924" i="18"/>
  <c r="U924" i="18"/>
  <c r="X924" i="18"/>
  <c r="AB924" i="18"/>
  <c r="AF924" i="18"/>
  <c r="N925" i="18"/>
  <c r="R925" i="18"/>
  <c r="U925" i="18"/>
  <c r="AC925" i="18" s="1"/>
  <c r="X925" i="18"/>
  <c r="AB925" i="18"/>
  <c r="AF925" i="18"/>
  <c r="N926" i="18"/>
  <c r="R926" i="18"/>
  <c r="U926" i="18"/>
  <c r="X926" i="18"/>
  <c r="AB926" i="18"/>
  <c r="AF926" i="18"/>
  <c r="N927" i="18"/>
  <c r="R927" i="18"/>
  <c r="U927" i="18"/>
  <c r="X927" i="18"/>
  <c r="AB927" i="18"/>
  <c r="AF927" i="18"/>
  <c r="N928" i="18"/>
  <c r="R928" i="18"/>
  <c r="U928" i="18"/>
  <c r="X928" i="18"/>
  <c r="AB928" i="18"/>
  <c r="AF928" i="18"/>
  <c r="N929" i="18"/>
  <c r="R929" i="18"/>
  <c r="U929" i="18"/>
  <c r="AC929" i="18" s="1"/>
  <c r="X929" i="18"/>
  <c r="AB929" i="18"/>
  <c r="AF929" i="18"/>
  <c r="N930" i="18"/>
  <c r="R930" i="18"/>
  <c r="U930" i="18"/>
  <c r="AC930" i="18" s="1"/>
  <c r="X930" i="18"/>
  <c r="AB930" i="18"/>
  <c r="AF930" i="18"/>
  <c r="N931" i="18"/>
  <c r="R931" i="18"/>
  <c r="U931" i="18"/>
  <c r="AC931" i="18" s="1"/>
  <c r="X931" i="18"/>
  <c r="AB931" i="18"/>
  <c r="AF931" i="18"/>
  <c r="N932" i="18"/>
  <c r="R932" i="18"/>
  <c r="U932" i="18"/>
  <c r="X932" i="18"/>
  <c r="AB932" i="18"/>
  <c r="AF932" i="18"/>
  <c r="N933" i="18"/>
  <c r="R933" i="18"/>
  <c r="U933" i="18"/>
  <c r="AC933" i="18" s="1"/>
  <c r="X933" i="18"/>
  <c r="AB933" i="18"/>
  <c r="AF933" i="18"/>
  <c r="N934" i="18"/>
  <c r="R934" i="18"/>
  <c r="U934" i="18"/>
  <c r="X934" i="18"/>
  <c r="AB934" i="18"/>
  <c r="AF934" i="18"/>
  <c r="N935" i="18"/>
  <c r="R935" i="18"/>
  <c r="U935" i="18"/>
  <c r="AC935" i="18" s="1"/>
  <c r="X935" i="18"/>
  <c r="AB935" i="18"/>
  <c r="AF935" i="18"/>
  <c r="N936" i="18"/>
  <c r="R936" i="18"/>
  <c r="U936" i="18"/>
  <c r="X936" i="18"/>
  <c r="AB936" i="18"/>
  <c r="AF936" i="18"/>
  <c r="N937" i="18"/>
  <c r="R937" i="18"/>
  <c r="U937" i="18"/>
  <c r="AC937" i="18" s="1"/>
  <c r="X937" i="18"/>
  <c r="AB937" i="18"/>
  <c r="AF937" i="18"/>
  <c r="N938" i="18"/>
  <c r="R938" i="18"/>
  <c r="U938" i="18"/>
  <c r="AC938" i="18" s="1"/>
  <c r="X938" i="18"/>
  <c r="AB938" i="18"/>
  <c r="AF938" i="18"/>
  <c r="N939" i="18"/>
  <c r="R939" i="18"/>
  <c r="U939" i="18"/>
  <c r="AC939" i="18" s="1"/>
  <c r="X939" i="18"/>
  <c r="AB939" i="18"/>
  <c r="AF939" i="18"/>
  <c r="N940" i="18"/>
  <c r="R940" i="18"/>
  <c r="U940" i="18"/>
  <c r="X940" i="18"/>
  <c r="AB940" i="18"/>
  <c r="AF940" i="18"/>
  <c r="N941" i="18"/>
  <c r="R941" i="18"/>
  <c r="U941" i="18"/>
  <c r="AC941" i="18" s="1"/>
  <c r="X941" i="18"/>
  <c r="AB941" i="18"/>
  <c r="AF941" i="18"/>
  <c r="N942" i="18"/>
  <c r="R942" i="18"/>
  <c r="U942" i="18"/>
  <c r="X942" i="18"/>
  <c r="AB942" i="18"/>
  <c r="AF942" i="18"/>
  <c r="N943" i="18"/>
  <c r="R943" i="18"/>
  <c r="U943" i="18"/>
  <c r="AC943" i="18" s="1"/>
  <c r="X943" i="18"/>
  <c r="AB943" i="18"/>
  <c r="AF943" i="18"/>
  <c r="N944" i="18"/>
  <c r="R944" i="18"/>
  <c r="U944" i="18"/>
  <c r="X944" i="18"/>
  <c r="AB944" i="18"/>
  <c r="AF944" i="18"/>
  <c r="N945" i="18"/>
  <c r="R945" i="18"/>
  <c r="U945" i="18"/>
  <c r="AC945" i="18" s="1"/>
  <c r="X945" i="18"/>
  <c r="AB945" i="18"/>
  <c r="AF945" i="18"/>
  <c r="N946" i="18"/>
  <c r="R946" i="18"/>
  <c r="U946" i="18"/>
  <c r="AC946" i="18" s="1"/>
  <c r="X946" i="18"/>
  <c r="AB946" i="18"/>
  <c r="AF946" i="18"/>
  <c r="N947" i="18"/>
  <c r="R947" i="18"/>
  <c r="U947" i="18"/>
  <c r="AC947" i="18" s="1"/>
  <c r="X947" i="18"/>
  <c r="AB947" i="18"/>
  <c r="AF947" i="18"/>
  <c r="N948" i="18"/>
  <c r="R948" i="18"/>
  <c r="U948" i="18"/>
  <c r="X948" i="18"/>
  <c r="AB948" i="18"/>
  <c r="AF948" i="18"/>
  <c r="N949" i="18"/>
  <c r="R949" i="18"/>
  <c r="U949" i="18"/>
  <c r="AC949" i="18" s="1"/>
  <c r="X949" i="18"/>
  <c r="AB949" i="18"/>
  <c r="AF949" i="18"/>
  <c r="N950" i="18"/>
  <c r="R950" i="18"/>
  <c r="U950" i="18"/>
  <c r="AC950" i="18" s="1"/>
  <c r="X950" i="18"/>
  <c r="AB950" i="18"/>
  <c r="AF950" i="18"/>
  <c r="N951" i="18"/>
  <c r="R951" i="18"/>
  <c r="U951" i="18"/>
  <c r="AC951" i="18" s="1"/>
  <c r="X951" i="18"/>
  <c r="AB951" i="18"/>
  <c r="AF951" i="18"/>
  <c r="N952" i="18"/>
  <c r="R952" i="18"/>
  <c r="U952" i="18"/>
  <c r="X952" i="18"/>
  <c r="AB952" i="18"/>
  <c r="AF952" i="18"/>
  <c r="N953" i="18"/>
  <c r="R953" i="18"/>
  <c r="U953" i="18"/>
  <c r="AC953" i="18" s="1"/>
  <c r="X953" i="18"/>
  <c r="AB953" i="18"/>
  <c r="AF953" i="18"/>
  <c r="N954" i="18"/>
  <c r="R954" i="18"/>
  <c r="U954" i="18"/>
  <c r="X954" i="18"/>
  <c r="AB954" i="18"/>
  <c r="AF954" i="18"/>
  <c r="N955" i="18"/>
  <c r="R955" i="18"/>
  <c r="U955" i="18"/>
  <c r="AC955" i="18" s="1"/>
  <c r="X955" i="18"/>
  <c r="AB955" i="18"/>
  <c r="AF955" i="18"/>
  <c r="N956" i="18"/>
  <c r="R956" i="18"/>
  <c r="U956" i="18"/>
  <c r="X956" i="18"/>
  <c r="AB956" i="18"/>
  <c r="AF956" i="18"/>
  <c r="N957" i="18"/>
  <c r="R957" i="18"/>
  <c r="U957" i="18"/>
  <c r="AC957" i="18" s="1"/>
  <c r="X957" i="18"/>
  <c r="AB957" i="18"/>
  <c r="AF957" i="18"/>
  <c r="N958" i="18"/>
  <c r="R958" i="18"/>
  <c r="U958" i="18"/>
  <c r="AC958" i="18" s="1"/>
  <c r="X958" i="18"/>
  <c r="AB958" i="18"/>
  <c r="AF958" i="18"/>
  <c r="N959" i="18"/>
  <c r="R959" i="18"/>
  <c r="U959" i="18"/>
  <c r="AC959" i="18" s="1"/>
  <c r="X959" i="18"/>
  <c r="AB959" i="18"/>
  <c r="AF959" i="18"/>
  <c r="N960" i="18"/>
  <c r="R960" i="18"/>
  <c r="U960" i="18"/>
  <c r="X960" i="18"/>
  <c r="AB960" i="18"/>
  <c r="AF960" i="18"/>
  <c r="N961" i="18"/>
  <c r="R961" i="18"/>
  <c r="U961" i="18"/>
  <c r="AC961" i="18" s="1"/>
  <c r="X961" i="18"/>
  <c r="AB961" i="18"/>
  <c r="AF961" i="18"/>
  <c r="N962" i="18"/>
  <c r="R962" i="18"/>
  <c r="U962" i="18"/>
  <c r="AC962" i="18" s="1"/>
  <c r="X962" i="18"/>
  <c r="AB962" i="18"/>
  <c r="AF962" i="18"/>
  <c r="N963" i="18"/>
  <c r="R963" i="18"/>
  <c r="U963" i="18"/>
  <c r="AC963" i="18" s="1"/>
  <c r="X963" i="18"/>
  <c r="AB963" i="18"/>
  <c r="AF963" i="18"/>
  <c r="N964" i="18"/>
  <c r="R964" i="18"/>
  <c r="U964" i="18"/>
  <c r="X964" i="18"/>
  <c r="AB964" i="18"/>
  <c r="AF964" i="18"/>
  <c r="N965" i="18"/>
  <c r="R965" i="18"/>
  <c r="U965" i="18"/>
  <c r="AC965" i="18" s="1"/>
  <c r="X965" i="18"/>
  <c r="AB965" i="18"/>
  <c r="AF965" i="18"/>
  <c r="N966" i="18"/>
  <c r="R966" i="18"/>
  <c r="U966" i="18"/>
  <c r="AC966" i="18" s="1"/>
  <c r="X966" i="18"/>
  <c r="AB966" i="18"/>
  <c r="AF966" i="18"/>
  <c r="N967" i="18"/>
  <c r="R967" i="18"/>
  <c r="U967" i="18"/>
  <c r="AC967" i="18" s="1"/>
  <c r="X967" i="18"/>
  <c r="AB967" i="18"/>
  <c r="AF967" i="18"/>
  <c r="N968" i="18"/>
  <c r="R968" i="18"/>
  <c r="U968" i="18"/>
  <c r="X968" i="18"/>
  <c r="AB968" i="18"/>
  <c r="AF968" i="18"/>
  <c r="N969" i="18"/>
  <c r="R969" i="18"/>
  <c r="U969" i="18"/>
  <c r="AC969" i="18" s="1"/>
  <c r="X969" i="18"/>
  <c r="AB969" i="18"/>
  <c r="AF969" i="18"/>
  <c r="N970" i="18"/>
  <c r="R970" i="18"/>
  <c r="U970" i="18"/>
  <c r="AC970" i="18" s="1"/>
  <c r="X970" i="18"/>
  <c r="AB970" i="18"/>
  <c r="AF970" i="18"/>
  <c r="N971" i="18"/>
  <c r="R971" i="18"/>
  <c r="U971" i="18"/>
  <c r="AC971" i="18" s="1"/>
  <c r="X971" i="18"/>
  <c r="AB971" i="18"/>
  <c r="AF971" i="18"/>
  <c r="N972" i="18"/>
  <c r="R972" i="18"/>
  <c r="U972" i="18"/>
  <c r="X972" i="18"/>
  <c r="AB972" i="18"/>
  <c r="AF972" i="18"/>
  <c r="N973" i="18"/>
  <c r="R973" i="18"/>
  <c r="U973" i="18"/>
  <c r="AC973" i="18" s="1"/>
  <c r="X973" i="18"/>
  <c r="AB973" i="18"/>
  <c r="AF973" i="18"/>
  <c r="N974" i="18"/>
  <c r="R974" i="18"/>
  <c r="U974" i="18"/>
  <c r="AC974" i="18" s="1"/>
  <c r="X974" i="18"/>
  <c r="AB974" i="18"/>
  <c r="AF974" i="18"/>
  <c r="N975" i="18"/>
  <c r="R975" i="18"/>
  <c r="U975" i="18"/>
  <c r="AC975" i="18" s="1"/>
  <c r="X975" i="18"/>
  <c r="AB975" i="18"/>
  <c r="AF975" i="18"/>
  <c r="N976" i="18"/>
  <c r="R976" i="18"/>
  <c r="U976" i="18"/>
  <c r="X976" i="18"/>
  <c r="AB976" i="18"/>
  <c r="AF976" i="18"/>
  <c r="N977" i="18"/>
  <c r="R977" i="18"/>
  <c r="U977" i="18"/>
  <c r="AC977" i="18" s="1"/>
  <c r="X977" i="18"/>
  <c r="AB977" i="18"/>
  <c r="AF977" i="18"/>
  <c r="N978" i="18"/>
  <c r="R978" i="18"/>
  <c r="U978" i="18"/>
  <c r="AC978" i="18" s="1"/>
  <c r="X978" i="18"/>
  <c r="AB978" i="18"/>
  <c r="AF978" i="18"/>
  <c r="N979" i="18"/>
  <c r="R979" i="18"/>
  <c r="U979" i="18"/>
  <c r="AC979" i="18" s="1"/>
  <c r="X979" i="18"/>
  <c r="AB979" i="18"/>
  <c r="AF979" i="18"/>
  <c r="N980" i="18"/>
  <c r="R980" i="18"/>
  <c r="U980" i="18"/>
  <c r="X980" i="18"/>
  <c r="AB980" i="18"/>
  <c r="AF980" i="18"/>
  <c r="N981" i="18"/>
  <c r="R981" i="18"/>
  <c r="U981" i="18"/>
  <c r="AC981" i="18" s="1"/>
  <c r="X981" i="18"/>
  <c r="AB981" i="18"/>
  <c r="AF981" i="18"/>
  <c r="N982" i="18"/>
  <c r="R982" i="18"/>
  <c r="U982" i="18"/>
  <c r="AC982" i="18" s="1"/>
  <c r="X982" i="18"/>
  <c r="AB982" i="18"/>
  <c r="AF982" i="18"/>
  <c r="N983" i="18"/>
  <c r="R983" i="18"/>
  <c r="U983" i="18"/>
  <c r="AC983" i="18" s="1"/>
  <c r="X983" i="18"/>
  <c r="AB983" i="18"/>
  <c r="AF983" i="18"/>
  <c r="N984" i="18"/>
  <c r="R984" i="18"/>
  <c r="U984" i="18"/>
  <c r="X984" i="18"/>
  <c r="AB984" i="18"/>
  <c r="AF984" i="18"/>
  <c r="N985" i="18"/>
  <c r="R985" i="18"/>
  <c r="U985" i="18"/>
  <c r="AC985" i="18" s="1"/>
  <c r="X985" i="18"/>
  <c r="AB985" i="18"/>
  <c r="AF985" i="18"/>
  <c r="N986" i="18"/>
  <c r="R986" i="18"/>
  <c r="U986" i="18"/>
  <c r="X986" i="18"/>
  <c r="AB986" i="18"/>
  <c r="AF986" i="18"/>
  <c r="N987" i="18"/>
  <c r="R987" i="18"/>
  <c r="U987" i="18"/>
  <c r="AC987" i="18" s="1"/>
  <c r="X987" i="18"/>
  <c r="AB987" i="18"/>
  <c r="AF987" i="18"/>
  <c r="N988" i="18"/>
  <c r="R988" i="18"/>
  <c r="U988" i="18"/>
  <c r="X988" i="18"/>
  <c r="AB988" i="18"/>
  <c r="AF988" i="18"/>
  <c r="N989" i="18"/>
  <c r="R989" i="18"/>
  <c r="U989" i="18"/>
  <c r="AC989" i="18" s="1"/>
  <c r="X989" i="18"/>
  <c r="AB989" i="18"/>
  <c r="AF989" i="18"/>
  <c r="N990" i="18"/>
  <c r="R990" i="18"/>
  <c r="U990" i="18"/>
  <c r="AC990" i="18" s="1"/>
  <c r="X990" i="18"/>
  <c r="AB990" i="18"/>
  <c r="AF990" i="18"/>
  <c r="N991" i="18"/>
  <c r="R991" i="18"/>
  <c r="U991" i="18"/>
  <c r="AC991" i="18" s="1"/>
  <c r="X991" i="18"/>
  <c r="AB991" i="18"/>
  <c r="AF991" i="18"/>
  <c r="N992" i="18"/>
  <c r="R992" i="18"/>
  <c r="U992" i="18"/>
  <c r="X992" i="18"/>
  <c r="AB992" i="18"/>
  <c r="AF992" i="18"/>
  <c r="N993" i="18"/>
  <c r="R993" i="18"/>
  <c r="U993" i="18"/>
  <c r="AC993" i="18" s="1"/>
  <c r="X993" i="18"/>
  <c r="AB993" i="18"/>
  <c r="AF993" i="18"/>
  <c r="N994" i="18"/>
  <c r="R994" i="18"/>
  <c r="U994" i="18"/>
  <c r="AC994" i="18" s="1"/>
  <c r="X994" i="18"/>
  <c r="AB994" i="18"/>
  <c r="AF994" i="18"/>
  <c r="N995" i="18"/>
  <c r="R995" i="18"/>
  <c r="U995" i="18"/>
  <c r="AC995" i="18" s="1"/>
  <c r="X995" i="18"/>
  <c r="AB995" i="18"/>
  <c r="AF995" i="18"/>
  <c r="N996" i="18"/>
  <c r="R996" i="18"/>
  <c r="U996" i="18"/>
  <c r="X996" i="18"/>
  <c r="AB996" i="18"/>
  <c r="AF996" i="18"/>
  <c r="N997" i="18"/>
  <c r="R997" i="18"/>
  <c r="U997" i="18"/>
  <c r="AC997" i="18" s="1"/>
  <c r="X997" i="18"/>
  <c r="AB997" i="18"/>
  <c r="AF997" i="18"/>
  <c r="N998" i="18"/>
  <c r="R998" i="18"/>
  <c r="U998" i="18"/>
  <c r="AC998" i="18" s="1"/>
  <c r="X998" i="18"/>
  <c r="AB998" i="18"/>
  <c r="AF998" i="18"/>
  <c r="N999" i="18"/>
  <c r="R999" i="18"/>
  <c r="U999" i="18"/>
  <c r="AC999" i="18" s="1"/>
  <c r="X999" i="18"/>
  <c r="AB999" i="18"/>
  <c r="AF999" i="18"/>
  <c r="N1000" i="18"/>
  <c r="R1000" i="18"/>
  <c r="U1000" i="18"/>
  <c r="X1000" i="18"/>
  <c r="AB1000" i="18"/>
  <c r="AF1000" i="18"/>
  <c r="N1001" i="18"/>
  <c r="R1001" i="18"/>
  <c r="U1001" i="18"/>
  <c r="AC1001" i="18" s="1"/>
  <c r="X1001" i="18"/>
  <c r="AB1001" i="18"/>
  <c r="AF1001" i="18"/>
  <c r="N1002" i="18"/>
  <c r="R1002" i="18"/>
  <c r="U1002" i="18"/>
  <c r="AC1002" i="18" s="1"/>
  <c r="X1002" i="18"/>
  <c r="AB1002" i="18"/>
  <c r="AF1002" i="18"/>
  <c r="N1003" i="18"/>
  <c r="R1003" i="18"/>
  <c r="U1003" i="18"/>
  <c r="AC1003" i="18" s="1"/>
  <c r="X1003" i="18"/>
  <c r="AB1003" i="18"/>
  <c r="AF1003" i="18"/>
  <c r="N1004" i="18"/>
  <c r="R1004" i="18"/>
  <c r="U1004" i="18"/>
  <c r="X1004" i="18"/>
  <c r="AB1004" i="18"/>
  <c r="AF1004" i="18"/>
  <c r="N1005" i="18"/>
  <c r="R1005" i="18"/>
  <c r="U1005" i="18"/>
  <c r="AC1005" i="18" s="1"/>
  <c r="X1005" i="18"/>
  <c r="AB1005" i="18"/>
  <c r="AF1005" i="18"/>
  <c r="N1006" i="18"/>
  <c r="R1006" i="18"/>
  <c r="U1006" i="18"/>
  <c r="AC1006" i="18" s="1"/>
  <c r="X1006" i="18"/>
  <c r="AB1006" i="18"/>
  <c r="AF1006" i="18"/>
  <c r="N1007" i="18"/>
  <c r="R1007" i="18"/>
  <c r="U1007" i="18"/>
  <c r="AC1007" i="18" s="1"/>
  <c r="X1007" i="18"/>
  <c r="AB1007" i="18"/>
  <c r="AF1007" i="18"/>
  <c r="N1008" i="18"/>
  <c r="R1008" i="18"/>
  <c r="U1008" i="18"/>
  <c r="X1008" i="18"/>
  <c r="AB1008" i="18"/>
  <c r="AF1008" i="18"/>
  <c r="N1009" i="18"/>
  <c r="R1009" i="18"/>
  <c r="U1009" i="18"/>
  <c r="AC1009" i="18" s="1"/>
  <c r="X1009" i="18"/>
  <c r="AB1009" i="18"/>
  <c r="AF1009" i="18"/>
  <c r="N1010" i="18"/>
  <c r="R1010" i="18"/>
  <c r="U1010" i="18"/>
  <c r="AC1010" i="18" s="1"/>
  <c r="X1010" i="18"/>
  <c r="AB1010" i="18"/>
  <c r="AF1010" i="18"/>
  <c r="N1011" i="18"/>
  <c r="R1011" i="18"/>
  <c r="U1011" i="18"/>
  <c r="AC1011" i="18" s="1"/>
  <c r="X1011" i="18"/>
  <c r="AB1011" i="18"/>
  <c r="AF1011" i="18"/>
  <c r="N1012" i="18"/>
  <c r="R1012" i="18"/>
  <c r="U1012" i="18"/>
  <c r="X1012" i="18"/>
  <c r="AB1012" i="18"/>
  <c r="AF1012" i="18"/>
  <c r="N1013" i="18"/>
  <c r="R1013" i="18"/>
  <c r="U1013" i="18"/>
  <c r="AC1013" i="18" s="1"/>
  <c r="X1013" i="18"/>
  <c r="AB1013" i="18"/>
  <c r="AF1013" i="18"/>
  <c r="N1014" i="18"/>
  <c r="R1014" i="18"/>
  <c r="U1014" i="18"/>
  <c r="AC1014" i="18" s="1"/>
  <c r="X1014" i="18"/>
  <c r="AB1014" i="18"/>
  <c r="AF1014" i="18"/>
  <c r="N1015" i="18"/>
  <c r="R1015" i="18"/>
  <c r="U1015" i="18"/>
  <c r="AC1015" i="18" s="1"/>
  <c r="X1015" i="18"/>
  <c r="AB1015" i="18"/>
  <c r="AF1015" i="18"/>
  <c r="N1016" i="18"/>
  <c r="R1016" i="18"/>
  <c r="U1016" i="18"/>
  <c r="X1016" i="18"/>
  <c r="AB1016" i="18"/>
  <c r="AF1016" i="18"/>
  <c r="N1017" i="18"/>
  <c r="R1017" i="18"/>
  <c r="U1017" i="18"/>
  <c r="AC1017" i="18" s="1"/>
  <c r="X1017" i="18"/>
  <c r="AB1017" i="18"/>
  <c r="AF1017" i="18"/>
  <c r="N1018" i="18"/>
  <c r="R1018" i="18"/>
  <c r="U1018" i="18"/>
  <c r="X1018" i="18"/>
  <c r="AB1018" i="18"/>
  <c r="AF1018" i="18"/>
  <c r="N1019" i="18"/>
  <c r="R1019" i="18"/>
  <c r="U1019" i="18"/>
  <c r="AC1019" i="18" s="1"/>
  <c r="X1019" i="18"/>
  <c r="AB1019" i="18"/>
  <c r="AF1019" i="18"/>
  <c r="N1020" i="18"/>
  <c r="R1020" i="18"/>
  <c r="U1020" i="18"/>
  <c r="X1020" i="18"/>
  <c r="AB1020" i="18"/>
  <c r="AF1020" i="18"/>
  <c r="N1021" i="18"/>
  <c r="R1021" i="18"/>
  <c r="U1021" i="18"/>
  <c r="AC1021" i="18" s="1"/>
  <c r="X1021" i="18"/>
  <c r="AB1021" i="18"/>
  <c r="AF1021" i="18"/>
  <c r="N1022" i="18"/>
  <c r="R1022" i="18"/>
  <c r="U1022" i="18"/>
  <c r="AC1022" i="18" s="1"/>
  <c r="X1022" i="18"/>
  <c r="AB1022" i="18"/>
  <c r="AF1022" i="18"/>
  <c r="N1023" i="18"/>
  <c r="R1023" i="18"/>
  <c r="U1023" i="18"/>
  <c r="AC1023" i="18" s="1"/>
  <c r="X1023" i="18"/>
  <c r="AB1023" i="18"/>
  <c r="AF1023" i="18"/>
  <c r="N1024" i="18"/>
  <c r="R1024" i="18"/>
  <c r="U1024" i="18"/>
  <c r="X1024" i="18"/>
  <c r="AB1024" i="18"/>
  <c r="AF1024" i="18"/>
  <c r="N1025" i="18"/>
  <c r="R1025" i="18"/>
  <c r="U1025" i="18"/>
  <c r="AC1025" i="18" s="1"/>
  <c r="X1025" i="18"/>
  <c r="AB1025" i="18"/>
  <c r="AF1025" i="18"/>
  <c r="N1026" i="18"/>
  <c r="R1026" i="18"/>
  <c r="U1026" i="18"/>
  <c r="AC1026" i="18" s="1"/>
  <c r="X1026" i="18"/>
  <c r="AB1026" i="18"/>
  <c r="AF1026" i="18"/>
  <c r="N1027" i="18"/>
  <c r="R1027" i="18"/>
  <c r="U1027" i="18"/>
  <c r="AC1027" i="18" s="1"/>
  <c r="X1027" i="18"/>
  <c r="AB1027" i="18"/>
  <c r="AF1027" i="18"/>
  <c r="N1028" i="18"/>
  <c r="R1028" i="18"/>
  <c r="U1028" i="18"/>
  <c r="X1028" i="18"/>
  <c r="AB1028" i="18"/>
  <c r="AF1028" i="18"/>
  <c r="N1029" i="18"/>
  <c r="R1029" i="18"/>
  <c r="U1029" i="18"/>
  <c r="AC1029" i="18" s="1"/>
  <c r="X1029" i="18"/>
  <c r="AB1029" i="18"/>
  <c r="AF1029" i="18"/>
  <c r="N1030" i="18"/>
  <c r="R1030" i="18"/>
  <c r="U1030" i="18"/>
  <c r="AC1030" i="18" s="1"/>
  <c r="X1030" i="18"/>
  <c r="AB1030" i="18"/>
  <c r="AF1030" i="18"/>
  <c r="N1031" i="18"/>
  <c r="R1031" i="18"/>
  <c r="U1031" i="18"/>
  <c r="AC1031" i="18" s="1"/>
  <c r="X1031" i="18"/>
  <c r="AB1031" i="18"/>
  <c r="AF1031" i="18"/>
  <c r="N1032" i="18"/>
  <c r="R1032" i="18"/>
  <c r="U1032" i="18"/>
  <c r="X1032" i="18"/>
  <c r="AB1032" i="18"/>
  <c r="AF1032" i="18"/>
  <c r="N1033" i="18"/>
  <c r="R1033" i="18"/>
  <c r="U1033" i="18"/>
  <c r="AC1033" i="18" s="1"/>
  <c r="X1033" i="18"/>
  <c r="AB1033" i="18"/>
  <c r="AF1033" i="18"/>
  <c r="N1034" i="18"/>
  <c r="R1034" i="18"/>
  <c r="U1034" i="18"/>
  <c r="AC1034" i="18" s="1"/>
  <c r="X1034" i="18"/>
  <c r="AB1034" i="18"/>
  <c r="AF1034" i="18"/>
  <c r="N1035" i="18"/>
  <c r="R1035" i="18"/>
  <c r="U1035" i="18"/>
  <c r="AC1035" i="18" s="1"/>
  <c r="X1035" i="18"/>
  <c r="AB1035" i="18"/>
  <c r="AF1035" i="18"/>
  <c r="N1036" i="18"/>
  <c r="R1036" i="18"/>
  <c r="U1036" i="18"/>
  <c r="X1036" i="18"/>
  <c r="AB1036" i="18"/>
  <c r="AF1036" i="18"/>
  <c r="N1037" i="18"/>
  <c r="R1037" i="18"/>
  <c r="U1037" i="18"/>
  <c r="AC1037" i="18" s="1"/>
  <c r="X1037" i="18"/>
  <c r="AB1037" i="18"/>
  <c r="AF1037" i="18"/>
  <c r="N1038" i="18"/>
  <c r="R1038" i="18"/>
  <c r="U1038" i="18"/>
  <c r="AC1038" i="18" s="1"/>
  <c r="X1038" i="18"/>
  <c r="AB1038" i="18"/>
  <c r="AF1038" i="18"/>
  <c r="N1039" i="18"/>
  <c r="R1039" i="18"/>
  <c r="U1039" i="18"/>
  <c r="AC1039" i="18" s="1"/>
  <c r="X1039" i="18"/>
  <c r="AB1039" i="18"/>
  <c r="AF1039" i="18"/>
  <c r="N1040" i="18"/>
  <c r="R1040" i="18"/>
  <c r="U1040" i="18"/>
  <c r="X1040" i="18"/>
  <c r="AB1040" i="18"/>
  <c r="AF1040" i="18"/>
  <c r="N1041" i="18"/>
  <c r="R1041" i="18"/>
  <c r="U1041" i="18"/>
  <c r="AC1041" i="18" s="1"/>
  <c r="X1041" i="18"/>
  <c r="AB1041" i="18"/>
  <c r="AF1041" i="18"/>
  <c r="N1042" i="18"/>
  <c r="R1042" i="18"/>
  <c r="U1042" i="18"/>
  <c r="X1042" i="18"/>
  <c r="AB1042" i="18"/>
  <c r="AF1042" i="18"/>
  <c r="N1043" i="18"/>
  <c r="R1043" i="18"/>
  <c r="U1043" i="18"/>
  <c r="AC1043" i="18" s="1"/>
  <c r="X1043" i="18"/>
  <c r="AB1043" i="18"/>
  <c r="AF1043" i="18"/>
  <c r="N1044" i="18"/>
  <c r="R1044" i="18"/>
  <c r="U1044" i="18"/>
  <c r="X1044" i="18"/>
  <c r="AB1044" i="18"/>
  <c r="AF1044" i="18"/>
  <c r="N1045" i="18"/>
  <c r="R1045" i="18"/>
  <c r="U1045" i="18"/>
  <c r="AC1045" i="18" s="1"/>
  <c r="X1045" i="18"/>
  <c r="AB1045" i="18"/>
  <c r="AF1045" i="18"/>
  <c r="N1046" i="18"/>
  <c r="R1046" i="18"/>
  <c r="U1046" i="18"/>
  <c r="AC1046" i="18" s="1"/>
  <c r="X1046" i="18"/>
  <c r="AB1046" i="18"/>
  <c r="AF1046" i="18"/>
  <c r="N1047" i="18"/>
  <c r="R1047" i="18"/>
  <c r="U1047" i="18"/>
  <c r="AC1047" i="18" s="1"/>
  <c r="X1047" i="18"/>
  <c r="AB1047" i="18"/>
  <c r="AF1047" i="18"/>
  <c r="N1048" i="18"/>
  <c r="R1048" i="18"/>
  <c r="U1048" i="18"/>
  <c r="X1048" i="18"/>
  <c r="AB1048" i="18"/>
  <c r="AF1048" i="18"/>
  <c r="N1049" i="18"/>
  <c r="R1049" i="18"/>
  <c r="U1049" i="18"/>
  <c r="AC1049" i="18" s="1"/>
  <c r="X1049" i="18"/>
  <c r="AB1049" i="18"/>
  <c r="AF1049" i="18"/>
  <c r="N1050" i="18"/>
  <c r="R1050" i="18"/>
  <c r="U1050" i="18"/>
  <c r="AC1050" i="18" s="1"/>
  <c r="X1050" i="18"/>
  <c r="AB1050" i="18"/>
  <c r="AF1050" i="18"/>
  <c r="N1051" i="18"/>
  <c r="R1051" i="18"/>
  <c r="U1051" i="18"/>
  <c r="AC1051" i="18" s="1"/>
  <c r="X1051" i="18"/>
  <c r="AB1051" i="18"/>
  <c r="AF1051" i="18"/>
  <c r="N1052" i="18"/>
  <c r="R1052" i="18"/>
  <c r="U1052" i="18"/>
  <c r="X1052" i="18"/>
  <c r="AB1052" i="18"/>
  <c r="AF1052" i="18"/>
  <c r="N1053" i="18"/>
  <c r="R1053" i="18"/>
  <c r="U1053" i="18"/>
  <c r="AC1053" i="18" s="1"/>
  <c r="X1053" i="18"/>
  <c r="AB1053" i="18"/>
  <c r="AF1053" i="18"/>
  <c r="N1054" i="18"/>
  <c r="R1054" i="18"/>
  <c r="U1054" i="18"/>
  <c r="AC1054" i="18" s="1"/>
  <c r="X1054" i="18"/>
  <c r="AB1054" i="18"/>
  <c r="AF1054" i="18"/>
  <c r="N1055" i="18"/>
  <c r="R1055" i="18"/>
  <c r="U1055" i="18"/>
  <c r="AC1055" i="18" s="1"/>
  <c r="X1055" i="18"/>
  <c r="AB1055" i="18"/>
  <c r="AF1055" i="18"/>
  <c r="N1056" i="18"/>
  <c r="R1056" i="18"/>
  <c r="U1056" i="18"/>
  <c r="X1056" i="18"/>
  <c r="AB1056" i="18"/>
  <c r="AF1056" i="18"/>
  <c r="N1057" i="18"/>
  <c r="R1057" i="18"/>
  <c r="U1057" i="18"/>
  <c r="AC1057" i="18" s="1"/>
  <c r="X1057" i="18"/>
  <c r="AB1057" i="18"/>
  <c r="AF1057" i="18"/>
  <c r="N1058" i="18"/>
  <c r="R1058" i="18"/>
  <c r="U1058" i="18"/>
  <c r="AC1058" i="18" s="1"/>
  <c r="X1058" i="18"/>
  <c r="AB1058" i="18"/>
  <c r="AF1058" i="18"/>
  <c r="N1059" i="18"/>
  <c r="R1059" i="18"/>
  <c r="U1059" i="18"/>
  <c r="AC1059" i="18" s="1"/>
  <c r="X1059" i="18"/>
  <c r="AB1059" i="18"/>
  <c r="AF1059" i="18"/>
  <c r="N1060" i="18"/>
  <c r="R1060" i="18"/>
  <c r="U1060" i="18"/>
  <c r="X1060" i="18"/>
  <c r="AB1060" i="18"/>
  <c r="AF1060" i="18"/>
  <c r="N1061" i="18"/>
  <c r="R1061" i="18"/>
  <c r="U1061" i="18"/>
  <c r="AC1061" i="18" s="1"/>
  <c r="X1061" i="18"/>
  <c r="AB1061" i="18"/>
  <c r="AF1061" i="18"/>
  <c r="N1062" i="18"/>
  <c r="R1062" i="18"/>
  <c r="U1062" i="18"/>
  <c r="AC1062" i="18" s="1"/>
  <c r="X1062" i="18"/>
  <c r="AB1062" i="18"/>
  <c r="AF1062" i="18"/>
  <c r="N1063" i="18"/>
  <c r="R1063" i="18"/>
  <c r="U1063" i="18"/>
  <c r="AC1063" i="18" s="1"/>
  <c r="X1063" i="18"/>
  <c r="AB1063" i="18"/>
  <c r="AF1063" i="18"/>
  <c r="N1064" i="18"/>
  <c r="R1064" i="18"/>
  <c r="U1064" i="18"/>
  <c r="X1064" i="18"/>
  <c r="AB1064" i="18"/>
  <c r="AF1064" i="18"/>
  <c r="N1065" i="18"/>
  <c r="R1065" i="18"/>
  <c r="U1065" i="18"/>
  <c r="AC1065" i="18" s="1"/>
  <c r="X1065" i="18"/>
  <c r="AB1065" i="18"/>
  <c r="AF1065" i="18"/>
  <c r="N1066" i="18"/>
  <c r="R1066" i="18"/>
  <c r="U1066" i="18"/>
  <c r="AC1066" i="18" s="1"/>
  <c r="X1066" i="18"/>
  <c r="AB1066" i="18"/>
  <c r="AF1066" i="18"/>
  <c r="N1067" i="18"/>
  <c r="R1067" i="18"/>
  <c r="U1067" i="18"/>
  <c r="AC1067" i="18" s="1"/>
  <c r="X1067" i="18"/>
  <c r="AB1067" i="18"/>
  <c r="AF1067" i="18"/>
  <c r="N1068" i="18"/>
  <c r="R1068" i="18"/>
  <c r="U1068" i="18"/>
  <c r="X1068" i="18"/>
  <c r="AB1068" i="18"/>
  <c r="AF1068" i="18"/>
  <c r="N1069" i="18"/>
  <c r="R1069" i="18"/>
  <c r="U1069" i="18"/>
  <c r="AC1069" i="18" s="1"/>
  <c r="X1069" i="18"/>
  <c r="AB1069" i="18"/>
  <c r="AF1069" i="18"/>
  <c r="N1070" i="18"/>
  <c r="R1070" i="18"/>
  <c r="U1070" i="18"/>
  <c r="X1070" i="18"/>
  <c r="AB1070" i="18"/>
  <c r="AF1070" i="18"/>
  <c r="N1071" i="18"/>
  <c r="R1071" i="18"/>
  <c r="U1071" i="18"/>
  <c r="AC1071" i="18" s="1"/>
  <c r="X1071" i="18"/>
  <c r="AB1071" i="18"/>
  <c r="AF1071" i="18"/>
  <c r="N1072" i="18"/>
  <c r="R1072" i="18"/>
  <c r="U1072" i="18"/>
  <c r="X1072" i="18"/>
  <c r="AB1072" i="18"/>
  <c r="AF1072" i="18"/>
  <c r="N1073" i="18"/>
  <c r="R1073" i="18"/>
  <c r="U1073" i="18"/>
  <c r="AC1073" i="18" s="1"/>
  <c r="X1073" i="18"/>
  <c r="AB1073" i="18"/>
  <c r="AF1073" i="18"/>
  <c r="N1074" i="18"/>
  <c r="R1074" i="18"/>
  <c r="U1074" i="18"/>
  <c r="AC1074" i="18" s="1"/>
  <c r="X1074" i="18"/>
  <c r="AB1074" i="18"/>
  <c r="AF1074" i="18"/>
  <c r="N1075" i="18"/>
  <c r="R1075" i="18"/>
  <c r="U1075" i="18"/>
  <c r="AC1075" i="18" s="1"/>
  <c r="X1075" i="18"/>
  <c r="AB1075" i="18"/>
  <c r="AF1075" i="18"/>
  <c r="N1076" i="18"/>
  <c r="R1076" i="18"/>
  <c r="U1076" i="18"/>
  <c r="X1076" i="18"/>
  <c r="AB1076" i="18"/>
  <c r="AF1076" i="18"/>
  <c r="N1077" i="18"/>
  <c r="R1077" i="18"/>
  <c r="U1077" i="18"/>
  <c r="AC1077" i="18" s="1"/>
  <c r="X1077" i="18"/>
  <c r="AB1077" i="18"/>
  <c r="AF1077" i="18"/>
  <c r="N1078" i="18"/>
  <c r="R1078" i="18"/>
  <c r="U1078" i="18"/>
  <c r="AC1078" i="18" s="1"/>
  <c r="X1078" i="18"/>
  <c r="AB1078" i="18"/>
  <c r="AF1078" i="18"/>
  <c r="N1079" i="18"/>
  <c r="R1079" i="18"/>
  <c r="U1079" i="18"/>
  <c r="AC1079" i="18" s="1"/>
  <c r="X1079" i="18"/>
  <c r="AB1079" i="18"/>
  <c r="AF1079" i="18"/>
  <c r="N1080" i="18"/>
  <c r="R1080" i="18"/>
  <c r="U1080" i="18"/>
  <c r="X1080" i="18"/>
  <c r="AB1080" i="18"/>
  <c r="AF1080" i="18"/>
  <c r="N1081" i="18"/>
  <c r="R1081" i="18"/>
  <c r="U1081" i="18"/>
  <c r="AC1081" i="18" s="1"/>
  <c r="X1081" i="18"/>
  <c r="AB1081" i="18"/>
  <c r="AF1081" i="18"/>
  <c r="N1082" i="18"/>
  <c r="R1082" i="18"/>
  <c r="U1082" i="18"/>
  <c r="AC1082" i="18" s="1"/>
  <c r="X1082" i="18"/>
  <c r="AB1082" i="18"/>
  <c r="AF1082" i="18"/>
  <c r="N1083" i="18"/>
  <c r="R1083" i="18"/>
  <c r="U1083" i="18"/>
  <c r="AC1083" i="18" s="1"/>
  <c r="X1083" i="18"/>
  <c r="AB1083" i="18"/>
  <c r="AF1083" i="18"/>
  <c r="N1084" i="18"/>
  <c r="R1084" i="18"/>
  <c r="U1084" i="18"/>
  <c r="X1084" i="18"/>
  <c r="AB1084" i="18"/>
  <c r="AF1084" i="18"/>
  <c r="N1085" i="18"/>
  <c r="R1085" i="18"/>
  <c r="U1085" i="18"/>
  <c r="AC1085" i="18" s="1"/>
  <c r="X1085" i="18"/>
  <c r="AB1085" i="18"/>
  <c r="AF1085" i="18"/>
  <c r="N1086" i="18"/>
  <c r="R1086" i="18"/>
  <c r="U1086" i="18"/>
  <c r="AC1086" i="18" s="1"/>
  <c r="X1086" i="18"/>
  <c r="AB1086" i="18"/>
  <c r="AF1086" i="18"/>
  <c r="N1087" i="18"/>
  <c r="R1087" i="18"/>
  <c r="U1087" i="18"/>
  <c r="AC1087" i="18" s="1"/>
  <c r="X1087" i="18"/>
  <c r="AB1087" i="18"/>
  <c r="AF1087" i="18"/>
  <c r="N1088" i="18"/>
  <c r="R1088" i="18"/>
  <c r="U1088" i="18"/>
  <c r="X1088" i="18"/>
  <c r="AB1088" i="18"/>
  <c r="AF1088" i="18"/>
  <c r="N1089" i="18"/>
  <c r="R1089" i="18"/>
  <c r="U1089" i="18"/>
  <c r="AC1089" i="18" s="1"/>
  <c r="X1089" i="18"/>
  <c r="AB1089" i="18"/>
  <c r="AF1089" i="18"/>
  <c r="N1090" i="18"/>
  <c r="R1090" i="18"/>
  <c r="U1090" i="18"/>
  <c r="AC1090" i="18" s="1"/>
  <c r="X1090" i="18"/>
  <c r="AB1090" i="18"/>
  <c r="AF1090" i="18"/>
  <c r="N1091" i="18"/>
  <c r="R1091" i="18"/>
  <c r="U1091" i="18"/>
  <c r="AC1091" i="18" s="1"/>
  <c r="X1091" i="18"/>
  <c r="AB1091" i="18"/>
  <c r="AF1091" i="18"/>
  <c r="N1092" i="18"/>
  <c r="R1092" i="18"/>
  <c r="U1092" i="18"/>
  <c r="X1092" i="18"/>
  <c r="AB1092" i="18"/>
  <c r="AF1092" i="18"/>
  <c r="N1093" i="18"/>
  <c r="R1093" i="18"/>
  <c r="U1093" i="18"/>
  <c r="AC1093" i="18" s="1"/>
  <c r="X1093" i="18"/>
  <c r="AB1093" i="18"/>
  <c r="AF1093" i="18"/>
  <c r="N1094" i="18"/>
  <c r="R1094" i="18"/>
  <c r="U1094" i="18"/>
  <c r="AC1094" i="18" s="1"/>
  <c r="X1094" i="18"/>
  <c r="AB1094" i="18"/>
  <c r="AF1094" i="18"/>
  <c r="N1095" i="18"/>
  <c r="R1095" i="18"/>
  <c r="U1095" i="18"/>
  <c r="AC1095" i="18" s="1"/>
  <c r="X1095" i="18"/>
  <c r="AB1095" i="18"/>
  <c r="AF1095" i="18"/>
  <c r="N1096" i="18"/>
  <c r="R1096" i="18"/>
  <c r="U1096" i="18"/>
  <c r="X1096" i="18"/>
  <c r="AB1096" i="18"/>
  <c r="AF1096" i="18"/>
  <c r="N1097" i="18"/>
  <c r="R1097" i="18"/>
  <c r="U1097" i="18"/>
  <c r="AC1097" i="18" s="1"/>
  <c r="X1097" i="18"/>
  <c r="AB1097" i="18"/>
  <c r="AF1097" i="18"/>
  <c r="N1098" i="18"/>
  <c r="R1098" i="18"/>
  <c r="U1098" i="18"/>
  <c r="X1098" i="18"/>
  <c r="AB1098" i="18"/>
  <c r="AF1098" i="18"/>
  <c r="N1099" i="18"/>
  <c r="R1099" i="18"/>
  <c r="U1099" i="18"/>
  <c r="AC1099" i="18" s="1"/>
  <c r="X1099" i="18"/>
  <c r="AB1099" i="18"/>
  <c r="AF1099" i="18"/>
  <c r="N1100" i="18"/>
  <c r="R1100" i="18"/>
  <c r="U1100" i="18"/>
  <c r="X1100" i="18"/>
  <c r="AB1100" i="18"/>
  <c r="AF1100" i="18"/>
  <c r="N1101" i="18"/>
  <c r="R1101" i="18"/>
  <c r="U1101" i="18"/>
  <c r="AC1101" i="18" s="1"/>
  <c r="X1101" i="18"/>
  <c r="AB1101" i="18"/>
  <c r="AF1101" i="18"/>
  <c r="N1102" i="18"/>
  <c r="R1102" i="18"/>
  <c r="U1102" i="18"/>
  <c r="AC1102" i="18" s="1"/>
  <c r="X1102" i="18"/>
  <c r="AB1102" i="18"/>
  <c r="AF1102" i="18"/>
  <c r="N1103" i="18"/>
  <c r="R1103" i="18"/>
  <c r="U1103" i="18"/>
  <c r="AC1103" i="18" s="1"/>
  <c r="X1103" i="18"/>
  <c r="AB1103" i="18"/>
  <c r="AF1103" i="18"/>
  <c r="N1104" i="18"/>
  <c r="R1104" i="18"/>
  <c r="U1104" i="18"/>
  <c r="X1104" i="18"/>
  <c r="AB1104" i="18"/>
  <c r="AF1104" i="18"/>
  <c r="N1105" i="18"/>
  <c r="R1105" i="18"/>
  <c r="U1105" i="18"/>
  <c r="AC1105" i="18" s="1"/>
  <c r="X1105" i="18"/>
  <c r="AB1105" i="18"/>
  <c r="AF1105" i="18"/>
  <c r="N1106" i="18"/>
  <c r="R1106" i="18"/>
  <c r="U1106" i="18"/>
  <c r="AC1106" i="18" s="1"/>
  <c r="X1106" i="18"/>
  <c r="AB1106" i="18"/>
  <c r="AF1106" i="18"/>
  <c r="N1107" i="18"/>
  <c r="R1107" i="18"/>
  <c r="U1107" i="18"/>
  <c r="AC1107" i="18" s="1"/>
  <c r="X1107" i="18"/>
  <c r="AB1107" i="18"/>
  <c r="AF1107" i="18"/>
  <c r="N1108" i="18"/>
  <c r="R1108" i="18"/>
  <c r="U1108" i="18"/>
  <c r="X1108" i="18"/>
  <c r="AB1108" i="18"/>
  <c r="AF1108" i="18"/>
  <c r="N1109" i="18"/>
  <c r="R1109" i="18"/>
  <c r="U1109" i="18"/>
  <c r="AC1109" i="18" s="1"/>
  <c r="X1109" i="18"/>
  <c r="AB1109" i="18"/>
  <c r="AF1109" i="18"/>
  <c r="N1110" i="18"/>
  <c r="R1110" i="18"/>
  <c r="U1110" i="18"/>
  <c r="AC1110" i="18" s="1"/>
  <c r="X1110" i="18"/>
  <c r="AB1110" i="18"/>
  <c r="AF1110" i="18"/>
  <c r="N1111" i="18"/>
  <c r="R1111" i="18"/>
  <c r="U1111" i="18"/>
  <c r="AC1111" i="18" s="1"/>
  <c r="X1111" i="18"/>
  <c r="AB1111" i="18"/>
  <c r="AF1111" i="18"/>
  <c r="N1112" i="18"/>
  <c r="R1112" i="18"/>
  <c r="U1112" i="18"/>
  <c r="X1112" i="18"/>
  <c r="AB1112" i="18"/>
  <c r="AF1112" i="18"/>
  <c r="N1113" i="18"/>
  <c r="R1113" i="18"/>
  <c r="U1113" i="18"/>
  <c r="AC1113" i="18" s="1"/>
  <c r="X1113" i="18"/>
  <c r="AB1113" i="18"/>
  <c r="AF1113" i="18"/>
  <c r="N1114" i="18"/>
  <c r="R1114" i="18"/>
  <c r="U1114" i="18"/>
  <c r="AC1114" i="18" s="1"/>
  <c r="X1114" i="18"/>
  <c r="AB1114" i="18"/>
  <c r="AF1114" i="18"/>
  <c r="N1115" i="18"/>
  <c r="R1115" i="18"/>
  <c r="U1115" i="18"/>
  <c r="AC1115" i="18" s="1"/>
  <c r="X1115" i="18"/>
  <c r="AB1115" i="18"/>
  <c r="AF1115" i="18"/>
  <c r="N1116" i="18"/>
  <c r="R1116" i="18"/>
  <c r="U1116" i="18"/>
  <c r="X1116" i="18"/>
  <c r="AB1116" i="18"/>
  <c r="AF1116" i="18"/>
  <c r="N1117" i="18"/>
  <c r="R1117" i="18"/>
  <c r="U1117" i="18"/>
  <c r="AC1117" i="18" s="1"/>
  <c r="X1117" i="18"/>
  <c r="AB1117" i="18"/>
  <c r="AF1117" i="18"/>
  <c r="N1118" i="18"/>
  <c r="R1118" i="18"/>
  <c r="U1118" i="18"/>
  <c r="X1118" i="18"/>
  <c r="AB1118" i="18"/>
  <c r="AF1118" i="18"/>
  <c r="N1119" i="18"/>
  <c r="R1119" i="18"/>
  <c r="U1119" i="18"/>
  <c r="AC1119" i="18" s="1"/>
  <c r="X1119" i="18"/>
  <c r="AB1119" i="18"/>
  <c r="AF1119" i="18"/>
  <c r="N1120" i="18"/>
  <c r="R1120" i="18"/>
  <c r="U1120" i="18"/>
  <c r="X1120" i="18"/>
  <c r="AB1120" i="18"/>
  <c r="AF1120" i="18"/>
  <c r="N1121" i="18"/>
  <c r="R1121" i="18"/>
  <c r="U1121" i="18"/>
  <c r="AC1121" i="18" s="1"/>
  <c r="X1121" i="18"/>
  <c r="AB1121" i="18"/>
  <c r="AF1121" i="18"/>
  <c r="N1122" i="18"/>
  <c r="R1122" i="18"/>
  <c r="U1122" i="18"/>
  <c r="AC1122" i="18" s="1"/>
  <c r="X1122" i="18"/>
  <c r="AB1122" i="18"/>
  <c r="AF1122" i="18"/>
  <c r="N1123" i="18"/>
  <c r="R1123" i="18"/>
  <c r="U1123" i="18"/>
  <c r="AC1123" i="18" s="1"/>
  <c r="X1123" i="18"/>
  <c r="AB1123" i="18"/>
  <c r="AF1123" i="18"/>
  <c r="N1124" i="18"/>
  <c r="R1124" i="18"/>
  <c r="U1124" i="18"/>
  <c r="X1124" i="18"/>
  <c r="AB1124" i="18"/>
  <c r="AF1124" i="18"/>
  <c r="N1125" i="18"/>
  <c r="R1125" i="18"/>
  <c r="U1125" i="18"/>
  <c r="AC1125" i="18" s="1"/>
  <c r="X1125" i="18"/>
  <c r="AB1125" i="18"/>
  <c r="AF1125" i="18"/>
  <c r="N1126" i="18"/>
  <c r="R1126" i="18"/>
  <c r="U1126" i="18"/>
  <c r="AC1126" i="18" s="1"/>
  <c r="X1126" i="18"/>
  <c r="AB1126" i="18"/>
  <c r="AF1126" i="18"/>
  <c r="N1127" i="18"/>
  <c r="R1127" i="18"/>
  <c r="U1127" i="18"/>
  <c r="AC1127" i="18" s="1"/>
  <c r="X1127" i="18"/>
  <c r="AB1127" i="18"/>
  <c r="AF1127" i="18"/>
  <c r="N1128" i="18"/>
  <c r="R1128" i="18"/>
  <c r="U1128" i="18"/>
  <c r="X1128" i="18"/>
  <c r="AB1128" i="18"/>
  <c r="AF1128" i="18"/>
  <c r="N1129" i="18"/>
  <c r="R1129" i="18"/>
  <c r="U1129" i="18"/>
  <c r="AC1129" i="18" s="1"/>
  <c r="X1129" i="18"/>
  <c r="AB1129" i="18"/>
  <c r="AF1129" i="18"/>
  <c r="N1130" i="18"/>
  <c r="R1130" i="18"/>
  <c r="U1130" i="18"/>
  <c r="AC1130" i="18" s="1"/>
  <c r="X1130" i="18"/>
  <c r="AB1130" i="18"/>
  <c r="AF1130" i="18"/>
  <c r="N1131" i="18"/>
  <c r="R1131" i="18"/>
  <c r="U1131" i="18"/>
  <c r="AC1131" i="18" s="1"/>
  <c r="X1131" i="18"/>
  <c r="AB1131" i="18"/>
  <c r="AF1131" i="18"/>
  <c r="N1132" i="18"/>
  <c r="R1132" i="18"/>
  <c r="U1132" i="18"/>
  <c r="X1132" i="18"/>
  <c r="AB1132" i="18"/>
  <c r="AF1132" i="18"/>
  <c r="N1133" i="18"/>
  <c r="R1133" i="18"/>
  <c r="U1133" i="18"/>
  <c r="AC1133" i="18" s="1"/>
  <c r="X1133" i="18"/>
  <c r="AB1133" i="18"/>
  <c r="AF1133" i="18"/>
  <c r="N1134" i="18"/>
  <c r="R1134" i="18"/>
  <c r="U1134" i="18"/>
  <c r="AC1134" i="18" s="1"/>
  <c r="X1134" i="18"/>
  <c r="AB1134" i="18"/>
  <c r="AF1134" i="18"/>
  <c r="N1135" i="18"/>
  <c r="R1135" i="18"/>
  <c r="U1135" i="18"/>
  <c r="AC1135" i="18" s="1"/>
  <c r="X1135" i="18"/>
  <c r="AB1135" i="18"/>
  <c r="AF1135" i="18"/>
  <c r="N1136" i="18"/>
  <c r="R1136" i="18"/>
  <c r="U1136" i="18"/>
  <c r="AC1136" i="18" s="1"/>
  <c r="X1136" i="18"/>
  <c r="AB1136" i="18"/>
  <c r="AF1136" i="18"/>
  <c r="N1137" i="18"/>
  <c r="R1137" i="18"/>
  <c r="U1137" i="18"/>
  <c r="AC1137" i="18" s="1"/>
  <c r="X1137" i="18"/>
  <c r="AB1137" i="18"/>
  <c r="AF1137" i="18"/>
  <c r="N1138" i="18"/>
  <c r="R1138" i="18"/>
  <c r="U1138" i="18"/>
  <c r="AC1138" i="18" s="1"/>
  <c r="X1138" i="18"/>
  <c r="AB1138" i="18"/>
  <c r="AF1138" i="18"/>
  <c r="N1139" i="18"/>
  <c r="R1139" i="18"/>
  <c r="U1139" i="18"/>
  <c r="AC1139" i="18" s="1"/>
  <c r="X1139" i="18"/>
  <c r="AB1139" i="18"/>
  <c r="AF1139" i="18"/>
  <c r="N1140" i="18"/>
  <c r="R1140" i="18"/>
  <c r="U1140" i="18"/>
  <c r="AC1140" i="18" s="1"/>
  <c r="X1140" i="18"/>
  <c r="AB1140" i="18"/>
  <c r="AF1140" i="18"/>
  <c r="N1141" i="18"/>
  <c r="R1141" i="18"/>
  <c r="U1141" i="18"/>
  <c r="AC1141" i="18" s="1"/>
  <c r="X1141" i="18"/>
  <c r="AB1141" i="18"/>
  <c r="AF1141" i="18"/>
  <c r="N1142" i="18"/>
  <c r="R1142" i="18"/>
  <c r="U1142" i="18"/>
  <c r="X1142" i="18"/>
  <c r="AB1142" i="18"/>
  <c r="AF1142" i="18"/>
  <c r="N1143" i="18"/>
  <c r="R1143" i="18"/>
  <c r="U1143" i="18"/>
  <c r="AC1143" i="18" s="1"/>
  <c r="X1143" i="18"/>
  <c r="AB1143" i="18"/>
  <c r="AF1143" i="18"/>
  <c r="N1144" i="18"/>
  <c r="R1144" i="18"/>
  <c r="U1144" i="18"/>
  <c r="AC1144" i="18" s="1"/>
  <c r="X1144" i="18"/>
  <c r="AB1144" i="18"/>
  <c r="AF1144" i="18"/>
  <c r="N1145" i="18"/>
  <c r="R1145" i="18"/>
  <c r="U1145" i="18"/>
  <c r="AC1145" i="18" s="1"/>
  <c r="X1145" i="18"/>
  <c r="AB1145" i="18"/>
  <c r="AF1145" i="18"/>
  <c r="N1146" i="18"/>
  <c r="R1146" i="18"/>
  <c r="U1146" i="18"/>
  <c r="AC1146" i="18" s="1"/>
  <c r="X1146" i="18"/>
  <c r="AB1146" i="18"/>
  <c r="AF1146" i="18"/>
  <c r="N1147" i="18"/>
  <c r="R1147" i="18"/>
  <c r="U1147" i="18"/>
  <c r="X1147" i="18"/>
  <c r="AB1147" i="18"/>
  <c r="AF1147" i="18"/>
  <c r="N1148" i="18"/>
  <c r="R1148" i="18"/>
  <c r="U1148" i="18"/>
  <c r="AC1148" i="18" s="1"/>
  <c r="X1148" i="18"/>
  <c r="AB1148" i="18"/>
  <c r="AF1148" i="18"/>
  <c r="N1149" i="18"/>
  <c r="R1149" i="18"/>
  <c r="U1149" i="18"/>
  <c r="AC1149" i="18" s="1"/>
  <c r="X1149" i="18"/>
  <c r="AB1149" i="18"/>
  <c r="AF1149" i="18"/>
  <c r="N1150" i="18"/>
  <c r="R1150" i="18"/>
  <c r="U1150" i="18"/>
  <c r="AC1150" i="18" s="1"/>
  <c r="X1150" i="18"/>
  <c r="AB1150" i="18"/>
  <c r="AF1150" i="18"/>
  <c r="N1151" i="18"/>
  <c r="R1151" i="18"/>
  <c r="U1151" i="18"/>
  <c r="AC1151" i="18" s="1"/>
  <c r="X1151" i="18"/>
  <c r="AB1151" i="18"/>
  <c r="AF1151" i="18"/>
  <c r="N1152" i="18"/>
  <c r="R1152" i="18"/>
  <c r="U1152" i="18"/>
  <c r="AC1152" i="18" s="1"/>
  <c r="X1152" i="18"/>
  <c r="AB1152" i="18"/>
  <c r="AF1152" i="18"/>
  <c r="N1153" i="18"/>
  <c r="R1153" i="18"/>
  <c r="U1153" i="18"/>
  <c r="AC1153" i="18" s="1"/>
  <c r="X1153" i="18"/>
  <c r="AB1153" i="18"/>
  <c r="AF1153" i="18"/>
  <c r="N1154" i="18"/>
  <c r="R1154" i="18"/>
  <c r="U1154" i="18"/>
  <c r="AC1154" i="18" s="1"/>
  <c r="X1154" i="18"/>
  <c r="AB1154" i="18"/>
  <c r="AF1154" i="18"/>
  <c r="N1155" i="18"/>
  <c r="R1155" i="18"/>
  <c r="U1155" i="18"/>
  <c r="AC1155" i="18" s="1"/>
  <c r="X1155" i="18"/>
  <c r="AB1155" i="18"/>
  <c r="AF1155" i="18"/>
  <c r="N1156" i="18"/>
  <c r="R1156" i="18"/>
  <c r="U1156" i="18"/>
  <c r="AC1156" i="18" s="1"/>
  <c r="X1156" i="18"/>
  <c r="AB1156" i="18"/>
  <c r="AF1156" i="18"/>
  <c r="N1157" i="18"/>
  <c r="R1157" i="18"/>
  <c r="U1157" i="18"/>
  <c r="AC1157" i="18" s="1"/>
  <c r="X1157" i="18"/>
  <c r="AB1157" i="18"/>
  <c r="AF1157" i="18"/>
  <c r="N1158" i="18"/>
  <c r="R1158" i="18"/>
  <c r="U1158" i="18"/>
  <c r="X1158" i="18"/>
  <c r="AB1158" i="18"/>
  <c r="AF1158" i="18"/>
  <c r="N1159" i="18"/>
  <c r="R1159" i="18"/>
  <c r="U1159" i="18"/>
  <c r="AC1159" i="18" s="1"/>
  <c r="X1159" i="18"/>
  <c r="AB1159" i="18"/>
  <c r="AF1159" i="18"/>
  <c r="N1160" i="18"/>
  <c r="R1160" i="18"/>
  <c r="U1160" i="18"/>
  <c r="AC1160" i="18" s="1"/>
  <c r="X1160" i="18"/>
  <c r="AB1160" i="18"/>
  <c r="AF1160" i="18"/>
  <c r="N1161" i="18"/>
  <c r="R1161" i="18"/>
  <c r="U1161" i="18"/>
  <c r="AC1161" i="18" s="1"/>
  <c r="X1161" i="18"/>
  <c r="AB1161" i="18"/>
  <c r="AF1161" i="18"/>
  <c r="N1162" i="18"/>
  <c r="R1162" i="18"/>
  <c r="U1162" i="18"/>
  <c r="AC1162" i="18" s="1"/>
  <c r="X1162" i="18"/>
  <c r="AB1162" i="18"/>
  <c r="AF1162" i="18"/>
  <c r="N1163" i="18"/>
  <c r="R1163" i="18"/>
  <c r="U1163" i="18"/>
  <c r="AC1163" i="18" s="1"/>
  <c r="X1163" i="18"/>
  <c r="AB1163" i="18"/>
  <c r="AF1163" i="18"/>
  <c r="N1164" i="18"/>
  <c r="R1164" i="18"/>
  <c r="U1164" i="18"/>
  <c r="AC1164" i="18" s="1"/>
  <c r="X1164" i="18"/>
  <c r="AB1164" i="18"/>
  <c r="AF1164" i="18"/>
  <c r="N1165" i="18"/>
  <c r="R1165" i="18"/>
  <c r="U1165" i="18"/>
  <c r="AC1165" i="18" s="1"/>
  <c r="X1165" i="18"/>
  <c r="AB1165" i="18"/>
  <c r="AF1165" i="18"/>
  <c r="N1166" i="18"/>
  <c r="R1166" i="18"/>
  <c r="U1166" i="18"/>
  <c r="AC1166" i="18" s="1"/>
  <c r="X1166" i="18"/>
  <c r="AB1166" i="18"/>
  <c r="AF1166" i="18"/>
  <c r="N1167" i="18"/>
  <c r="R1167" i="18"/>
  <c r="U1167" i="18"/>
  <c r="AC1167" i="18" s="1"/>
  <c r="X1167" i="18"/>
  <c r="AB1167" i="18"/>
  <c r="AF1167" i="18"/>
  <c r="N1168" i="18"/>
  <c r="R1168" i="18"/>
  <c r="U1168" i="18"/>
  <c r="AC1168" i="18" s="1"/>
  <c r="X1168" i="18"/>
  <c r="AB1168" i="18"/>
  <c r="AF1168" i="18"/>
  <c r="N1169" i="18"/>
  <c r="R1169" i="18"/>
  <c r="U1169" i="18"/>
  <c r="AC1169" i="18" s="1"/>
  <c r="X1169" i="18"/>
  <c r="AB1169" i="18"/>
  <c r="AF1169" i="18"/>
  <c r="N1170" i="18"/>
  <c r="R1170" i="18"/>
  <c r="U1170" i="18"/>
  <c r="AC1170" i="18" s="1"/>
  <c r="X1170" i="18"/>
  <c r="AB1170" i="18"/>
  <c r="AF1170" i="18"/>
  <c r="N1171" i="18"/>
  <c r="R1171" i="18"/>
  <c r="U1171" i="18"/>
  <c r="AC1171" i="18" s="1"/>
  <c r="X1171" i="18"/>
  <c r="AB1171" i="18"/>
  <c r="AF1171" i="18"/>
  <c r="N1172" i="18"/>
  <c r="R1172" i="18"/>
  <c r="U1172" i="18"/>
  <c r="AC1172" i="18" s="1"/>
  <c r="X1172" i="18"/>
  <c r="AB1172" i="18"/>
  <c r="AF1172" i="18"/>
  <c r="N1173" i="18"/>
  <c r="R1173" i="18"/>
  <c r="U1173" i="18"/>
  <c r="AC1173" i="18" s="1"/>
  <c r="X1173" i="18"/>
  <c r="AB1173" i="18"/>
  <c r="AF1173" i="18"/>
  <c r="N1174" i="18"/>
  <c r="R1174" i="18"/>
  <c r="U1174" i="18"/>
  <c r="AC1174" i="18" s="1"/>
  <c r="X1174" i="18"/>
  <c r="AB1174" i="18"/>
  <c r="AF1174" i="18"/>
  <c r="N1175" i="18"/>
  <c r="R1175" i="18"/>
  <c r="U1175" i="18"/>
  <c r="AC1175" i="18" s="1"/>
  <c r="X1175" i="18"/>
  <c r="AB1175" i="18"/>
  <c r="AF1175" i="18"/>
  <c r="N1176" i="18"/>
  <c r="R1176" i="18"/>
  <c r="U1176" i="18"/>
  <c r="AC1176" i="18" s="1"/>
  <c r="X1176" i="18"/>
  <c r="AB1176" i="18"/>
  <c r="AF1176" i="18"/>
  <c r="N1177" i="18"/>
  <c r="R1177" i="18"/>
  <c r="U1177" i="18"/>
  <c r="AC1177" i="18" s="1"/>
  <c r="X1177" i="18"/>
  <c r="AB1177" i="18"/>
  <c r="AF1177" i="18"/>
  <c r="N1178" i="18"/>
  <c r="R1178" i="18"/>
  <c r="U1178" i="18"/>
  <c r="AC1178" i="18" s="1"/>
  <c r="X1178" i="18"/>
  <c r="AB1178" i="18"/>
  <c r="AF1178" i="18"/>
  <c r="N1179" i="18"/>
  <c r="R1179" i="18"/>
  <c r="U1179" i="18"/>
  <c r="AC1179" i="18" s="1"/>
  <c r="X1179" i="18"/>
  <c r="AB1179" i="18"/>
  <c r="AF1179" i="18"/>
  <c r="N1180" i="18"/>
  <c r="R1180" i="18"/>
  <c r="U1180" i="18"/>
  <c r="AC1180" i="18" s="1"/>
  <c r="X1180" i="18"/>
  <c r="AB1180" i="18"/>
  <c r="AF1180" i="18"/>
  <c r="N1181" i="18"/>
  <c r="R1181" i="18"/>
  <c r="U1181" i="18"/>
  <c r="AC1181" i="18" s="1"/>
  <c r="X1181" i="18"/>
  <c r="AB1181" i="18"/>
  <c r="AF1181" i="18"/>
  <c r="N1182" i="18"/>
  <c r="R1182" i="18"/>
  <c r="U1182" i="18"/>
  <c r="AC1182" i="18" s="1"/>
  <c r="X1182" i="18"/>
  <c r="AB1182" i="18"/>
  <c r="AF1182" i="18"/>
  <c r="N1183" i="18"/>
  <c r="R1183" i="18"/>
  <c r="U1183" i="18"/>
  <c r="AC1183" i="18" s="1"/>
  <c r="X1183" i="18"/>
  <c r="AB1183" i="18"/>
  <c r="AF1183" i="18"/>
  <c r="N1184" i="18"/>
  <c r="R1184" i="18"/>
  <c r="U1184" i="18"/>
  <c r="X1184" i="18"/>
  <c r="AB1184" i="18"/>
  <c r="AF1184" i="18"/>
  <c r="N1185" i="18"/>
  <c r="R1185" i="18"/>
  <c r="U1185" i="18"/>
  <c r="AC1185" i="18" s="1"/>
  <c r="X1185" i="18"/>
  <c r="AB1185" i="18"/>
  <c r="AF1185" i="18"/>
  <c r="N1186" i="18"/>
  <c r="R1186" i="18"/>
  <c r="U1186" i="18"/>
  <c r="AC1186" i="18" s="1"/>
  <c r="X1186" i="18"/>
  <c r="AB1186" i="18"/>
  <c r="AF1186" i="18"/>
  <c r="N1187" i="18"/>
  <c r="R1187" i="18"/>
  <c r="U1187" i="18"/>
  <c r="AC1187" i="18" s="1"/>
  <c r="X1187" i="18"/>
  <c r="AB1187" i="18"/>
  <c r="AF1187" i="18"/>
  <c r="N1188" i="18"/>
  <c r="R1188" i="18"/>
  <c r="U1188" i="18"/>
  <c r="AC1188" i="18" s="1"/>
  <c r="X1188" i="18"/>
  <c r="AB1188" i="18"/>
  <c r="AF1188" i="18"/>
  <c r="N1189" i="18"/>
  <c r="R1189" i="18"/>
  <c r="U1189" i="18"/>
  <c r="AC1189" i="18" s="1"/>
  <c r="X1189" i="18"/>
  <c r="AB1189" i="18"/>
  <c r="AF1189" i="18"/>
  <c r="N1190" i="18"/>
  <c r="R1190" i="18"/>
  <c r="U1190" i="18"/>
  <c r="AC1190" i="18" s="1"/>
  <c r="X1190" i="18"/>
  <c r="AB1190" i="18"/>
  <c r="AF1190" i="18"/>
  <c r="N1191" i="18"/>
  <c r="R1191" i="18"/>
  <c r="U1191" i="18"/>
  <c r="AC1191" i="18" s="1"/>
  <c r="X1191" i="18"/>
  <c r="AB1191" i="18"/>
  <c r="AF1191" i="18"/>
  <c r="N1192" i="18"/>
  <c r="R1192" i="18"/>
  <c r="U1192" i="18"/>
  <c r="AC1192" i="18" s="1"/>
  <c r="X1192" i="18"/>
  <c r="AB1192" i="18"/>
  <c r="AF1192" i="18"/>
  <c r="N1193" i="18"/>
  <c r="R1193" i="18"/>
  <c r="U1193" i="18"/>
  <c r="AC1193" i="18" s="1"/>
  <c r="X1193" i="18"/>
  <c r="AB1193" i="18"/>
  <c r="AF1193" i="18"/>
  <c r="N1194" i="18"/>
  <c r="R1194" i="18"/>
  <c r="U1194" i="18"/>
  <c r="AC1194" i="18" s="1"/>
  <c r="X1194" i="18"/>
  <c r="AB1194" i="18"/>
  <c r="AF1194" i="18"/>
  <c r="N1195" i="18"/>
  <c r="R1195" i="18"/>
  <c r="U1195" i="18"/>
  <c r="AC1195" i="18" s="1"/>
  <c r="X1195" i="18"/>
  <c r="AB1195" i="18"/>
  <c r="AF1195" i="18"/>
  <c r="N1196" i="18"/>
  <c r="R1196" i="18"/>
  <c r="U1196" i="18"/>
  <c r="AC1196" i="18" s="1"/>
  <c r="X1196" i="18"/>
  <c r="AB1196" i="18"/>
  <c r="AF1196" i="18"/>
  <c r="N1197" i="18"/>
  <c r="R1197" i="18"/>
  <c r="U1197" i="18"/>
  <c r="AC1197" i="18" s="1"/>
  <c r="X1197" i="18"/>
  <c r="AB1197" i="18"/>
  <c r="AF1197" i="18"/>
  <c r="N1198" i="18"/>
  <c r="R1198" i="18"/>
  <c r="U1198" i="18"/>
  <c r="AC1198" i="18" s="1"/>
  <c r="X1198" i="18"/>
  <c r="AB1198" i="18"/>
  <c r="AF1198" i="18"/>
  <c r="N1199" i="18"/>
  <c r="R1199" i="18"/>
  <c r="U1199" i="18"/>
  <c r="AC1199" i="18" s="1"/>
  <c r="X1199" i="18"/>
  <c r="AB1199" i="18"/>
  <c r="AF1199" i="18"/>
  <c r="N1200" i="18"/>
  <c r="R1200" i="18"/>
  <c r="U1200" i="18"/>
  <c r="AC1200" i="18" s="1"/>
  <c r="X1200" i="18"/>
  <c r="AB1200" i="18"/>
  <c r="AF1200" i="18"/>
  <c r="N1201" i="18"/>
  <c r="R1201" i="18"/>
  <c r="U1201" i="18"/>
  <c r="AC1201" i="18" s="1"/>
  <c r="X1201" i="18"/>
  <c r="AB1201" i="18"/>
  <c r="AF1201" i="18"/>
  <c r="N1202" i="18"/>
  <c r="R1202" i="18"/>
  <c r="U1202" i="18"/>
  <c r="AC1202" i="18" s="1"/>
  <c r="X1202" i="18"/>
  <c r="AB1202" i="18"/>
  <c r="AF1202" i="18"/>
  <c r="N1203" i="18"/>
  <c r="R1203" i="18"/>
  <c r="U1203" i="18"/>
  <c r="X1203" i="18"/>
  <c r="AB1203" i="18"/>
  <c r="AF1203" i="18"/>
  <c r="N1204" i="18"/>
  <c r="R1204" i="18"/>
  <c r="U1204" i="18"/>
  <c r="AC1204" i="18" s="1"/>
  <c r="X1204" i="18"/>
  <c r="AB1204" i="18"/>
  <c r="AF1204" i="18"/>
  <c r="N1205" i="18"/>
  <c r="R1205" i="18"/>
  <c r="U1205" i="18"/>
  <c r="AC1205" i="18" s="1"/>
  <c r="X1205" i="18"/>
  <c r="AB1205" i="18"/>
  <c r="AF1205" i="18"/>
  <c r="N1206" i="18"/>
  <c r="R1206" i="18"/>
  <c r="U1206" i="18"/>
  <c r="AC1206" i="18" s="1"/>
  <c r="X1206" i="18"/>
  <c r="AB1206" i="18"/>
  <c r="AF1206" i="18"/>
  <c r="N1207" i="18"/>
  <c r="R1207" i="18"/>
  <c r="U1207" i="18"/>
  <c r="AC1207" i="18" s="1"/>
  <c r="X1207" i="18"/>
  <c r="AB1207" i="18"/>
  <c r="AF1207" i="18"/>
  <c r="N1208" i="18"/>
  <c r="R1208" i="18"/>
  <c r="U1208" i="18"/>
  <c r="X1208" i="18"/>
  <c r="AB1208" i="18"/>
  <c r="AF1208" i="18"/>
  <c r="N1209" i="18"/>
  <c r="R1209" i="18"/>
  <c r="U1209" i="18"/>
  <c r="AC1209" i="18" s="1"/>
  <c r="X1209" i="18"/>
  <c r="AB1209" i="18"/>
  <c r="AF1209" i="18"/>
  <c r="N1210" i="18"/>
  <c r="R1210" i="18"/>
  <c r="U1210" i="18"/>
  <c r="AC1210" i="18" s="1"/>
  <c r="X1210" i="18"/>
  <c r="AB1210" i="18"/>
  <c r="AF1210" i="18"/>
  <c r="N1211" i="18"/>
  <c r="R1211" i="18"/>
  <c r="U1211" i="18"/>
  <c r="AC1211" i="18" s="1"/>
  <c r="X1211" i="18"/>
  <c r="AB1211" i="18"/>
  <c r="AD1211" i="18"/>
  <c r="AF1211" i="18"/>
  <c r="N1212" i="18"/>
  <c r="R1212" i="18"/>
  <c r="U1212" i="18"/>
  <c r="AC1212" i="18" s="1"/>
  <c r="X1212" i="18"/>
  <c r="AB1212" i="18"/>
  <c r="AF1212" i="18"/>
  <c r="N1213" i="18"/>
  <c r="R1213" i="18"/>
  <c r="U1213" i="18"/>
  <c r="AC1213" i="18" s="1"/>
  <c r="X1213" i="18"/>
  <c r="AB1213" i="18"/>
  <c r="AF1213" i="18"/>
  <c r="N1214" i="18"/>
  <c r="R1214" i="18"/>
  <c r="U1214" i="18"/>
  <c r="AC1214" i="18" s="1"/>
  <c r="X1214" i="18"/>
  <c r="AB1214" i="18"/>
  <c r="AF1214" i="18"/>
  <c r="N1215" i="18"/>
  <c r="R1215" i="18"/>
  <c r="U1215" i="18"/>
  <c r="AC1215" i="18" s="1"/>
  <c r="X1215" i="18"/>
  <c r="AB1215" i="18"/>
  <c r="AF1215" i="18"/>
  <c r="N1216" i="18"/>
  <c r="R1216" i="18"/>
  <c r="U1216" i="18"/>
  <c r="AC1216" i="18" s="1"/>
  <c r="X1216" i="18"/>
  <c r="AB1216" i="18"/>
  <c r="AF1216" i="18"/>
  <c r="N1217" i="18"/>
  <c r="R1217" i="18"/>
  <c r="U1217" i="18"/>
  <c r="AC1217" i="18" s="1"/>
  <c r="X1217" i="18"/>
  <c r="AB1217" i="18"/>
  <c r="AF1217" i="18"/>
  <c r="N1218" i="18"/>
  <c r="R1218" i="18"/>
  <c r="U1218" i="18"/>
  <c r="AC1218" i="18" s="1"/>
  <c r="X1218" i="18"/>
  <c r="AB1218" i="18"/>
  <c r="AF1218" i="18"/>
  <c r="N1219" i="18"/>
  <c r="R1219" i="18"/>
  <c r="U1219" i="18"/>
  <c r="AC1219" i="18" s="1"/>
  <c r="X1219" i="18"/>
  <c r="AB1219" i="18"/>
  <c r="AF1219" i="18"/>
  <c r="N1220" i="18"/>
  <c r="R1220" i="18"/>
  <c r="U1220" i="18"/>
  <c r="AC1220" i="18" s="1"/>
  <c r="X1220" i="18"/>
  <c r="AB1220" i="18"/>
  <c r="AF1220" i="18"/>
  <c r="N1221" i="18"/>
  <c r="R1221" i="18"/>
  <c r="U1221" i="18"/>
  <c r="AC1221" i="18" s="1"/>
  <c r="X1221" i="18"/>
  <c r="AB1221" i="18"/>
  <c r="AF1221" i="18"/>
  <c r="N1222" i="18"/>
  <c r="R1222" i="18"/>
  <c r="U1222" i="18"/>
  <c r="AC1222" i="18" s="1"/>
  <c r="X1222" i="18"/>
  <c r="AB1222" i="18"/>
  <c r="AF1222" i="18"/>
  <c r="N1223" i="18"/>
  <c r="R1223" i="18"/>
  <c r="U1223" i="18"/>
  <c r="AC1223" i="18" s="1"/>
  <c r="X1223" i="18"/>
  <c r="AB1223" i="18"/>
  <c r="AF1223" i="18"/>
  <c r="N1224" i="18"/>
  <c r="R1224" i="18"/>
  <c r="U1224" i="18"/>
  <c r="AC1224" i="18" s="1"/>
  <c r="X1224" i="18"/>
  <c r="AB1224" i="18"/>
  <c r="AF1224" i="18"/>
  <c r="N1225" i="18"/>
  <c r="R1225" i="18"/>
  <c r="U1225" i="18"/>
  <c r="AC1225" i="18" s="1"/>
  <c r="X1225" i="18"/>
  <c r="AB1225" i="18"/>
  <c r="AF1225" i="18"/>
  <c r="N1226" i="18"/>
  <c r="R1226" i="18"/>
  <c r="U1226" i="18"/>
  <c r="AC1226" i="18" s="1"/>
  <c r="X1226" i="18"/>
  <c r="AB1226" i="18"/>
  <c r="AF1226" i="18"/>
  <c r="N1227" i="18"/>
  <c r="R1227" i="18"/>
  <c r="U1227" i="18"/>
  <c r="AC1227" i="18" s="1"/>
  <c r="X1227" i="18"/>
  <c r="AB1227" i="18"/>
  <c r="AF1227" i="18"/>
  <c r="N1228" i="18"/>
  <c r="R1228" i="18"/>
  <c r="U1228" i="18"/>
  <c r="AC1228" i="18" s="1"/>
  <c r="X1228" i="18"/>
  <c r="AB1228" i="18"/>
  <c r="AF1228" i="18"/>
  <c r="N1229" i="18"/>
  <c r="R1229" i="18"/>
  <c r="U1229" i="18"/>
  <c r="AC1229" i="18" s="1"/>
  <c r="X1229" i="18"/>
  <c r="AB1229" i="18"/>
  <c r="AF1229" i="18"/>
  <c r="N1230" i="18"/>
  <c r="R1230" i="18"/>
  <c r="U1230" i="18"/>
  <c r="AC1230" i="18" s="1"/>
  <c r="X1230" i="18"/>
  <c r="AB1230" i="18"/>
  <c r="AF1230" i="18"/>
  <c r="N1231" i="18"/>
  <c r="R1231" i="18"/>
  <c r="U1231" i="18"/>
  <c r="AC1231" i="18" s="1"/>
  <c r="X1231" i="18"/>
  <c r="AB1231" i="18"/>
  <c r="AF1231" i="18"/>
  <c r="N1232" i="18"/>
  <c r="R1232" i="18"/>
  <c r="U1232" i="18"/>
  <c r="AC1232" i="18" s="1"/>
  <c r="X1232" i="18"/>
  <c r="AB1232" i="18"/>
  <c r="AF1232" i="18"/>
  <c r="N1233" i="18"/>
  <c r="R1233" i="18"/>
  <c r="U1233" i="18"/>
  <c r="AC1233" i="18" s="1"/>
  <c r="X1233" i="18"/>
  <c r="AB1233" i="18"/>
  <c r="AF1233" i="18"/>
  <c r="N1234" i="18"/>
  <c r="R1234" i="18"/>
  <c r="U1234" i="18"/>
  <c r="AC1234" i="18" s="1"/>
  <c r="X1234" i="18"/>
  <c r="AB1234" i="18"/>
  <c r="AF1234" i="18"/>
  <c r="N1235" i="18"/>
  <c r="R1235" i="18"/>
  <c r="U1235" i="18"/>
  <c r="AC1235" i="18" s="1"/>
  <c r="X1235" i="18"/>
  <c r="AB1235" i="18"/>
  <c r="AF1235" i="18"/>
  <c r="N1236" i="18"/>
  <c r="R1236" i="18"/>
  <c r="U1236" i="18"/>
  <c r="AC1236" i="18" s="1"/>
  <c r="X1236" i="18"/>
  <c r="AB1236" i="18"/>
  <c r="AF1236" i="18"/>
  <c r="N1237" i="18"/>
  <c r="R1237" i="18"/>
  <c r="U1237" i="18"/>
  <c r="AC1237" i="18" s="1"/>
  <c r="X1237" i="18"/>
  <c r="AB1237" i="18"/>
  <c r="AF1237" i="18"/>
  <c r="N1238" i="18"/>
  <c r="R1238" i="18"/>
  <c r="U1238" i="18"/>
  <c r="X1238" i="18"/>
  <c r="AB1238" i="18"/>
  <c r="AF1238" i="18"/>
  <c r="N1239" i="18"/>
  <c r="R1239" i="18"/>
  <c r="U1239" i="18"/>
  <c r="AC1239" i="18" s="1"/>
  <c r="X1239" i="18"/>
  <c r="AB1239" i="18"/>
  <c r="AF1239" i="18"/>
  <c r="N1240" i="18"/>
  <c r="R1240" i="18"/>
  <c r="U1240" i="18"/>
  <c r="AC1240" i="18" s="1"/>
  <c r="X1240" i="18"/>
  <c r="AB1240" i="18"/>
  <c r="AF1240" i="18"/>
  <c r="N1241" i="18"/>
  <c r="R1241" i="18"/>
  <c r="U1241" i="18"/>
  <c r="AC1241" i="18" s="1"/>
  <c r="X1241" i="18"/>
  <c r="AB1241" i="18"/>
  <c r="AF1241" i="18"/>
  <c r="N1242" i="18"/>
  <c r="R1242" i="18"/>
  <c r="U1242" i="18"/>
  <c r="AC1242" i="18" s="1"/>
  <c r="X1242" i="18"/>
  <c r="AB1242" i="18"/>
  <c r="AF1242" i="18"/>
  <c r="N1243" i="18"/>
  <c r="R1243" i="18"/>
  <c r="U1243" i="18"/>
  <c r="X1243" i="18"/>
  <c r="AB1243" i="18"/>
  <c r="AF1243" i="18"/>
  <c r="N1244" i="18"/>
  <c r="R1244" i="18"/>
  <c r="U1244" i="18"/>
  <c r="AC1244" i="18" s="1"/>
  <c r="X1244" i="18"/>
  <c r="AB1244" i="18"/>
  <c r="AF1244" i="18"/>
  <c r="N1245" i="18"/>
  <c r="R1245" i="18"/>
  <c r="U1245" i="18"/>
  <c r="AC1245" i="18" s="1"/>
  <c r="X1245" i="18"/>
  <c r="AB1245" i="18"/>
  <c r="AF1245" i="18"/>
  <c r="N1246" i="18"/>
  <c r="R1246" i="18"/>
  <c r="U1246" i="18"/>
  <c r="AC1246" i="18" s="1"/>
  <c r="X1246" i="18"/>
  <c r="AB1246" i="18"/>
  <c r="AF1246" i="18"/>
  <c r="N1247" i="18"/>
  <c r="R1247" i="18"/>
  <c r="U1247" i="18"/>
  <c r="AC1247" i="18" s="1"/>
  <c r="X1247" i="18"/>
  <c r="AB1247" i="18"/>
  <c r="AF1247" i="18"/>
  <c r="N1248" i="18"/>
  <c r="R1248" i="18"/>
  <c r="U1248" i="18"/>
  <c r="AC1248" i="18" s="1"/>
  <c r="X1248" i="18"/>
  <c r="AB1248" i="18"/>
  <c r="AF1248" i="18"/>
  <c r="N1249" i="18"/>
  <c r="R1249" i="18"/>
  <c r="U1249" i="18"/>
  <c r="AC1249" i="18" s="1"/>
  <c r="X1249" i="18"/>
  <c r="AB1249" i="18"/>
  <c r="AF1249" i="18"/>
  <c r="N1250" i="18"/>
  <c r="R1250" i="18"/>
  <c r="U1250" i="18"/>
  <c r="AC1250" i="18" s="1"/>
  <c r="X1250" i="18"/>
  <c r="AB1250" i="18"/>
  <c r="AF1250" i="18"/>
  <c r="N1251" i="18"/>
  <c r="R1251" i="18"/>
  <c r="U1251" i="18"/>
  <c r="AC1251" i="18" s="1"/>
  <c r="X1251" i="18"/>
  <c r="AB1251" i="18"/>
  <c r="AF1251" i="18"/>
  <c r="N1252" i="18"/>
  <c r="R1252" i="18"/>
  <c r="U1252" i="18"/>
  <c r="AC1252" i="18" s="1"/>
  <c r="X1252" i="18"/>
  <c r="AB1252" i="18"/>
  <c r="AF1252" i="18"/>
  <c r="N1253" i="18"/>
  <c r="R1253" i="18"/>
  <c r="U1253" i="18"/>
  <c r="AC1253" i="18" s="1"/>
  <c r="X1253" i="18"/>
  <c r="AB1253" i="18"/>
  <c r="AF1253" i="18"/>
  <c r="N1254" i="18"/>
  <c r="R1254" i="18"/>
  <c r="U1254" i="18"/>
  <c r="AC1254" i="18" s="1"/>
  <c r="X1254" i="18"/>
  <c r="AB1254" i="18"/>
  <c r="AF1254" i="18"/>
  <c r="N1255" i="18"/>
  <c r="R1255" i="18"/>
  <c r="U1255" i="18"/>
  <c r="AC1255" i="18" s="1"/>
  <c r="X1255" i="18"/>
  <c r="AB1255" i="18"/>
  <c r="AF1255" i="18"/>
  <c r="N1256" i="18"/>
  <c r="R1256" i="18"/>
  <c r="U1256" i="18"/>
  <c r="AC1256" i="18" s="1"/>
  <c r="X1256" i="18"/>
  <c r="AB1256" i="18"/>
  <c r="AF1256" i="18"/>
  <c r="N1257" i="18"/>
  <c r="R1257" i="18"/>
  <c r="U1257" i="18"/>
  <c r="AC1257" i="18" s="1"/>
  <c r="X1257" i="18"/>
  <c r="AB1257" i="18"/>
  <c r="AF1257" i="18"/>
  <c r="N1258" i="18"/>
  <c r="R1258" i="18"/>
  <c r="U1258" i="18"/>
  <c r="AC1258" i="18" s="1"/>
  <c r="X1258" i="18"/>
  <c r="AB1258" i="18"/>
  <c r="AF1258" i="18"/>
  <c r="N1259" i="18"/>
  <c r="R1259" i="18"/>
  <c r="U1259" i="18"/>
  <c r="AC1259" i="18" s="1"/>
  <c r="X1259" i="18"/>
  <c r="AB1259" i="18"/>
  <c r="AF1259" i="18"/>
  <c r="N1260" i="18"/>
  <c r="R1260" i="18"/>
  <c r="U1260" i="18"/>
  <c r="AC1260" i="18" s="1"/>
  <c r="X1260" i="18"/>
  <c r="AB1260" i="18"/>
  <c r="AF1260" i="18"/>
  <c r="N1261" i="18"/>
  <c r="R1261" i="18"/>
  <c r="U1261" i="18"/>
  <c r="AC1261" i="18" s="1"/>
  <c r="X1261" i="18"/>
  <c r="AB1261" i="18"/>
  <c r="AF1261" i="18"/>
  <c r="N1262" i="18"/>
  <c r="R1262" i="18"/>
  <c r="U1262" i="18"/>
  <c r="X1262" i="18"/>
  <c r="AB1262" i="18"/>
  <c r="AF1262" i="18"/>
  <c r="N1263" i="18"/>
  <c r="R1263" i="18"/>
  <c r="U1263" i="18"/>
  <c r="AC1263" i="18" s="1"/>
  <c r="X1263" i="18"/>
  <c r="AB1263" i="18"/>
  <c r="AF1263" i="18"/>
  <c r="N1264" i="18"/>
  <c r="R1264" i="18"/>
  <c r="U1264" i="18"/>
  <c r="AC1264" i="18" s="1"/>
  <c r="X1264" i="18"/>
  <c r="AB1264" i="18"/>
  <c r="AF1264" i="18"/>
  <c r="N1265" i="18"/>
  <c r="R1265" i="18"/>
  <c r="U1265" i="18"/>
  <c r="AC1265" i="18" s="1"/>
  <c r="X1265" i="18"/>
  <c r="AB1265" i="18"/>
  <c r="AF1265" i="18"/>
  <c r="N1266" i="18"/>
  <c r="R1266" i="18"/>
  <c r="U1266" i="18"/>
  <c r="AC1266" i="18" s="1"/>
  <c r="X1266" i="18"/>
  <c r="AB1266" i="18"/>
  <c r="AF1266" i="18"/>
  <c r="N1267" i="18"/>
  <c r="R1267" i="18"/>
  <c r="U1267" i="18"/>
  <c r="AC1267" i="18" s="1"/>
  <c r="X1267" i="18"/>
  <c r="AB1267" i="18"/>
  <c r="AF1267" i="18"/>
  <c r="N1268" i="18"/>
  <c r="R1268" i="18"/>
  <c r="U1268" i="18"/>
  <c r="AC1268" i="18" s="1"/>
  <c r="X1268" i="18"/>
  <c r="AB1268" i="18"/>
  <c r="AF1268" i="18"/>
  <c r="N1269" i="18"/>
  <c r="R1269" i="18"/>
  <c r="U1269" i="18"/>
  <c r="AC1269" i="18" s="1"/>
  <c r="X1269" i="18"/>
  <c r="AB1269" i="18"/>
  <c r="AF1269" i="18"/>
  <c r="N1270" i="18"/>
  <c r="R1270" i="18"/>
  <c r="U1270" i="18"/>
  <c r="X1270" i="18"/>
  <c r="AB1270" i="18"/>
  <c r="AF1270" i="18"/>
  <c r="N1271" i="18"/>
  <c r="R1271" i="18"/>
  <c r="U1271" i="18"/>
  <c r="AC1271" i="18" s="1"/>
  <c r="X1271" i="18"/>
  <c r="AB1271" i="18"/>
  <c r="AF1271" i="18"/>
  <c r="N1272" i="18"/>
  <c r="R1272" i="18"/>
  <c r="U1272" i="18"/>
  <c r="AC1272" i="18" s="1"/>
  <c r="X1272" i="18"/>
  <c r="AB1272" i="18"/>
  <c r="AF1272" i="18"/>
  <c r="N1273" i="18"/>
  <c r="R1273" i="18"/>
  <c r="U1273" i="18"/>
  <c r="AC1273" i="18" s="1"/>
  <c r="X1273" i="18"/>
  <c r="AB1273" i="18"/>
  <c r="AF1273" i="18"/>
  <c r="N1274" i="18"/>
  <c r="R1274" i="18"/>
  <c r="U1274" i="18"/>
  <c r="AC1274" i="18" s="1"/>
  <c r="X1274" i="18"/>
  <c r="AB1274" i="18"/>
  <c r="AF1274" i="18"/>
  <c r="N1275" i="18"/>
  <c r="R1275" i="18"/>
  <c r="U1275" i="18"/>
  <c r="AC1275" i="18" s="1"/>
  <c r="X1275" i="18"/>
  <c r="AB1275" i="18"/>
  <c r="AF1275" i="18"/>
  <c r="N1276" i="18"/>
  <c r="R1276" i="18"/>
  <c r="U1276" i="18"/>
  <c r="AC1276" i="18" s="1"/>
  <c r="X1276" i="18"/>
  <c r="AB1276" i="18"/>
  <c r="AF1276" i="18"/>
  <c r="N1277" i="18"/>
  <c r="R1277" i="18"/>
  <c r="U1277" i="18"/>
  <c r="AC1277" i="18" s="1"/>
  <c r="X1277" i="18"/>
  <c r="AB1277" i="18"/>
  <c r="AF1277" i="18"/>
  <c r="N1278" i="18"/>
  <c r="R1278" i="18"/>
  <c r="U1278" i="18"/>
  <c r="AC1278" i="18" s="1"/>
  <c r="X1278" i="18"/>
  <c r="AB1278" i="18"/>
  <c r="AF1278" i="18"/>
  <c r="N1279" i="18"/>
  <c r="R1279" i="18"/>
  <c r="U1279" i="18"/>
  <c r="AC1279" i="18" s="1"/>
  <c r="X1279" i="18"/>
  <c r="AB1279" i="18"/>
  <c r="AF1279" i="18"/>
  <c r="N1280" i="18"/>
  <c r="R1280" i="18"/>
  <c r="U1280" i="18"/>
  <c r="AC1280" i="18" s="1"/>
  <c r="X1280" i="18"/>
  <c r="AB1280" i="18"/>
  <c r="AF1280" i="18"/>
  <c r="N1281" i="18"/>
  <c r="R1281" i="18"/>
  <c r="U1281" i="18"/>
  <c r="AC1281" i="18" s="1"/>
  <c r="X1281" i="18"/>
  <c r="AB1281" i="18"/>
  <c r="AF1281" i="18"/>
  <c r="N1282" i="18"/>
  <c r="R1282" i="18"/>
  <c r="U1282" i="18"/>
  <c r="AC1282" i="18" s="1"/>
  <c r="X1282" i="18"/>
  <c r="AB1282" i="18"/>
  <c r="AF1282" i="18"/>
  <c r="N1283" i="18"/>
  <c r="R1283" i="18"/>
  <c r="U1283" i="18"/>
  <c r="AC1283" i="18" s="1"/>
  <c r="X1283" i="18"/>
  <c r="AB1283" i="18"/>
  <c r="AF1283" i="18"/>
  <c r="N1284" i="18"/>
  <c r="R1284" i="18"/>
  <c r="U1284" i="18"/>
  <c r="AC1284" i="18" s="1"/>
  <c r="X1284" i="18"/>
  <c r="AB1284" i="18"/>
  <c r="AF1284" i="18"/>
  <c r="N1285" i="18"/>
  <c r="R1285" i="18"/>
  <c r="U1285" i="18"/>
  <c r="AC1285" i="18" s="1"/>
  <c r="X1285" i="18"/>
  <c r="AB1285" i="18"/>
  <c r="AF1285" i="18"/>
  <c r="N1286" i="18"/>
  <c r="R1286" i="18"/>
  <c r="U1286" i="18"/>
  <c r="AC1286" i="18" s="1"/>
  <c r="X1286" i="18"/>
  <c r="AB1286" i="18"/>
  <c r="AF1286" i="18"/>
  <c r="N1287" i="18"/>
  <c r="R1287" i="18"/>
  <c r="U1287" i="18"/>
  <c r="AC1287" i="18" s="1"/>
  <c r="X1287" i="18"/>
  <c r="AB1287" i="18"/>
  <c r="AF1287" i="18"/>
  <c r="N1288" i="18"/>
  <c r="R1288" i="18"/>
  <c r="U1288" i="18"/>
  <c r="AC1288" i="18" s="1"/>
  <c r="X1288" i="18"/>
  <c r="AB1288" i="18"/>
  <c r="AF1288" i="18"/>
  <c r="N1289" i="18"/>
  <c r="R1289" i="18"/>
  <c r="U1289" i="18"/>
  <c r="AC1289" i="18" s="1"/>
  <c r="X1289" i="18"/>
  <c r="AB1289" i="18"/>
  <c r="AF1289" i="18"/>
  <c r="N1290" i="18"/>
  <c r="R1290" i="18"/>
  <c r="U1290" i="18"/>
  <c r="AC1290" i="18" s="1"/>
  <c r="X1290" i="18"/>
  <c r="AB1290" i="18"/>
  <c r="AF1290" i="18"/>
  <c r="N1291" i="18"/>
  <c r="R1291" i="18"/>
  <c r="U1291" i="18"/>
  <c r="AC1291" i="18" s="1"/>
  <c r="X1291" i="18"/>
  <c r="AB1291" i="18"/>
  <c r="AF1291" i="18"/>
  <c r="N1292" i="18"/>
  <c r="R1292" i="18"/>
  <c r="U1292" i="18"/>
  <c r="AC1292" i="18" s="1"/>
  <c r="X1292" i="18"/>
  <c r="AB1292" i="18"/>
  <c r="AF1292" i="18"/>
  <c r="N1293" i="18"/>
  <c r="R1293" i="18"/>
  <c r="U1293" i="18"/>
  <c r="AC1293" i="18" s="1"/>
  <c r="X1293" i="18"/>
  <c r="AB1293" i="18"/>
  <c r="AF1293" i="18"/>
  <c r="N1294" i="18"/>
  <c r="R1294" i="18"/>
  <c r="U1294" i="18"/>
  <c r="X1294" i="18"/>
  <c r="AB1294" i="18"/>
  <c r="AF1294" i="18"/>
  <c r="N1295" i="18"/>
  <c r="R1295" i="18"/>
  <c r="U1295" i="18"/>
  <c r="AC1295" i="18" s="1"/>
  <c r="X1295" i="18"/>
  <c r="AB1295" i="18"/>
  <c r="AF1295" i="18"/>
  <c r="N1296" i="18"/>
  <c r="R1296" i="18"/>
  <c r="U1296" i="18"/>
  <c r="AC1296" i="18" s="1"/>
  <c r="X1296" i="18"/>
  <c r="AB1296" i="18"/>
  <c r="AF1296" i="18"/>
  <c r="N1297" i="18"/>
  <c r="R1297" i="18"/>
  <c r="U1297" i="18"/>
  <c r="AC1297" i="18" s="1"/>
  <c r="X1297" i="18"/>
  <c r="AB1297" i="18"/>
  <c r="AF1297" i="18"/>
  <c r="N1298" i="18"/>
  <c r="R1298" i="18"/>
  <c r="U1298" i="18"/>
  <c r="AC1298" i="18" s="1"/>
  <c r="X1298" i="18"/>
  <c r="AB1298" i="18"/>
  <c r="AF1298" i="18"/>
  <c r="N1299" i="18"/>
  <c r="R1299" i="18"/>
  <c r="U1299" i="18"/>
  <c r="X1299" i="18"/>
  <c r="AB1299" i="18"/>
  <c r="AF1299" i="18"/>
  <c r="N1300" i="18"/>
  <c r="R1300" i="18"/>
  <c r="U1300" i="18"/>
  <c r="AC1300" i="18" s="1"/>
  <c r="X1300" i="18"/>
  <c r="AB1300" i="18"/>
  <c r="AF1300" i="18"/>
  <c r="N1301" i="18"/>
  <c r="R1301" i="18"/>
  <c r="U1301" i="18"/>
  <c r="AC1301" i="18" s="1"/>
  <c r="X1301" i="18"/>
  <c r="AB1301" i="18"/>
  <c r="AF1301" i="18"/>
  <c r="N1302" i="18"/>
  <c r="R1302" i="18"/>
  <c r="U1302" i="18"/>
  <c r="AC1302" i="18" s="1"/>
  <c r="X1302" i="18"/>
  <c r="AB1302" i="18"/>
  <c r="AF1302" i="18"/>
  <c r="N1303" i="18"/>
  <c r="R1303" i="18"/>
  <c r="U1303" i="18"/>
  <c r="AC1303" i="18" s="1"/>
  <c r="X1303" i="18"/>
  <c r="AB1303" i="18"/>
  <c r="AF1303" i="18"/>
  <c r="N1304" i="18"/>
  <c r="R1304" i="18"/>
  <c r="U1304" i="18"/>
  <c r="X1304" i="18"/>
  <c r="AB1304" i="18"/>
  <c r="AF1304" i="18"/>
  <c r="N1305" i="18"/>
  <c r="R1305" i="18"/>
  <c r="U1305" i="18"/>
  <c r="AC1305" i="18" s="1"/>
  <c r="X1305" i="18"/>
  <c r="AB1305" i="18"/>
  <c r="AF1305" i="18"/>
  <c r="N1306" i="18"/>
  <c r="R1306" i="18"/>
  <c r="U1306" i="18"/>
  <c r="AC1306" i="18" s="1"/>
  <c r="X1306" i="18"/>
  <c r="AB1306" i="18"/>
  <c r="AF1306" i="18"/>
  <c r="N1307" i="18"/>
  <c r="R1307" i="18"/>
  <c r="U1307" i="18"/>
  <c r="AC1307" i="18" s="1"/>
  <c r="X1307" i="18"/>
  <c r="AB1307" i="18"/>
  <c r="AF1307" i="18"/>
  <c r="N1308" i="18"/>
  <c r="R1308" i="18"/>
  <c r="U1308" i="18"/>
  <c r="AC1308" i="18" s="1"/>
  <c r="X1308" i="18"/>
  <c r="AB1308" i="18"/>
  <c r="AF1308" i="18"/>
  <c r="N1309" i="18"/>
  <c r="R1309" i="18"/>
  <c r="U1309" i="18"/>
  <c r="AC1309" i="18" s="1"/>
  <c r="X1309" i="18"/>
  <c r="AB1309" i="18"/>
  <c r="AF1309" i="18"/>
  <c r="N1310" i="18"/>
  <c r="R1310" i="18"/>
  <c r="U1310" i="18"/>
  <c r="AC1310" i="18" s="1"/>
  <c r="X1310" i="18"/>
  <c r="AB1310" i="18"/>
  <c r="AF1310" i="18"/>
  <c r="N1311" i="18"/>
  <c r="R1311" i="18"/>
  <c r="U1311" i="18"/>
  <c r="AC1311" i="18" s="1"/>
  <c r="X1311" i="18"/>
  <c r="AB1311" i="18"/>
  <c r="AF1311" i="18"/>
  <c r="N1312" i="18"/>
  <c r="R1312" i="18"/>
  <c r="U1312" i="18"/>
  <c r="X1312" i="18"/>
  <c r="AB1312" i="18"/>
  <c r="AF1312" i="18"/>
  <c r="N1313" i="18"/>
  <c r="R1313" i="18"/>
  <c r="U1313" i="18"/>
  <c r="AC1313" i="18" s="1"/>
  <c r="X1313" i="18"/>
  <c r="AB1313" i="18"/>
  <c r="AF1313" i="18"/>
  <c r="N1314" i="18"/>
  <c r="R1314" i="18"/>
  <c r="U1314" i="18"/>
  <c r="AC1314" i="18" s="1"/>
  <c r="X1314" i="18"/>
  <c r="AB1314" i="18"/>
  <c r="AF1314" i="18"/>
  <c r="N1315" i="18"/>
  <c r="R1315" i="18"/>
  <c r="U1315" i="18"/>
  <c r="AC1315" i="18" s="1"/>
  <c r="X1315" i="18"/>
  <c r="AB1315" i="18"/>
  <c r="AF1315" i="18"/>
  <c r="N1316" i="18"/>
  <c r="R1316" i="18"/>
  <c r="U1316" i="18"/>
  <c r="AC1316" i="18" s="1"/>
  <c r="X1316" i="18"/>
  <c r="AB1316" i="18"/>
  <c r="AF1316" i="18"/>
  <c r="N1317" i="18"/>
  <c r="R1317" i="18"/>
  <c r="U1317" i="18"/>
  <c r="AC1317" i="18" s="1"/>
  <c r="X1317" i="18"/>
  <c r="AB1317" i="18"/>
  <c r="AF1317" i="18"/>
  <c r="N1318" i="18"/>
  <c r="R1318" i="18"/>
  <c r="U1318" i="18"/>
  <c r="AC1318" i="18" s="1"/>
  <c r="X1318" i="18"/>
  <c r="AB1318" i="18"/>
  <c r="AF1318" i="18"/>
  <c r="N1319" i="18"/>
  <c r="R1319" i="18"/>
  <c r="U1319" i="18"/>
  <c r="AC1319" i="18" s="1"/>
  <c r="X1319" i="18"/>
  <c r="AB1319" i="18"/>
  <c r="AF1319" i="18"/>
  <c r="N1320" i="18"/>
  <c r="R1320" i="18"/>
  <c r="U1320" i="18"/>
  <c r="AC1320" i="18" s="1"/>
  <c r="X1320" i="18"/>
  <c r="AB1320" i="18"/>
  <c r="AF1320" i="18"/>
  <c r="N1321" i="18"/>
  <c r="R1321" i="18"/>
  <c r="U1321" i="18"/>
  <c r="AC1321" i="18" s="1"/>
  <c r="X1321" i="18"/>
  <c r="AB1321" i="18"/>
  <c r="AF1321" i="18"/>
  <c r="N1322" i="18"/>
  <c r="R1322" i="18"/>
  <c r="U1322" i="18"/>
  <c r="AC1322" i="18" s="1"/>
  <c r="X1322" i="18"/>
  <c r="AB1322" i="18"/>
  <c r="AF1322" i="18"/>
  <c r="N1323" i="18"/>
  <c r="R1323" i="18"/>
  <c r="U1323" i="18"/>
  <c r="AC1323" i="18" s="1"/>
  <c r="X1323" i="18"/>
  <c r="AB1323" i="18"/>
  <c r="AF1323" i="18"/>
  <c r="N1324" i="18"/>
  <c r="R1324" i="18"/>
  <c r="U1324" i="18"/>
  <c r="AC1324" i="18" s="1"/>
  <c r="X1324" i="18"/>
  <c r="AB1324" i="18"/>
  <c r="AF1324" i="18"/>
  <c r="N1325" i="18"/>
  <c r="R1325" i="18"/>
  <c r="U1325" i="18"/>
  <c r="AC1325" i="18" s="1"/>
  <c r="X1325" i="18"/>
  <c r="AB1325" i="18"/>
  <c r="AF1325" i="18"/>
  <c r="N1326" i="18"/>
  <c r="R1326" i="18"/>
  <c r="U1326" i="18"/>
  <c r="AC1326" i="18" s="1"/>
  <c r="X1326" i="18"/>
  <c r="AB1326" i="18"/>
  <c r="AF1326" i="18"/>
  <c r="N1327" i="18"/>
  <c r="R1327" i="18"/>
  <c r="U1327" i="18"/>
  <c r="AC1327" i="18" s="1"/>
  <c r="X1327" i="18"/>
  <c r="AB1327" i="18"/>
  <c r="AF1327" i="18"/>
  <c r="N1328" i="18"/>
  <c r="R1328" i="18"/>
  <c r="U1328" i="18"/>
  <c r="AC1328" i="18" s="1"/>
  <c r="X1328" i="18"/>
  <c r="AB1328" i="18"/>
  <c r="AF1328" i="18"/>
  <c r="N1329" i="18"/>
  <c r="R1329" i="18"/>
  <c r="U1329" i="18"/>
  <c r="AC1329" i="18" s="1"/>
  <c r="X1329" i="18"/>
  <c r="AB1329" i="18"/>
  <c r="AF1329" i="18"/>
  <c r="N1330" i="18"/>
  <c r="R1330" i="18"/>
  <c r="U1330" i="18"/>
  <c r="AC1330" i="18" s="1"/>
  <c r="X1330" i="18"/>
  <c r="AB1330" i="18"/>
  <c r="AF1330" i="18"/>
  <c r="N1331" i="18"/>
  <c r="R1331" i="18"/>
  <c r="U1331" i="18"/>
  <c r="AC1331" i="18" s="1"/>
  <c r="X1331" i="18"/>
  <c r="AB1331" i="18"/>
  <c r="AF1331" i="18"/>
  <c r="N1332" i="18"/>
  <c r="R1332" i="18"/>
  <c r="U1332" i="18"/>
  <c r="AC1332" i="18" s="1"/>
  <c r="X1332" i="18"/>
  <c r="AB1332" i="18"/>
  <c r="AF1332" i="18"/>
  <c r="N1333" i="18"/>
  <c r="R1333" i="18"/>
  <c r="U1333" i="18"/>
  <c r="AC1333" i="18" s="1"/>
  <c r="X1333" i="18"/>
  <c r="AB1333" i="18"/>
  <c r="AF1333" i="18"/>
  <c r="N1334" i="18"/>
  <c r="R1334" i="18"/>
  <c r="U1334" i="18"/>
  <c r="AC1334" i="18" s="1"/>
  <c r="X1334" i="18"/>
  <c r="AB1334" i="18"/>
  <c r="AF1334" i="18"/>
  <c r="N1335" i="18"/>
  <c r="R1335" i="18"/>
  <c r="U1335" i="18"/>
  <c r="AC1335" i="18" s="1"/>
  <c r="X1335" i="18"/>
  <c r="AB1335" i="18"/>
  <c r="AF1335" i="18"/>
  <c r="N1336" i="18"/>
  <c r="R1336" i="18"/>
  <c r="U1336" i="18"/>
  <c r="AC1336" i="18" s="1"/>
  <c r="X1336" i="18"/>
  <c r="AB1336" i="18"/>
  <c r="AF1336" i="18"/>
  <c r="N1337" i="18"/>
  <c r="R1337" i="18"/>
  <c r="U1337" i="18"/>
  <c r="AC1337" i="18" s="1"/>
  <c r="X1337" i="18"/>
  <c r="AB1337" i="18"/>
  <c r="AF1337" i="18"/>
  <c r="N1338" i="18"/>
  <c r="R1338" i="18"/>
  <c r="U1338" i="18"/>
  <c r="AC1338" i="18" s="1"/>
  <c r="X1338" i="18"/>
  <c r="AB1338" i="18"/>
  <c r="AF1338" i="18"/>
  <c r="N1339" i="18"/>
  <c r="R1339" i="18"/>
  <c r="U1339" i="18"/>
  <c r="AC1339" i="18" s="1"/>
  <c r="X1339" i="18"/>
  <c r="AB1339" i="18"/>
  <c r="AF1339" i="18"/>
  <c r="N1340" i="18"/>
  <c r="R1340" i="18"/>
  <c r="U1340" i="18"/>
  <c r="AC1340" i="18" s="1"/>
  <c r="X1340" i="18"/>
  <c r="AB1340" i="18"/>
  <c r="AF1340" i="18"/>
  <c r="N1341" i="18"/>
  <c r="R1341" i="18"/>
  <c r="U1341" i="18"/>
  <c r="AC1341" i="18" s="1"/>
  <c r="X1341" i="18"/>
  <c r="AB1341" i="18"/>
  <c r="AF1341" i="18"/>
  <c r="N1342" i="18"/>
  <c r="R1342" i="18"/>
  <c r="U1342" i="18"/>
  <c r="AC1342" i="18" s="1"/>
  <c r="X1342" i="18"/>
  <c r="AB1342" i="18"/>
  <c r="AF1342" i="18"/>
  <c r="N1343" i="18"/>
  <c r="R1343" i="18"/>
  <c r="U1343" i="18"/>
  <c r="AC1343" i="18" s="1"/>
  <c r="X1343" i="18"/>
  <c r="AB1343" i="18"/>
  <c r="AF1343" i="18"/>
  <c r="N1344" i="18"/>
  <c r="R1344" i="18"/>
  <c r="U1344" i="18"/>
  <c r="X1344" i="18"/>
  <c r="AB1344" i="18"/>
  <c r="AF1344" i="18"/>
  <c r="N1345" i="18"/>
  <c r="R1345" i="18"/>
  <c r="U1345" i="18"/>
  <c r="AC1345" i="18" s="1"/>
  <c r="X1345" i="18"/>
  <c r="AB1345" i="18"/>
  <c r="AF1345" i="18"/>
  <c r="N1346" i="18"/>
  <c r="R1346" i="18"/>
  <c r="U1346" i="18"/>
  <c r="AC1346" i="18" s="1"/>
  <c r="X1346" i="18"/>
  <c r="AB1346" i="18"/>
  <c r="AF1346" i="18"/>
  <c r="N1347" i="18"/>
  <c r="R1347" i="18"/>
  <c r="U1347" i="18"/>
  <c r="AC1347" i="18" s="1"/>
  <c r="X1347" i="18"/>
  <c r="AB1347" i="18"/>
  <c r="AF1347" i="18"/>
  <c r="N1348" i="18"/>
  <c r="R1348" i="18"/>
  <c r="U1348" i="18"/>
  <c r="AC1348" i="18" s="1"/>
  <c r="X1348" i="18"/>
  <c r="AB1348" i="18"/>
  <c r="AF1348" i="18"/>
  <c r="N1349" i="18"/>
  <c r="R1349" i="18"/>
  <c r="U1349" i="18"/>
  <c r="AC1349" i="18" s="1"/>
  <c r="X1349" i="18"/>
  <c r="AB1349" i="18"/>
  <c r="AF1349" i="18"/>
  <c r="N1350" i="18"/>
  <c r="R1350" i="18"/>
  <c r="U1350" i="18"/>
  <c r="AC1350" i="18" s="1"/>
  <c r="X1350" i="18"/>
  <c r="AB1350" i="18"/>
  <c r="AF1350" i="18"/>
  <c r="N1351" i="18"/>
  <c r="R1351" i="18"/>
  <c r="U1351" i="18"/>
  <c r="AC1351" i="18" s="1"/>
  <c r="X1351" i="18"/>
  <c r="AB1351" i="18"/>
  <c r="AF1351" i="18"/>
  <c r="N1352" i="18"/>
  <c r="R1352" i="18"/>
  <c r="U1352" i="18"/>
  <c r="AC1352" i="18" s="1"/>
  <c r="X1352" i="18"/>
  <c r="AB1352" i="18"/>
  <c r="AF1352" i="18"/>
  <c r="N1353" i="18"/>
  <c r="R1353" i="18"/>
  <c r="U1353" i="18"/>
  <c r="AC1353" i="18" s="1"/>
  <c r="X1353" i="18"/>
  <c r="AB1353" i="18"/>
  <c r="AF1353" i="18"/>
  <c r="N1354" i="18"/>
  <c r="R1354" i="18"/>
  <c r="U1354" i="18"/>
  <c r="AC1354" i="18" s="1"/>
  <c r="X1354" i="18"/>
  <c r="AB1354" i="18"/>
  <c r="AF1354" i="18"/>
  <c r="N1355" i="18"/>
  <c r="R1355" i="18"/>
  <c r="U1355" i="18"/>
  <c r="X1355" i="18"/>
  <c r="AB1355" i="18"/>
  <c r="AF1355" i="18"/>
  <c r="N1356" i="18"/>
  <c r="R1356" i="18"/>
  <c r="U1356" i="18"/>
  <c r="AC1356" i="18" s="1"/>
  <c r="X1356" i="18"/>
  <c r="AB1356" i="18"/>
  <c r="AF1356" i="18"/>
  <c r="N1357" i="18"/>
  <c r="R1357" i="18"/>
  <c r="U1357" i="18"/>
  <c r="AC1357" i="18" s="1"/>
  <c r="X1357" i="18"/>
  <c r="AB1357" i="18"/>
  <c r="AF1357" i="18"/>
  <c r="N1358" i="18"/>
  <c r="R1358" i="18"/>
  <c r="U1358" i="18"/>
  <c r="AC1358" i="18" s="1"/>
  <c r="X1358" i="18"/>
  <c r="AB1358" i="18"/>
  <c r="AF1358" i="18"/>
  <c r="N1359" i="18"/>
  <c r="R1359" i="18"/>
  <c r="U1359" i="18"/>
  <c r="AC1359" i="18" s="1"/>
  <c r="X1359" i="18"/>
  <c r="AB1359" i="18"/>
  <c r="AF1359" i="18"/>
  <c r="N1360" i="18"/>
  <c r="R1360" i="18"/>
  <c r="U1360" i="18"/>
  <c r="X1360" i="18"/>
  <c r="AB1360" i="18"/>
  <c r="AF1360" i="18"/>
  <c r="N1361" i="18"/>
  <c r="R1361" i="18"/>
  <c r="U1361" i="18"/>
  <c r="AC1361" i="18" s="1"/>
  <c r="X1361" i="18"/>
  <c r="AB1361" i="18"/>
  <c r="AF1361" i="18"/>
  <c r="N1362" i="18"/>
  <c r="R1362" i="18"/>
  <c r="U1362" i="18"/>
  <c r="AC1362" i="18" s="1"/>
  <c r="X1362" i="18"/>
  <c r="AB1362" i="18"/>
  <c r="AF1362" i="18"/>
  <c r="N1363" i="18"/>
  <c r="R1363" i="18"/>
  <c r="U1363" i="18"/>
  <c r="AC1363" i="18" s="1"/>
  <c r="X1363" i="18"/>
  <c r="AB1363" i="18"/>
  <c r="AF1363" i="18"/>
  <c r="N1364" i="18"/>
  <c r="R1364" i="18"/>
  <c r="U1364" i="18"/>
  <c r="AC1364" i="18" s="1"/>
  <c r="X1364" i="18"/>
  <c r="AB1364" i="18"/>
  <c r="AF1364" i="18"/>
  <c r="N1365" i="18"/>
  <c r="R1365" i="18"/>
  <c r="U1365" i="18"/>
  <c r="AC1365" i="18" s="1"/>
  <c r="X1365" i="18"/>
  <c r="AB1365" i="18"/>
  <c r="AF1365" i="18"/>
  <c r="N1366" i="18"/>
  <c r="R1366" i="18"/>
  <c r="U1366" i="18"/>
  <c r="AC1366" i="18" s="1"/>
  <c r="X1366" i="18"/>
  <c r="AB1366" i="18"/>
  <c r="AF1366" i="18"/>
  <c r="N1367" i="18"/>
  <c r="R1367" i="18"/>
  <c r="U1367" i="18"/>
  <c r="AC1367" i="18" s="1"/>
  <c r="X1367" i="18"/>
  <c r="AB1367" i="18"/>
  <c r="AF1367" i="18"/>
  <c r="N1368" i="18"/>
  <c r="R1368" i="18"/>
  <c r="U1368" i="18"/>
  <c r="AC1368" i="18" s="1"/>
  <c r="X1368" i="18"/>
  <c r="AB1368" i="18"/>
  <c r="AF1368" i="18"/>
  <c r="N1369" i="18"/>
  <c r="R1369" i="18"/>
  <c r="U1369" i="18"/>
  <c r="AC1369" i="18" s="1"/>
  <c r="X1369" i="18"/>
  <c r="AB1369" i="18"/>
  <c r="AF1369" i="18"/>
  <c r="N1370" i="18"/>
  <c r="R1370" i="18"/>
  <c r="U1370" i="18"/>
  <c r="AC1370" i="18" s="1"/>
  <c r="X1370" i="18"/>
  <c r="AB1370" i="18"/>
  <c r="AF1370" i="18"/>
  <c r="N1371" i="18"/>
  <c r="R1371" i="18"/>
  <c r="U1371" i="18"/>
  <c r="AC1371" i="18" s="1"/>
  <c r="X1371" i="18"/>
  <c r="AB1371" i="18"/>
  <c r="AF1371" i="18"/>
  <c r="N1372" i="18"/>
  <c r="R1372" i="18"/>
  <c r="U1372" i="18"/>
  <c r="AC1372" i="18" s="1"/>
  <c r="X1372" i="18"/>
  <c r="AB1372" i="18"/>
  <c r="AF1372" i="18"/>
  <c r="N1373" i="18"/>
  <c r="R1373" i="18"/>
  <c r="U1373" i="18"/>
  <c r="AC1373" i="18" s="1"/>
  <c r="X1373" i="18"/>
  <c r="AB1373" i="18"/>
  <c r="AF1373" i="18"/>
  <c r="N1374" i="18"/>
  <c r="R1374" i="18"/>
  <c r="U1374" i="18"/>
  <c r="AC1374" i="18" s="1"/>
  <c r="X1374" i="18"/>
  <c r="AB1374" i="18"/>
  <c r="AF1374" i="18"/>
  <c r="N1375" i="18"/>
  <c r="R1375" i="18"/>
  <c r="U1375" i="18"/>
  <c r="X1375" i="18"/>
  <c r="AB1375" i="18"/>
  <c r="AF1375" i="18"/>
  <c r="N1376" i="18"/>
  <c r="R1376" i="18"/>
  <c r="U1376" i="18"/>
  <c r="AC1376" i="18" s="1"/>
  <c r="X1376" i="18"/>
  <c r="AB1376" i="18"/>
  <c r="AF1376" i="18"/>
  <c r="N1377" i="18"/>
  <c r="R1377" i="18"/>
  <c r="U1377" i="18"/>
  <c r="AC1377" i="18" s="1"/>
  <c r="X1377" i="18"/>
  <c r="AB1377" i="18"/>
  <c r="AF1377" i="18"/>
  <c r="N1378" i="18"/>
  <c r="R1378" i="18"/>
  <c r="U1378" i="18"/>
  <c r="AC1378" i="18" s="1"/>
  <c r="X1378" i="18"/>
  <c r="AB1378" i="18"/>
  <c r="AF1378" i="18"/>
  <c r="N1379" i="18"/>
  <c r="R1379" i="18"/>
  <c r="U1379" i="18"/>
  <c r="AC1379" i="18" s="1"/>
  <c r="X1379" i="18"/>
  <c r="AB1379" i="18"/>
  <c r="AF1379" i="18"/>
  <c r="N1380" i="18"/>
  <c r="R1380" i="18"/>
  <c r="U1380" i="18"/>
  <c r="AC1380" i="18" s="1"/>
  <c r="X1380" i="18"/>
  <c r="AB1380" i="18"/>
  <c r="AF1380" i="18"/>
  <c r="N1381" i="18"/>
  <c r="R1381" i="18"/>
  <c r="U1381" i="18"/>
  <c r="AC1381" i="18" s="1"/>
  <c r="X1381" i="18"/>
  <c r="AB1381" i="18"/>
  <c r="AF1381" i="18"/>
  <c r="N1382" i="18"/>
  <c r="R1382" i="18"/>
  <c r="U1382" i="18"/>
  <c r="AC1382" i="18" s="1"/>
  <c r="X1382" i="18"/>
  <c r="AB1382" i="18"/>
  <c r="AF1382" i="18"/>
  <c r="N1383" i="18"/>
  <c r="R1383" i="18"/>
  <c r="U1383" i="18"/>
  <c r="AC1383" i="18" s="1"/>
  <c r="X1383" i="18"/>
  <c r="AB1383" i="18"/>
  <c r="AF1383" i="18"/>
  <c r="N1384" i="18"/>
  <c r="R1384" i="18"/>
  <c r="U1384" i="18"/>
  <c r="AC1384" i="18" s="1"/>
  <c r="X1384" i="18"/>
  <c r="AB1384" i="18"/>
  <c r="AF1384" i="18"/>
  <c r="N1385" i="18"/>
  <c r="R1385" i="18"/>
  <c r="U1385" i="18"/>
  <c r="AC1385" i="18" s="1"/>
  <c r="X1385" i="18"/>
  <c r="AB1385" i="18"/>
  <c r="AF1385" i="18"/>
  <c r="N1386" i="18"/>
  <c r="R1386" i="18"/>
  <c r="U1386" i="18"/>
  <c r="AC1386" i="18" s="1"/>
  <c r="X1386" i="18"/>
  <c r="AB1386" i="18"/>
  <c r="AF1386" i="18"/>
  <c r="N1387" i="18"/>
  <c r="R1387" i="18"/>
  <c r="U1387" i="18"/>
  <c r="AC1387" i="18" s="1"/>
  <c r="X1387" i="18"/>
  <c r="AB1387" i="18"/>
  <c r="AF1387" i="18"/>
  <c r="N1388" i="18"/>
  <c r="R1388" i="18"/>
  <c r="U1388" i="18"/>
  <c r="AC1388" i="18" s="1"/>
  <c r="X1388" i="18"/>
  <c r="AB1388" i="18"/>
  <c r="AF1388" i="18"/>
  <c r="N1389" i="18"/>
  <c r="R1389" i="18"/>
  <c r="U1389" i="18"/>
  <c r="AC1389" i="18" s="1"/>
  <c r="X1389" i="18"/>
  <c r="AB1389" i="18"/>
  <c r="AF1389" i="18"/>
  <c r="N1390" i="18"/>
  <c r="R1390" i="18"/>
  <c r="U1390" i="18"/>
  <c r="AC1390" i="18" s="1"/>
  <c r="X1390" i="18"/>
  <c r="AB1390" i="18"/>
  <c r="AF1390" i="18"/>
  <c r="N1391" i="18"/>
  <c r="R1391" i="18"/>
  <c r="U1391" i="18"/>
  <c r="AC1391" i="18" s="1"/>
  <c r="X1391" i="18"/>
  <c r="AB1391" i="18"/>
  <c r="AD1391" i="18"/>
  <c r="AF1391" i="18"/>
  <c r="N1392" i="18"/>
  <c r="R1392" i="18"/>
  <c r="U1392" i="18"/>
  <c r="AC1392" i="18" s="1"/>
  <c r="X1392" i="18"/>
  <c r="AB1392" i="18"/>
  <c r="AF1392" i="18"/>
  <c r="N1393" i="18"/>
  <c r="R1393" i="18"/>
  <c r="U1393" i="18"/>
  <c r="AC1393" i="18" s="1"/>
  <c r="X1393" i="18"/>
  <c r="AB1393" i="18"/>
  <c r="AF1393" i="18"/>
  <c r="N1394" i="18"/>
  <c r="R1394" i="18"/>
  <c r="U1394" i="18"/>
  <c r="AC1394" i="18" s="1"/>
  <c r="X1394" i="18"/>
  <c r="AB1394" i="18"/>
  <c r="AF1394" i="18"/>
  <c r="N1395" i="18"/>
  <c r="R1395" i="18"/>
  <c r="U1395" i="18"/>
  <c r="AC1395" i="18" s="1"/>
  <c r="X1395" i="18"/>
  <c r="AB1395" i="18"/>
  <c r="AF1395" i="18"/>
  <c r="N1396" i="18"/>
  <c r="R1396" i="18"/>
  <c r="U1396" i="18"/>
  <c r="AC1396" i="18" s="1"/>
  <c r="X1396" i="18"/>
  <c r="AB1396" i="18"/>
  <c r="AF1396" i="18"/>
  <c r="N1397" i="18"/>
  <c r="R1397" i="18"/>
  <c r="U1397" i="18"/>
  <c r="AC1397" i="18" s="1"/>
  <c r="X1397" i="18"/>
  <c r="AB1397" i="18"/>
  <c r="AF1397" i="18"/>
  <c r="N1398" i="18"/>
  <c r="R1398" i="18"/>
  <c r="U1398" i="18"/>
  <c r="AC1398" i="18" s="1"/>
  <c r="X1398" i="18"/>
  <c r="AB1398" i="18"/>
  <c r="AF1398" i="18"/>
  <c r="N1399" i="18"/>
  <c r="R1399" i="18"/>
  <c r="U1399" i="18"/>
  <c r="AC1399" i="18" s="1"/>
  <c r="X1399" i="18"/>
  <c r="AB1399" i="18"/>
  <c r="AF1399" i="18"/>
  <c r="N1400" i="18"/>
  <c r="R1400" i="18"/>
  <c r="U1400" i="18"/>
  <c r="AC1400" i="18" s="1"/>
  <c r="X1400" i="18"/>
  <c r="AB1400" i="18"/>
  <c r="AF1400" i="18"/>
  <c r="N1401" i="18"/>
  <c r="R1401" i="18"/>
  <c r="U1401" i="18"/>
  <c r="AC1401" i="18" s="1"/>
  <c r="X1401" i="18"/>
  <c r="AB1401" i="18"/>
  <c r="AF1401" i="18"/>
  <c r="N1402" i="18"/>
  <c r="R1402" i="18"/>
  <c r="U1402" i="18"/>
  <c r="AC1402" i="18" s="1"/>
  <c r="X1402" i="18"/>
  <c r="AB1402" i="18"/>
  <c r="AF1402" i="18"/>
  <c r="N1403" i="18"/>
  <c r="R1403" i="18"/>
  <c r="U1403" i="18"/>
  <c r="AC1403" i="18" s="1"/>
  <c r="X1403" i="18"/>
  <c r="AB1403" i="18"/>
  <c r="AF1403" i="18"/>
  <c r="N1404" i="18"/>
  <c r="R1404" i="18"/>
  <c r="U1404" i="18"/>
  <c r="AC1404" i="18" s="1"/>
  <c r="X1404" i="18"/>
  <c r="AB1404" i="18"/>
  <c r="AF1404" i="18"/>
  <c r="N1405" i="18"/>
  <c r="R1405" i="18"/>
  <c r="U1405" i="18"/>
  <c r="AC1405" i="18" s="1"/>
  <c r="X1405" i="18"/>
  <c r="AB1405" i="18"/>
  <c r="AF1405" i="18"/>
  <c r="N1406" i="18"/>
  <c r="R1406" i="18"/>
  <c r="U1406" i="18"/>
  <c r="AC1406" i="18" s="1"/>
  <c r="X1406" i="18"/>
  <c r="AB1406" i="18"/>
  <c r="AF1406" i="18"/>
  <c r="N1407" i="18"/>
  <c r="R1407" i="18"/>
  <c r="U1407" i="18"/>
  <c r="X1407" i="18"/>
  <c r="AB1407" i="18"/>
  <c r="AF1407" i="18"/>
  <c r="N1408" i="18"/>
  <c r="R1408" i="18"/>
  <c r="U1408" i="18"/>
  <c r="AC1408" i="18" s="1"/>
  <c r="X1408" i="18"/>
  <c r="AB1408" i="18"/>
  <c r="AF1408" i="18"/>
  <c r="N1409" i="18"/>
  <c r="R1409" i="18"/>
  <c r="U1409" i="18"/>
  <c r="AC1409" i="18" s="1"/>
  <c r="X1409" i="18"/>
  <c r="AB1409" i="18"/>
  <c r="AF1409" i="18"/>
  <c r="N1410" i="18"/>
  <c r="R1410" i="18"/>
  <c r="U1410" i="18"/>
  <c r="AC1410" i="18" s="1"/>
  <c r="X1410" i="18"/>
  <c r="AB1410" i="18"/>
  <c r="AF1410" i="18"/>
  <c r="N1411" i="18"/>
  <c r="R1411" i="18"/>
  <c r="U1411" i="18"/>
  <c r="AC1411" i="18" s="1"/>
  <c r="X1411" i="18"/>
  <c r="AB1411" i="18"/>
  <c r="AF1411" i="18"/>
  <c r="N1412" i="18"/>
  <c r="R1412" i="18"/>
  <c r="U1412" i="18"/>
  <c r="AC1412" i="18" s="1"/>
  <c r="X1412" i="18"/>
  <c r="AB1412" i="18"/>
  <c r="AF1412" i="18"/>
  <c r="N1413" i="18"/>
  <c r="R1413" i="18"/>
  <c r="U1413" i="18"/>
  <c r="AC1413" i="18" s="1"/>
  <c r="X1413" i="18"/>
  <c r="AB1413" i="18"/>
  <c r="AF1413" i="18"/>
  <c r="N1414" i="18"/>
  <c r="R1414" i="18"/>
  <c r="U1414" i="18"/>
  <c r="AC1414" i="18" s="1"/>
  <c r="X1414" i="18"/>
  <c r="AB1414" i="18"/>
  <c r="AF1414" i="18"/>
  <c r="N1415" i="18"/>
  <c r="R1415" i="18"/>
  <c r="U1415" i="18"/>
  <c r="AC1415" i="18" s="1"/>
  <c r="X1415" i="18"/>
  <c r="AB1415" i="18"/>
  <c r="AF1415" i="18"/>
  <c r="N1416" i="18"/>
  <c r="R1416" i="18"/>
  <c r="U1416" i="18"/>
  <c r="AC1416" i="18" s="1"/>
  <c r="X1416" i="18"/>
  <c r="AB1416" i="18"/>
  <c r="AF1416" i="18"/>
  <c r="N1417" i="18"/>
  <c r="R1417" i="18"/>
  <c r="U1417" i="18"/>
  <c r="AC1417" i="18" s="1"/>
  <c r="X1417" i="18"/>
  <c r="AB1417" i="18"/>
  <c r="AF1417" i="18"/>
  <c r="N1418" i="18"/>
  <c r="R1418" i="18"/>
  <c r="U1418" i="18"/>
  <c r="AC1418" i="18" s="1"/>
  <c r="X1418" i="18"/>
  <c r="AB1418" i="18"/>
  <c r="AF1418" i="18"/>
  <c r="N1419" i="18"/>
  <c r="R1419" i="18"/>
  <c r="U1419" i="18"/>
  <c r="AC1419" i="18" s="1"/>
  <c r="X1419" i="18"/>
  <c r="AB1419" i="18"/>
  <c r="AF1419" i="18"/>
  <c r="N1420" i="18"/>
  <c r="R1420" i="18"/>
  <c r="U1420" i="18"/>
  <c r="AC1420" i="18" s="1"/>
  <c r="X1420" i="18"/>
  <c r="AB1420" i="18"/>
  <c r="AF1420" i="18"/>
  <c r="N1421" i="18"/>
  <c r="R1421" i="18"/>
  <c r="U1421" i="18"/>
  <c r="AC1421" i="18" s="1"/>
  <c r="X1421" i="18"/>
  <c r="AB1421" i="18"/>
  <c r="AF1421" i="18"/>
  <c r="N1422" i="18"/>
  <c r="R1422" i="18"/>
  <c r="U1422" i="18"/>
  <c r="AC1422" i="18" s="1"/>
  <c r="X1422" i="18"/>
  <c r="AB1422" i="18"/>
  <c r="AF1422" i="18"/>
  <c r="N1423" i="18"/>
  <c r="R1423" i="18"/>
  <c r="U1423" i="18"/>
  <c r="AC1423" i="18" s="1"/>
  <c r="X1423" i="18"/>
  <c r="AB1423" i="18"/>
  <c r="AD1423" i="18"/>
  <c r="AF1423" i="18"/>
  <c r="N1424" i="18"/>
  <c r="R1424" i="18"/>
  <c r="U1424" i="18"/>
  <c r="AC1424" i="18" s="1"/>
  <c r="X1424" i="18"/>
  <c r="AB1424" i="18"/>
  <c r="AF1424" i="18"/>
  <c r="N1425" i="18"/>
  <c r="R1425" i="18"/>
  <c r="U1425" i="18"/>
  <c r="AC1425" i="18" s="1"/>
  <c r="X1425" i="18"/>
  <c r="AB1425" i="18"/>
  <c r="AF1425" i="18"/>
  <c r="N1426" i="18"/>
  <c r="R1426" i="18"/>
  <c r="U1426" i="18"/>
  <c r="AC1426" i="18" s="1"/>
  <c r="X1426" i="18"/>
  <c r="AB1426" i="18"/>
  <c r="AF1426" i="18"/>
  <c r="N1427" i="18"/>
  <c r="R1427" i="18"/>
  <c r="U1427" i="18"/>
  <c r="AC1427" i="18" s="1"/>
  <c r="X1427" i="18"/>
  <c r="AB1427" i="18"/>
  <c r="AF1427" i="18"/>
  <c r="N1428" i="18"/>
  <c r="R1428" i="18"/>
  <c r="U1428" i="18"/>
  <c r="AC1428" i="18" s="1"/>
  <c r="X1428" i="18"/>
  <c r="AB1428" i="18"/>
  <c r="AF1428" i="18"/>
  <c r="N1429" i="18"/>
  <c r="R1429" i="18"/>
  <c r="U1429" i="18"/>
  <c r="AC1429" i="18" s="1"/>
  <c r="X1429" i="18"/>
  <c r="AB1429" i="18"/>
  <c r="AF1429" i="18"/>
  <c r="N1430" i="18"/>
  <c r="R1430" i="18"/>
  <c r="U1430" i="18"/>
  <c r="AC1430" i="18" s="1"/>
  <c r="X1430" i="18"/>
  <c r="AB1430" i="18"/>
  <c r="AF1430" i="18"/>
  <c r="N1431" i="18"/>
  <c r="R1431" i="18"/>
  <c r="U1431" i="18"/>
  <c r="AC1431" i="18" s="1"/>
  <c r="X1431" i="18"/>
  <c r="AB1431" i="18"/>
  <c r="AF1431" i="18"/>
  <c r="N1432" i="18"/>
  <c r="R1432" i="18"/>
  <c r="U1432" i="18"/>
  <c r="AC1432" i="18" s="1"/>
  <c r="X1432" i="18"/>
  <c r="AB1432" i="18"/>
  <c r="AF1432" i="18"/>
  <c r="N1433" i="18"/>
  <c r="R1433" i="18"/>
  <c r="U1433" i="18"/>
  <c r="AC1433" i="18" s="1"/>
  <c r="X1433" i="18"/>
  <c r="AB1433" i="18"/>
  <c r="AF1433" i="18"/>
  <c r="N1434" i="18"/>
  <c r="R1434" i="18"/>
  <c r="U1434" i="18"/>
  <c r="AC1434" i="18" s="1"/>
  <c r="X1434" i="18"/>
  <c r="AB1434" i="18"/>
  <c r="AF1434" i="18"/>
  <c r="N1435" i="18"/>
  <c r="R1435" i="18"/>
  <c r="U1435" i="18"/>
  <c r="AC1435" i="18" s="1"/>
  <c r="X1435" i="18"/>
  <c r="AB1435" i="18"/>
  <c r="AF1435" i="18"/>
  <c r="N1436" i="18"/>
  <c r="R1436" i="18"/>
  <c r="U1436" i="18"/>
  <c r="AC1436" i="18" s="1"/>
  <c r="X1436" i="18"/>
  <c r="AB1436" i="18"/>
  <c r="AF1436" i="18"/>
  <c r="N1437" i="18"/>
  <c r="R1437" i="18"/>
  <c r="U1437" i="18"/>
  <c r="AC1437" i="18" s="1"/>
  <c r="X1437" i="18"/>
  <c r="AB1437" i="18"/>
  <c r="AF1437" i="18"/>
  <c r="N1438" i="18"/>
  <c r="R1438" i="18"/>
  <c r="U1438" i="18"/>
  <c r="AC1438" i="18" s="1"/>
  <c r="X1438" i="18"/>
  <c r="AB1438" i="18"/>
  <c r="AF1438" i="18"/>
  <c r="N1439" i="18"/>
  <c r="R1439" i="18"/>
  <c r="U1439" i="18"/>
  <c r="X1439" i="18"/>
  <c r="AB1439" i="18"/>
  <c r="AF1439" i="18"/>
  <c r="N1440" i="18"/>
  <c r="R1440" i="18"/>
  <c r="U1440" i="18"/>
  <c r="AC1440" i="18" s="1"/>
  <c r="X1440" i="18"/>
  <c r="AB1440" i="18"/>
  <c r="AF1440" i="18"/>
  <c r="N1441" i="18"/>
  <c r="R1441" i="18"/>
  <c r="U1441" i="18"/>
  <c r="AC1441" i="18" s="1"/>
  <c r="X1441" i="18"/>
  <c r="AB1441" i="18"/>
  <c r="AF1441" i="18"/>
  <c r="N1442" i="18"/>
  <c r="R1442" i="18"/>
  <c r="U1442" i="18"/>
  <c r="AC1442" i="18" s="1"/>
  <c r="X1442" i="18"/>
  <c r="AB1442" i="18"/>
  <c r="AF1442" i="18"/>
  <c r="N1443" i="18"/>
  <c r="R1443" i="18"/>
  <c r="U1443" i="18"/>
  <c r="AC1443" i="18" s="1"/>
  <c r="X1443" i="18"/>
  <c r="AB1443" i="18"/>
  <c r="AF1443" i="18"/>
  <c r="N1444" i="18"/>
  <c r="R1444" i="18"/>
  <c r="U1444" i="18"/>
  <c r="AC1444" i="18" s="1"/>
  <c r="X1444" i="18"/>
  <c r="AB1444" i="18"/>
  <c r="AF1444" i="18"/>
  <c r="N1445" i="18"/>
  <c r="R1445" i="18"/>
  <c r="U1445" i="18"/>
  <c r="AC1445" i="18" s="1"/>
  <c r="X1445" i="18"/>
  <c r="AB1445" i="18"/>
  <c r="AF1445" i="18"/>
  <c r="N1446" i="18"/>
  <c r="R1446" i="18"/>
  <c r="U1446" i="18"/>
  <c r="AC1446" i="18" s="1"/>
  <c r="X1446" i="18"/>
  <c r="AB1446" i="18"/>
  <c r="AF1446" i="18"/>
  <c r="N1447" i="18"/>
  <c r="R1447" i="18"/>
  <c r="U1447" i="18"/>
  <c r="AC1447" i="18" s="1"/>
  <c r="X1447" i="18"/>
  <c r="AB1447" i="18"/>
  <c r="AF1447" i="18"/>
  <c r="N1448" i="18"/>
  <c r="R1448" i="18"/>
  <c r="U1448" i="18"/>
  <c r="AC1448" i="18" s="1"/>
  <c r="X1448" i="18"/>
  <c r="AB1448" i="18"/>
  <c r="AF1448" i="18"/>
  <c r="N1449" i="18"/>
  <c r="R1449" i="18"/>
  <c r="U1449" i="18"/>
  <c r="AC1449" i="18" s="1"/>
  <c r="X1449" i="18"/>
  <c r="AB1449" i="18"/>
  <c r="AF1449" i="18"/>
  <c r="N1450" i="18"/>
  <c r="R1450" i="18"/>
  <c r="U1450" i="18"/>
  <c r="AC1450" i="18" s="1"/>
  <c r="X1450" i="18"/>
  <c r="AB1450" i="18"/>
  <c r="AF1450" i="18"/>
  <c r="N1451" i="18"/>
  <c r="R1451" i="18"/>
  <c r="U1451" i="18"/>
  <c r="AC1451" i="18" s="1"/>
  <c r="X1451" i="18"/>
  <c r="AB1451" i="18"/>
  <c r="AF1451" i="18"/>
  <c r="N1452" i="18"/>
  <c r="R1452" i="18"/>
  <c r="U1452" i="18"/>
  <c r="AC1452" i="18" s="1"/>
  <c r="X1452" i="18"/>
  <c r="AB1452" i="18"/>
  <c r="AF1452" i="18"/>
  <c r="N1453" i="18"/>
  <c r="R1453" i="18"/>
  <c r="U1453" i="18"/>
  <c r="AC1453" i="18" s="1"/>
  <c r="X1453" i="18"/>
  <c r="AB1453" i="18"/>
  <c r="AF1453" i="18"/>
  <c r="N1454" i="18"/>
  <c r="R1454" i="18"/>
  <c r="U1454" i="18"/>
  <c r="AC1454" i="18" s="1"/>
  <c r="X1454" i="18"/>
  <c r="AB1454" i="18"/>
  <c r="AF1454" i="18"/>
  <c r="N1455" i="18"/>
  <c r="R1455" i="18"/>
  <c r="U1455" i="18"/>
  <c r="AC1455" i="18" s="1"/>
  <c r="X1455" i="18"/>
  <c r="AB1455" i="18"/>
  <c r="AD1455" i="18"/>
  <c r="AF1455" i="18"/>
  <c r="N1456" i="18"/>
  <c r="R1456" i="18"/>
  <c r="U1456" i="18"/>
  <c r="AC1456" i="18" s="1"/>
  <c r="X1456" i="18"/>
  <c r="AB1456" i="18"/>
  <c r="AF1456" i="18"/>
  <c r="N1457" i="18"/>
  <c r="R1457" i="18"/>
  <c r="U1457" i="18"/>
  <c r="AC1457" i="18" s="1"/>
  <c r="X1457" i="18"/>
  <c r="AB1457" i="18"/>
  <c r="AF1457" i="18"/>
  <c r="N1458" i="18"/>
  <c r="R1458" i="18"/>
  <c r="U1458" i="18"/>
  <c r="AC1458" i="18" s="1"/>
  <c r="X1458" i="18"/>
  <c r="AB1458" i="18"/>
  <c r="AF1458" i="18"/>
  <c r="N1459" i="18"/>
  <c r="R1459" i="18"/>
  <c r="U1459" i="18"/>
  <c r="AC1459" i="18" s="1"/>
  <c r="X1459" i="18"/>
  <c r="AB1459" i="18"/>
  <c r="AF1459" i="18"/>
  <c r="N1460" i="18"/>
  <c r="R1460" i="18"/>
  <c r="U1460" i="18"/>
  <c r="AC1460" i="18" s="1"/>
  <c r="X1460" i="18"/>
  <c r="AB1460" i="18"/>
  <c r="AF1460" i="18"/>
  <c r="N1461" i="18"/>
  <c r="R1461" i="18"/>
  <c r="U1461" i="18"/>
  <c r="AC1461" i="18" s="1"/>
  <c r="X1461" i="18"/>
  <c r="AB1461" i="18"/>
  <c r="AF1461" i="18"/>
  <c r="N1462" i="18"/>
  <c r="R1462" i="18"/>
  <c r="U1462" i="18"/>
  <c r="AC1462" i="18" s="1"/>
  <c r="X1462" i="18"/>
  <c r="AB1462" i="18"/>
  <c r="AF1462" i="18"/>
  <c r="N1463" i="18"/>
  <c r="R1463" i="18"/>
  <c r="U1463" i="18"/>
  <c r="AC1463" i="18" s="1"/>
  <c r="X1463" i="18"/>
  <c r="AB1463" i="18"/>
  <c r="AF1463" i="18"/>
  <c r="N1464" i="18"/>
  <c r="R1464" i="18"/>
  <c r="U1464" i="18"/>
  <c r="AC1464" i="18" s="1"/>
  <c r="X1464" i="18"/>
  <c r="AB1464" i="18"/>
  <c r="AF1464" i="18"/>
  <c r="N1465" i="18"/>
  <c r="R1465" i="18"/>
  <c r="U1465" i="18"/>
  <c r="AC1465" i="18" s="1"/>
  <c r="X1465" i="18"/>
  <c r="AB1465" i="18"/>
  <c r="AF1465" i="18"/>
  <c r="N1466" i="18"/>
  <c r="R1466" i="18"/>
  <c r="U1466" i="18"/>
  <c r="AC1466" i="18" s="1"/>
  <c r="X1466" i="18"/>
  <c r="AB1466" i="18"/>
  <c r="AF1466" i="18"/>
  <c r="N1467" i="18"/>
  <c r="R1467" i="18"/>
  <c r="U1467" i="18"/>
  <c r="AC1467" i="18" s="1"/>
  <c r="X1467" i="18"/>
  <c r="AB1467" i="18"/>
  <c r="AF1467" i="18"/>
  <c r="N1468" i="18"/>
  <c r="R1468" i="18"/>
  <c r="U1468" i="18"/>
  <c r="AC1468" i="18" s="1"/>
  <c r="X1468" i="18"/>
  <c r="AB1468" i="18"/>
  <c r="AF1468" i="18"/>
  <c r="N1469" i="18"/>
  <c r="R1469" i="18"/>
  <c r="U1469" i="18"/>
  <c r="AC1469" i="18" s="1"/>
  <c r="X1469" i="18"/>
  <c r="AB1469" i="18"/>
  <c r="AF1469" i="18"/>
  <c r="N1470" i="18"/>
  <c r="R1470" i="18"/>
  <c r="U1470" i="18"/>
  <c r="AC1470" i="18" s="1"/>
  <c r="X1470" i="18"/>
  <c r="AB1470" i="18"/>
  <c r="AF1470" i="18"/>
  <c r="N1471" i="18"/>
  <c r="R1471" i="18"/>
  <c r="U1471" i="18"/>
  <c r="X1471" i="18"/>
  <c r="AB1471" i="18"/>
  <c r="AF1471" i="18"/>
  <c r="N1472" i="18"/>
  <c r="R1472" i="18"/>
  <c r="U1472" i="18"/>
  <c r="AC1472" i="18" s="1"/>
  <c r="X1472" i="18"/>
  <c r="AB1472" i="18"/>
  <c r="AF1472" i="18"/>
  <c r="N1473" i="18"/>
  <c r="R1473" i="18"/>
  <c r="U1473" i="18"/>
  <c r="AC1473" i="18" s="1"/>
  <c r="X1473" i="18"/>
  <c r="AB1473" i="18"/>
  <c r="AF1473" i="18"/>
  <c r="N1474" i="18"/>
  <c r="R1474" i="18"/>
  <c r="U1474" i="18"/>
  <c r="AC1474" i="18" s="1"/>
  <c r="X1474" i="18"/>
  <c r="AB1474" i="18"/>
  <c r="AF1474" i="18"/>
  <c r="N1475" i="18"/>
  <c r="R1475" i="18"/>
  <c r="U1475" i="18"/>
  <c r="AC1475" i="18" s="1"/>
  <c r="X1475" i="18"/>
  <c r="AB1475" i="18"/>
  <c r="AF1475" i="18"/>
  <c r="N1476" i="18"/>
  <c r="R1476" i="18"/>
  <c r="U1476" i="18"/>
  <c r="AC1476" i="18" s="1"/>
  <c r="X1476" i="18"/>
  <c r="AB1476" i="18"/>
  <c r="AF1476" i="18"/>
  <c r="N1477" i="18"/>
  <c r="R1477" i="18"/>
  <c r="U1477" i="18"/>
  <c r="AC1477" i="18" s="1"/>
  <c r="X1477" i="18"/>
  <c r="AB1477" i="18"/>
  <c r="AF1477" i="18"/>
  <c r="N1478" i="18"/>
  <c r="R1478" i="18"/>
  <c r="U1478" i="18"/>
  <c r="AC1478" i="18" s="1"/>
  <c r="X1478" i="18"/>
  <c r="AB1478" i="18"/>
  <c r="AF1478" i="18"/>
  <c r="N1479" i="18"/>
  <c r="R1479" i="18"/>
  <c r="U1479" i="18"/>
  <c r="AC1479" i="18" s="1"/>
  <c r="X1479" i="18"/>
  <c r="AB1479" i="18"/>
  <c r="AF1479" i="18"/>
  <c r="N1480" i="18"/>
  <c r="R1480" i="18"/>
  <c r="U1480" i="18"/>
  <c r="AC1480" i="18" s="1"/>
  <c r="X1480" i="18"/>
  <c r="AB1480" i="18"/>
  <c r="AF1480" i="18"/>
  <c r="N1481" i="18"/>
  <c r="R1481" i="18"/>
  <c r="U1481" i="18"/>
  <c r="AC1481" i="18" s="1"/>
  <c r="X1481" i="18"/>
  <c r="AB1481" i="18"/>
  <c r="AF1481" i="18"/>
  <c r="N1482" i="18"/>
  <c r="R1482" i="18"/>
  <c r="U1482" i="18"/>
  <c r="AC1482" i="18" s="1"/>
  <c r="X1482" i="18"/>
  <c r="AB1482" i="18"/>
  <c r="AF1482" i="18"/>
  <c r="N1483" i="18"/>
  <c r="R1483" i="18"/>
  <c r="U1483" i="18"/>
  <c r="AC1483" i="18" s="1"/>
  <c r="X1483" i="18"/>
  <c r="AB1483" i="18"/>
  <c r="AF1483" i="18"/>
  <c r="N1484" i="18"/>
  <c r="R1484" i="18"/>
  <c r="U1484" i="18"/>
  <c r="AC1484" i="18" s="1"/>
  <c r="X1484" i="18"/>
  <c r="AB1484" i="18"/>
  <c r="AF1484" i="18"/>
  <c r="N1485" i="18"/>
  <c r="R1485" i="18"/>
  <c r="U1485" i="18"/>
  <c r="AC1485" i="18" s="1"/>
  <c r="X1485" i="18"/>
  <c r="AB1485" i="18"/>
  <c r="AF1485" i="18"/>
  <c r="N1486" i="18"/>
  <c r="R1486" i="18"/>
  <c r="U1486" i="18"/>
  <c r="AC1486" i="18" s="1"/>
  <c r="X1486" i="18"/>
  <c r="AB1486" i="18"/>
  <c r="AF1486" i="18"/>
  <c r="N1487" i="18"/>
  <c r="R1487" i="18"/>
  <c r="U1487" i="18"/>
  <c r="AC1487" i="18" s="1"/>
  <c r="X1487" i="18"/>
  <c r="AB1487" i="18"/>
  <c r="AD1487" i="18"/>
  <c r="AF1487" i="18"/>
  <c r="N1488" i="18"/>
  <c r="R1488" i="18"/>
  <c r="U1488" i="18"/>
  <c r="AC1488" i="18" s="1"/>
  <c r="X1488" i="18"/>
  <c r="AB1488" i="18"/>
  <c r="AF1488" i="18"/>
  <c r="N1489" i="18"/>
  <c r="R1489" i="18"/>
  <c r="U1489" i="18"/>
  <c r="AC1489" i="18" s="1"/>
  <c r="X1489" i="18"/>
  <c r="AB1489" i="18"/>
  <c r="AF1489" i="18"/>
  <c r="N1490" i="18"/>
  <c r="R1490" i="18"/>
  <c r="U1490" i="18"/>
  <c r="AC1490" i="18" s="1"/>
  <c r="X1490" i="18"/>
  <c r="AB1490" i="18"/>
  <c r="AF1490" i="18"/>
  <c r="N1491" i="18"/>
  <c r="R1491" i="18"/>
  <c r="U1491" i="18"/>
  <c r="AC1491" i="18" s="1"/>
  <c r="X1491" i="18"/>
  <c r="AB1491" i="18"/>
  <c r="AF1491" i="18"/>
  <c r="N1492" i="18"/>
  <c r="R1492" i="18"/>
  <c r="U1492" i="18"/>
  <c r="AC1492" i="18" s="1"/>
  <c r="X1492" i="18"/>
  <c r="AB1492" i="18"/>
  <c r="AF1492" i="18"/>
  <c r="N1493" i="18"/>
  <c r="R1493" i="18"/>
  <c r="U1493" i="18"/>
  <c r="AC1493" i="18" s="1"/>
  <c r="X1493" i="18"/>
  <c r="AB1493" i="18"/>
  <c r="AF1493" i="18"/>
  <c r="N1494" i="18"/>
  <c r="R1494" i="18"/>
  <c r="U1494" i="18"/>
  <c r="AC1494" i="18" s="1"/>
  <c r="X1494" i="18"/>
  <c r="AB1494" i="18"/>
  <c r="AF1494" i="18"/>
  <c r="N1495" i="18"/>
  <c r="R1495" i="18"/>
  <c r="U1495" i="18"/>
  <c r="AC1495" i="18" s="1"/>
  <c r="X1495" i="18"/>
  <c r="AB1495" i="18"/>
  <c r="AF1495" i="18"/>
  <c r="N1496" i="18"/>
  <c r="R1496" i="18"/>
  <c r="U1496" i="18"/>
  <c r="AC1496" i="18" s="1"/>
  <c r="X1496" i="18"/>
  <c r="AB1496" i="18"/>
  <c r="AF1496" i="18"/>
  <c r="N1497" i="18"/>
  <c r="R1497" i="18"/>
  <c r="U1497" i="18"/>
  <c r="AC1497" i="18" s="1"/>
  <c r="X1497" i="18"/>
  <c r="AB1497" i="18"/>
  <c r="AF1497" i="18"/>
  <c r="N1498" i="18"/>
  <c r="R1498" i="18"/>
  <c r="U1498" i="18"/>
  <c r="AC1498" i="18" s="1"/>
  <c r="X1498" i="18"/>
  <c r="AB1498" i="18"/>
  <c r="AF1498" i="18"/>
  <c r="N1499" i="18"/>
  <c r="R1499" i="18"/>
  <c r="U1499" i="18"/>
  <c r="AC1499" i="18" s="1"/>
  <c r="X1499" i="18"/>
  <c r="AB1499" i="18"/>
  <c r="AF1499" i="18"/>
  <c r="N1500" i="18"/>
  <c r="R1500" i="18"/>
  <c r="U1500" i="18"/>
  <c r="AC1500" i="18" s="1"/>
  <c r="X1500" i="18"/>
  <c r="AB1500" i="18"/>
  <c r="AF1500" i="18"/>
  <c r="N1501" i="18"/>
  <c r="R1501" i="18"/>
  <c r="U1501" i="18"/>
  <c r="AC1501" i="18" s="1"/>
  <c r="X1501" i="18"/>
  <c r="AB1501" i="18"/>
  <c r="AF1501" i="18"/>
  <c r="N1502" i="18"/>
  <c r="R1502" i="18"/>
  <c r="U1502" i="18"/>
  <c r="AC1502" i="18" s="1"/>
  <c r="X1502" i="18"/>
  <c r="AB1502" i="18"/>
  <c r="AF1502" i="18"/>
  <c r="N1503" i="18"/>
  <c r="R1503" i="18"/>
  <c r="U1503" i="18"/>
  <c r="AC1503" i="18" s="1"/>
  <c r="X1503" i="18"/>
  <c r="AB1503" i="18"/>
  <c r="AF1503" i="18"/>
  <c r="N1504" i="18"/>
  <c r="R1504" i="18"/>
  <c r="U1504" i="18"/>
  <c r="AC1504" i="18" s="1"/>
  <c r="X1504" i="18"/>
  <c r="AB1504" i="18"/>
  <c r="AF1504" i="18"/>
  <c r="N1505" i="18"/>
  <c r="R1505" i="18"/>
  <c r="U1505" i="18"/>
  <c r="AC1505" i="18" s="1"/>
  <c r="X1505" i="18"/>
  <c r="AB1505" i="18"/>
  <c r="AD1505" i="18"/>
  <c r="AF1505" i="18"/>
  <c r="N1506" i="18"/>
  <c r="R1506" i="18"/>
  <c r="U1506" i="18"/>
  <c r="AC1506" i="18" s="1"/>
  <c r="X1506" i="18"/>
  <c r="AB1506" i="18"/>
  <c r="AF1506" i="18"/>
  <c r="N1507" i="18"/>
  <c r="R1507" i="18"/>
  <c r="U1507" i="18"/>
  <c r="AC1507" i="18" s="1"/>
  <c r="X1507" i="18"/>
  <c r="AB1507" i="18"/>
  <c r="AF1507" i="18"/>
  <c r="N1508" i="18"/>
  <c r="R1508" i="18"/>
  <c r="U1508" i="18"/>
  <c r="AC1508" i="18" s="1"/>
  <c r="X1508" i="18"/>
  <c r="AB1508" i="18"/>
  <c r="AF1508" i="18"/>
  <c r="N1509" i="18"/>
  <c r="R1509" i="18"/>
  <c r="U1509" i="18"/>
  <c r="AC1509" i="18" s="1"/>
  <c r="X1509" i="18"/>
  <c r="AB1509" i="18"/>
  <c r="AD1509" i="18"/>
  <c r="AF1509" i="18"/>
  <c r="N1510" i="18"/>
  <c r="R1510" i="18"/>
  <c r="U1510" i="18"/>
  <c r="AC1510" i="18" s="1"/>
  <c r="X1510" i="18"/>
  <c r="AB1510" i="18"/>
  <c r="AF1510" i="18"/>
  <c r="N1511" i="18"/>
  <c r="R1511" i="18"/>
  <c r="U1511" i="18"/>
  <c r="AC1511" i="18" s="1"/>
  <c r="X1511" i="18"/>
  <c r="AB1511" i="18"/>
  <c r="AF1511" i="18"/>
  <c r="N1512" i="18"/>
  <c r="R1512" i="18"/>
  <c r="U1512" i="18"/>
  <c r="AC1512" i="18" s="1"/>
  <c r="X1512" i="18"/>
  <c r="AB1512" i="18"/>
  <c r="AF1512" i="18"/>
  <c r="N1513" i="18"/>
  <c r="R1513" i="18"/>
  <c r="U1513" i="18"/>
  <c r="AC1513" i="18" s="1"/>
  <c r="X1513" i="18"/>
  <c r="AB1513" i="18"/>
  <c r="AD1513" i="18"/>
  <c r="AF1513" i="18"/>
  <c r="N1514" i="18"/>
  <c r="R1514" i="18"/>
  <c r="U1514" i="18"/>
  <c r="AC1514" i="18" s="1"/>
  <c r="X1514" i="18"/>
  <c r="AB1514" i="18"/>
  <c r="AF1514" i="18"/>
  <c r="N1515" i="18"/>
  <c r="R1515" i="18"/>
  <c r="U1515" i="18"/>
  <c r="AC1515" i="18" s="1"/>
  <c r="X1515" i="18"/>
  <c r="AB1515" i="18"/>
  <c r="AF1515" i="18"/>
  <c r="N1516" i="18"/>
  <c r="R1516" i="18"/>
  <c r="U1516" i="18"/>
  <c r="AC1516" i="18" s="1"/>
  <c r="X1516" i="18"/>
  <c r="AB1516" i="18"/>
  <c r="AF1516" i="18"/>
  <c r="N1517" i="18"/>
  <c r="R1517" i="18"/>
  <c r="U1517" i="18"/>
  <c r="AC1517" i="18" s="1"/>
  <c r="X1517" i="18"/>
  <c r="AB1517" i="18"/>
  <c r="AD1517" i="18"/>
  <c r="AF1517" i="18"/>
  <c r="N1518" i="18"/>
  <c r="R1518" i="18"/>
  <c r="U1518" i="18"/>
  <c r="AC1518" i="18" s="1"/>
  <c r="X1518" i="18"/>
  <c r="AB1518" i="18"/>
  <c r="AF1518" i="18"/>
  <c r="N1519" i="18"/>
  <c r="R1519" i="18"/>
  <c r="U1519" i="18"/>
  <c r="AC1519" i="18" s="1"/>
  <c r="X1519" i="18"/>
  <c r="AB1519" i="18"/>
  <c r="AF1519" i="18"/>
  <c r="N1520" i="18"/>
  <c r="R1520" i="18"/>
  <c r="U1520" i="18"/>
  <c r="AC1520" i="18" s="1"/>
  <c r="X1520" i="18"/>
  <c r="AB1520" i="18"/>
  <c r="AF1520" i="18"/>
  <c r="N1521" i="18"/>
  <c r="R1521" i="18"/>
  <c r="U1521" i="18"/>
  <c r="AC1521" i="18" s="1"/>
  <c r="X1521" i="18"/>
  <c r="AB1521" i="18"/>
  <c r="AD1521" i="18"/>
  <c r="AF1521" i="18"/>
  <c r="N1522" i="18"/>
  <c r="R1522" i="18"/>
  <c r="U1522" i="18"/>
  <c r="AC1522" i="18" s="1"/>
  <c r="X1522" i="18"/>
  <c r="AB1522" i="18"/>
  <c r="AF1522" i="18"/>
  <c r="N1523" i="18"/>
  <c r="R1523" i="18"/>
  <c r="U1523" i="18"/>
  <c r="AC1523" i="18" s="1"/>
  <c r="X1523" i="18"/>
  <c r="AB1523" i="18"/>
  <c r="AF1523" i="18"/>
  <c r="N1524" i="18"/>
  <c r="R1524" i="18"/>
  <c r="U1524" i="18"/>
  <c r="AC1524" i="18" s="1"/>
  <c r="X1524" i="18"/>
  <c r="AB1524" i="18"/>
  <c r="AF1524" i="18"/>
  <c r="N1525" i="18"/>
  <c r="R1525" i="18"/>
  <c r="U1525" i="18"/>
  <c r="AC1525" i="18" s="1"/>
  <c r="X1525" i="18"/>
  <c r="AB1525" i="18"/>
  <c r="AD1525" i="18"/>
  <c r="AF1525" i="18"/>
  <c r="N1526" i="18"/>
  <c r="R1526" i="18"/>
  <c r="U1526" i="18"/>
  <c r="AC1526" i="18" s="1"/>
  <c r="X1526" i="18"/>
  <c r="AB1526" i="18"/>
  <c r="AF1526" i="18"/>
  <c r="N1527" i="18"/>
  <c r="R1527" i="18"/>
  <c r="U1527" i="18"/>
  <c r="AC1527" i="18" s="1"/>
  <c r="X1527" i="18"/>
  <c r="AB1527" i="18"/>
  <c r="AF1527" i="18"/>
  <c r="N1528" i="18"/>
  <c r="R1528" i="18"/>
  <c r="U1528" i="18"/>
  <c r="AC1528" i="18" s="1"/>
  <c r="X1528" i="18"/>
  <c r="AB1528" i="18"/>
  <c r="AF1528" i="18"/>
  <c r="N1529" i="18"/>
  <c r="R1529" i="18"/>
  <c r="U1529" i="18"/>
  <c r="AC1529" i="18" s="1"/>
  <c r="X1529" i="18"/>
  <c r="AB1529" i="18"/>
  <c r="AD1529" i="18"/>
  <c r="AF1529" i="18"/>
  <c r="N1530" i="18"/>
  <c r="R1530" i="18"/>
  <c r="U1530" i="18"/>
  <c r="AC1530" i="18" s="1"/>
  <c r="X1530" i="18"/>
  <c r="AB1530" i="18"/>
  <c r="AF1530" i="18"/>
  <c r="N1531" i="18"/>
  <c r="R1531" i="18"/>
  <c r="U1531" i="18"/>
  <c r="AC1531" i="18" s="1"/>
  <c r="X1531" i="18"/>
  <c r="AB1531" i="18"/>
  <c r="AF1531" i="18"/>
  <c r="N1532" i="18"/>
  <c r="R1532" i="18"/>
  <c r="U1532" i="18"/>
  <c r="AC1532" i="18" s="1"/>
  <c r="X1532" i="18"/>
  <c r="AB1532" i="18"/>
  <c r="AF1532" i="18"/>
  <c r="N1533" i="18"/>
  <c r="R1533" i="18"/>
  <c r="U1533" i="18"/>
  <c r="AC1533" i="18" s="1"/>
  <c r="X1533" i="18"/>
  <c r="AB1533" i="18"/>
  <c r="AD1533" i="18"/>
  <c r="AF1533" i="18"/>
  <c r="N1534" i="18"/>
  <c r="R1534" i="18"/>
  <c r="U1534" i="18"/>
  <c r="AC1534" i="18" s="1"/>
  <c r="X1534" i="18"/>
  <c r="AB1534" i="18"/>
  <c r="AF1534" i="18"/>
  <c r="N1535" i="18"/>
  <c r="R1535" i="18"/>
  <c r="U1535" i="18"/>
  <c r="AC1535" i="18" s="1"/>
  <c r="X1535" i="18"/>
  <c r="AB1535" i="18"/>
  <c r="AF1535" i="18"/>
  <c r="N1536" i="18"/>
  <c r="R1536" i="18"/>
  <c r="U1536" i="18"/>
  <c r="AC1536" i="18" s="1"/>
  <c r="X1536" i="18"/>
  <c r="AB1536" i="18"/>
  <c r="AF1536" i="18"/>
  <c r="N1537" i="18"/>
  <c r="R1537" i="18"/>
  <c r="U1537" i="18"/>
  <c r="AC1537" i="18" s="1"/>
  <c r="X1537" i="18"/>
  <c r="AB1537" i="18"/>
  <c r="AD1537" i="18"/>
  <c r="AF1537" i="18"/>
  <c r="N1538" i="18"/>
  <c r="R1538" i="18"/>
  <c r="U1538" i="18"/>
  <c r="AC1538" i="18" s="1"/>
  <c r="X1538" i="18"/>
  <c r="AB1538" i="18"/>
  <c r="AF1538" i="18"/>
  <c r="N1539" i="18"/>
  <c r="R1539" i="18"/>
  <c r="U1539" i="18"/>
  <c r="AC1539" i="18" s="1"/>
  <c r="X1539" i="18"/>
  <c r="AB1539" i="18"/>
  <c r="AF1539" i="18"/>
  <c r="N1540" i="18"/>
  <c r="R1540" i="18"/>
  <c r="U1540" i="18"/>
  <c r="AC1540" i="18" s="1"/>
  <c r="X1540" i="18"/>
  <c r="AB1540" i="18"/>
  <c r="AF1540" i="18"/>
  <c r="N1541" i="18"/>
  <c r="R1541" i="18"/>
  <c r="U1541" i="18"/>
  <c r="AC1541" i="18" s="1"/>
  <c r="X1541" i="18"/>
  <c r="AB1541" i="18"/>
  <c r="AD1541" i="18"/>
  <c r="AF1541" i="18"/>
  <c r="N1542" i="18"/>
  <c r="R1542" i="18"/>
  <c r="U1542" i="18"/>
  <c r="AC1542" i="18" s="1"/>
  <c r="X1542" i="18"/>
  <c r="AB1542" i="18"/>
  <c r="AF1542" i="18"/>
  <c r="N1543" i="18"/>
  <c r="R1543" i="18"/>
  <c r="U1543" i="18"/>
  <c r="AC1543" i="18" s="1"/>
  <c r="X1543" i="18"/>
  <c r="AB1543" i="18"/>
  <c r="AF1543" i="18"/>
  <c r="N1544" i="18"/>
  <c r="R1544" i="18"/>
  <c r="U1544" i="18"/>
  <c r="AC1544" i="18" s="1"/>
  <c r="X1544" i="18"/>
  <c r="AB1544" i="18"/>
  <c r="AF1544" i="18"/>
  <c r="N1545" i="18"/>
  <c r="R1545" i="18"/>
  <c r="U1545" i="18"/>
  <c r="AC1545" i="18" s="1"/>
  <c r="X1545" i="18"/>
  <c r="AB1545" i="18"/>
  <c r="AD1545" i="18"/>
  <c r="AF1545" i="18"/>
  <c r="N1546" i="18"/>
  <c r="R1546" i="18"/>
  <c r="U1546" i="18"/>
  <c r="AC1546" i="18" s="1"/>
  <c r="X1546" i="18"/>
  <c r="AB1546" i="18"/>
  <c r="AF1546" i="18"/>
  <c r="N1547" i="18"/>
  <c r="R1547" i="18"/>
  <c r="U1547" i="18"/>
  <c r="AC1547" i="18" s="1"/>
  <c r="X1547" i="18"/>
  <c r="AB1547" i="18"/>
  <c r="AF1547" i="18"/>
  <c r="N1548" i="18"/>
  <c r="R1548" i="18"/>
  <c r="U1548" i="18"/>
  <c r="AC1548" i="18" s="1"/>
  <c r="X1548" i="18"/>
  <c r="AB1548" i="18"/>
  <c r="AF1548" i="18"/>
  <c r="N1549" i="18"/>
  <c r="R1549" i="18"/>
  <c r="U1549" i="18"/>
  <c r="AC1549" i="18" s="1"/>
  <c r="X1549" i="18"/>
  <c r="AB1549" i="18"/>
  <c r="AD1549" i="18"/>
  <c r="AF1549" i="18"/>
  <c r="N1550" i="18"/>
  <c r="R1550" i="18"/>
  <c r="U1550" i="18"/>
  <c r="AC1550" i="18" s="1"/>
  <c r="X1550" i="18"/>
  <c r="AB1550" i="18"/>
  <c r="AF1550" i="18"/>
  <c r="N1551" i="18"/>
  <c r="R1551" i="18"/>
  <c r="U1551" i="18"/>
  <c r="AC1551" i="18" s="1"/>
  <c r="X1551" i="18"/>
  <c r="AB1551" i="18"/>
  <c r="AF1551" i="18"/>
  <c r="N1552" i="18"/>
  <c r="R1552" i="18"/>
  <c r="U1552" i="18"/>
  <c r="AC1552" i="18" s="1"/>
  <c r="X1552" i="18"/>
  <c r="AB1552" i="18"/>
  <c r="AF1552" i="18"/>
  <c r="N1553" i="18"/>
  <c r="R1553" i="18"/>
  <c r="U1553" i="18"/>
  <c r="AC1553" i="18" s="1"/>
  <c r="X1553" i="18"/>
  <c r="AB1553" i="18"/>
  <c r="AD1553" i="18"/>
  <c r="AF1553" i="18"/>
  <c r="N1554" i="18"/>
  <c r="R1554" i="18"/>
  <c r="U1554" i="18"/>
  <c r="AC1554" i="18" s="1"/>
  <c r="X1554" i="18"/>
  <c r="AB1554" i="18"/>
  <c r="AF1554" i="18"/>
  <c r="N1555" i="18"/>
  <c r="R1555" i="18"/>
  <c r="U1555" i="18"/>
  <c r="AC1555" i="18" s="1"/>
  <c r="X1555" i="18"/>
  <c r="AB1555" i="18"/>
  <c r="AF1555" i="18"/>
  <c r="N1556" i="18"/>
  <c r="R1556" i="18"/>
  <c r="U1556" i="18"/>
  <c r="AC1556" i="18" s="1"/>
  <c r="X1556" i="18"/>
  <c r="AB1556" i="18"/>
  <c r="AF1556" i="18"/>
  <c r="N1557" i="18"/>
  <c r="R1557" i="18"/>
  <c r="U1557" i="18"/>
  <c r="AC1557" i="18" s="1"/>
  <c r="X1557" i="18"/>
  <c r="AB1557" i="18"/>
  <c r="AD1557" i="18"/>
  <c r="AF1557" i="18"/>
  <c r="N1558" i="18"/>
  <c r="R1558" i="18"/>
  <c r="U1558" i="18"/>
  <c r="AC1558" i="18" s="1"/>
  <c r="X1558" i="18"/>
  <c r="AB1558" i="18"/>
  <c r="AF1558" i="18"/>
  <c r="N1559" i="18"/>
  <c r="R1559" i="18"/>
  <c r="U1559" i="18"/>
  <c r="AC1559" i="18" s="1"/>
  <c r="X1559" i="18"/>
  <c r="AB1559" i="18"/>
  <c r="AF1559" i="18"/>
  <c r="N1560" i="18"/>
  <c r="R1560" i="18"/>
  <c r="U1560" i="18"/>
  <c r="AC1560" i="18" s="1"/>
  <c r="X1560" i="18"/>
  <c r="AB1560" i="18"/>
  <c r="AF1560" i="18"/>
  <c r="N1561" i="18"/>
  <c r="R1561" i="18"/>
  <c r="U1561" i="18"/>
  <c r="AC1561" i="18" s="1"/>
  <c r="X1561" i="18"/>
  <c r="AB1561" i="18"/>
  <c r="AD1561" i="18"/>
  <c r="AF1561" i="18"/>
  <c r="N1562" i="18"/>
  <c r="R1562" i="18"/>
  <c r="U1562" i="18"/>
  <c r="AC1562" i="18" s="1"/>
  <c r="X1562" i="18"/>
  <c r="AB1562" i="18"/>
  <c r="AF1562" i="18"/>
  <c r="N1563" i="18"/>
  <c r="R1563" i="18"/>
  <c r="U1563" i="18"/>
  <c r="AC1563" i="18" s="1"/>
  <c r="X1563" i="18"/>
  <c r="AB1563" i="18"/>
  <c r="AF1563" i="18"/>
  <c r="N1564" i="18"/>
  <c r="R1564" i="18"/>
  <c r="U1564" i="18"/>
  <c r="AC1564" i="18" s="1"/>
  <c r="X1564" i="18"/>
  <c r="AB1564" i="18"/>
  <c r="AF1564" i="18"/>
  <c r="N1565" i="18"/>
  <c r="R1565" i="18"/>
  <c r="U1565" i="18"/>
  <c r="AC1565" i="18" s="1"/>
  <c r="X1565" i="18"/>
  <c r="AB1565" i="18"/>
  <c r="AD1565" i="18"/>
  <c r="AF1565" i="18"/>
  <c r="N1566" i="18"/>
  <c r="R1566" i="18"/>
  <c r="U1566" i="18"/>
  <c r="AC1566" i="18" s="1"/>
  <c r="X1566" i="18"/>
  <c r="AB1566" i="18"/>
  <c r="AF1566" i="18"/>
  <c r="N1567" i="18"/>
  <c r="R1567" i="18"/>
  <c r="U1567" i="18"/>
  <c r="AC1567" i="18" s="1"/>
  <c r="X1567" i="18"/>
  <c r="AB1567" i="18"/>
  <c r="AF1567" i="18"/>
  <c r="N1568" i="18"/>
  <c r="R1568" i="18"/>
  <c r="U1568" i="18"/>
  <c r="AC1568" i="18" s="1"/>
  <c r="X1568" i="18"/>
  <c r="AB1568" i="18"/>
  <c r="AF1568" i="18"/>
  <c r="N1569" i="18"/>
  <c r="R1569" i="18"/>
  <c r="U1569" i="18"/>
  <c r="AC1569" i="18" s="1"/>
  <c r="X1569" i="18"/>
  <c r="AB1569" i="18"/>
  <c r="AD1569" i="18"/>
  <c r="AF1569" i="18"/>
  <c r="N1570" i="18"/>
  <c r="R1570" i="18"/>
  <c r="U1570" i="18"/>
  <c r="AC1570" i="18" s="1"/>
  <c r="X1570" i="18"/>
  <c r="AB1570" i="18"/>
  <c r="AF1570" i="18"/>
  <c r="N1571" i="18"/>
  <c r="R1571" i="18"/>
  <c r="U1571" i="18"/>
  <c r="AC1571" i="18" s="1"/>
  <c r="X1571" i="18"/>
  <c r="AB1571" i="18"/>
  <c r="AF1571" i="18"/>
  <c r="N1572" i="18"/>
  <c r="R1572" i="18"/>
  <c r="U1572" i="18"/>
  <c r="AC1572" i="18" s="1"/>
  <c r="X1572" i="18"/>
  <c r="AB1572" i="18"/>
  <c r="AF1572" i="18"/>
  <c r="N1573" i="18"/>
  <c r="R1573" i="18"/>
  <c r="U1573" i="18"/>
  <c r="AC1573" i="18" s="1"/>
  <c r="X1573" i="18"/>
  <c r="AB1573" i="18"/>
  <c r="AD1573" i="18"/>
  <c r="AF1573" i="18"/>
  <c r="N1574" i="18"/>
  <c r="R1574" i="18"/>
  <c r="U1574" i="18"/>
  <c r="AC1574" i="18" s="1"/>
  <c r="X1574" i="18"/>
  <c r="AB1574" i="18"/>
  <c r="AF1574" i="18"/>
  <c r="N1575" i="18"/>
  <c r="R1575" i="18"/>
  <c r="U1575" i="18"/>
  <c r="AC1575" i="18" s="1"/>
  <c r="X1575" i="18"/>
  <c r="AB1575" i="18"/>
  <c r="AF1575" i="18"/>
  <c r="N1576" i="18"/>
  <c r="R1576" i="18"/>
  <c r="U1576" i="18"/>
  <c r="AC1576" i="18" s="1"/>
  <c r="X1576" i="18"/>
  <c r="AB1576" i="18"/>
  <c r="AF1576" i="18"/>
  <c r="N1577" i="18"/>
  <c r="R1577" i="18"/>
  <c r="U1577" i="18"/>
  <c r="AC1577" i="18" s="1"/>
  <c r="X1577" i="18"/>
  <c r="AB1577" i="18"/>
  <c r="AD1577" i="18"/>
  <c r="AF1577" i="18"/>
  <c r="N1578" i="18"/>
  <c r="R1578" i="18"/>
  <c r="U1578" i="18"/>
  <c r="AC1578" i="18" s="1"/>
  <c r="X1578" i="18"/>
  <c r="AB1578" i="18"/>
  <c r="AF1578" i="18"/>
  <c r="N1579" i="18"/>
  <c r="R1579" i="18"/>
  <c r="U1579" i="18"/>
  <c r="AC1579" i="18" s="1"/>
  <c r="X1579" i="18"/>
  <c r="AB1579" i="18"/>
  <c r="AF1579" i="18"/>
  <c r="N1580" i="18"/>
  <c r="R1580" i="18"/>
  <c r="U1580" i="18"/>
  <c r="AC1580" i="18" s="1"/>
  <c r="X1580" i="18"/>
  <c r="AB1580" i="18"/>
  <c r="AF1580" i="18"/>
  <c r="N1581" i="18"/>
  <c r="R1581" i="18"/>
  <c r="U1581" i="18"/>
  <c r="AC1581" i="18" s="1"/>
  <c r="X1581" i="18"/>
  <c r="AB1581" i="18"/>
  <c r="AD1581" i="18"/>
  <c r="AF1581" i="18"/>
  <c r="N1582" i="18"/>
  <c r="R1582" i="18"/>
  <c r="U1582" i="18"/>
  <c r="AC1582" i="18" s="1"/>
  <c r="X1582" i="18"/>
  <c r="AB1582" i="18"/>
  <c r="AF1582" i="18"/>
  <c r="N1583" i="18"/>
  <c r="R1583" i="18"/>
  <c r="U1583" i="18"/>
  <c r="AC1583" i="18" s="1"/>
  <c r="X1583" i="18"/>
  <c r="AB1583" i="18"/>
  <c r="AD1583" i="18"/>
  <c r="AF1583" i="18"/>
  <c r="N1584" i="18"/>
  <c r="R1584" i="18"/>
  <c r="U1584" i="18"/>
  <c r="AC1584" i="18" s="1"/>
  <c r="X1584" i="18"/>
  <c r="AB1584" i="18"/>
  <c r="AF1584" i="18"/>
  <c r="N1585" i="18"/>
  <c r="R1585" i="18"/>
  <c r="U1585" i="18"/>
  <c r="AC1585" i="18" s="1"/>
  <c r="X1585" i="18"/>
  <c r="AB1585" i="18"/>
  <c r="AD1585" i="18"/>
  <c r="AF1585" i="18"/>
  <c r="N1586" i="18"/>
  <c r="R1586" i="18"/>
  <c r="U1586" i="18"/>
  <c r="AC1586" i="18" s="1"/>
  <c r="X1586" i="18"/>
  <c r="AB1586" i="18"/>
  <c r="AF1586" i="18"/>
  <c r="N1587" i="18"/>
  <c r="R1587" i="18"/>
  <c r="U1587" i="18"/>
  <c r="AC1587" i="18" s="1"/>
  <c r="X1587" i="18"/>
  <c r="AB1587" i="18"/>
  <c r="AD1587" i="18"/>
  <c r="AF1587" i="18"/>
  <c r="N1588" i="18"/>
  <c r="R1588" i="18"/>
  <c r="U1588" i="18"/>
  <c r="AC1588" i="18" s="1"/>
  <c r="X1588" i="18"/>
  <c r="AB1588" i="18"/>
  <c r="AF1588" i="18"/>
  <c r="N1589" i="18"/>
  <c r="R1589" i="18"/>
  <c r="U1589" i="18"/>
  <c r="AC1589" i="18" s="1"/>
  <c r="X1589" i="18"/>
  <c r="AB1589" i="18"/>
  <c r="AD1589" i="18"/>
  <c r="AF1589" i="18"/>
  <c r="N1590" i="18"/>
  <c r="R1590" i="18"/>
  <c r="U1590" i="18"/>
  <c r="AC1590" i="18" s="1"/>
  <c r="X1590" i="18"/>
  <c r="AB1590" i="18"/>
  <c r="AF1590" i="18"/>
  <c r="N1591" i="18"/>
  <c r="R1591" i="18"/>
  <c r="U1591" i="18"/>
  <c r="AC1591" i="18" s="1"/>
  <c r="X1591" i="18"/>
  <c r="AB1591" i="18"/>
  <c r="AD1591" i="18"/>
  <c r="AF1591" i="18"/>
  <c r="N1592" i="18"/>
  <c r="R1592" i="18"/>
  <c r="U1592" i="18"/>
  <c r="AC1592" i="18" s="1"/>
  <c r="X1592" i="18"/>
  <c r="AB1592" i="18"/>
  <c r="AF1592" i="18"/>
  <c r="N1593" i="18"/>
  <c r="R1593" i="18"/>
  <c r="U1593" i="18"/>
  <c r="AC1593" i="18" s="1"/>
  <c r="X1593" i="18"/>
  <c r="AB1593" i="18"/>
  <c r="AD1593" i="18"/>
  <c r="AF1593" i="18"/>
  <c r="N1594" i="18"/>
  <c r="R1594" i="18"/>
  <c r="U1594" i="18"/>
  <c r="AC1594" i="18" s="1"/>
  <c r="X1594" i="18"/>
  <c r="AB1594" i="18"/>
  <c r="AF1594" i="18"/>
  <c r="N1595" i="18"/>
  <c r="R1595" i="18"/>
  <c r="U1595" i="18"/>
  <c r="AC1595" i="18" s="1"/>
  <c r="X1595" i="18"/>
  <c r="AB1595" i="18"/>
  <c r="AD1595" i="18"/>
  <c r="AF1595" i="18"/>
  <c r="N1596" i="18"/>
  <c r="R1596" i="18"/>
  <c r="U1596" i="18"/>
  <c r="AC1596" i="18" s="1"/>
  <c r="X1596" i="18"/>
  <c r="AB1596" i="18"/>
  <c r="AF1596" i="18"/>
  <c r="N1597" i="18"/>
  <c r="R1597" i="18"/>
  <c r="U1597" i="18"/>
  <c r="AC1597" i="18" s="1"/>
  <c r="X1597" i="18"/>
  <c r="AB1597" i="18"/>
  <c r="AD1597" i="18"/>
  <c r="AF1597" i="18"/>
  <c r="N1598" i="18"/>
  <c r="R1598" i="18"/>
  <c r="U1598" i="18"/>
  <c r="AC1598" i="18" s="1"/>
  <c r="X1598" i="18"/>
  <c r="AB1598" i="18"/>
  <c r="AF1598" i="18"/>
  <c r="N1599" i="18"/>
  <c r="R1599" i="18"/>
  <c r="U1599" i="18"/>
  <c r="AC1599" i="18" s="1"/>
  <c r="X1599" i="18"/>
  <c r="AB1599" i="18"/>
  <c r="AD1599" i="18"/>
  <c r="AF1599" i="18"/>
  <c r="N1600" i="18"/>
  <c r="R1600" i="18"/>
  <c r="U1600" i="18"/>
  <c r="AC1600" i="18" s="1"/>
  <c r="X1600" i="18"/>
  <c r="AB1600" i="18"/>
  <c r="AF1600" i="18"/>
  <c r="N1601" i="18"/>
  <c r="R1601" i="18"/>
  <c r="U1601" i="18"/>
  <c r="AC1601" i="18" s="1"/>
  <c r="X1601" i="18"/>
  <c r="AB1601" i="18"/>
  <c r="AD1601" i="18"/>
  <c r="AF1601" i="18"/>
  <c r="N1602" i="18"/>
  <c r="R1602" i="18"/>
  <c r="U1602" i="18"/>
  <c r="AC1602" i="18" s="1"/>
  <c r="X1602" i="18"/>
  <c r="AB1602" i="18"/>
  <c r="AF1602" i="18"/>
  <c r="N1603" i="18"/>
  <c r="R1603" i="18"/>
  <c r="U1603" i="18"/>
  <c r="AC1603" i="18" s="1"/>
  <c r="X1603" i="18"/>
  <c r="AB1603" i="18"/>
  <c r="AD1603" i="18"/>
  <c r="AF1603" i="18"/>
  <c r="N1604" i="18"/>
  <c r="R1604" i="18"/>
  <c r="U1604" i="18"/>
  <c r="AC1604" i="18" s="1"/>
  <c r="X1604" i="18"/>
  <c r="AB1604" i="18"/>
  <c r="AF1604" i="18"/>
  <c r="N1605" i="18"/>
  <c r="R1605" i="18"/>
  <c r="U1605" i="18"/>
  <c r="AC1605" i="18" s="1"/>
  <c r="X1605" i="18"/>
  <c r="AB1605" i="18"/>
  <c r="AD1605" i="18"/>
  <c r="AF1605" i="18"/>
  <c r="N1606" i="18"/>
  <c r="R1606" i="18"/>
  <c r="U1606" i="18"/>
  <c r="AC1606" i="18" s="1"/>
  <c r="X1606" i="18"/>
  <c r="AB1606" i="18"/>
  <c r="AF1606" i="18"/>
  <c r="N1607" i="18"/>
  <c r="R1607" i="18"/>
  <c r="U1607" i="18"/>
  <c r="AC1607" i="18" s="1"/>
  <c r="X1607" i="18"/>
  <c r="AB1607" i="18"/>
  <c r="AD1607" i="18"/>
  <c r="AF1607" i="18"/>
  <c r="N1608" i="18"/>
  <c r="R1608" i="18"/>
  <c r="U1608" i="18"/>
  <c r="AC1608" i="18" s="1"/>
  <c r="X1608" i="18"/>
  <c r="AB1608" i="18"/>
  <c r="AF1608" i="18"/>
  <c r="N1609" i="18"/>
  <c r="R1609" i="18"/>
  <c r="U1609" i="18"/>
  <c r="AC1609" i="18" s="1"/>
  <c r="X1609" i="18"/>
  <c r="AB1609" i="18"/>
  <c r="AD1609" i="18"/>
  <c r="AF1609" i="18"/>
  <c r="N1610" i="18"/>
  <c r="R1610" i="18"/>
  <c r="U1610" i="18"/>
  <c r="AC1610" i="18" s="1"/>
  <c r="X1610" i="18"/>
  <c r="AB1610" i="18"/>
  <c r="AF1610" i="18"/>
  <c r="N1611" i="18"/>
  <c r="R1611" i="18"/>
  <c r="U1611" i="18"/>
  <c r="AC1611" i="18" s="1"/>
  <c r="X1611" i="18"/>
  <c r="AB1611" i="18"/>
  <c r="AD1611" i="18"/>
  <c r="AF1611" i="18"/>
  <c r="N1612" i="18"/>
  <c r="R1612" i="18"/>
  <c r="U1612" i="18"/>
  <c r="AC1612" i="18" s="1"/>
  <c r="X1612" i="18"/>
  <c r="AB1612" i="18"/>
  <c r="AF1612" i="18"/>
  <c r="N1613" i="18"/>
  <c r="R1613" i="18"/>
  <c r="U1613" i="18"/>
  <c r="AC1613" i="18" s="1"/>
  <c r="X1613" i="18"/>
  <c r="AB1613" i="18"/>
  <c r="AD1613" i="18"/>
  <c r="AF1613" i="18"/>
  <c r="N1614" i="18"/>
  <c r="R1614" i="18"/>
  <c r="U1614" i="18"/>
  <c r="AC1614" i="18" s="1"/>
  <c r="X1614" i="18"/>
  <c r="AB1614" i="18"/>
  <c r="AF1614" i="18"/>
  <c r="N1615" i="18"/>
  <c r="R1615" i="18"/>
  <c r="U1615" i="18"/>
  <c r="AC1615" i="18" s="1"/>
  <c r="X1615" i="18"/>
  <c r="AB1615" i="18"/>
  <c r="AD1615" i="18"/>
  <c r="AF1615" i="18"/>
  <c r="N1616" i="18"/>
  <c r="R1616" i="18"/>
  <c r="U1616" i="18"/>
  <c r="AC1616" i="18" s="1"/>
  <c r="X1616" i="18"/>
  <c r="AB1616" i="18"/>
  <c r="AF1616" i="18"/>
  <c r="N1617" i="18"/>
  <c r="R1617" i="18"/>
  <c r="U1617" i="18"/>
  <c r="AC1617" i="18" s="1"/>
  <c r="X1617" i="18"/>
  <c r="AB1617" i="18"/>
  <c r="AD1617" i="18"/>
  <c r="AF1617" i="18"/>
  <c r="N1618" i="18"/>
  <c r="R1618" i="18"/>
  <c r="U1618" i="18"/>
  <c r="AC1618" i="18" s="1"/>
  <c r="X1618" i="18"/>
  <c r="AB1618" i="18"/>
  <c r="AF1618" i="18"/>
  <c r="N1619" i="18"/>
  <c r="R1619" i="18"/>
  <c r="U1619" i="18"/>
  <c r="AC1619" i="18" s="1"/>
  <c r="X1619" i="18"/>
  <c r="AB1619" i="18"/>
  <c r="AD1619" i="18"/>
  <c r="AF1619" i="18"/>
  <c r="N1620" i="18"/>
  <c r="R1620" i="18"/>
  <c r="U1620" i="18"/>
  <c r="AC1620" i="18" s="1"/>
  <c r="X1620" i="18"/>
  <c r="AB1620" i="18"/>
  <c r="AF1620" i="18"/>
  <c r="N1621" i="18"/>
  <c r="R1621" i="18"/>
  <c r="U1621" i="18"/>
  <c r="AC1621" i="18" s="1"/>
  <c r="X1621" i="18"/>
  <c r="AB1621" i="18"/>
  <c r="AD1621" i="18"/>
  <c r="AF1621" i="18"/>
  <c r="N1622" i="18"/>
  <c r="R1622" i="18"/>
  <c r="U1622" i="18"/>
  <c r="AC1622" i="18" s="1"/>
  <c r="X1622" i="18"/>
  <c r="AB1622" i="18"/>
  <c r="AF1622" i="18"/>
  <c r="N1623" i="18"/>
  <c r="R1623" i="18"/>
  <c r="U1623" i="18"/>
  <c r="AC1623" i="18" s="1"/>
  <c r="X1623" i="18"/>
  <c r="AB1623" i="18"/>
  <c r="AD1623" i="18"/>
  <c r="AF1623" i="18"/>
  <c r="N1624" i="18"/>
  <c r="R1624" i="18"/>
  <c r="U1624" i="18"/>
  <c r="AC1624" i="18" s="1"/>
  <c r="X1624" i="18"/>
  <c r="AB1624" i="18"/>
  <c r="AF1624" i="18"/>
  <c r="N1625" i="18"/>
  <c r="R1625" i="18"/>
  <c r="U1625" i="18"/>
  <c r="AC1625" i="18" s="1"/>
  <c r="X1625" i="18"/>
  <c r="AB1625" i="18"/>
  <c r="AD1625" i="18"/>
  <c r="AF1625" i="18"/>
  <c r="N1626" i="18"/>
  <c r="R1626" i="18"/>
  <c r="U1626" i="18"/>
  <c r="AC1626" i="18" s="1"/>
  <c r="X1626" i="18"/>
  <c r="AB1626" i="18"/>
  <c r="AF1626" i="18"/>
  <c r="N1627" i="18"/>
  <c r="R1627" i="18"/>
  <c r="U1627" i="18"/>
  <c r="AC1627" i="18" s="1"/>
  <c r="X1627" i="18"/>
  <c r="AB1627" i="18"/>
  <c r="AD1627" i="18"/>
  <c r="AF1627" i="18"/>
  <c r="N1628" i="18"/>
  <c r="R1628" i="18"/>
  <c r="U1628" i="18"/>
  <c r="AC1628" i="18" s="1"/>
  <c r="X1628" i="18"/>
  <c r="AB1628" i="18"/>
  <c r="AF1628" i="18"/>
  <c r="N1629" i="18"/>
  <c r="R1629" i="18"/>
  <c r="U1629" i="18"/>
  <c r="AC1629" i="18" s="1"/>
  <c r="X1629" i="18"/>
  <c r="AB1629" i="18"/>
  <c r="AD1629" i="18"/>
  <c r="AF1629" i="18"/>
  <c r="N1630" i="18"/>
  <c r="R1630" i="18"/>
  <c r="U1630" i="18"/>
  <c r="AC1630" i="18" s="1"/>
  <c r="X1630" i="18"/>
  <c r="AB1630" i="18"/>
  <c r="AF1630" i="18"/>
  <c r="N1631" i="18"/>
  <c r="R1631" i="18"/>
  <c r="U1631" i="18"/>
  <c r="AC1631" i="18" s="1"/>
  <c r="X1631" i="18"/>
  <c r="AB1631" i="18"/>
  <c r="AD1631" i="18"/>
  <c r="AF1631" i="18"/>
  <c r="N1632" i="18"/>
  <c r="R1632" i="18"/>
  <c r="U1632" i="18"/>
  <c r="AC1632" i="18" s="1"/>
  <c r="X1632" i="18"/>
  <c r="AB1632" i="18"/>
  <c r="AF1632" i="18"/>
  <c r="N1633" i="18"/>
  <c r="R1633" i="18"/>
  <c r="U1633" i="18"/>
  <c r="AC1633" i="18" s="1"/>
  <c r="X1633" i="18"/>
  <c r="AB1633" i="18"/>
  <c r="AD1633" i="18"/>
  <c r="AF1633" i="18"/>
  <c r="N1634" i="18"/>
  <c r="R1634" i="18"/>
  <c r="U1634" i="18"/>
  <c r="AC1634" i="18" s="1"/>
  <c r="X1634" i="18"/>
  <c r="AB1634" i="18"/>
  <c r="AF1634" i="18"/>
  <c r="N1635" i="18"/>
  <c r="R1635" i="18"/>
  <c r="U1635" i="18"/>
  <c r="AC1635" i="18" s="1"/>
  <c r="X1635" i="18"/>
  <c r="AB1635" i="18"/>
  <c r="AD1635" i="18"/>
  <c r="AF1635" i="18"/>
  <c r="N1636" i="18"/>
  <c r="R1636" i="18"/>
  <c r="U1636" i="18"/>
  <c r="AC1636" i="18" s="1"/>
  <c r="X1636" i="18"/>
  <c r="AB1636" i="18"/>
  <c r="AF1636" i="18"/>
  <c r="N1637" i="18"/>
  <c r="R1637" i="18"/>
  <c r="U1637" i="18"/>
  <c r="AC1637" i="18" s="1"/>
  <c r="X1637" i="18"/>
  <c r="AB1637" i="18"/>
  <c r="AD1637" i="18"/>
  <c r="AF1637" i="18"/>
  <c r="N1638" i="18"/>
  <c r="R1638" i="18"/>
  <c r="U1638" i="18"/>
  <c r="AC1638" i="18" s="1"/>
  <c r="X1638" i="18"/>
  <c r="AB1638" i="18"/>
  <c r="AF1638" i="18"/>
  <c r="N1639" i="18"/>
  <c r="R1639" i="18"/>
  <c r="U1639" i="18"/>
  <c r="AC1639" i="18" s="1"/>
  <c r="X1639" i="18"/>
  <c r="AB1639" i="18"/>
  <c r="AD1639" i="18"/>
  <c r="AF1639" i="18"/>
  <c r="N1640" i="18"/>
  <c r="R1640" i="18"/>
  <c r="U1640" i="18"/>
  <c r="AC1640" i="18" s="1"/>
  <c r="X1640" i="18"/>
  <c r="AB1640" i="18"/>
  <c r="AF1640" i="18"/>
  <c r="N1641" i="18"/>
  <c r="R1641" i="18"/>
  <c r="U1641" i="18"/>
  <c r="AC1641" i="18" s="1"/>
  <c r="X1641" i="18"/>
  <c r="AB1641" i="18"/>
  <c r="AD1641" i="18"/>
  <c r="AF1641" i="18"/>
  <c r="N1642" i="18"/>
  <c r="R1642" i="18"/>
  <c r="U1642" i="18"/>
  <c r="AC1642" i="18" s="1"/>
  <c r="X1642" i="18"/>
  <c r="AB1642" i="18"/>
  <c r="AF1642" i="18"/>
  <c r="N1643" i="18"/>
  <c r="R1643" i="18"/>
  <c r="U1643" i="18"/>
  <c r="AC1643" i="18" s="1"/>
  <c r="X1643" i="18"/>
  <c r="AB1643" i="18"/>
  <c r="AD1643" i="18"/>
  <c r="AF1643" i="18"/>
  <c r="N1644" i="18"/>
  <c r="R1644" i="18"/>
  <c r="U1644" i="18"/>
  <c r="AC1644" i="18" s="1"/>
  <c r="X1644" i="18"/>
  <c r="AB1644" i="18"/>
  <c r="AF1644" i="18"/>
  <c r="N1645" i="18"/>
  <c r="R1645" i="18"/>
  <c r="U1645" i="18"/>
  <c r="AC1645" i="18" s="1"/>
  <c r="X1645" i="18"/>
  <c r="AB1645" i="18"/>
  <c r="AD1645" i="18"/>
  <c r="AF1645" i="18"/>
  <c r="N1646" i="18"/>
  <c r="R1646" i="18"/>
  <c r="U1646" i="18"/>
  <c r="AC1646" i="18" s="1"/>
  <c r="X1646" i="18"/>
  <c r="AB1646" i="18"/>
  <c r="AF1646" i="18"/>
  <c r="N1647" i="18"/>
  <c r="R1647" i="18"/>
  <c r="U1647" i="18"/>
  <c r="AC1647" i="18" s="1"/>
  <c r="X1647" i="18"/>
  <c r="AB1647" i="18"/>
  <c r="AD1647" i="18"/>
  <c r="AF1647" i="18"/>
  <c r="N1648" i="18"/>
  <c r="R1648" i="18"/>
  <c r="U1648" i="18"/>
  <c r="AC1648" i="18" s="1"/>
  <c r="X1648" i="18"/>
  <c r="AB1648" i="18"/>
  <c r="AF1648" i="18"/>
  <c r="N1649" i="18"/>
  <c r="R1649" i="18"/>
  <c r="U1649" i="18"/>
  <c r="AC1649" i="18" s="1"/>
  <c r="X1649" i="18"/>
  <c r="AB1649" i="18"/>
  <c r="AD1649" i="18"/>
  <c r="AF1649" i="18"/>
  <c r="N1650" i="18"/>
  <c r="R1650" i="18"/>
  <c r="U1650" i="18"/>
  <c r="AC1650" i="18" s="1"/>
  <c r="X1650" i="18"/>
  <c r="AB1650" i="18"/>
  <c r="AF1650" i="18"/>
  <c r="N1651" i="18"/>
  <c r="R1651" i="18"/>
  <c r="U1651" i="18"/>
  <c r="AC1651" i="18" s="1"/>
  <c r="X1651" i="18"/>
  <c r="AB1651" i="18"/>
  <c r="AD1651" i="18"/>
  <c r="AF1651" i="18"/>
  <c r="N1652" i="18"/>
  <c r="R1652" i="18"/>
  <c r="U1652" i="18"/>
  <c r="AC1652" i="18" s="1"/>
  <c r="X1652" i="18"/>
  <c r="AB1652" i="18"/>
  <c r="AF1652" i="18"/>
  <c r="N1653" i="18"/>
  <c r="R1653" i="18"/>
  <c r="U1653" i="18"/>
  <c r="AC1653" i="18" s="1"/>
  <c r="X1653" i="18"/>
  <c r="AB1653" i="18"/>
  <c r="AD1653" i="18"/>
  <c r="AF1653" i="18"/>
  <c r="N1654" i="18"/>
  <c r="R1654" i="18"/>
  <c r="U1654" i="18"/>
  <c r="AC1654" i="18" s="1"/>
  <c r="X1654" i="18"/>
  <c r="AB1654" i="18"/>
  <c r="AF1654" i="18"/>
  <c r="N1655" i="18"/>
  <c r="R1655" i="18"/>
  <c r="U1655" i="18"/>
  <c r="AC1655" i="18" s="1"/>
  <c r="X1655" i="18"/>
  <c r="AB1655" i="18"/>
  <c r="AD1655" i="18"/>
  <c r="AF1655" i="18"/>
  <c r="N1656" i="18"/>
  <c r="R1656" i="18"/>
  <c r="U1656" i="18"/>
  <c r="AC1656" i="18" s="1"/>
  <c r="X1656" i="18"/>
  <c r="AB1656" i="18"/>
  <c r="AF1656" i="18"/>
  <c r="N1657" i="18"/>
  <c r="R1657" i="18"/>
  <c r="U1657" i="18"/>
  <c r="AC1657" i="18" s="1"/>
  <c r="X1657" i="18"/>
  <c r="AB1657" i="18"/>
  <c r="AD1657" i="18"/>
  <c r="AF1657" i="18"/>
  <c r="N1658" i="18"/>
  <c r="R1658" i="18"/>
  <c r="U1658" i="18"/>
  <c r="AC1658" i="18" s="1"/>
  <c r="X1658" i="18"/>
  <c r="AB1658" i="18"/>
  <c r="AF1658" i="18"/>
  <c r="N1659" i="18"/>
  <c r="R1659" i="18"/>
  <c r="U1659" i="18"/>
  <c r="AC1659" i="18" s="1"/>
  <c r="X1659" i="18"/>
  <c r="AB1659" i="18"/>
  <c r="AD1659" i="18"/>
  <c r="AF1659" i="18"/>
  <c r="N1660" i="18"/>
  <c r="R1660" i="18"/>
  <c r="U1660" i="18"/>
  <c r="AC1660" i="18" s="1"/>
  <c r="X1660" i="18"/>
  <c r="AB1660" i="18"/>
  <c r="AF1660" i="18"/>
  <c r="N1661" i="18"/>
  <c r="R1661" i="18"/>
  <c r="U1661" i="18"/>
  <c r="AC1661" i="18" s="1"/>
  <c r="X1661" i="18"/>
  <c r="AB1661" i="18"/>
  <c r="AD1661" i="18"/>
  <c r="AF1661" i="18"/>
  <c r="N1662" i="18"/>
  <c r="R1662" i="18"/>
  <c r="U1662" i="18"/>
  <c r="AC1662" i="18" s="1"/>
  <c r="X1662" i="18"/>
  <c r="AB1662" i="18"/>
  <c r="AF1662" i="18"/>
  <c r="N1663" i="18"/>
  <c r="R1663" i="18"/>
  <c r="U1663" i="18"/>
  <c r="AC1663" i="18" s="1"/>
  <c r="X1663" i="18"/>
  <c r="AB1663" i="18"/>
  <c r="AD1663" i="18"/>
  <c r="AF1663" i="18"/>
  <c r="N1664" i="18"/>
  <c r="R1664" i="18"/>
  <c r="U1664" i="18"/>
  <c r="AC1664" i="18" s="1"/>
  <c r="X1664" i="18"/>
  <c r="AB1664" i="18"/>
  <c r="AF1664" i="18"/>
  <c r="N1665" i="18"/>
  <c r="R1665" i="18"/>
  <c r="U1665" i="18"/>
  <c r="AC1665" i="18" s="1"/>
  <c r="X1665" i="18"/>
  <c r="AB1665" i="18"/>
  <c r="AD1665" i="18"/>
  <c r="AF1665" i="18"/>
  <c r="N1666" i="18"/>
  <c r="R1666" i="18"/>
  <c r="U1666" i="18"/>
  <c r="AC1666" i="18" s="1"/>
  <c r="X1666" i="18"/>
  <c r="AB1666" i="18"/>
  <c r="AF1666" i="18"/>
  <c r="N1667" i="18"/>
  <c r="R1667" i="18"/>
  <c r="U1667" i="18"/>
  <c r="AC1667" i="18" s="1"/>
  <c r="X1667" i="18"/>
  <c r="AB1667" i="18"/>
  <c r="AF1667" i="18"/>
  <c r="N1668" i="18"/>
  <c r="R1668" i="18"/>
  <c r="U1668" i="18"/>
  <c r="AC1668" i="18" s="1"/>
  <c r="X1668" i="18"/>
  <c r="AB1668" i="18"/>
  <c r="AD1668" i="18"/>
  <c r="AF1668" i="18"/>
  <c r="N1669" i="18"/>
  <c r="R1669" i="18"/>
  <c r="U1669" i="18"/>
  <c r="AC1669" i="18" s="1"/>
  <c r="X1669" i="18"/>
  <c r="AB1669" i="18"/>
  <c r="AF1669" i="18"/>
  <c r="N1670" i="18"/>
  <c r="R1670" i="18"/>
  <c r="U1670" i="18"/>
  <c r="AC1670" i="18" s="1"/>
  <c r="X1670" i="18"/>
  <c r="AB1670" i="18"/>
  <c r="AF1670" i="18"/>
  <c r="N1671" i="18"/>
  <c r="R1671" i="18"/>
  <c r="U1671" i="18"/>
  <c r="AC1671" i="18" s="1"/>
  <c r="X1671" i="18"/>
  <c r="AB1671" i="18"/>
  <c r="AF1671" i="18"/>
  <c r="N1672" i="18"/>
  <c r="R1672" i="18"/>
  <c r="U1672" i="18"/>
  <c r="AC1672" i="18" s="1"/>
  <c r="X1672" i="18"/>
  <c r="AB1672" i="18"/>
  <c r="AF1672" i="18"/>
  <c r="N1673" i="18"/>
  <c r="R1673" i="18"/>
  <c r="U1673" i="18"/>
  <c r="AC1673" i="18" s="1"/>
  <c r="X1673" i="18"/>
  <c r="AB1673" i="18"/>
  <c r="AF1673" i="18"/>
  <c r="N1674" i="18"/>
  <c r="R1674" i="18"/>
  <c r="U1674" i="18"/>
  <c r="AC1674" i="18" s="1"/>
  <c r="X1674" i="18"/>
  <c r="AB1674" i="18"/>
  <c r="AF1674" i="18"/>
  <c r="N1675" i="18"/>
  <c r="R1675" i="18"/>
  <c r="U1675" i="18"/>
  <c r="AC1675" i="18" s="1"/>
  <c r="X1675" i="18"/>
  <c r="AB1675" i="18"/>
  <c r="AF1675" i="18"/>
  <c r="N1676" i="18"/>
  <c r="R1676" i="18"/>
  <c r="U1676" i="18"/>
  <c r="AC1676" i="18" s="1"/>
  <c r="X1676" i="18"/>
  <c r="AB1676" i="18"/>
  <c r="AF1676" i="18"/>
  <c r="N1677" i="18"/>
  <c r="R1677" i="18"/>
  <c r="U1677" i="18"/>
  <c r="AC1677" i="18" s="1"/>
  <c r="X1677" i="18"/>
  <c r="AB1677" i="18"/>
  <c r="AF1677" i="18"/>
  <c r="N1678" i="18"/>
  <c r="R1678" i="18"/>
  <c r="U1678" i="18"/>
  <c r="AC1678" i="18" s="1"/>
  <c r="X1678" i="18"/>
  <c r="AB1678" i="18"/>
  <c r="AF1678" i="18"/>
  <c r="N1679" i="18"/>
  <c r="R1679" i="18"/>
  <c r="U1679" i="18"/>
  <c r="AC1679" i="18" s="1"/>
  <c r="X1679" i="18"/>
  <c r="AB1679" i="18"/>
  <c r="AF1679" i="18"/>
  <c r="N1680" i="18"/>
  <c r="R1680" i="18"/>
  <c r="U1680" i="18"/>
  <c r="AC1680" i="18" s="1"/>
  <c r="X1680" i="18"/>
  <c r="AB1680" i="18"/>
  <c r="AF1680" i="18"/>
  <c r="N1681" i="18"/>
  <c r="R1681" i="18"/>
  <c r="U1681" i="18"/>
  <c r="AC1681" i="18" s="1"/>
  <c r="X1681" i="18"/>
  <c r="AB1681" i="18"/>
  <c r="AF1681" i="18"/>
  <c r="N1682" i="18"/>
  <c r="R1682" i="18"/>
  <c r="U1682" i="18"/>
  <c r="AC1682" i="18" s="1"/>
  <c r="X1682" i="18"/>
  <c r="AB1682" i="18"/>
  <c r="AF1682" i="18"/>
  <c r="N1683" i="18"/>
  <c r="R1683" i="18"/>
  <c r="U1683" i="18"/>
  <c r="AC1683" i="18" s="1"/>
  <c r="X1683" i="18"/>
  <c r="AB1683" i="18"/>
  <c r="AF1683" i="18"/>
  <c r="N1684" i="18"/>
  <c r="R1684" i="18"/>
  <c r="U1684" i="18"/>
  <c r="AC1684" i="18" s="1"/>
  <c r="X1684" i="18"/>
  <c r="AB1684" i="18"/>
  <c r="AD1684" i="18"/>
  <c r="AF1684" i="18"/>
  <c r="N1685" i="18"/>
  <c r="R1685" i="18"/>
  <c r="U1685" i="18"/>
  <c r="AC1685" i="18" s="1"/>
  <c r="X1685" i="18"/>
  <c r="AB1685" i="18"/>
  <c r="AF1685" i="18"/>
  <c r="N1686" i="18"/>
  <c r="R1686" i="18"/>
  <c r="U1686" i="18"/>
  <c r="AC1686" i="18" s="1"/>
  <c r="X1686" i="18"/>
  <c r="AB1686" i="18"/>
  <c r="AF1686" i="18"/>
  <c r="N1687" i="18"/>
  <c r="R1687" i="18"/>
  <c r="U1687" i="18"/>
  <c r="AC1687" i="18" s="1"/>
  <c r="X1687" i="18"/>
  <c r="AB1687" i="18"/>
  <c r="AF1687" i="18"/>
  <c r="N1688" i="18"/>
  <c r="R1688" i="18"/>
  <c r="U1688" i="18"/>
  <c r="AC1688" i="18" s="1"/>
  <c r="X1688" i="18"/>
  <c r="AB1688" i="18"/>
  <c r="AF1688" i="18"/>
  <c r="N1689" i="18"/>
  <c r="R1689" i="18"/>
  <c r="U1689" i="18"/>
  <c r="AC1689" i="18" s="1"/>
  <c r="X1689" i="18"/>
  <c r="AB1689" i="18"/>
  <c r="AF1689" i="18"/>
  <c r="N1690" i="18"/>
  <c r="R1690" i="18"/>
  <c r="U1690" i="18"/>
  <c r="AC1690" i="18" s="1"/>
  <c r="X1690" i="18"/>
  <c r="AB1690" i="18"/>
  <c r="AF1690" i="18"/>
  <c r="N1691" i="18"/>
  <c r="R1691" i="18"/>
  <c r="U1691" i="18"/>
  <c r="AC1691" i="18" s="1"/>
  <c r="X1691" i="18"/>
  <c r="AB1691" i="18"/>
  <c r="AF1691" i="18"/>
  <c r="N1692" i="18"/>
  <c r="R1692" i="18"/>
  <c r="U1692" i="18"/>
  <c r="AC1692" i="18" s="1"/>
  <c r="X1692" i="18"/>
  <c r="AB1692" i="18"/>
  <c r="AF1692" i="18"/>
  <c r="N1693" i="18"/>
  <c r="R1693" i="18"/>
  <c r="U1693" i="18"/>
  <c r="AC1693" i="18" s="1"/>
  <c r="X1693" i="18"/>
  <c r="AB1693" i="18"/>
  <c r="AF1693" i="18"/>
  <c r="N1694" i="18"/>
  <c r="R1694" i="18"/>
  <c r="U1694" i="18"/>
  <c r="AC1694" i="18" s="1"/>
  <c r="X1694" i="18"/>
  <c r="AB1694" i="18"/>
  <c r="AF1694" i="18"/>
  <c r="N1695" i="18"/>
  <c r="R1695" i="18"/>
  <c r="U1695" i="18"/>
  <c r="AC1695" i="18" s="1"/>
  <c r="X1695" i="18"/>
  <c r="AB1695" i="18"/>
  <c r="AF1695" i="18"/>
  <c r="N1696" i="18"/>
  <c r="R1696" i="18"/>
  <c r="U1696" i="18"/>
  <c r="AC1696" i="18" s="1"/>
  <c r="X1696" i="18"/>
  <c r="AB1696" i="18"/>
  <c r="AF1696" i="18"/>
  <c r="N1697" i="18"/>
  <c r="R1697" i="18"/>
  <c r="U1697" i="18"/>
  <c r="AC1697" i="18" s="1"/>
  <c r="X1697" i="18"/>
  <c r="AB1697" i="18"/>
  <c r="AF1697" i="18"/>
  <c r="N1698" i="18"/>
  <c r="R1698" i="18"/>
  <c r="U1698" i="18"/>
  <c r="AC1698" i="18" s="1"/>
  <c r="X1698" i="18"/>
  <c r="AB1698" i="18"/>
  <c r="AF1698" i="18"/>
  <c r="N1699" i="18"/>
  <c r="R1699" i="18"/>
  <c r="U1699" i="18"/>
  <c r="AC1699" i="18" s="1"/>
  <c r="X1699" i="18"/>
  <c r="AB1699" i="18"/>
  <c r="AF1699" i="18"/>
  <c r="N1700" i="18"/>
  <c r="R1700" i="18"/>
  <c r="U1700" i="18"/>
  <c r="AC1700" i="18" s="1"/>
  <c r="X1700" i="18"/>
  <c r="AB1700" i="18"/>
  <c r="AD1700" i="18"/>
  <c r="AF1700" i="18"/>
  <c r="N1701" i="18"/>
  <c r="R1701" i="18"/>
  <c r="U1701" i="18"/>
  <c r="AC1701" i="18" s="1"/>
  <c r="X1701" i="18"/>
  <c r="AB1701" i="18"/>
  <c r="AF1701" i="18"/>
  <c r="N1702" i="18"/>
  <c r="R1702" i="18"/>
  <c r="U1702" i="18"/>
  <c r="AC1702" i="18" s="1"/>
  <c r="X1702" i="18"/>
  <c r="AB1702" i="18"/>
  <c r="AF1702" i="18"/>
  <c r="N1703" i="18"/>
  <c r="R1703" i="18"/>
  <c r="U1703" i="18"/>
  <c r="AC1703" i="18" s="1"/>
  <c r="X1703" i="18"/>
  <c r="AB1703" i="18"/>
  <c r="AF1703" i="18"/>
  <c r="N1704" i="18"/>
  <c r="R1704" i="18"/>
  <c r="U1704" i="18"/>
  <c r="AC1704" i="18" s="1"/>
  <c r="X1704" i="18"/>
  <c r="AB1704" i="18"/>
  <c r="AF1704" i="18"/>
  <c r="N1705" i="18"/>
  <c r="R1705" i="18"/>
  <c r="U1705" i="18"/>
  <c r="AC1705" i="18" s="1"/>
  <c r="X1705" i="18"/>
  <c r="AB1705" i="18"/>
  <c r="AF1705" i="18"/>
  <c r="N1706" i="18"/>
  <c r="R1706" i="18"/>
  <c r="U1706" i="18"/>
  <c r="AC1706" i="18" s="1"/>
  <c r="X1706" i="18"/>
  <c r="AB1706" i="18"/>
  <c r="AF1706" i="18"/>
  <c r="N1707" i="18"/>
  <c r="R1707" i="18"/>
  <c r="U1707" i="18"/>
  <c r="AC1707" i="18" s="1"/>
  <c r="X1707" i="18"/>
  <c r="AB1707" i="18"/>
  <c r="AF1707" i="18"/>
  <c r="N1708" i="18"/>
  <c r="R1708" i="18"/>
  <c r="U1708" i="18"/>
  <c r="AC1708" i="18" s="1"/>
  <c r="X1708" i="18"/>
  <c r="AB1708" i="18"/>
  <c r="AF1708" i="18"/>
  <c r="N1709" i="18"/>
  <c r="R1709" i="18"/>
  <c r="U1709" i="18"/>
  <c r="AC1709" i="18" s="1"/>
  <c r="X1709" i="18"/>
  <c r="AB1709" i="18"/>
  <c r="AF1709" i="18"/>
  <c r="N1710" i="18"/>
  <c r="R1710" i="18"/>
  <c r="U1710" i="18"/>
  <c r="AC1710" i="18" s="1"/>
  <c r="X1710" i="18"/>
  <c r="AB1710" i="18"/>
  <c r="AF1710" i="18"/>
  <c r="N1711" i="18"/>
  <c r="R1711" i="18"/>
  <c r="U1711" i="18"/>
  <c r="AC1711" i="18" s="1"/>
  <c r="X1711" i="18"/>
  <c r="AB1711" i="18"/>
  <c r="AF1711" i="18"/>
  <c r="N1712" i="18"/>
  <c r="R1712" i="18"/>
  <c r="U1712" i="18"/>
  <c r="AC1712" i="18" s="1"/>
  <c r="X1712" i="18"/>
  <c r="AB1712" i="18"/>
  <c r="AF1712" i="18"/>
  <c r="N1713" i="18"/>
  <c r="R1713" i="18"/>
  <c r="U1713" i="18"/>
  <c r="AC1713" i="18" s="1"/>
  <c r="X1713" i="18"/>
  <c r="AB1713" i="18"/>
  <c r="AF1713" i="18"/>
  <c r="N1714" i="18"/>
  <c r="R1714" i="18"/>
  <c r="U1714" i="18"/>
  <c r="AC1714" i="18" s="1"/>
  <c r="X1714" i="18"/>
  <c r="AB1714" i="18"/>
  <c r="AF1714" i="18"/>
  <c r="N1715" i="18"/>
  <c r="R1715" i="18"/>
  <c r="U1715" i="18"/>
  <c r="AC1715" i="18" s="1"/>
  <c r="X1715" i="18"/>
  <c r="AB1715" i="18"/>
  <c r="AF1715" i="18"/>
  <c r="N1716" i="18"/>
  <c r="R1716" i="18"/>
  <c r="U1716" i="18"/>
  <c r="AC1716" i="18" s="1"/>
  <c r="X1716" i="18"/>
  <c r="AB1716" i="18"/>
  <c r="AD1716" i="18"/>
  <c r="AF1716" i="18"/>
  <c r="N1717" i="18"/>
  <c r="R1717" i="18"/>
  <c r="U1717" i="18"/>
  <c r="AC1717" i="18" s="1"/>
  <c r="X1717" i="18"/>
  <c r="AB1717" i="18"/>
  <c r="AF1717" i="18"/>
  <c r="N1718" i="18"/>
  <c r="R1718" i="18"/>
  <c r="U1718" i="18"/>
  <c r="AC1718" i="18" s="1"/>
  <c r="X1718" i="18"/>
  <c r="AB1718" i="18"/>
  <c r="AF1718" i="18"/>
  <c r="N1719" i="18"/>
  <c r="R1719" i="18"/>
  <c r="U1719" i="18"/>
  <c r="AC1719" i="18" s="1"/>
  <c r="X1719" i="18"/>
  <c r="AB1719" i="18"/>
  <c r="AF1719" i="18"/>
  <c r="N1720" i="18"/>
  <c r="R1720" i="18"/>
  <c r="U1720" i="18"/>
  <c r="AC1720" i="18" s="1"/>
  <c r="X1720" i="18"/>
  <c r="AB1720" i="18"/>
  <c r="AF1720" i="18"/>
  <c r="N1721" i="18"/>
  <c r="R1721" i="18"/>
  <c r="U1721" i="18"/>
  <c r="AC1721" i="18" s="1"/>
  <c r="X1721" i="18"/>
  <c r="AB1721" i="18"/>
  <c r="AF1721" i="18"/>
  <c r="N1722" i="18"/>
  <c r="R1722" i="18"/>
  <c r="U1722" i="18"/>
  <c r="AC1722" i="18" s="1"/>
  <c r="X1722" i="18"/>
  <c r="AB1722" i="18"/>
  <c r="AF1722" i="18"/>
  <c r="N1723" i="18"/>
  <c r="R1723" i="18"/>
  <c r="U1723" i="18"/>
  <c r="AC1723" i="18" s="1"/>
  <c r="X1723" i="18"/>
  <c r="AB1723" i="18"/>
  <c r="AF1723" i="18"/>
  <c r="N1724" i="18"/>
  <c r="R1724" i="18"/>
  <c r="U1724" i="18"/>
  <c r="AC1724" i="18" s="1"/>
  <c r="X1724" i="18"/>
  <c r="AB1724" i="18"/>
  <c r="AF1724" i="18"/>
  <c r="N1725" i="18"/>
  <c r="R1725" i="18"/>
  <c r="U1725" i="18"/>
  <c r="AC1725" i="18" s="1"/>
  <c r="X1725" i="18"/>
  <c r="AB1725" i="18"/>
  <c r="AF1725" i="18"/>
  <c r="N1726" i="18"/>
  <c r="R1726" i="18"/>
  <c r="U1726" i="18"/>
  <c r="AC1726" i="18" s="1"/>
  <c r="X1726" i="18"/>
  <c r="AB1726" i="18"/>
  <c r="AF1726" i="18"/>
  <c r="N1727" i="18"/>
  <c r="R1727" i="18"/>
  <c r="U1727" i="18"/>
  <c r="AC1727" i="18" s="1"/>
  <c r="X1727" i="18"/>
  <c r="AB1727" i="18"/>
  <c r="AF1727" i="18"/>
  <c r="N1728" i="18"/>
  <c r="R1728" i="18"/>
  <c r="U1728" i="18"/>
  <c r="AC1728" i="18" s="1"/>
  <c r="X1728" i="18"/>
  <c r="AB1728" i="18"/>
  <c r="AF1728" i="18"/>
  <c r="N1729" i="18"/>
  <c r="R1729" i="18"/>
  <c r="U1729" i="18"/>
  <c r="AC1729" i="18" s="1"/>
  <c r="X1729" i="18"/>
  <c r="AB1729" i="18"/>
  <c r="AF1729" i="18"/>
  <c r="N1730" i="18"/>
  <c r="R1730" i="18"/>
  <c r="U1730" i="18"/>
  <c r="AC1730" i="18" s="1"/>
  <c r="X1730" i="18"/>
  <c r="AB1730" i="18"/>
  <c r="AF1730" i="18"/>
  <c r="N1731" i="18"/>
  <c r="R1731" i="18"/>
  <c r="U1731" i="18"/>
  <c r="AC1731" i="18" s="1"/>
  <c r="X1731" i="18"/>
  <c r="AB1731" i="18"/>
  <c r="AF1731" i="18"/>
  <c r="N1732" i="18"/>
  <c r="R1732" i="18"/>
  <c r="U1732" i="18"/>
  <c r="AC1732" i="18" s="1"/>
  <c r="X1732" i="18"/>
  <c r="AB1732" i="18"/>
  <c r="AD1732" i="18"/>
  <c r="AF1732" i="18"/>
  <c r="N1733" i="18"/>
  <c r="R1733" i="18"/>
  <c r="U1733" i="18"/>
  <c r="AC1733" i="18" s="1"/>
  <c r="X1733" i="18"/>
  <c r="AB1733" i="18"/>
  <c r="AF1733" i="18"/>
  <c r="N1734" i="18"/>
  <c r="R1734" i="18"/>
  <c r="U1734" i="18"/>
  <c r="AC1734" i="18" s="1"/>
  <c r="X1734" i="18"/>
  <c r="AB1734" i="18"/>
  <c r="AF1734" i="18"/>
  <c r="N1735" i="18"/>
  <c r="R1735" i="18"/>
  <c r="U1735" i="18"/>
  <c r="AC1735" i="18" s="1"/>
  <c r="X1735" i="18"/>
  <c r="AB1735" i="18"/>
  <c r="AF1735" i="18"/>
  <c r="N1736" i="18"/>
  <c r="R1736" i="18"/>
  <c r="U1736" i="18"/>
  <c r="AC1736" i="18" s="1"/>
  <c r="X1736" i="18"/>
  <c r="AB1736" i="18"/>
  <c r="AF1736" i="18"/>
  <c r="N1737" i="18"/>
  <c r="R1737" i="18"/>
  <c r="U1737" i="18"/>
  <c r="AC1737" i="18" s="1"/>
  <c r="X1737" i="18"/>
  <c r="AB1737" i="18"/>
  <c r="AF1737" i="18"/>
  <c r="N1738" i="18"/>
  <c r="R1738" i="18"/>
  <c r="U1738" i="18"/>
  <c r="AC1738" i="18" s="1"/>
  <c r="X1738" i="18"/>
  <c r="AB1738" i="18"/>
  <c r="AF1738" i="18"/>
  <c r="N1739" i="18"/>
  <c r="R1739" i="18"/>
  <c r="U1739" i="18"/>
  <c r="AC1739" i="18" s="1"/>
  <c r="X1739" i="18"/>
  <c r="AB1739" i="18"/>
  <c r="AF1739" i="18"/>
  <c r="N1740" i="18"/>
  <c r="R1740" i="18"/>
  <c r="U1740" i="18"/>
  <c r="AC1740" i="18" s="1"/>
  <c r="X1740" i="18"/>
  <c r="AB1740" i="18"/>
  <c r="AF1740" i="18"/>
  <c r="N1741" i="18"/>
  <c r="R1741" i="18"/>
  <c r="U1741" i="18"/>
  <c r="AC1741" i="18" s="1"/>
  <c r="X1741" i="18"/>
  <c r="AB1741" i="18"/>
  <c r="AF1741" i="18"/>
  <c r="N1742" i="18"/>
  <c r="R1742" i="18"/>
  <c r="U1742" i="18"/>
  <c r="AC1742" i="18" s="1"/>
  <c r="X1742" i="18"/>
  <c r="AB1742" i="18"/>
  <c r="AF1742" i="18"/>
  <c r="N1743" i="18"/>
  <c r="R1743" i="18"/>
  <c r="U1743" i="18"/>
  <c r="AC1743" i="18" s="1"/>
  <c r="X1743" i="18"/>
  <c r="AB1743" i="18"/>
  <c r="AF1743" i="18"/>
  <c r="N1744" i="18"/>
  <c r="R1744" i="18"/>
  <c r="U1744" i="18"/>
  <c r="AC1744" i="18" s="1"/>
  <c r="X1744" i="18"/>
  <c r="AB1744" i="18"/>
  <c r="AF1744" i="18"/>
  <c r="N1745" i="18"/>
  <c r="R1745" i="18"/>
  <c r="U1745" i="18"/>
  <c r="AC1745" i="18" s="1"/>
  <c r="X1745" i="18"/>
  <c r="AB1745" i="18"/>
  <c r="AF1745" i="18"/>
  <c r="N1746" i="18"/>
  <c r="R1746" i="18"/>
  <c r="U1746" i="18"/>
  <c r="AC1746" i="18" s="1"/>
  <c r="X1746" i="18"/>
  <c r="AB1746" i="18"/>
  <c r="AF1746" i="18"/>
  <c r="N1747" i="18"/>
  <c r="R1747" i="18"/>
  <c r="U1747" i="18"/>
  <c r="AC1747" i="18" s="1"/>
  <c r="X1747" i="18"/>
  <c r="AB1747" i="18"/>
  <c r="AF1747" i="18"/>
  <c r="N1748" i="18"/>
  <c r="R1748" i="18"/>
  <c r="U1748" i="18"/>
  <c r="AC1748" i="18" s="1"/>
  <c r="X1748" i="18"/>
  <c r="AB1748" i="18"/>
  <c r="AF1748" i="18"/>
  <c r="N1749" i="18"/>
  <c r="R1749" i="18"/>
  <c r="U1749" i="18"/>
  <c r="AC1749" i="18" s="1"/>
  <c r="X1749" i="18"/>
  <c r="AB1749" i="18"/>
  <c r="AF1749" i="18"/>
  <c r="N1750" i="18"/>
  <c r="R1750" i="18"/>
  <c r="U1750" i="18"/>
  <c r="AC1750" i="18" s="1"/>
  <c r="X1750" i="18"/>
  <c r="AB1750" i="18"/>
  <c r="AF1750" i="18"/>
  <c r="N1751" i="18"/>
  <c r="R1751" i="18"/>
  <c r="U1751" i="18"/>
  <c r="AC1751" i="18" s="1"/>
  <c r="X1751" i="18"/>
  <c r="AB1751" i="18"/>
  <c r="AF1751" i="18"/>
  <c r="N1752" i="18"/>
  <c r="R1752" i="18"/>
  <c r="U1752" i="18"/>
  <c r="AC1752" i="18" s="1"/>
  <c r="X1752" i="18"/>
  <c r="AB1752" i="18"/>
  <c r="AF1752" i="18"/>
  <c r="N1753" i="18"/>
  <c r="R1753" i="18"/>
  <c r="U1753" i="18"/>
  <c r="AC1753" i="18" s="1"/>
  <c r="X1753" i="18"/>
  <c r="AB1753" i="18"/>
  <c r="AD1753" i="18"/>
  <c r="AF1753" i="18"/>
  <c r="N1754" i="18"/>
  <c r="R1754" i="18"/>
  <c r="U1754" i="18"/>
  <c r="AC1754" i="18" s="1"/>
  <c r="X1754" i="18"/>
  <c r="AB1754" i="18"/>
  <c r="AF1754" i="18"/>
  <c r="N1755" i="18"/>
  <c r="R1755" i="18"/>
  <c r="U1755" i="18"/>
  <c r="AC1755" i="18" s="1"/>
  <c r="X1755" i="18"/>
  <c r="AB1755" i="18"/>
  <c r="AF1755" i="18"/>
  <c r="N1756" i="18"/>
  <c r="R1756" i="18"/>
  <c r="U1756" i="18"/>
  <c r="AC1756" i="18" s="1"/>
  <c r="X1756" i="18"/>
  <c r="AB1756" i="18"/>
  <c r="AF1756" i="18"/>
  <c r="N1757" i="18"/>
  <c r="R1757" i="18"/>
  <c r="U1757" i="18"/>
  <c r="AC1757" i="18" s="1"/>
  <c r="X1757" i="18"/>
  <c r="AB1757" i="18"/>
  <c r="AF1757" i="18"/>
  <c r="N1758" i="18"/>
  <c r="R1758" i="18"/>
  <c r="U1758" i="18"/>
  <c r="AC1758" i="18" s="1"/>
  <c r="X1758" i="18"/>
  <c r="AB1758" i="18"/>
  <c r="AF1758" i="18"/>
  <c r="N1759" i="18"/>
  <c r="R1759" i="18"/>
  <c r="U1759" i="18"/>
  <c r="AC1759" i="18" s="1"/>
  <c r="X1759" i="18"/>
  <c r="AB1759" i="18"/>
  <c r="AF1759" i="18"/>
  <c r="N1760" i="18"/>
  <c r="R1760" i="18"/>
  <c r="U1760" i="18"/>
  <c r="AC1760" i="18" s="1"/>
  <c r="X1760" i="18"/>
  <c r="AB1760" i="18"/>
  <c r="AF1760" i="18"/>
  <c r="N1761" i="18"/>
  <c r="R1761" i="18"/>
  <c r="U1761" i="18"/>
  <c r="AC1761" i="18" s="1"/>
  <c r="X1761" i="18"/>
  <c r="AB1761" i="18"/>
  <c r="AF1761" i="18"/>
  <c r="N1762" i="18"/>
  <c r="R1762" i="18"/>
  <c r="U1762" i="18"/>
  <c r="AC1762" i="18" s="1"/>
  <c r="X1762" i="18"/>
  <c r="AB1762" i="18"/>
  <c r="AF1762" i="18"/>
  <c r="N1763" i="18"/>
  <c r="R1763" i="18"/>
  <c r="U1763" i="18"/>
  <c r="AC1763" i="18" s="1"/>
  <c r="X1763" i="18"/>
  <c r="AB1763" i="18"/>
  <c r="AF1763" i="18"/>
  <c r="N1764" i="18"/>
  <c r="R1764" i="18"/>
  <c r="U1764" i="18"/>
  <c r="AC1764" i="18" s="1"/>
  <c r="X1764" i="18"/>
  <c r="AB1764" i="18"/>
  <c r="AF1764" i="18"/>
  <c r="N1765" i="18"/>
  <c r="R1765" i="18"/>
  <c r="U1765" i="18"/>
  <c r="AC1765" i="18" s="1"/>
  <c r="X1765" i="18"/>
  <c r="AB1765" i="18"/>
  <c r="AF1765" i="18"/>
  <c r="N1766" i="18"/>
  <c r="R1766" i="18"/>
  <c r="U1766" i="18"/>
  <c r="AC1766" i="18" s="1"/>
  <c r="X1766" i="18"/>
  <c r="AB1766" i="18"/>
  <c r="AF1766" i="18"/>
  <c r="N1767" i="18"/>
  <c r="R1767" i="18"/>
  <c r="U1767" i="18"/>
  <c r="AC1767" i="18" s="1"/>
  <c r="X1767" i="18"/>
  <c r="AB1767" i="18"/>
  <c r="AF1767" i="18"/>
  <c r="N1768" i="18"/>
  <c r="R1768" i="18"/>
  <c r="U1768" i="18"/>
  <c r="AC1768" i="18" s="1"/>
  <c r="X1768" i="18"/>
  <c r="AB1768" i="18"/>
  <c r="AF1768" i="18"/>
  <c r="N1769" i="18"/>
  <c r="R1769" i="18"/>
  <c r="U1769" i="18"/>
  <c r="AC1769" i="18" s="1"/>
  <c r="X1769" i="18"/>
  <c r="AB1769" i="18"/>
  <c r="AF1769" i="18"/>
  <c r="N1770" i="18"/>
  <c r="R1770" i="18"/>
  <c r="U1770" i="18"/>
  <c r="AC1770" i="18" s="1"/>
  <c r="X1770" i="18"/>
  <c r="AB1770" i="18"/>
  <c r="AF1770" i="18"/>
  <c r="N1771" i="18"/>
  <c r="R1771" i="18"/>
  <c r="U1771" i="18"/>
  <c r="AC1771" i="18" s="1"/>
  <c r="X1771" i="18"/>
  <c r="AB1771" i="18"/>
  <c r="AF1771" i="18"/>
  <c r="N1772" i="18"/>
  <c r="R1772" i="18"/>
  <c r="U1772" i="18"/>
  <c r="AC1772" i="18" s="1"/>
  <c r="X1772" i="18"/>
  <c r="AB1772" i="18"/>
  <c r="AF1772" i="18"/>
  <c r="N1773" i="18"/>
  <c r="R1773" i="18"/>
  <c r="U1773" i="18"/>
  <c r="AC1773" i="18" s="1"/>
  <c r="X1773" i="18"/>
  <c r="AB1773" i="18"/>
  <c r="AF1773" i="18"/>
  <c r="N1774" i="18"/>
  <c r="R1774" i="18"/>
  <c r="U1774" i="18"/>
  <c r="AC1774" i="18" s="1"/>
  <c r="X1774" i="18"/>
  <c r="AB1774" i="18"/>
  <c r="AF1774" i="18"/>
  <c r="N1775" i="18"/>
  <c r="R1775" i="18"/>
  <c r="U1775" i="18"/>
  <c r="AC1775" i="18" s="1"/>
  <c r="X1775" i="18"/>
  <c r="AB1775" i="18"/>
  <c r="AF1775" i="18"/>
  <c r="N1776" i="18"/>
  <c r="R1776" i="18"/>
  <c r="U1776" i="18"/>
  <c r="AC1776" i="18" s="1"/>
  <c r="X1776" i="18"/>
  <c r="AB1776" i="18"/>
  <c r="AF1776" i="18"/>
  <c r="N1777" i="18"/>
  <c r="R1777" i="18"/>
  <c r="U1777" i="18"/>
  <c r="AC1777" i="18" s="1"/>
  <c r="X1777" i="18"/>
  <c r="AB1777" i="18"/>
  <c r="AF1777" i="18"/>
  <c r="N1778" i="18"/>
  <c r="R1778" i="18"/>
  <c r="U1778" i="18"/>
  <c r="AC1778" i="18" s="1"/>
  <c r="X1778" i="18"/>
  <c r="AB1778" i="18"/>
  <c r="AF1778" i="18"/>
  <c r="N1779" i="18"/>
  <c r="R1779" i="18"/>
  <c r="U1779" i="18"/>
  <c r="AC1779" i="18" s="1"/>
  <c r="X1779" i="18"/>
  <c r="AB1779" i="18"/>
  <c r="AF1779" i="18"/>
  <c r="N1780" i="18"/>
  <c r="R1780" i="18"/>
  <c r="U1780" i="18"/>
  <c r="AC1780" i="18" s="1"/>
  <c r="X1780" i="18"/>
  <c r="AB1780" i="18"/>
  <c r="AF1780" i="18"/>
  <c r="N1781" i="18"/>
  <c r="R1781" i="18"/>
  <c r="U1781" i="18"/>
  <c r="AC1781" i="18" s="1"/>
  <c r="X1781" i="18"/>
  <c r="AB1781" i="18"/>
  <c r="AF1781" i="18"/>
  <c r="N1782" i="18"/>
  <c r="R1782" i="18"/>
  <c r="U1782" i="18"/>
  <c r="AC1782" i="18" s="1"/>
  <c r="X1782" i="18"/>
  <c r="AB1782" i="18"/>
  <c r="AF1782" i="18"/>
  <c r="N1783" i="18"/>
  <c r="R1783" i="18"/>
  <c r="U1783" i="18"/>
  <c r="AC1783" i="18" s="1"/>
  <c r="X1783" i="18"/>
  <c r="AB1783" i="18"/>
  <c r="AF1783" i="18"/>
  <c r="N1784" i="18"/>
  <c r="R1784" i="18"/>
  <c r="U1784" i="18"/>
  <c r="AC1784" i="18" s="1"/>
  <c r="X1784" i="18"/>
  <c r="AB1784" i="18"/>
  <c r="AF1784" i="18"/>
  <c r="N1785" i="18"/>
  <c r="R1785" i="18"/>
  <c r="U1785" i="18"/>
  <c r="AC1785" i="18" s="1"/>
  <c r="X1785" i="18"/>
  <c r="AB1785" i="18"/>
  <c r="AD1785" i="18"/>
  <c r="AF1785" i="18"/>
  <c r="N1786" i="18"/>
  <c r="R1786" i="18"/>
  <c r="U1786" i="18"/>
  <c r="AC1786" i="18" s="1"/>
  <c r="X1786" i="18"/>
  <c r="AB1786" i="18"/>
  <c r="AF1786" i="18"/>
  <c r="N1787" i="18"/>
  <c r="R1787" i="18"/>
  <c r="U1787" i="18"/>
  <c r="AC1787" i="18" s="1"/>
  <c r="X1787" i="18"/>
  <c r="AB1787" i="18"/>
  <c r="AF1787" i="18"/>
  <c r="N1788" i="18"/>
  <c r="R1788" i="18"/>
  <c r="U1788" i="18"/>
  <c r="AC1788" i="18" s="1"/>
  <c r="X1788" i="18"/>
  <c r="AB1788" i="18"/>
  <c r="AF1788" i="18"/>
  <c r="N1789" i="18"/>
  <c r="R1789" i="18"/>
  <c r="U1789" i="18"/>
  <c r="AC1789" i="18" s="1"/>
  <c r="X1789" i="18"/>
  <c r="AB1789" i="18"/>
  <c r="AF1789" i="18"/>
  <c r="N1790" i="18"/>
  <c r="R1790" i="18"/>
  <c r="U1790" i="18"/>
  <c r="AC1790" i="18" s="1"/>
  <c r="X1790" i="18"/>
  <c r="AB1790" i="18"/>
  <c r="AF1790" i="18"/>
  <c r="N1791" i="18"/>
  <c r="R1791" i="18"/>
  <c r="U1791" i="18"/>
  <c r="AC1791" i="18" s="1"/>
  <c r="X1791" i="18"/>
  <c r="AB1791" i="18"/>
  <c r="AF1791" i="18"/>
  <c r="N1792" i="18"/>
  <c r="R1792" i="18"/>
  <c r="U1792" i="18"/>
  <c r="AC1792" i="18" s="1"/>
  <c r="X1792" i="18"/>
  <c r="AB1792" i="18"/>
  <c r="AF1792" i="18"/>
  <c r="N1793" i="18"/>
  <c r="R1793" i="18"/>
  <c r="U1793" i="18"/>
  <c r="AC1793" i="18" s="1"/>
  <c r="X1793" i="18"/>
  <c r="AB1793" i="18"/>
  <c r="AF1793" i="18"/>
  <c r="N1794" i="18"/>
  <c r="R1794" i="18"/>
  <c r="U1794" i="18"/>
  <c r="AC1794" i="18" s="1"/>
  <c r="X1794" i="18"/>
  <c r="AB1794" i="18"/>
  <c r="AF1794" i="18"/>
  <c r="N1795" i="18"/>
  <c r="R1795" i="18"/>
  <c r="U1795" i="18"/>
  <c r="AC1795" i="18" s="1"/>
  <c r="X1795" i="18"/>
  <c r="AB1795" i="18"/>
  <c r="AF1795" i="18"/>
  <c r="N1796" i="18"/>
  <c r="R1796" i="18"/>
  <c r="U1796" i="18"/>
  <c r="AC1796" i="18" s="1"/>
  <c r="X1796" i="18"/>
  <c r="AB1796" i="18"/>
  <c r="AF1796" i="18"/>
  <c r="N1797" i="18"/>
  <c r="R1797" i="18"/>
  <c r="U1797" i="18"/>
  <c r="AC1797" i="18" s="1"/>
  <c r="X1797" i="18"/>
  <c r="AB1797" i="18"/>
  <c r="AF1797" i="18"/>
  <c r="N1798" i="18"/>
  <c r="R1798" i="18"/>
  <c r="U1798" i="18"/>
  <c r="AC1798" i="18" s="1"/>
  <c r="X1798" i="18"/>
  <c r="AB1798" i="18"/>
  <c r="AF1798" i="18"/>
  <c r="N1799" i="18"/>
  <c r="R1799" i="18"/>
  <c r="U1799" i="18"/>
  <c r="AC1799" i="18" s="1"/>
  <c r="X1799" i="18"/>
  <c r="AB1799" i="18"/>
  <c r="AF1799" i="18"/>
  <c r="N1800" i="18"/>
  <c r="R1800" i="18"/>
  <c r="U1800" i="18"/>
  <c r="AC1800" i="18" s="1"/>
  <c r="X1800" i="18"/>
  <c r="AB1800" i="18"/>
  <c r="AF1800" i="18"/>
  <c r="N1801" i="18"/>
  <c r="R1801" i="18"/>
  <c r="U1801" i="18"/>
  <c r="AC1801" i="18" s="1"/>
  <c r="X1801" i="18"/>
  <c r="AB1801" i="18"/>
  <c r="AF1801" i="18"/>
  <c r="N1802" i="18"/>
  <c r="R1802" i="18"/>
  <c r="U1802" i="18"/>
  <c r="AC1802" i="18" s="1"/>
  <c r="X1802" i="18"/>
  <c r="AB1802" i="18"/>
  <c r="AF1802" i="18"/>
  <c r="N1803" i="18"/>
  <c r="R1803" i="18"/>
  <c r="U1803" i="18"/>
  <c r="AC1803" i="18" s="1"/>
  <c r="X1803" i="18"/>
  <c r="AB1803" i="18"/>
  <c r="AF1803" i="18"/>
  <c r="N1804" i="18"/>
  <c r="R1804" i="18"/>
  <c r="U1804" i="18"/>
  <c r="AC1804" i="18" s="1"/>
  <c r="X1804" i="18"/>
  <c r="AB1804" i="18"/>
  <c r="AF1804" i="18"/>
  <c r="N1805" i="18"/>
  <c r="R1805" i="18"/>
  <c r="U1805" i="18"/>
  <c r="AC1805" i="18" s="1"/>
  <c r="X1805" i="18"/>
  <c r="AB1805" i="18"/>
  <c r="AF1805" i="18"/>
  <c r="N1806" i="18"/>
  <c r="R1806" i="18"/>
  <c r="U1806" i="18"/>
  <c r="AC1806" i="18" s="1"/>
  <c r="X1806" i="18"/>
  <c r="AB1806" i="18"/>
  <c r="AD1806" i="18"/>
  <c r="AF1806" i="18"/>
  <c r="N1807" i="18"/>
  <c r="R1807" i="18"/>
  <c r="U1807" i="18"/>
  <c r="AC1807" i="18" s="1"/>
  <c r="X1807" i="18"/>
  <c r="AB1807" i="18"/>
  <c r="AF1807" i="18"/>
  <c r="N1808" i="18"/>
  <c r="R1808" i="18"/>
  <c r="U1808" i="18"/>
  <c r="AC1808" i="18" s="1"/>
  <c r="X1808" i="18"/>
  <c r="AB1808" i="18"/>
  <c r="AF1808" i="18"/>
  <c r="N1809" i="18"/>
  <c r="R1809" i="18"/>
  <c r="U1809" i="18"/>
  <c r="AC1809" i="18" s="1"/>
  <c r="X1809" i="18"/>
  <c r="AB1809" i="18"/>
  <c r="AF1809" i="18"/>
  <c r="N1810" i="18"/>
  <c r="R1810" i="18"/>
  <c r="U1810" i="18"/>
  <c r="AC1810" i="18" s="1"/>
  <c r="X1810" i="18"/>
  <c r="AB1810" i="18"/>
  <c r="AF1810" i="18"/>
  <c r="N1811" i="18"/>
  <c r="R1811" i="18"/>
  <c r="U1811" i="18"/>
  <c r="AC1811" i="18" s="1"/>
  <c r="X1811" i="18"/>
  <c r="AB1811" i="18"/>
  <c r="AF1811" i="18"/>
  <c r="N1812" i="18"/>
  <c r="R1812" i="18"/>
  <c r="U1812" i="18"/>
  <c r="AC1812" i="18" s="1"/>
  <c r="X1812" i="18"/>
  <c r="AB1812" i="18"/>
  <c r="AF1812" i="18"/>
  <c r="N1813" i="18"/>
  <c r="R1813" i="18"/>
  <c r="U1813" i="18"/>
  <c r="AC1813" i="18" s="1"/>
  <c r="X1813" i="18"/>
  <c r="AB1813" i="18"/>
  <c r="AF1813" i="18"/>
  <c r="N1814" i="18"/>
  <c r="R1814" i="18"/>
  <c r="U1814" i="18"/>
  <c r="AC1814" i="18" s="1"/>
  <c r="X1814" i="18"/>
  <c r="AB1814" i="18"/>
  <c r="AF1814" i="18"/>
  <c r="N1815" i="18"/>
  <c r="R1815" i="18"/>
  <c r="U1815" i="18"/>
  <c r="AC1815" i="18" s="1"/>
  <c r="X1815" i="18"/>
  <c r="AB1815" i="18"/>
  <c r="AF1815" i="18"/>
  <c r="N1816" i="18"/>
  <c r="R1816" i="18"/>
  <c r="U1816" i="18"/>
  <c r="AC1816" i="18" s="1"/>
  <c r="X1816" i="18"/>
  <c r="AB1816" i="18"/>
  <c r="AF1816" i="18"/>
  <c r="N1817" i="18"/>
  <c r="R1817" i="18"/>
  <c r="U1817" i="18"/>
  <c r="AC1817" i="18" s="1"/>
  <c r="X1817" i="18"/>
  <c r="AB1817" i="18"/>
  <c r="AF1817" i="18"/>
  <c r="N1818" i="18"/>
  <c r="R1818" i="18"/>
  <c r="U1818" i="18"/>
  <c r="AC1818" i="18" s="1"/>
  <c r="X1818" i="18"/>
  <c r="AB1818" i="18"/>
  <c r="AF1818" i="18"/>
  <c r="N1819" i="18"/>
  <c r="R1819" i="18"/>
  <c r="U1819" i="18"/>
  <c r="AC1819" i="18" s="1"/>
  <c r="X1819" i="18"/>
  <c r="AB1819" i="18"/>
  <c r="AF1819" i="18"/>
  <c r="N1820" i="18"/>
  <c r="R1820" i="18"/>
  <c r="U1820" i="18"/>
  <c r="AC1820" i="18" s="1"/>
  <c r="X1820" i="18"/>
  <c r="AB1820" i="18"/>
  <c r="AF1820" i="18"/>
  <c r="N1821" i="18"/>
  <c r="R1821" i="18"/>
  <c r="U1821" i="18"/>
  <c r="AC1821" i="18" s="1"/>
  <c r="X1821" i="18"/>
  <c r="AB1821" i="18"/>
  <c r="AF1821" i="18"/>
  <c r="N1822" i="18"/>
  <c r="R1822" i="18"/>
  <c r="U1822" i="18"/>
  <c r="AC1822" i="18" s="1"/>
  <c r="X1822" i="18"/>
  <c r="AB1822" i="18"/>
  <c r="AD1822" i="18"/>
  <c r="AF1822" i="18"/>
  <c r="N1823" i="18"/>
  <c r="R1823" i="18"/>
  <c r="U1823" i="18"/>
  <c r="AC1823" i="18" s="1"/>
  <c r="X1823" i="18"/>
  <c r="AB1823" i="18"/>
  <c r="AF1823" i="18"/>
  <c r="N1824" i="18"/>
  <c r="R1824" i="18"/>
  <c r="U1824" i="18"/>
  <c r="AC1824" i="18" s="1"/>
  <c r="X1824" i="18"/>
  <c r="AB1824" i="18"/>
  <c r="AF1824" i="18"/>
  <c r="N1825" i="18"/>
  <c r="R1825" i="18"/>
  <c r="U1825" i="18"/>
  <c r="AC1825" i="18" s="1"/>
  <c r="X1825" i="18"/>
  <c r="AB1825" i="18"/>
  <c r="AF1825" i="18"/>
  <c r="N1826" i="18"/>
  <c r="R1826" i="18"/>
  <c r="U1826" i="18"/>
  <c r="AC1826" i="18" s="1"/>
  <c r="X1826" i="18"/>
  <c r="AB1826" i="18"/>
  <c r="AF1826" i="18"/>
  <c r="N1827" i="18"/>
  <c r="R1827" i="18"/>
  <c r="U1827" i="18"/>
  <c r="AC1827" i="18" s="1"/>
  <c r="X1827" i="18"/>
  <c r="AB1827" i="18"/>
  <c r="AF1827" i="18"/>
  <c r="N1828" i="18"/>
  <c r="R1828" i="18"/>
  <c r="U1828" i="18"/>
  <c r="AC1828" i="18" s="1"/>
  <c r="X1828" i="18"/>
  <c r="AB1828" i="18"/>
  <c r="AF1828" i="18"/>
  <c r="N1829" i="18"/>
  <c r="R1829" i="18"/>
  <c r="U1829" i="18"/>
  <c r="AC1829" i="18" s="1"/>
  <c r="X1829" i="18"/>
  <c r="AB1829" i="18"/>
  <c r="AF1829" i="18"/>
  <c r="N1830" i="18"/>
  <c r="R1830" i="18"/>
  <c r="U1830" i="18"/>
  <c r="AC1830" i="18" s="1"/>
  <c r="X1830" i="18"/>
  <c r="AB1830" i="18"/>
  <c r="AF1830" i="18"/>
  <c r="N1831" i="18"/>
  <c r="R1831" i="18"/>
  <c r="U1831" i="18"/>
  <c r="AC1831" i="18" s="1"/>
  <c r="X1831" i="18"/>
  <c r="AB1831" i="18"/>
  <c r="AF1831" i="18"/>
  <c r="N1832" i="18"/>
  <c r="R1832" i="18"/>
  <c r="U1832" i="18"/>
  <c r="AC1832" i="18" s="1"/>
  <c r="X1832" i="18"/>
  <c r="AB1832" i="18"/>
  <c r="AF1832" i="18"/>
  <c r="N1833" i="18"/>
  <c r="R1833" i="18"/>
  <c r="U1833" i="18"/>
  <c r="AC1833" i="18" s="1"/>
  <c r="X1833" i="18"/>
  <c r="AB1833" i="18"/>
  <c r="AF1833" i="18"/>
  <c r="N1834" i="18"/>
  <c r="R1834" i="18"/>
  <c r="U1834" i="18"/>
  <c r="AC1834" i="18" s="1"/>
  <c r="X1834" i="18"/>
  <c r="AB1834" i="18"/>
  <c r="AF1834" i="18"/>
  <c r="N1835" i="18"/>
  <c r="R1835" i="18"/>
  <c r="U1835" i="18"/>
  <c r="AC1835" i="18" s="1"/>
  <c r="X1835" i="18"/>
  <c r="AB1835" i="18"/>
  <c r="AF1835" i="18"/>
  <c r="N1836" i="18"/>
  <c r="R1836" i="18"/>
  <c r="U1836" i="18"/>
  <c r="AC1836" i="18" s="1"/>
  <c r="X1836" i="18"/>
  <c r="AB1836" i="18"/>
  <c r="AF1836" i="18"/>
  <c r="N1837" i="18"/>
  <c r="R1837" i="18"/>
  <c r="U1837" i="18"/>
  <c r="AC1837" i="18" s="1"/>
  <c r="X1837" i="18"/>
  <c r="AB1837" i="18"/>
  <c r="AF1837" i="18"/>
  <c r="N1838" i="18"/>
  <c r="R1838" i="18"/>
  <c r="U1838" i="18"/>
  <c r="AC1838" i="18" s="1"/>
  <c r="X1838" i="18"/>
  <c r="AB1838" i="18"/>
  <c r="AD1838" i="18"/>
  <c r="AF1838" i="18"/>
  <c r="N1839" i="18"/>
  <c r="R1839" i="18"/>
  <c r="U1839" i="18"/>
  <c r="AC1839" i="18" s="1"/>
  <c r="X1839" i="18"/>
  <c r="AB1839" i="18"/>
  <c r="AF1839" i="18"/>
  <c r="N1840" i="18"/>
  <c r="R1840" i="18"/>
  <c r="U1840" i="18"/>
  <c r="AC1840" i="18" s="1"/>
  <c r="X1840" i="18"/>
  <c r="AB1840" i="18"/>
  <c r="AF1840" i="18"/>
  <c r="N1841" i="18"/>
  <c r="R1841" i="18"/>
  <c r="U1841" i="18"/>
  <c r="AC1841" i="18" s="1"/>
  <c r="X1841" i="18"/>
  <c r="AB1841" i="18"/>
  <c r="AF1841" i="18"/>
  <c r="N1842" i="18"/>
  <c r="R1842" i="18"/>
  <c r="U1842" i="18"/>
  <c r="AC1842" i="18" s="1"/>
  <c r="X1842" i="18"/>
  <c r="AB1842" i="18"/>
  <c r="AF1842" i="18"/>
  <c r="N1843" i="18"/>
  <c r="R1843" i="18"/>
  <c r="U1843" i="18"/>
  <c r="AC1843" i="18" s="1"/>
  <c r="X1843" i="18"/>
  <c r="AB1843" i="18"/>
  <c r="AF1843" i="18"/>
  <c r="N1844" i="18"/>
  <c r="R1844" i="18"/>
  <c r="U1844" i="18"/>
  <c r="AC1844" i="18" s="1"/>
  <c r="X1844" i="18"/>
  <c r="AB1844" i="18"/>
  <c r="AF1844" i="18"/>
  <c r="N1845" i="18"/>
  <c r="R1845" i="18"/>
  <c r="U1845" i="18"/>
  <c r="AC1845" i="18" s="1"/>
  <c r="X1845" i="18"/>
  <c r="AB1845" i="18"/>
  <c r="AF1845" i="18"/>
  <c r="N1846" i="18"/>
  <c r="R1846" i="18"/>
  <c r="U1846" i="18"/>
  <c r="AC1846" i="18" s="1"/>
  <c r="X1846" i="18"/>
  <c r="AB1846" i="18"/>
  <c r="AF1846" i="18"/>
  <c r="N1847" i="18"/>
  <c r="R1847" i="18"/>
  <c r="U1847" i="18"/>
  <c r="AC1847" i="18" s="1"/>
  <c r="X1847" i="18"/>
  <c r="AB1847" i="18"/>
  <c r="AF1847" i="18"/>
  <c r="N1848" i="18"/>
  <c r="R1848" i="18"/>
  <c r="U1848" i="18"/>
  <c r="AC1848" i="18" s="1"/>
  <c r="X1848" i="18"/>
  <c r="AB1848" i="18"/>
  <c r="AF1848" i="18"/>
  <c r="N1849" i="18"/>
  <c r="R1849" i="18"/>
  <c r="U1849" i="18"/>
  <c r="AC1849" i="18" s="1"/>
  <c r="X1849" i="18"/>
  <c r="AB1849" i="18"/>
  <c r="AF1849" i="18"/>
  <c r="N1850" i="18"/>
  <c r="R1850" i="18"/>
  <c r="U1850" i="18"/>
  <c r="AC1850" i="18" s="1"/>
  <c r="X1850" i="18"/>
  <c r="AB1850" i="18"/>
  <c r="AF1850" i="18"/>
  <c r="N1851" i="18"/>
  <c r="R1851" i="18"/>
  <c r="U1851" i="18"/>
  <c r="AC1851" i="18" s="1"/>
  <c r="X1851" i="18"/>
  <c r="AB1851" i="18"/>
  <c r="AF1851" i="18"/>
  <c r="N1852" i="18"/>
  <c r="R1852" i="18"/>
  <c r="U1852" i="18"/>
  <c r="AC1852" i="18" s="1"/>
  <c r="X1852" i="18"/>
  <c r="AB1852" i="18"/>
  <c r="AF1852" i="18"/>
  <c r="N1853" i="18"/>
  <c r="R1853" i="18"/>
  <c r="U1853" i="18"/>
  <c r="AC1853" i="18" s="1"/>
  <c r="X1853" i="18"/>
  <c r="AB1853" i="18"/>
  <c r="AF1853" i="18"/>
  <c r="N1854" i="18"/>
  <c r="R1854" i="18"/>
  <c r="U1854" i="18"/>
  <c r="AC1854" i="18" s="1"/>
  <c r="X1854" i="18"/>
  <c r="AB1854" i="18"/>
  <c r="AD1854" i="18"/>
  <c r="AF1854" i="18"/>
  <c r="N1855" i="18"/>
  <c r="R1855" i="18"/>
  <c r="U1855" i="18"/>
  <c r="AC1855" i="18" s="1"/>
  <c r="X1855" i="18"/>
  <c r="AB1855" i="18"/>
  <c r="AF1855" i="18"/>
  <c r="N1856" i="18"/>
  <c r="R1856" i="18"/>
  <c r="U1856" i="18"/>
  <c r="AC1856" i="18" s="1"/>
  <c r="X1856" i="18"/>
  <c r="AB1856" i="18"/>
  <c r="AF1856" i="18"/>
  <c r="N1857" i="18"/>
  <c r="R1857" i="18"/>
  <c r="U1857" i="18"/>
  <c r="AC1857" i="18" s="1"/>
  <c r="X1857" i="18"/>
  <c r="AB1857" i="18"/>
  <c r="AF1857" i="18"/>
  <c r="N1858" i="18"/>
  <c r="R1858" i="18"/>
  <c r="U1858" i="18"/>
  <c r="AC1858" i="18" s="1"/>
  <c r="X1858" i="18"/>
  <c r="AB1858" i="18"/>
  <c r="AF1858" i="18"/>
  <c r="N1859" i="18"/>
  <c r="R1859" i="18"/>
  <c r="U1859" i="18"/>
  <c r="AC1859" i="18" s="1"/>
  <c r="X1859" i="18"/>
  <c r="AB1859" i="18"/>
  <c r="AF1859" i="18"/>
  <c r="N1860" i="18"/>
  <c r="R1860" i="18"/>
  <c r="U1860" i="18"/>
  <c r="AC1860" i="18" s="1"/>
  <c r="X1860" i="18"/>
  <c r="AB1860" i="18"/>
  <c r="AF1860" i="18"/>
  <c r="N1861" i="18"/>
  <c r="R1861" i="18"/>
  <c r="U1861" i="18"/>
  <c r="AC1861" i="18" s="1"/>
  <c r="X1861" i="18"/>
  <c r="AB1861" i="18"/>
  <c r="AF1861" i="18"/>
  <c r="N1862" i="18"/>
  <c r="R1862" i="18"/>
  <c r="U1862" i="18"/>
  <c r="AC1862" i="18" s="1"/>
  <c r="X1862" i="18"/>
  <c r="AB1862" i="18"/>
  <c r="AF1862" i="18"/>
  <c r="N1863" i="18"/>
  <c r="R1863" i="18"/>
  <c r="U1863" i="18"/>
  <c r="AC1863" i="18" s="1"/>
  <c r="X1863" i="18"/>
  <c r="AB1863" i="18"/>
  <c r="AF1863" i="18"/>
  <c r="N1864" i="18"/>
  <c r="R1864" i="18"/>
  <c r="U1864" i="18"/>
  <c r="AC1864" i="18" s="1"/>
  <c r="X1864" i="18"/>
  <c r="AB1864" i="18"/>
  <c r="AF1864" i="18"/>
  <c r="N1865" i="18"/>
  <c r="R1865" i="18"/>
  <c r="U1865" i="18"/>
  <c r="AC1865" i="18" s="1"/>
  <c r="X1865" i="18"/>
  <c r="AB1865" i="18"/>
  <c r="AF1865" i="18"/>
  <c r="N1866" i="18"/>
  <c r="R1866" i="18"/>
  <c r="U1866" i="18"/>
  <c r="AC1866" i="18" s="1"/>
  <c r="X1866" i="18"/>
  <c r="AB1866" i="18"/>
  <c r="AF1866" i="18"/>
  <c r="N1867" i="18"/>
  <c r="R1867" i="18"/>
  <c r="U1867" i="18"/>
  <c r="X1867" i="18"/>
  <c r="AB1867" i="18"/>
  <c r="AF1867" i="18"/>
  <c r="N1868" i="18"/>
  <c r="R1868" i="18"/>
  <c r="U1868" i="18"/>
  <c r="AC1868" i="18" s="1"/>
  <c r="X1868" i="18"/>
  <c r="AB1868" i="18"/>
  <c r="AF1868" i="18"/>
  <c r="N1869" i="18"/>
  <c r="R1869" i="18"/>
  <c r="U1869" i="18"/>
  <c r="AC1869" i="18" s="1"/>
  <c r="X1869" i="18"/>
  <c r="AB1869" i="18"/>
  <c r="AF1869" i="18"/>
  <c r="N1870" i="18"/>
  <c r="R1870" i="18"/>
  <c r="U1870" i="18"/>
  <c r="X1870" i="18"/>
  <c r="AB1870" i="18"/>
  <c r="AF1870" i="18"/>
  <c r="N1871" i="18"/>
  <c r="R1871" i="18"/>
  <c r="U1871" i="18"/>
  <c r="AC1871" i="18" s="1"/>
  <c r="X1871" i="18"/>
  <c r="AB1871" i="18"/>
  <c r="AF1871" i="18"/>
  <c r="N1872" i="18"/>
  <c r="R1872" i="18"/>
  <c r="U1872" i="18"/>
  <c r="AC1872" i="18" s="1"/>
  <c r="X1872" i="18"/>
  <c r="AB1872" i="18"/>
  <c r="AF1872" i="18"/>
  <c r="N1873" i="18"/>
  <c r="R1873" i="18"/>
  <c r="U1873" i="18"/>
  <c r="AC1873" i="18" s="1"/>
  <c r="X1873" i="18"/>
  <c r="AB1873" i="18"/>
  <c r="AF1873" i="18"/>
  <c r="N1874" i="18"/>
  <c r="R1874" i="18"/>
  <c r="U1874" i="18"/>
  <c r="X1874" i="18"/>
  <c r="AB1874" i="18"/>
  <c r="AF1874" i="18"/>
  <c r="N1875" i="18"/>
  <c r="R1875" i="18"/>
  <c r="U1875" i="18"/>
  <c r="AC1875" i="18" s="1"/>
  <c r="X1875" i="18"/>
  <c r="AB1875" i="18"/>
  <c r="AF1875" i="18"/>
  <c r="N1876" i="18"/>
  <c r="R1876" i="18"/>
  <c r="U1876" i="18"/>
  <c r="AC1876" i="18" s="1"/>
  <c r="X1876" i="18"/>
  <c r="AB1876" i="18"/>
  <c r="AF1876" i="18"/>
  <c r="N1877" i="18"/>
  <c r="R1877" i="18"/>
  <c r="U1877" i="18"/>
  <c r="AC1877" i="18" s="1"/>
  <c r="X1877" i="18"/>
  <c r="AB1877" i="18"/>
  <c r="AF1877" i="18"/>
  <c r="N1878" i="18"/>
  <c r="R1878" i="18"/>
  <c r="U1878" i="18"/>
  <c r="X1878" i="18"/>
  <c r="AB1878" i="18"/>
  <c r="AF1878" i="18"/>
  <c r="N1879" i="18"/>
  <c r="R1879" i="18"/>
  <c r="U1879" i="18"/>
  <c r="AC1879" i="18" s="1"/>
  <c r="X1879" i="18"/>
  <c r="AB1879" i="18"/>
  <c r="AF1879" i="18"/>
  <c r="N1880" i="18"/>
  <c r="R1880" i="18"/>
  <c r="U1880" i="18"/>
  <c r="AC1880" i="18" s="1"/>
  <c r="X1880" i="18"/>
  <c r="AB1880" i="18"/>
  <c r="AF1880" i="18"/>
  <c r="N1881" i="18"/>
  <c r="R1881" i="18"/>
  <c r="U1881" i="18"/>
  <c r="AC1881" i="18" s="1"/>
  <c r="X1881" i="18"/>
  <c r="AB1881" i="18"/>
  <c r="AF1881" i="18"/>
  <c r="N1882" i="18"/>
  <c r="R1882" i="18"/>
  <c r="U1882" i="18"/>
  <c r="AC1882" i="18" s="1"/>
  <c r="X1882" i="18"/>
  <c r="AB1882" i="18"/>
  <c r="AF1882" i="18"/>
  <c r="N1883" i="18"/>
  <c r="R1883" i="18"/>
  <c r="U1883" i="18"/>
  <c r="AC1883" i="18" s="1"/>
  <c r="X1883" i="18"/>
  <c r="AB1883" i="18"/>
  <c r="AF1883" i="18"/>
  <c r="N1884" i="18"/>
  <c r="R1884" i="18"/>
  <c r="U1884" i="18"/>
  <c r="AC1884" i="18" s="1"/>
  <c r="X1884" i="18"/>
  <c r="AB1884" i="18"/>
  <c r="AF1884" i="18"/>
  <c r="N1885" i="18"/>
  <c r="R1885" i="18"/>
  <c r="U1885" i="18"/>
  <c r="AC1885" i="18" s="1"/>
  <c r="X1885" i="18"/>
  <c r="AB1885" i="18"/>
  <c r="AF1885" i="18"/>
  <c r="N1886" i="18"/>
  <c r="R1886" i="18"/>
  <c r="U1886" i="18"/>
  <c r="X1886" i="18"/>
  <c r="AB1886" i="18"/>
  <c r="AF1886" i="18"/>
  <c r="N1887" i="18"/>
  <c r="R1887" i="18"/>
  <c r="U1887" i="18"/>
  <c r="AC1887" i="18" s="1"/>
  <c r="X1887" i="18"/>
  <c r="AB1887" i="18"/>
  <c r="AF1887" i="18"/>
  <c r="N1888" i="18"/>
  <c r="R1888" i="18"/>
  <c r="U1888" i="18"/>
  <c r="AC1888" i="18" s="1"/>
  <c r="X1888" i="18"/>
  <c r="AB1888" i="18"/>
  <c r="AF1888" i="18"/>
  <c r="N1889" i="18"/>
  <c r="R1889" i="18"/>
  <c r="U1889" i="18"/>
  <c r="AC1889" i="18" s="1"/>
  <c r="X1889" i="18"/>
  <c r="AB1889" i="18"/>
  <c r="AF1889" i="18"/>
  <c r="N1890" i="18"/>
  <c r="R1890" i="18"/>
  <c r="U1890" i="18"/>
  <c r="AC1890" i="18" s="1"/>
  <c r="X1890" i="18"/>
  <c r="AB1890" i="18"/>
  <c r="AF1890" i="18"/>
  <c r="N1891" i="18"/>
  <c r="R1891" i="18"/>
  <c r="U1891" i="18"/>
  <c r="AC1891" i="18" s="1"/>
  <c r="X1891" i="18"/>
  <c r="AB1891" i="18"/>
  <c r="AF1891" i="18"/>
  <c r="N1892" i="18"/>
  <c r="R1892" i="18"/>
  <c r="U1892" i="18"/>
  <c r="AC1892" i="18" s="1"/>
  <c r="X1892" i="18"/>
  <c r="AB1892" i="18"/>
  <c r="AF1892" i="18"/>
  <c r="N1893" i="18"/>
  <c r="R1893" i="18"/>
  <c r="U1893" i="18"/>
  <c r="AC1893" i="18" s="1"/>
  <c r="X1893" i="18"/>
  <c r="AB1893" i="18"/>
  <c r="AF1893" i="18"/>
  <c r="N1894" i="18"/>
  <c r="R1894" i="18"/>
  <c r="U1894" i="18"/>
  <c r="X1894" i="18"/>
  <c r="AB1894" i="18"/>
  <c r="AF1894" i="18"/>
  <c r="N1895" i="18"/>
  <c r="R1895" i="18"/>
  <c r="U1895" i="18"/>
  <c r="AC1895" i="18" s="1"/>
  <c r="X1895" i="18"/>
  <c r="AB1895" i="18"/>
  <c r="AF1895" i="18"/>
  <c r="N1896" i="18"/>
  <c r="R1896" i="18"/>
  <c r="U1896" i="18"/>
  <c r="AC1896" i="18" s="1"/>
  <c r="X1896" i="18"/>
  <c r="AB1896" i="18"/>
  <c r="AF1896" i="18"/>
  <c r="N1897" i="18"/>
  <c r="R1897" i="18"/>
  <c r="U1897" i="18"/>
  <c r="AC1897" i="18" s="1"/>
  <c r="X1897" i="18"/>
  <c r="AB1897" i="18"/>
  <c r="AF1897" i="18"/>
  <c r="N1898" i="18"/>
  <c r="R1898" i="18"/>
  <c r="U1898" i="18"/>
  <c r="AC1898" i="18" s="1"/>
  <c r="X1898" i="18"/>
  <c r="AB1898" i="18"/>
  <c r="AF1898" i="18"/>
  <c r="N1899" i="18"/>
  <c r="R1899" i="18"/>
  <c r="U1899" i="18"/>
  <c r="X1899" i="18"/>
  <c r="AB1899" i="18"/>
  <c r="AF1899" i="18"/>
  <c r="N1900" i="18"/>
  <c r="R1900" i="18"/>
  <c r="U1900" i="18"/>
  <c r="AC1900" i="18" s="1"/>
  <c r="X1900" i="18"/>
  <c r="AB1900" i="18"/>
  <c r="AF1900" i="18"/>
  <c r="N1901" i="18"/>
  <c r="R1901" i="18"/>
  <c r="U1901" i="18"/>
  <c r="AC1901" i="18" s="1"/>
  <c r="X1901" i="18"/>
  <c r="AB1901" i="18"/>
  <c r="AF1901" i="18"/>
  <c r="N1902" i="18"/>
  <c r="R1902" i="18"/>
  <c r="U1902" i="18"/>
  <c r="X1902" i="18"/>
  <c r="AB1902" i="18"/>
  <c r="AF1902" i="18"/>
  <c r="N1903" i="18"/>
  <c r="R1903" i="18"/>
  <c r="U1903" i="18"/>
  <c r="AC1903" i="18" s="1"/>
  <c r="X1903" i="18"/>
  <c r="AB1903" i="18"/>
  <c r="AF1903" i="18"/>
  <c r="N1904" i="18"/>
  <c r="R1904" i="18"/>
  <c r="U1904" i="18"/>
  <c r="AC1904" i="18" s="1"/>
  <c r="X1904" i="18"/>
  <c r="AB1904" i="18"/>
  <c r="AF1904" i="18"/>
  <c r="N1905" i="18"/>
  <c r="R1905" i="18"/>
  <c r="U1905" i="18"/>
  <c r="AC1905" i="18" s="1"/>
  <c r="X1905" i="18"/>
  <c r="AB1905" i="18"/>
  <c r="AF1905" i="18"/>
  <c r="N1906" i="18"/>
  <c r="R1906" i="18"/>
  <c r="U1906" i="18"/>
  <c r="X1906" i="18"/>
  <c r="AB1906" i="18"/>
  <c r="AF1906" i="18"/>
  <c r="N1907" i="18"/>
  <c r="R1907" i="18"/>
  <c r="U1907" i="18"/>
  <c r="AC1907" i="18" s="1"/>
  <c r="X1907" i="18"/>
  <c r="AB1907" i="18"/>
  <c r="AF1907" i="18"/>
  <c r="N1908" i="18"/>
  <c r="R1908" i="18"/>
  <c r="U1908" i="18"/>
  <c r="AC1908" i="18" s="1"/>
  <c r="X1908" i="18"/>
  <c r="AB1908" i="18"/>
  <c r="AF1908" i="18"/>
  <c r="N1909" i="18"/>
  <c r="R1909" i="18"/>
  <c r="U1909" i="18"/>
  <c r="AC1909" i="18" s="1"/>
  <c r="X1909" i="18"/>
  <c r="AB1909" i="18"/>
  <c r="AF1909" i="18"/>
  <c r="N1910" i="18"/>
  <c r="R1910" i="18"/>
  <c r="U1910" i="18"/>
  <c r="X1910" i="18"/>
  <c r="AB1910" i="18"/>
  <c r="AF1910" i="18"/>
  <c r="N1911" i="18"/>
  <c r="R1911" i="18"/>
  <c r="U1911" i="18"/>
  <c r="AC1911" i="18" s="1"/>
  <c r="X1911" i="18"/>
  <c r="AB1911" i="18"/>
  <c r="AF1911" i="18"/>
  <c r="N1912" i="18"/>
  <c r="R1912" i="18"/>
  <c r="U1912" i="18"/>
  <c r="AC1912" i="18" s="1"/>
  <c r="X1912" i="18"/>
  <c r="AB1912" i="18"/>
  <c r="AF1912" i="18"/>
  <c r="N1913" i="18"/>
  <c r="R1913" i="18"/>
  <c r="U1913" i="18"/>
  <c r="AC1913" i="18" s="1"/>
  <c r="X1913" i="18"/>
  <c r="AB1913" i="18"/>
  <c r="AF1913" i="18"/>
  <c r="N1914" i="18"/>
  <c r="R1914" i="18"/>
  <c r="U1914" i="18"/>
  <c r="AC1914" i="18" s="1"/>
  <c r="X1914" i="18"/>
  <c r="AB1914" i="18"/>
  <c r="AF1914" i="18"/>
  <c r="N1915" i="18"/>
  <c r="R1915" i="18"/>
  <c r="U1915" i="18"/>
  <c r="AC1915" i="18" s="1"/>
  <c r="X1915" i="18"/>
  <c r="AB1915" i="18"/>
  <c r="AF1915" i="18"/>
  <c r="N1916" i="18"/>
  <c r="R1916" i="18"/>
  <c r="U1916" i="18"/>
  <c r="AC1916" i="18" s="1"/>
  <c r="X1916" i="18"/>
  <c r="AB1916" i="18"/>
  <c r="AF1916" i="18"/>
  <c r="N1917" i="18"/>
  <c r="R1917" i="18"/>
  <c r="U1917" i="18"/>
  <c r="AC1917" i="18" s="1"/>
  <c r="X1917" i="18"/>
  <c r="AB1917" i="18"/>
  <c r="AF1917" i="18"/>
  <c r="N1918" i="18"/>
  <c r="R1918" i="18"/>
  <c r="U1918" i="18"/>
  <c r="X1918" i="18"/>
  <c r="AB1918" i="18"/>
  <c r="AF1918" i="18"/>
  <c r="N1919" i="18"/>
  <c r="R1919" i="18"/>
  <c r="U1919" i="18"/>
  <c r="AC1919" i="18" s="1"/>
  <c r="X1919" i="18"/>
  <c r="AB1919" i="18"/>
  <c r="AF1919" i="18"/>
  <c r="N1920" i="18"/>
  <c r="R1920" i="18"/>
  <c r="U1920" i="18"/>
  <c r="AC1920" i="18" s="1"/>
  <c r="X1920" i="18"/>
  <c r="AB1920" i="18"/>
  <c r="AF1920" i="18"/>
  <c r="N1921" i="18"/>
  <c r="R1921" i="18"/>
  <c r="U1921" i="18"/>
  <c r="AC1921" i="18" s="1"/>
  <c r="X1921" i="18"/>
  <c r="AB1921" i="18"/>
  <c r="AF1921" i="18"/>
  <c r="N1922" i="18"/>
  <c r="R1922" i="18"/>
  <c r="U1922" i="18"/>
  <c r="AC1922" i="18" s="1"/>
  <c r="X1922" i="18"/>
  <c r="AB1922" i="18"/>
  <c r="AF1922" i="18"/>
  <c r="N1923" i="18"/>
  <c r="R1923" i="18"/>
  <c r="U1923" i="18"/>
  <c r="AC1923" i="18" s="1"/>
  <c r="X1923" i="18"/>
  <c r="AB1923" i="18"/>
  <c r="AF1923" i="18"/>
  <c r="N1924" i="18"/>
  <c r="R1924" i="18"/>
  <c r="U1924" i="18"/>
  <c r="AC1924" i="18" s="1"/>
  <c r="X1924" i="18"/>
  <c r="AB1924" i="18"/>
  <c r="AF1924" i="18"/>
  <c r="N1925" i="18"/>
  <c r="R1925" i="18"/>
  <c r="U1925" i="18"/>
  <c r="AC1925" i="18" s="1"/>
  <c r="X1925" i="18"/>
  <c r="AB1925" i="18"/>
  <c r="AF1925" i="18"/>
  <c r="N1926" i="18"/>
  <c r="R1926" i="18"/>
  <c r="U1926" i="18"/>
  <c r="X1926" i="18"/>
  <c r="AB1926" i="18"/>
  <c r="AF1926" i="18"/>
  <c r="N1927" i="18"/>
  <c r="R1927" i="18"/>
  <c r="U1927" i="18"/>
  <c r="AC1927" i="18" s="1"/>
  <c r="X1927" i="18"/>
  <c r="AB1927" i="18"/>
  <c r="AF1927" i="18"/>
  <c r="N1928" i="18"/>
  <c r="R1928" i="18"/>
  <c r="U1928" i="18"/>
  <c r="AC1928" i="18" s="1"/>
  <c r="X1928" i="18"/>
  <c r="AB1928" i="18"/>
  <c r="AF1928" i="18"/>
  <c r="N1929" i="18"/>
  <c r="R1929" i="18"/>
  <c r="U1929" i="18"/>
  <c r="AC1929" i="18" s="1"/>
  <c r="X1929" i="18"/>
  <c r="AB1929" i="18"/>
  <c r="AF1929" i="18"/>
  <c r="N1930" i="18"/>
  <c r="R1930" i="18"/>
  <c r="U1930" i="18"/>
  <c r="AC1930" i="18" s="1"/>
  <c r="X1930" i="18"/>
  <c r="AB1930" i="18"/>
  <c r="AF1930" i="18"/>
  <c r="N1931" i="18"/>
  <c r="R1931" i="18"/>
  <c r="U1931" i="18"/>
  <c r="X1931" i="18"/>
  <c r="AB1931" i="18"/>
  <c r="AF1931" i="18"/>
  <c r="N1932" i="18"/>
  <c r="R1932" i="18"/>
  <c r="U1932" i="18"/>
  <c r="AC1932" i="18" s="1"/>
  <c r="X1932" i="18"/>
  <c r="AB1932" i="18"/>
  <c r="AF1932" i="18"/>
  <c r="N1933" i="18"/>
  <c r="R1933" i="18"/>
  <c r="U1933" i="18"/>
  <c r="AC1933" i="18" s="1"/>
  <c r="X1933" i="18"/>
  <c r="AB1933" i="18"/>
  <c r="AF1933" i="18"/>
  <c r="N1934" i="18"/>
  <c r="R1934" i="18"/>
  <c r="U1934" i="18"/>
  <c r="X1934" i="18"/>
  <c r="AB1934" i="18"/>
  <c r="AF1934" i="18"/>
  <c r="N1935" i="18"/>
  <c r="R1935" i="18"/>
  <c r="U1935" i="18"/>
  <c r="AC1935" i="18" s="1"/>
  <c r="X1935" i="18"/>
  <c r="AB1935" i="18"/>
  <c r="AF1935" i="18"/>
  <c r="N1936" i="18"/>
  <c r="R1936" i="18"/>
  <c r="U1936" i="18"/>
  <c r="AC1936" i="18" s="1"/>
  <c r="X1936" i="18"/>
  <c r="AB1936" i="18"/>
  <c r="AF1936" i="18"/>
  <c r="N1937" i="18"/>
  <c r="R1937" i="18"/>
  <c r="U1937" i="18"/>
  <c r="AC1937" i="18" s="1"/>
  <c r="X1937" i="18"/>
  <c r="AB1937" i="18"/>
  <c r="AF1937" i="18"/>
  <c r="N1938" i="18"/>
  <c r="R1938" i="18"/>
  <c r="U1938" i="18"/>
  <c r="X1938" i="18"/>
  <c r="AB1938" i="18"/>
  <c r="AF1938" i="18"/>
  <c r="N1939" i="18"/>
  <c r="R1939" i="18"/>
  <c r="U1939" i="18"/>
  <c r="AC1939" i="18" s="1"/>
  <c r="X1939" i="18"/>
  <c r="AB1939" i="18"/>
  <c r="AF1939" i="18"/>
  <c r="N1940" i="18"/>
  <c r="R1940" i="18"/>
  <c r="U1940" i="18"/>
  <c r="AC1940" i="18" s="1"/>
  <c r="X1940" i="18"/>
  <c r="AB1940" i="18"/>
  <c r="AF1940" i="18"/>
  <c r="N1941" i="18"/>
  <c r="R1941" i="18"/>
  <c r="U1941" i="18"/>
  <c r="AC1941" i="18" s="1"/>
  <c r="X1941" i="18"/>
  <c r="AB1941" i="18"/>
  <c r="AF1941" i="18"/>
  <c r="N1942" i="18"/>
  <c r="R1942" i="18"/>
  <c r="U1942" i="18"/>
  <c r="X1942" i="18"/>
  <c r="AB1942" i="18"/>
  <c r="AF1942" i="18"/>
  <c r="N1943" i="18"/>
  <c r="R1943" i="18"/>
  <c r="U1943" i="18"/>
  <c r="AC1943" i="18" s="1"/>
  <c r="X1943" i="18"/>
  <c r="AB1943" i="18"/>
  <c r="AF1943" i="18"/>
  <c r="N1944" i="18"/>
  <c r="R1944" i="18"/>
  <c r="U1944" i="18"/>
  <c r="AC1944" i="18" s="1"/>
  <c r="X1944" i="18"/>
  <c r="AB1944" i="18"/>
  <c r="AF1944" i="18"/>
  <c r="N1945" i="18"/>
  <c r="R1945" i="18"/>
  <c r="U1945" i="18"/>
  <c r="AC1945" i="18" s="1"/>
  <c r="X1945" i="18"/>
  <c r="AB1945" i="18"/>
  <c r="AF1945" i="18"/>
  <c r="N1946" i="18"/>
  <c r="R1946" i="18"/>
  <c r="U1946" i="18"/>
  <c r="AC1946" i="18" s="1"/>
  <c r="X1946" i="18"/>
  <c r="AB1946" i="18"/>
  <c r="AF1946" i="18"/>
  <c r="N1947" i="18"/>
  <c r="R1947" i="18"/>
  <c r="U1947" i="18"/>
  <c r="AC1947" i="18" s="1"/>
  <c r="X1947" i="18"/>
  <c r="AB1947" i="18"/>
  <c r="AF1947" i="18"/>
  <c r="N1948" i="18"/>
  <c r="R1948" i="18"/>
  <c r="U1948" i="18"/>
  <c r="AC1948" i="18" s="1"/>
  <c r="X1948" i="18"/>
  <c r="AB1948" i="18"/>
  <c r="AF1948" i="18"/>
  <c r="N1949" i="18"/>
  <c r="R1949" i="18"/>
  <c r="U1949" i="18"/>
  <c r="AC1949" i="18" s="1"/>
  <c r="X1949" i="18"/>
  <c r="AB1949" i="18"/>
  <c r="AF1949" i="18"/>
  <c r="N1950" i="18"/>
  <c r="R1950" i="18"/>
  <c r="U1950" i="18"/>
  <c r="AC1950" i="18" s="1"/>
  <c r="X1950" i="18"/>
  <c r="AB1950" i="18"/>
  <c r="AF1950" i="18"/>
  <c r="N1951" i="18"/>
  <c r="R1951" i="18"/>
  <c r="U1951" i="18"/>
  <c r="X1951" i="18"/>
  <c r="AB1951" i="18"/>
  <c r="AF1951" i="18"/>
  <c r="N1952" i="18"/>
  <c r="R1952" i="18"/>
  <c r="U1952" i="18"/>
  <c r="AC1952" i="18" s="1"/>
  <c r="X1952" i="18"/>
  <c r="AB1952" i="18"/>
  <c r="AF1952" i="18"/>
  <c r="N1953" i="18"/>
  <c r="R1953" i="18"/>
  <c r="U1953" i="18"/>
  <c r="AC1953" i="18" s="1"/>
  <c r="X1953" i="18"/>
  <c r="AB1953" i="18"/>
  <c r="AF1953" i="18"/>
  <c r="N1954" i="18"/>
  <c r="R1954" i="18"/>
  <c r="U1954" i="18"/>
  <c r="AC1954" i="18" s="1"/>
  <c r="X1954" i="18"/>
  <c r="AB1954" i="18"/>
  <c r="AF1954" i="18"/>
  <c r="N1955" i="18"/>
  <c r="R1955" i="18"/>
  <c r="U1955" i="18"/>
  <c r="X1955" i="18"/>
  <c r="AB1955" i="18"/>
  <c r="AF1955" i="18"/>
  <c r="N1956" i="18"/>
  <c r="R1956" i="18"/>
  <c r="U1956" i="18"/>
  <c r="AC1956" i="18" s="1"/>
  <c r="X1956" i="18"/>
  <c r="AB1956" i="18"/>
  <c r="AF1956" i="18"/>
  <c r="N1957" i="18"/>
  <c r="R1957" i="18"/>
  <c r="U1957" i="18"/>
  <c r="AC1957" i="18" s="1"/>
  <c r="X1957" i="18"/>
  <c r="AB1957" i="18"/>
  <c r="AF1957" i="18"/>
  <c r="N1958" i="18"/>
  <c r="R1958" i="18"/>
  <c r="U1958" i="18"/>
  <c r="AC1958" i="18" s="1"/>
  <c r="X1958" i="18"/>
  <c r="AB1958" i="18"/>
  <c r="AF1958" i="18"/>
  <c r="N1959" i="18"/>
  <c r="R1959" i="18"/>
  <c r="U1959" i="18"/>
  <c r="X1959" i="18"/>
  <c r="AB1959" i="18"/>
  <c r="AF1959" i="18"/>
  <c r="N1960" i="18"/>
  <c r="R1960" i="18"/>
  <c r="U1960" i="18"/>
  <c r="AC1960" i="18" s="1"/>
  <c r="X1960" i="18"/>
  <c r="AB1960" i="18"/>
  <c r="AF1960" i="18"/>
  <c r="N1961" i="18"/>
  <c r="R1961" i="18"/>
  <c r="U1961" i="18"/>
  <c r="AC1961" i="18" s="1"/>
  <c r="X1961" i="18"/>
  <c r="AB1961" i="18"/>
  <c r="AF1961" i="18"/>
  <c r="N1962" i="18"/>
  <c r="R1962" i="18"/>
  <c r="U1962" i="18"/>
  <c r="AC1962" i="18" s="1"/>
  <c r="X1962" i="18"/>
  <c r="AB1962" i="18"/>
  <c r="AF1962" i="18"/>
  <c r="N1963" i="18"/>
  <c r="R1963" i="18"/>
  <c r="U1963" i="18"/>
  <c r="X1963" i="18"/>
  <c r="AB1963" i="18"/>
  <c r="AF1963" i="18"/>
  <c r="N1964" i="18"/>
  <c r="R1964" i="18"/>
  <c r="U1964" i="18"/>
  <c r="AC1964" i="18" s="1"/>
  <c r="X1964" i="18"/>
  <c r="AB1964" i="18"/>
  <c r="AF1964" i="18"/>
  <c r="N1965" i="18"/>
  <c r="R1965" i="18"/>
  <c r="U1965" i="18"/>
  <c r="AC1965" i="18" s="1"/>
  <c r="X1965" i="18"/>
  <c r="AB1965" i="18"/>
  <c r="AF1965" i="18"/>
  <c r="N1966" i="18"/>
  <c r="R1966" i="18"/>
  <c r="U1966" i="18"/>
  <c r="AC1966" i="18" s="1"/>
  <c r="X1966" i="18"/>
  <c r="AB1966" i="18"/>
  <c r="AF1966" i="18"/>
  <c r="N1967" i="18"/>
  <c r="R1967" i="18"/>
  <c r="U1967" i="18"/>
  <c r="X1967" i="18"/>
  <c r="AB1967" i="18"/>
  <c r="AF1967" i="18"/>
  <c r="N1968" i="18"/>
  <c r="R1968" i="18"/>
  <c r="U1968" i="18"/>
  <c r="AC1968" i="18" s="1"/>
  <c r="X1968" i="18"/>
  <c r="AB1968" i="18"/>
  <c r="AF1968" i="18"/>
  <c r="N1969" i="18"/>
  <c r="R1969" i="18"/>
  <c r="U1969" i="18"/>
  <c r="AC1969" i="18" s="1"/>
  <c r="X1969" i="18"/>
  <c r="AB1969" i="18"/>
  <c r="AF1969" i="18"/>
  <c r="N1970" i="18"/>
  <c r="R1970" i="18"/>
  <c r="U1970" i="18"/>
  <c r="AC1970" i="18" s="1"/>
  <c r="X1970" i="18"/>
  <c r="AB1970" i="18"/>
  <c r="AF1970" i="18"/>
  <c r="N1971" i="18"/>
  <c r="R1971" i="18"/>
  <c r="U1971" i="18"/>
  <c r="X1971" i="18"/>
  <c r="AB1971" i="18"/>
  <c r="AF1971" i="18"/>
  <c r="N1972" i="18"/>
  <c r="R1972" i="18"/>
  <c r="U1972" i="18"/>
  <c r="AC1972" i="18" s="1"/>
  <c r="X1972" i="18"/>
  <c r="AB1972" i="18"/>
  <c r="AF1972" i="18"/>
  <c r="N1973" i="18"/>
  <c r="R1973" i="18"/>
  <c r="U1973" i="18"/>
  <c r="AC1973" i="18" s="1"/>
  <c r="X1973" i="18"/>
  <c r="AB1973" i="18"/>
  <c r="AF1973" i="18"/>
  <c r="N1974" i="18"/>
  <c r="R1974" i="18"/>
  <c r="U1974" i="18"/>
  <c r="AC1974" i="18" s="1"/>
  <c r="X1974" i="18"/>
  <c r="AB1974" i="18"/>
  <c r="AF1974" i="18"/>
  <c r="N1975" i="18"/>
  <c r="R1975" i="18"/>
  <c r="U1975" i="18"/>
  <c r="X1975" i="18"/>
  <c r="AB1975" i="18"/>
  <c r="AF1975" i="18"/>
  <c r="N1976" i="18"/>
  <c r="R1976" i="18"/>
  <c r="U1976" i="18"/>
  <c r="AC1976" i="18" s="1"/>
  <c r="X1976" i="18"/>
  <c r="AB1976" i="18"/>
  <c r="AF1976" i="18"/>
  <c r="N1977" i="18"/>
  <c r="R1977" i="18"/>
  <c r="U1977" i="18"/>
  <c r="AC1977" i="18" s="1"/>
  <c r="X1977" i="18"/>
  <c r="AB1977" i="18"/>
  <c r="AF1977" i="18"/>
  <c r="N1978" i="18"/>
  <c r="R1978" i="18"/>
  <c r="U1978" i="18"/>
  <c r="AC1978" i="18" s="1"/>
  <c r="X1978" i="18"/>
  <c r="AB1978" i="18"/>
  <c r="AF1978" i="18"/>
  <c r="N1979" i="18"/>
  <c r="R1979" i="18"/>
  <c r="U1979" i="18"/>
  <c r="X1979" i="18"/>
  <c r="AB1979" i="18"/>
  <c r="AF1979" i="18"/>
  <c r="N1980" i="18"/>
  <c r="R1980" i="18"/>
  <c r="U1980" i="18"/>
  <c r="AC1980" i="18" s="1"/>
  <c r="X1980" i="18"/>
  <c r="AB1980" i="18"/>
  <c r="AF1980" i="18"/>
  <c r="N1981" i="18"/>
  <c r="R1981" i="18"/>
  <c r="U1981" i="18"/>
  <c r="AC1981" i="18" s="1"/>
  <c r="X1981" i="18"/>
  <c r="AB1981" i="18"/>
  <c r="AF1981" i="18"/>
  <c r="N1982" i="18"/>
  <c r="R1982" i="18"/>
  <c r="U1982" i="18"/>
  <c r="AC1982" i="18" s="1"/>
  <c r="X1982" i="18"/>
  <c r="AB1982" i="18"/>
  <c r="AF1982" i="18"/>
  <c r="N1983" i="18"/>
  <c r="R1983" i="18"/>
  <c r="U1983" i="18"/>
  <c r="X1983" i="18"/>
  <c r="AB1983" i="18"/>
  <c r="AF1983" i="18"/>
  <c r="N1984" i="18"/>
  <c r="R1984" i="18"/>
  <c r="U1984" i="18"/>
  <c r="AC1984" i="18" s="1"/>
  <c r="X1984" i="18"/>
  <c r="AB1984" i="18"/>
  <c r="AF1984" i="18"/>
  <c r="N1985" i="18"/>
  <c r="R1985" i="18"/>
  <c r="U1985" i="18"/>
  <c r="AC1985" i="18" s="1"/>
  <c r="X1985" i="18"/>
  <c r="AB1985" i="18"/>
  <c r="AF1985" i="18"/>
  <c r="N1986" i="18"/>
  <c r="R1986" i="18"/>
  <c r="U1986" i="18"/>
  <c r="AC1986" i="18" s="1"/>
  <c r="X1986" i="18"/>
  <c r="AB1986" i="18"/>
  <c r="AF1986" i="18"/>
  <c r="N1987" i="18"/>
  <c r="R1987" i="18"/>
  <c r="U1987" i="18"/>
  <c r="X1987" i="18"/>
  <c r="AB1987" i="18"/>
  <c r="AF1987" i="18"/>
  <c r="N1988" i="18"/>
  <c r="R1988" i="18"/>
  <c r="U1988" i="18"/>
  <c r="AC1988" i="18" s="1"/>
  <c r="X1988" i="18"/>
  <c r="AB1988" i="18"/>
  <c r="AF1988" i="18"/>
  <c r="N1989" i="18"/>
  <c r="R1989" i="18"/>
  <c r="U1989" i="18"/>
  <c r="AC1989" i="18" s="1"/>
  <c r="X1989" i="18"/>
  <c r="AB1989" i="18"/>
  <c r="AF1989" i="18"/>
  <c r="N1990" i="18"/>
  <c r="R1990" i="18"/>
  <c r="U1990" i="18"/>
  <c r="AC1990" i="18" s="1"/>
  <c r="X1990" i="18"/>
  <c r="AB1990" i="18"/>
  <c r="AF1990" i="18"/>
  <c r="N1991" i="18"/>
  <c r="R1991" i="18"/>
  <c r="U1991" i="18"/>
  <c r="X1991" i="18"/>
  <c r="AB1991" i="18"/>
  <c r="AF1991" i="18"/>
  <c r="N1992" i="18"/>
  <c r="R1992" i="18"/>
  <c r="U1992" i="18"/>
  <c r="AC1992" i="18" s="1"/>
  <c r="X1992" i="18"/>
  <c r="AB1992" i="18"/>
  <c r="AF1992" i="18"/>
  <c r="N1993" i="18"/>
  <c r="R1993" i="18"/>
  <c r="U1993" i="18"/>
  <c r="AC1993" i="18" s="1"/>
  <c r="X1993" i="18"/>
  <c r="AB1993" i="18"/>
  <c r="AF1993" i="18"/>
  <c r="N1994" i="18"/>
  <c r="R1994" i="18"/>
  <c r="U1994" i="18"/>
  <c r="AC1994" i="18" s="1"/>
  <c r="X1994" i="18"/>
  <c r="AB1994" i="18"/>
  <c r="AF1994" i="18"/>
  <c r="N1995" i="18"/>
  <c r="R1995" i="18"/>
  <c r="U1995" i="18"/>
  <c r="X1995" i="18"/>
  <c r="AB1995" i="18"/>
  <c r="AF1995" i="18"/>
  <c r="N1996" i="18"/>
  <c r="R1996" i="18"/>
  <c r="U1996" i="18"/>
  <c r="AC1996" i="18" s="1"/>
  <c r="X1996" i="18"/>
  <c r="AB1996" i="18"/>
  <c r="AF1996" i="18"/>
  <c r="N1997" i="18"/>
  <c r="R1997" i="18"/>
  <c r="U1997" i="18"/>
  <c r="AC1997" i="18" s="1"/>
  <c r="X1997" i="18"/>
  <c r="AB1997" i="18"/>
  <c r="AF1997" i="18"/>
  <c r="N1998" i="18"/>
  <c r="R1998" i="18"/>
  <c r="U1998" i="18"/>
  <c r="AC1998" i="18" s="1"/>
  <c r="X1998" i="18"/>
  <c r="AB1998" i="18"/>
  <c r="AF1998" i="18"/>
  <c r="N1999" i="18"/>
  <c r="R1999" i="18"/>
  <c r="U1999" i="18"/>
  <c r="X1999" i="18"/>
  <c r="AB1999" i="18"/>
  <c r="AF1999" i="18"/>
  <c r="N2000" i="18"/>
  <c r="R2000" i="18"/>
  <c r="U2000" i="18"/>
  <c r="AC2000" i="18" s="1"/>
  <c r="X2000" i="18"/>
  <c r="AB2000" i="18"/>
  <c r="AF2000" i="18"/>
  <c r="N2001" i="18"/>
  <c r="R2001" i="18"/>
  <c r="U2001" i="18"/>
  <c r="AC2001" i="18" s="1"/>
  <c r="X2001" i="18"/>
  <c r="AB2001" i="18"/>
  <c r="AF2001" i="18"/>
  <c r="N2002" i="18"/>
  <c r="R2002" i="18"/>
  <c r="U2002" i="18"/>
  <c r="AC2002" i="18" s="1"/>
  <c r="X2002" i="18"/>
  <c r="AB2002" i="18"/>
  <c r="AF2002" i="18"/>
  <c r="N2003" i="18"/>
  <c r="R2003" i="18"/>
  <c r="U2003" i="18"/>
  <c r="X2003" i="18"/>
  <c r="AB2003" i="18"/>
  <c r="AF2003" i="18"/>
  <c r="N2004" i="18"/>
  <c r="R2004" i="18"/>
  <c r="U2004" i="18"/>
  <c r="AC2004" i="18" s="1"/>
  <c r="X2004" i="18"/>
  <c r="AB2004" i="18"/>
  <c r="AF2004" i="18"/>
  <c r="N2005" i="18"/>
  <c r="R2005" i="18"/>
  <c r="U2005" i="18"/>
  <c r="AC2005" i="18" s="1"/>
  <c r="X2005" i="18"/>
  <c r="AB2005" i="18"/>
  <c r="AF2005" i="18"/>
  <c r="N2006" i="18"/>
  <c r="R2006" i="18"/>
  <c r="U2006" i="18"/>
  <c r="AC2006" i="18" s="1"/>
  <c r="X2006" i="18"/>
  <c r="AB2006" i="18"/>
  <c r="AF2006" i="18"/>
  <c r="N2007" i="18"/>
  <c r="R2007" i="18"/>
  <c r="U2007" i="18"/>
  <c r="AC2007" i="18" s="1"/>
  <c r="X2007" i="18"/>
  <c r="AB2007" i="18"/>
  <c r="AF2007" i="18"/>
  <c r="N2008" i="18"/>
  <c r="R2008" i="18"/>
  <c r="U2008" i="18"/>
  <c r="AC2008" i="18" s="1"/>
  <c r="X2008" i="18"/>
  <c r="AB2008" i="18"/>
  <c r="AF2008" i="18"/>
  <c r="N2009" i="18"/>
  <c r="R2009" i="18"/>
  <c r="U2009" i="18"/>
  <c r="AD2009" i="18" s="1"/>
  <c r="X2009" i="18"/>
  <c r="AB2009" i="18"/>
  <c r="AF2009" i="18"/>
  <c r="N2010" i="18"/>
  <c r="R2010" i="18"/>
  <c r="U2010" i="18"/>
  <c r="AC2010" i="18" s="1"/>
  <c r="X2010" i="18"/>
  <c r="AB2010" i="18"/>
  <c r="AF2010" i="18"/>
  <c r="N2011" i="18"/>
  <c r="R2011" i="18"/>
  <c r="U2011" i="18"/>
  <c r="AC2011" i="18" s="1"/>
  <c r="X2011" i="18"/>
  <c r="AB2011" i="18"/>
  <c r="AF2011" i="18"/>
  <c r="N2012" i="18"/>
  <c r="R2012" i="18"/>
  <c r="U2012" i="18"/>
  <c r="AC2012" i="18" s="1"/>
  <c r="X2012" i="18"/>
  <c r="AB2012" i="18"/>
  <c r="AF2012" i="18"/>
  <c r="N2013" i="18"/>
  <c r="R2013" i="18"/>
  <c r="U2013" i="18"/>
  <c r="AC2013" i="18" s="1"/>
  <c r="X2013" i="18"/>
  <c r="AB2013" i="18"/>
  <c r="AF2013" i="18"/>
  <c r="N2014" i="18"/>
  <c r="R2014" i="18"/>
  <c r="U2014" i="18"/>
  <c r="AC2014" i="18" s="1"/>
  <c r="X2014" i="18"/>
  <c r="AB2014" i="18"/>
  <c r="AF2014" i="18"/>
  <c r="N2015" i="18"/>
  <c r="R2015" i="18"/>
  <c r="U2015" i="18"/>
  <c r="AC2015" i="18" s="1"/>
  <c r="X2015" i="18"/>
  <c r="AB2015" i="18"/>
  <c r="AF2015" i="18"/>
  <c r="N2016" i="18"/>
  <c r="R2016" i="18"/>
  <c r="U2016" i="18"/>
  <c r="AC2016" i="18" s="1"/>
  <c r="X2016" i="18"/>
  <c r="AB2016" i="18"/>
  <c r="AF2016" i="18"/>
  <c r="N2017" i="18"/>
  <c r="R2017" i="18"/>
  <c r="U2017" i="18"/>
  <c r="AC2017" i="18" s="1"/>
  <c r="X2017" i="18"/>
  <c r="AB2017" i="18"/>
  <c r="AF2017" i="18"/>
  <c r="N2018" i="18"/>
  <c r="R2018" i="18"/>
  <c r="U2018" i="18"/>
  <c r="AC2018" i="18" s="1"/>
  <c r="X2018" i="18"/>
  <c r="AB2018" i="18"/>
  <c r="AF2018" i="18"/>
  <c r="N2019" i="18"/>
  <c r="R2019" i="18"/>
  <c r="U2019" i="18"/>
  <c r="AC2019" i="18" s="1"/>
  <c r="X2019" i="18"/>
  <c r="AB2019" i="18"/>
  <c r="AF2019" i="18"/>
  <c r="N2020" i="18"/>
  <c r="R2020" i="18"/>
  <c r="U2020" i="18"/>
  <c r="AC2020" i="18" s="1"/>
  <c r="X2020" i="18"/>
  <c r="AB2020" i="18"/>
  <c r="AF2020" i="18"/>
  <c r="N2021" i="18"/>
  <c r="R2021" i="18"/>
  <c r="U2021" i="18"/>
  <c r="AC2021" i="18" s="1"/>
  <c r="X2021" i="18"/>
  <c r="AB2021" i="18"/>
  <c r="AF2021" i="18"/>
  <c r="N2022" i="18"/>
  <c r="R2022" i="18"/>
  <c r="U2022" i="18"/>
  <c r="AC2022" i="18" s="1"/>
  <c r="X2022" i="18"/>
  <c r="AB2022" i="18"/>
  <c r="AF2022" i="18"/>
  <c r="N2023" i="18"/>
  <c r="R2023" i="18"/>
  <c r="U2023" i="18"/>
  <c r="AD2023" i="18" s="1"/>
  <c r="X2023" i="18"/>
  <c r="AB2023" i="18"/>
  <c r="AF2023" i="18"/>
  <c r="N2024" i="18"/>
  <c r="R2024" i="18"/>
  <c r="U2024" i="18"/>
  <c r="AD2024" i="18" s="1"/>
  <c r="X2024" i="18"/>
  <c r="AB2024" i="18"/>
  <c r="AF2024" i="18"/>
  <c r="N2025" i="18"/>
  <c r="R2025" i="18"/>
  <c r="U2025" i="18"/>
  <c r="AD2025" i="18" s="1"/>
  <c r="X2025" i="18"/>
  <c r="AB2025" i="18"/>
  <c r="AF2025" i="18"/>
  <c r="N2026" i="18"/>
  <c r="R2026" i="18"/>
  <c r="U2026" i="18"/>
  <c r="AD2026" i="18" s="1"/>
  <c r="X2026" i="18"/>
  <c r="AB2026" i="18"/>
  <c r="AF2026" i="18"/>
  <c r="N2027" i="18"/>
  <c r="R2027" i="18"/>
  <c r="U2027" i="18"/>
  <c r="AD2027" i="18" s="1"/>
  <c r="X2027" i="18"/>
  <c r="AB2027" i="18"/>
  <c r="AF2027" i="18"/>
  <c r="N2028" i="18"/>
  <c r="R2028" i="18"/>
  <c r="U2028" i="18"/>
  <c r="AC2028" i="18" s="1"/>
  <c r="X2028" i="18"/>
  <c r="AB2028" i="18"/>
  <c r="AF2028" i="18"/>
  <c r="N2029" i="18"/>
  <c r="R2029" i="18"/>
  <c r="U2029" i="18"/>
  <c r="AC2029" i="18" s="1"/>
  <c r="X2029" i="18"/>
  <c r="AB2029" i="18"/>
  <c r="AF2029" i="18"/>
  <c r="N2030" i="18"/>
  <c r="R2030" i="18"/>
  <c r="U2030" i="18"/>
  <c r="AC2030" i="18" s="1"/>
  <c r="X2030" i="18"/>
  <c r="AB2030" i="18"/>
  <c r="AF2030" i="18"/>
  <c r="N2031" i="18"/>
  <c r="R2031" i="18"/>
  <c r="U2031" i="18"/>
  <c r="AC2031" i="18" s="1"/>
  <c r="X2031" i="18"/>
  <c r="AB2031" i="18"/>
  <c r="AF2031" i="18"/>
  <c r="N2032" i="18"/>
  <c r="R2032" i="18"/>
  <c r="U2032" i="18"/>
  <c r="AC2032" i="18" s="1"/>
  <c r="X2032" i="18"/>
  <c r="AB2032" i="18"/>
  <c r="AF2032" i="18"/>
  <c r="N2033" i="18"/>
  <c r="R2033" i="18"/>
  <c r="U2033" i="18"/>
  <c r="AC2033" i="18" s="1"/>
  <c r="X2033" i="18"/>
  <c r="AB2033" i="18"/>
  <c r="AF2033" i="18"/>
  <c r="N2034" i="18"/>
  <c r="R2034" i="18"/>
  <c r="U2034" i="18"/>
  <c r="AC2034" i="18" s="1"/>
  <c r="X2034" i="18"/>
  <c r="AB2034" i="18"/>
  <c r="AF2034" i="18"/>
  <c r="N2035" i="18"/>
  <c r="R2035" i="18"/>
  <c r="U2035" i="18"/>
  <c r="AC2035" i="18" s="1"/>
  <c r="X2035" i="18"/>
  <c r="AB2035" i="18"/>
  <c r="AF2035" i="18"/>
  <c r="N2036" i="18"/>
  <c r="R2036" i="18"/>
  <c r="U2036" i="18"/>
  <c r="AC2036" i="18" s="1"/>
  <c r="X2036" i="18"/>
  <c r="AB2036" i="18"/>
  <c r="AF2036" i="18"/>
  <c r="N2037" i="18"/>
  <c r="R2037" i="18"/>
  <c r="U2037" i="18"/>
  <c r="AC2037" i="18" s="1"/>
  <c r="X2037" i="18"/>
  <c r="AB2037" i="18"/>
  <c r="AF2037" i="18"/>
  <c r="N2038" i="18"/>
  <c r="R2038" i="18"/>
  <c r="U2038" i="18"/>
  <c r="AC2038" i="18" s="1"/>
  <c r="X2038" i="18"/>
  <c r="AB2038" i="18"/>
  <c r="AF2038" i="18"/>
  <c r="N2039" i="18"/>
  <c r="R2039" i="18"/>
  <c r="U2039" i="18"/>
  <c r="AC2039" i="18" s="1"/>
  <c r="X2039" i="18"/>
  <c r="AB2039" i="18"/>
  <c r="AF2039" i="18"/>
  <c r="N2040" i="18"/>
  <c r="R2040" i="18"/>
  <c r="U2040" i="18"/>
  <c r="AC2040" i="18" s="1"/>
  <c r="X2040" i="18"/>
  <c r="AB2040" i="18"/>
  <c r="AF2040" i="18"/>
  <c r="N2041" i="18"/>
  <c r="R2041" i="18"/>
  <c r="U2041" i="18"/>
  <c r="AC2041" i="18" s="1"/>
  <c r="X2041" i="18"/>
  <c r="AB2041" i="18"/>
  <c r="AF2041" i="18"/>
  <c r="N2042" i="18"/>
  <c r="R2042" i="18"/>
  <c r="U2042" i="18"/>
  <c r="AC2042" i="18" s="1"/>
  <c r="X2042" i="18"/>
  <c r="AB2042" i="18"/>
  <c r="AF2042" i="18"/>
  <c r="F5" i="19"/>
  <c r="I5" i="19"/>
  <c r="L5" i="19" s="1"/>
  <c r="N5" i="19" s="1"/>
  <c r="K5" i="19"/>
  <c r="S5" i="19"/>
  <c r="W5" i="19"/>
  <c r="B5" i="19" s="1"/>
  <c r="F6" i="19"/>
  <c r="I6" i="19"/>
  <c r="L6" i="19" s="1"/>
  <c r="N6" i="19" s="1"/>
  <c r="K6" i="19"/>
  <c r="S6" i="19"/>
  <c r="W6" i="19"/>
  <c r="B6" i="19" s="1"/>
  <c r="F7" i="19"/>
  <c r="I7" i="19"/>
  <c r="L7" i="19" s="1"/>
  <c r="N7" i="19" s="1"/>
  <c r="K7" i="19"/>
  <c r="S7" i="19"/>
  <c r="W7" i="19"/>
  <c r="B7" i="19" s="1"/>
  <c r="F8" i="19"/>
  <c r="I8" i="19"/>
  <c r="L8" i="19" s="1"/>
  <c r="N8" i="19" s="1"/>
  <c r="K8" i="19"/>
  <c r="O8" i="19" s="1"/>
  <c r="S8" i="19"/>
  <c r="W8" i="19"/>
  <c r="B8" i="19" s="1"/>
  <c r="F9" i="19"/>
  <c r="I9" i="19"/>
  <c r="L9" i="19" s="1"/>
  <c r="N9" i="19" s="1"/>
  <c r="K9" i="19"/>
  <c r="S9" i="19"/>
  <c r="W9" i="19"/>
  <c r="B9" i="19" s="1"/>
  <c r="F10" i="19"/>
  <c r="I10" i="19"/>
  <c r="L10" i="19" s="1"/>
  <c r="N10" i="19" s="1"/>
  <c r="K10" i="19"/>
  <c r="S10" i="19"/>
  <c r="W10" i="19"/>
  <c r="B10" i="19" s="1"/>
  <c r="F11" i="19"/>
  <c r="I11" i="19"/>
  <c r="L11" i="19" s="1"/>
  <c r="N11" i="19" s="1"/>
  <c r="K11" i="19"/>
  <c r="S11" i="19"/>
  <c r="W11" i="19"/>
  <c r="B11" i="19" s="1"/>
  <c r="F12" i="19"/>
  <c r="I12" i="19"/>
  <c r="L12" i="19" s="1"/>
  <c r="N12" i="19" s="1"/>
  <c r="K12" i="19"/>
  <c r="S12" i="19"/>
  <c r="W12" i="19"/>
  <c r="B12" i="19" s="1"/>
  <c r="F13" i="19"/>
  <c r="I13" i="19"/>
  <c r="L13" i="19" s="1"/>
  <c r="N13" i="19" s="1"/>
  <c r="K13" i="19"/>
  <c r="S13" i="19"/>
  <c r="W13" i="19"/>
  <c r="B13" i="19" s="1"/>
  <c r="F14" i="19"/>
  <c r="I14" i="19"/>
  <c r="L14" i="19" s="1"/>
  <c r="N14" i="19" s="1"/>
  <c r="K14" i="19"/>
  <c r="S14" i="19"/>
  <c r="W14" i="19"/>
  <c r="B14" i="19" s="1"/>
  <c r="F15" i="19"/>
  <c r="I15" i="19"/>
  <c r="L15" i="19" s="1"/>
  <c r="N15" i="19" s="1"/>
  <c r="K15" i="19"/>
  <c r="S15" i="19"/>
  <c r="W15" i="19"/>
  <c r="B15" i="19" s="1"/>
  <c r="F16" i="19"/>
  <c r="I16" i="19"/>
  <c r="L16" i="19" s="1"/>
  <c r="N16" i="19" s="1"/>
  <c r="K16" i="19"/>
  <c r="S16" i="19"/>
  <c r="W16" i="19"/>
  <c r="B16" i="19" s="1"/>
  <c r="F17" i="19"/>
  <c r="I17" i="19"/>
  <c r="L17" i="19" s="1"/>
  <c r="N17" i="19" s="1"/>
  <c r="K17" i="19"/>
  <c r="S17" i="19"/>
  <c r="W17" i="19"/>
  <c r="B17" i="19" s="1"/>
  <c r="F18" i="19"/>
  <c r="I18" i="19"/>
  <c r="L18" i="19" s="1"/>
  <c r="N18" i="19" s="1"/>
  <c r="K18" i="19"/>
  <c r="S18" i="19"/>
  <c r="W18" i="19"/>
  <c r="B18" i="19" s="1"/>
  <c r="F19" i="19"/>
  <c r="I19" i="19"/>
  <c r="L19" i="19" s="1"/>
  <c r="N19" i="19" s="1"/>
  <c r="K19" i="19"/>
  <c r="S19" i="19"/>
  <c r="W19" i="19"/>
  <c r="B19" i="19" s="1"/>
  <c r="F20" i="19"/>
  <c r="I20" i="19"/>
  <c r="L20" i="19" s="1"/>
  <c r="N20" i="19" s="1"/>
  <c r="K20" i="19"/>
  <c r="S20" i="19"/>
  <c r="W20" i="19"/>
  <c r="B20" i="19" s="1"/>
  <c r="F21" i="19"/>
  <c r="I21" i="19"/>
  <c r="L21" i="19" s="1"/>
  <c r="N21" i="19" s="1"/>
  <c r="K21" i="19"/>
  <c r="S21" i="19"/>
  <c r="W21" i="19"/>
  <c r="B21" i="19" s="1"/>
  <c r="F22" i="19"/>
  <c r="I22" i="19"/>
  <c r="L22" i="19" s="1"/>
  <c r="N22" i="19" s="1"/>
  <c r="K22" i="19"/>
  <c r="S22" i="19"/>
  <c r="W22" i="19"/>
  <c r="B22" i="19" s="1"/>
  <c r="F23" i="19"/>
  <c r="I23" i="19"/>
  <c r="L23" i="19" s="1"/>
  <c r="N23" i="19" s="1"/>
  <c r="K23" i="19"/>
  <c r="S23" i="19"/>
  <c r="W23" i="19"/>
  <c r="B23" i="19" s="1"/>
  <c r="F24" i="19"/>
  <c r="I24" i="19"/>
  <c r="L24" i="19" s="1"/>
  <c r="N24" i="19" s="1"/>
  <c r="K24" i="19"/>
  <c r="S24" i="19"/>
  <c r="W24" i="19"/>
  <c r="B24" i="19" s="1"/>
  <c r="F25" i="19"/>
  <c r="I25" i="19"/>
  <c r="L25" i="19" s="1"/>
  <c r="N25" i="19" s="1"/>
  <c r="K25" i="19"/>
  <c r="S25" i="19"/>
  <c r="W25" i="19"/>
  <c r="B25" i="19" s="1"/>
  <c r="F26" i="19"/>
  <c r="I26" i="19"/>
  <c r="L26" i="19" s="1"/>
  <c r="N26" i="19" s="1"/>
  <c r="K26" i="19"/>
  <c r="S26" i="19"/>
  <c r="W26" i="19"/>
  <c r="B26" i="19" s="1"/>
  <c r="F27" i="19"/>
  <c r="I27" i="19"/>
  <c r="L27" i="19" s="1"/>
  <c r="N27" i="19" s="1"/>
  <c r="K27" i="19"/>
  <c r="S27" i="19"/>
  <c r="W27" i="19"/>
  <c r="B27" i="19" s="1"/>
  <c r="F28" i="19"/>
  <c r="I28" i="19"/>
  <c r="L28" i="19" s="1"/>
  <c r="N28" i="19" s="1"/>
  <c r="K28" i="19"/>
  <c r="S28" i="19"/>
  <c r="W28" i="19"/>
  <c r="B28" i="19" s="1"/>
  <c r="F29" i="19"/>
  <c r="I29" i="19"/>
  <c r="L29" i="19" s="1"/>
  <c r="N29" i="19" s="1"/>
  <c r="K29" i="19"/>
  <c r="S29" i="19"/>
  <c r="W29" i="19"/>
  <c r="B29" i="19" s="1"/>
  <c r="F30" i="19"/>
  <c r="I30" i="19"/>
  <c r="K30" i="19"/>
  <c r="L30" i="19"/>
  <c r="N30" i="19" s="1"/>
  <c r="O30" i="19" s="1"/>
  <c r="S30" i="19"/>
  <c r="W30" i="19"/>
  <c r="B30" i="19" s="1"/>
  <c r="F31" i="19"/>
  <c r="I31" i="19"/>
  <c r="L31" i="19" s="1"/>
  <c r="N31" i="19" s="1"/>
  <c r="K31" i="19"/>
  <c r="S31" i="19"/>
  <c r="W31" i="19"/>
  <c r="B31" i="19" s="1"/>
  <c r="F32" i="19"/>
  <c r="I32" i="19"/>
  <c r="L32" i="19" s="1"/>
  <c r="N32" i="19" s="1"/>
  <c r="K32" i="19"/>
  <c r="S32" i="19"/>
  <c r="W32" i="19"/>
  <c r="B32" i="19" s="1"/>
  <c r="F33" i="19"/>
  <c r="I33" i="19"/>
  <c r="K33" i="19"/>
  <c r="L33" i="19"/>
  <c r="N33" i="19" s="1"/>
  <c r="S33" i="19"/>
  <c r="W33" i="19"/>
  <c r="B33" i="19" s="1"/>
  <c r="F34" i="19"/>
  <c r="I34" i="19"/>
  <c r="L34" i="19" s="1"/>
  <c r="N34" i="19" s="1"/>
  <c r="O34" i="19" s="1"/>
  <c r="K34" i="19"/>
  <c r="S34" i="19"/>
  <c r="W34" i="19"/>
  <c r="B34" i="19" s="1"/>
  <c r="F35" i="19"/>
  <c r="I35" i="19"/>
  <c r="L35" i="19" s="1"/>
  <c r="N35" i="19" s="1"/>
  <c r="K35" i="19"/>
  <c r="S35" i="19"/>
  <c r="W35" i="19"/>
  <c r="B35" i="19" s="1"/>
  <c r="F36" i="19"/>
  <c r="I36" i="19"/>
  <c r="L36" i="19" s="1"/>
  <c r="N36" i="19" s="1"/>
  <c r="K36" i="19"/>
  <c r="S36" i="19"/>
  <c r="W36" i="19"/>
  <c r="B36" i="19" s="1"/>
  <c r="F37" i="19"/>
  <c r="I37" i="19"/>
  <c r="L37" i="19" s="1"/>
  <c r="N37" i="19" s="1"/>
  <c r="K37" i="19"/>
  <c r="S37" i="19"/>
  <c r="W37" i="19"/>
  <c r="B37" i="19" s="1"/>
  <c r="F38" i="19"/>
  <c r="I38" i="19"/>
  <c r="L38" i="19" s="1"/>
  <c r="N38" i="19" s="1"/>
  <c r="K38" i="19"/>
  <c r="S38" i="19"/>
  <c r="W38" i="19"/>
  <c r="B38" i="19" s="1"/>
  <c r="F39" i="19"/>
  <c r="I39" i="19"/>
  <c r="L39" i="19" s="1"/>
  <c r="N39" i="19" s="1"/>
  <c r="K39" i="19"/>
  <c r="S39" i="19"/>
  <c r="W39" i="19"/>
  <c r="B39" i="19" s="1"/>
  <c r="F40" i="19"/>
  <c r="I40" i="19"/>
  <c r="L40" i="19" s="1"/>
  <c r="N40" i="19" s="1"/>
  <c r="K40" i="19"/>
  <c r="S40" i="19"/>
  <c r="W40" i="19"/>
  <c r="B40" i="19" s="1"/>
  <c r="F41" i="19"/>
  <c r="I41" i="19"/>
  <c r="L41" i="19" s="1"/>
  <c r="N41" i="19" s="1"/>
  <c r="K41" i="19"/>
  <c r="S41" i="19"/>
  <c r="W41" i="19"/>
  <c r="B41" i="19" s="1"/>
  <c r="F42" i="19"/>
  <c r="I42" i="19"/>
  <c r="L42" i="19" s="1"/>
  <c r="N42" i="19" s="1"/>
  <c r="K42" i="19"/>
  <c r="S42" i="19"/>
  <c r="W42" i="19"/>
  <c r="B42" i="19" s="1"/>
  <c r="F43" i="19"/>
  <c r="I43" i="19"/>
  <c r="L43" i="19" s="1"/>
  <c r="N43" i="19" s="1"/>
  <c r="K43" i="19"/>
  <c r="S43" i="19"/>
  <c r="W43" i="19"/>
  <c r="B43" i="19" s="1"/>
  <c r="F44" i="19"/>
  <c r="I44" i="19"/>
  <c r="L44" i="19" s="1"/>
  <c r="N44" i="19" s="1"/>
  <c r="K44" i="19"/>
  <c r="S44" i="19"/>
  <c r="W44" i="19"/>
  <c r="B44" i="19" s="1"/>
  <c r="F45" i="19"/>
  <c r="I45" i="19"/>
  <c r="L45" i="19" s="1"/>
  <c r="N45" i="19" s="1"/>
  <c r="K45" i="19"/>
  <c r="S45" i="19"/>
  <c r="W45" i="19"/>
  <c r="B45" i="19" s="1"/>
  <c r="F46" i="19"/>
  <c r="I46" i="19"/>
  <c r="L46" i="19" s="1"/>
  <c r="N46" i="19" s="1"/>
  <c r="K46" i="19"/>
  <c r="S46" i="19"/>
  <c r="W46" i="19"/>
  <c r="B46" i="19" s="1"/>
  <c r="F47" i="19"/>
  <c r="I47" i="19"/>
  <c r="L47" i="19" s="1"/>
  <c r="K47" i="19"/>
  <c r="N47" i="19"/>
  <c r="S47" i="19"/>
  <c r="W47" i="19"/>
  <c r="B47" i="19" s="1"/>
  <c r="F48" i="19"/>
  <c r="I48" i="19"/>
  <c r="L48" i="19" s="1"/>
  <c r="N48" i="19" s="1"/>
  <c r="K48" i="19"/>
  <c r="S48" i="19"/>
  <c r="W48" i="19"/>
  <c r="B48" i="19" s="1"/>
  <c r="F49" i="19"/>
  <c r="I49" i="19"/>
  <c r="L49" i="19" s="1"/>
  <c r="N49" i="19" s="1"/>
  <c r="O49" i="19" s="1"/>
  <c r="K49" i="19"/>
  <c r="S49" i="19"/>
  <c r="W49" i="19"/>
  <c r="B49" i="19" s="1"/>
  <c r="F50" i="19"/>
  <c r="I50" i="19"/>
  <c r="L50" i="19" s="1"/>
  <c r="N50" i="19" s="1"/>
  <c r="K50" i="19"/>
  <c r="S50" i="19"/>
  <c r="W50" i="19"/>
  <c r="B50" i="19" s="1"/>
  <c r="F51" i="19"/>
  <c r="I51" i="19"/>
  <c r="K51" i="19"/>
  <c r="L51" i="19"/>
  <c r="N51" i="19" s="1"/>
  <c r="S51" i="19"/>
  <c r="W51" i="19"/>
  <c r="B51" i="19" s="1"/>
  <c r="F52" i="19"/>
  <c r="I52" i="19"/>
  <c r="L52" i="19" s="1"/>
  <c r="N52" i="19" s="1"/>
  <c r="K52" i="19"/>
  <c r="S52" i="19"/>
  <c r="W52" i="19"/>
  <c r="B52" i="19" s="1"/>
  <c r="F53" i="19"/>
  <c r="I53" i="19"/>
  <c r="L53" i="19" s="1"/>
  <c r="N53" i="19" s="1"/>
  <c r="K53" i="19"/>
  <c r="S53" i="19"/>
  <c r="W53" i="19"/>
  <c r="B53" i="19" s="1"/>
  <c r="F54" i="19"/>
  <c r="I54" i="19"/>
  <c r="L54" i="19" s="1"/>
  <c r="N54" i="19" s="1"/>
  <c r="K54" i="19"/>
  <c r="S54" i="19"/>
  <c r="W54" i="19"/>
  <c r="B54" i="19" s="1"/>
  <c r="F55" i="19"/>
  <c r="I55" i="19"/>
  <c r="L55" i="19" s="1"/>
  <c r="N55" i="19" s="1"/>
  <c r="K55" i="19"/>
  <c r="S55" i="19"/>
  <c r="W55" i="19"/>
  <c r="B55" i="19" s="1"/>
  <c r="F56" i="19"/>
  <c r="I56" i="19"/>
  <c r="L56" i="19" s="1"/>
  <c r="N56" i="19" s="1"/>
  <c r="O56" i="19" s="1"/>
  <c r="K56" i="19"/>
  <c r="S56" i="19"/>
  <c r="W56" i="19"/>
  <c r="B56" i="19" s="1"/>
  <c r="F57" i="19"/>
  <c r="I57" i="19"/>
  <c r="L57" i="19" s="1"/>
  <c r="N57" i="19" s="1"/>
  <c r="K57" i="19"/>
  <c r="S57" i="19"/>
  <c r="W57" i="19"/>
  <c r="B57" i="19" s="1"/>
  <c r="F58" i="19"/>
  <c r="I58" i="19"/>
  <c r="L58" i="19" s="1"/>
  <c r="N58" i="19" s="1"/>
  <c r="K58" i="19"/>
  <c r="S58" i="19"/>
  <c r="W58" i="19"/>
  <c r="B58" i="19" s="1"/>
  <c r="F59" i="19"/>
  <c r="I59" i="19"/>
  <c r="L59" i="19" s="1"/>
  <c r="N59" i="19" s="1"/>
  <c r="K59" i="19"/>
  <c r="S59" i="19"/>
  <c r="W59" i="19"/>
  <c r="B59" i="19" s="1"/>
  <c r="F60" i="19"/>
  <c r="I60" i="19"/>
  <c r="L60" i="19" s="1"/>
  <c r="N60" i="19" s="1"/>
  <c r="K60" i="19"/>
  <c r="S60" i="19"/>
  <c r="W60" i="19"/>
  <c r="B60" i="19" s="1"/>
  <c r="F61" i="19"/>
  <c r="I61" i="19"/>
  <c r="L61" i="19" s="1"/>
  <c r="N61" i="19" s="1"/>
  <c r="K61" i="19"/>
  <c r="S61" i="19"/>
  <c r="W61" i="19"/>
  <c r="B61" i="19" s="1"/>
  <c r="F62" i="19"/>
  <c r="I62" i="19"/>
  <c r="L62" i="19" s="1"/>
  <c r="N62" i="19" s="1"/>
  <c r="K62" i="19"/>
  <c r="S62" i="19"/>
  <c r="W62" i="19"/>
  <c r="B62" i="19" s="1"/>
  <c r="F63" i="19"/>
  <c r="I63" i="19"/>
  <c r="L63" i="19" s="1"/>
  <c r="N63" i="19" s="1"/>
  <c r="K63" i="19"/>
  <c r="S63" i="19"/>
  <c r="W63" i="19"/>
  <c r="B63" i="19" s="1"/>
  <c r="F64" i="19"/>
  <c r="I64" i="19"/>
  <c r="L64" i="19" s="1"/>
  <c r="N64" i="19" s="1"/>
  <c r="O64" i="19" s="1"/>
  <c r="K64" i="19"/>
  <c r="S64" i="19"/>
  <c r="W64" i="19"/>
  <c r="B64" i="19" s="1"/>
  <c r="F65" i="19"/>
  <c r="I65" i="19"/>
  <c r="L65" i="19" s="1"/>
  <c r="N65" i="19" s="1"/>
  <c r="K65" i="19"/>
  <c r="S65" i="19"/>
  <c r="W65" i="19"/>
  <c r="B65" i="19" s="1"/>
  <c r="F66" i="19"/>
  <c r="I66" i="19"/>
  <c r="L66" i="19" s="1"/>
  <c r="N66" i="19" s="1"/>
  <c r="K66" i="19"/>
  <c r="S66" i="19"/>
  <c r="W66" i="19"/>
  <c r="B66" i="19" s="1"/>
  <c r="F67" i="19"/>
  <c r="I67" i="19"/>
  <c r="L67" i="19" s="1"/>
  <c r="N67" i="19" s="1"/>
  <c r="K67" i="19"/>
  <c r="S67" i="19"/>
  <c r="W67" i="19"/>
  <c r="B67" i="19" s="1"/>
  <c r="F68" i="19"/>
  <c r="I68" i="19"/>
  <c r="L68" i="19" s="1"/>
  <c r="N68" i="19" s="1"/>
  <c r="K68" i="19"/>
  <c r="S68" i="19"/>
  <c r="W68" i="19"/>
  <c r="B68" i="19" s="1"/>
  <c r="F69" i="19"/>
  <c r="I69" i="19"/>
  <c r="L69" i="19" s="1"/>
  <c r="N69" i="19" s="1"/>
  <c r="K69" i="19"/>
  <c r="S69" i="19"/>
  <c r="W69" i="19"/>
  <c r="B69" i="19" s="1"/>
  <c r="F70" i="19"/>
  <c r="I70" i="19"/>
  <c r="L70" i="19" s="1"/>
  <c r="N70" i="19" s="1"/>
  <c r="K70" i="19"/>
  <c r="S70" i="19"/>
  <c r="W70" i="19"/>
  <c r="B70" i="19" s="1"/>
  <c r="F71" i="19"/>
  <c r="I71" i="19"/>
  <c r="L71" i="19" s="1"/>
  <c r="N71" i="19" s="1"/>
  <c r="K71" i="19"/>
  <c r="S71" i="19"/>
  <c r="W71" i="19"/>
  <c r="B71" i="19" s="1"/>
  <c r="F72" i="19"/>
  <c r="I72" i="19"/>
  <c r="L72" i="19" s="1"/>
  <c r="N72" i="19" s="1"/>
  <c r="K72" i="19"/>
  <c r="S72" i="19"/>
  <c r="W72" i="19"/>
  <c r="B72" i="19" s="1"/>
  <c r="F73" i="19"/>
  <c r="I73" i="19"/>
  <c r="L73" i="19" s="1"/>
  <c r="N73" i="19" s="1"/>
  <c r="K73" i="19"/>
  <c r="S73" i="19"/>
  <c r="W73" i="19"/>
  <c r="B73" i="19" s="1"/>
  <c r="F74" i="19"/>
  <c r="I74" i="19"/>
  <c r="L74" i="19" s="1"/>
  <c r="N74" i="19" s="1"/>
  <c r="K74" i="19"/>
  <c r="S74" i="19"/>
  <c r="W74" i="19"/>
  <c r="B74" i="19" s="1"/>
  <c r="F75" i="19"/>
  <c r="I75" i="19"/>
  <c r="L75" i="19" s="1"/>
  <c r="N75" i="19" s="1"/>
  <c r="K75" i="19"/>
  <c r="S75" i="19"/>
  <c r="W75" i="19"/>
  <c r="B75" i="19" s="1"/>
  <c r="F76" i="19"/>
  <c r="I76" i="19"/>
  <c r="L76" i="19" s="1"/>
  <c r="N76" i="19" s="1"/>
  <c r="K76" i="19"/>
  <c r="S76" i="19"/>
  <c r="W76" i="19"/>
  <c r="B76" i="19" s="1"/>
  <c r="F77" i="19"/>
  <c r="I77" i="19"/>
  <c r="L77" i="19" s="1"/>
  <c r="N77" i="19" s="1"/>
  <c r="K77" i="19"/>
  <c r="S77" i="19"/>
  <c r="W77" i="19"/>
  <c r="B77" i="19" s="1"/>
  <c r="F78" i="19"/>
  <c r="I78" i="19"/>
  <c r="L78" i="19" s="1"/>
  <c r="N78" i="19" s="1"/>
  <c r="K78" i="19"/>
  <c r="S78" i="19"/>
  <c r="W78" i="19"/>
  <c r="B78" i="19" s="1"/>
  <c r="F79" i="19"/>
  <c r="I79" i="19"/>
  <c r="L79" i="19" s="1"/>
  <c r="N79" i="19" s="1"/>
  <c r="K79" i="19"/>
  <c r="S79" i="19"/>
  <c r="W79" i="19"/>
  <c r="B79" i="19" s="1"/>
  <c r="F80" i="19"/>
  <c r="I80" i="19"/>
  <c r="L80" i="19" s="1"/>
  <c r="N80" i="19" s="1"/>
  <c r="K80" i="19"/>
  <c r="S80" i="19"/>
  <c r="W80" i="19"/>
  <c r="B80" i="19" s="1"/>
  <c r="F81" i="19"/>
  <c r="I81" i="19"/>
  <c r="L81" i="19" s="1"/>
  <c r="N81" i="19" s="1"/>
  <c r="K81" i="19"/>
  <c r="S81" i="19"/>
  <c r="W81" i="19"/>
  <c r="B81" i="19" s="1"/>
  <c r="F82" i="19"/>
  <c r="I82" i="19"/>
  <c r="L82" i="19" s="1"/>
  <c r="N82" i="19" s="1"/>
  <c r="K82" i="19"/>
  <c r="S82" i="19"/>
  <c r="W82" i="19"/>
  <c r="B82" i="19" s="1"/>
  <c r="F83" i="19"/>
  <c r="I83" i="19"/>
  <c r="L83" i="19" s="1"/>
  <c r="N83" i="19" s="1"/>
  <c r="K83" i="19"/>
  <c r="S83" i="19"/>
  <c r="W83" i="19"/>
  <c r="B83" i="19" s="1"/>
  <c r="F84" i="19"/>
  <c r="I84" i="19"/>
  <c r="L84" i="19" s="1"/>
  <c r="N84" i="19" s="1"/>
  <c r="K84" i="19"/>
  <c r="S84" i="19"/>
  <c r="W84" i="19"/>
  <c r="B84" i="19" s="1"/>
  <c r="F85" i="19"/>
  <c r="I85" i="19"/>
  <c r="L85" i="19" s="1"/>
  <c r="K85" i="19"/>
  <c r="N85" i="19"/>
  <c r="S85" i="19"/>
  <c r="W85" i="19"/>
  <c r="B85" i="19" s="1"/>
  <c r="F86" i="19"/>
  <c r="I86" i="19"/>
  <c r="L86" i="19" s="1"/>
  <c r="N86" i="19" s="1"/>
  <c r="K86" i="19"/>
  <c r="S86" i="19"/>
  <c r="W86" i="19"/>
  <c r="B86" i="19" s="1"/>
  <c r="F87" i="19"/>
  <c r="I87" i="19"/>
  <c r="L87" i="19" s="1"/>
  <c r="N87" i="19" s="1"/>
  <c r="K87" i="19"/>
  <c r="S87" i="19"/>
  <c r="W87" i="19"/>
  <c r="B87" i="19" s="1"/>
  <c r="F88" i="19"/>
  <c r="I88" i="19"/>
  <c r="L88" i="19" s="1"/>
  <c r="N88" i="19" s="1"/>
  <c r="K88" i="19"/>
  <c r="S88" i="19"/>
  <c r="W88" i="19"/>
  <c r="B88" i="19" s="1"/>
  <c r="F89" i="19"/>
  <c r="I89" i="19"/>
  <c r="L89" i="19" s="1"/>
  <c r="N89" i="19" s="1"/>
  <c r="K89" i="19"/>
  <c r="S89" i="19"/>
  <c r="W89" i="19"/>
  <c r="B89" i="19" s="1"/>
  <c r="F90" i="19"/>
  <c r="I90" i="19"/>
  <c r="L90" i="19" s="1"/>
  <c r="N90" i="19" s="1"/>
  <c r="K90" i="19"/>
  <c r="S90" i="19"/>
  <c r="W90" i="19"/>
  <c r="B90" i="19" s="1"/>
  <c r="F91" i="19"/>
  <c r="I91" i="19"/>
  <c r="L91" i="19" s="1"/>
  <c r="N91" i="19" s="1"/>
  <c r="K91" i="19"/>
  <c r="S91" i="19"/>
  <c r="W91" i="19"/>
  <c r="B91" i="19" s="1"/>
  <c r="F92" i="19"/>
  <c r="I92" i="19"/>
  <c r="L92" i="19" s="1"/>
  <c r="N92" i="19" s="1"/>
  <c r="K92" i="19"/>
  <c r="S92" i="19"/>
  <c r="W92" i="19"/>
  <c r="B92" i="19" s="1"/>
  <c r="F93" i="19"/>
  <c r="I93" i="19"/>
  <c r="L93" i="19" s="1"/>
  <c r="N93" i="19" s="1"/>
  <c r="K93" i="19"/>
  <c r="S93" i="19"/>
  <c r="W93" i="19"/>
  <c r="B93" i="19" s="1"/>
  <c r="F94" i="19"/>
  <c r="I94" i="19"/>
  <c r="L94" i="19" s="1"/>
  <c r="N94" i="19" s="1"/>
  <c r="K94" i="19"/>
  <c r="S94" i="19"/>
  <c r="W94" i="19"/>
  <c r="B94" i="19" s="1"/>
  <c r="F95" i="19"/>
  <c r="I95" i="19"/>
  <c r="L95" i="19" s="1"/>
  <c r="N95" i="19" s="1"/>
  <c r="K95" i="19"/>
  <c r="S95" i="19"/>
  <c r="W95" i="19"/>
  <c r="B95" i="19" s="1"/>
  <c r="F96" i="19"/>
  <c r="I96" i="19"/>
  <c r="L96" i="19" s="1"/>
  <c r="N96" i="19" s="1"/>
  <c r="K96" i="19"/>
  <c r="S96" i="19"/>
  <c r="W96" i="19"/>
  <c r="B96" i="19" s="1"/>
  <c r="F97" i="19"/>
  <c r="I97" i="19"/>
  <c r="L97" i="19" s="1"/>
  <c r="N97" i="19" s="1"/>
  <c r="K97" i="19"/>
  <c r="S97" i="19"/>
  <c r="W97" i="19"/>
  <c r="B97" i="19" s="1"/>
  <c r="F98" i="19"/>
  <c r="I98" i="19"/>
  <c r="L98" i="19" s="1"/>
  <c r="N98" i="19" s="1"/>
  <c r="K98" i="19"/>
  <c r="S98" i="19"/>
  <c r="W98" i="19"/>
  <c r="B98" i="19" s="1"/>
  <c r="F99" i="19"/>
  <c r="I99" i="19"/>
  <c r="L99" i="19" s="1"/>
  <c r="N99" i="19" s="1"/>
  <c r="K99" i="19"/>
  <c r="S99" i="19"/>
  <c r="W99" i="19"/>
  <c r="B99" i="19" s="1"/>
  <c r="F100" i="19"/>
  <c r="I100" i="19"/>
  <c r="L100" i="19" s="1"/>
  <c r="N100" i="19" s="1"/>
  <c r="K100" i="19"/>
  <c r="S100" i="19"/>
  <c r="W100" i="19"/>
  <c r="B100" i="19" s="1"/>
  <c r="F101" i="19"/>
  <c r="I101" i="19"/>
  <c r="L101" i="19" s="1"/>
  <c r="N101" i="19" s="1"/>
  <c r="K101" i="19"/>
  <c r="S101" i="19"/>
  <c r="W101" i="19"/>
  <c r="B101" i="19" s="1"/>
  <c r="F102" i="19"/>
  <c r="I102" i="19"/>
  <c r="L102" i="19" s="1"/>
  <c r="N102" i="19" s="1"/>
  <c r="K102" i="19"/>
  <c r="S102" i="19"/>
  <c r="W102" i="19"/>
  <c r="B102" i="19" s="1"/>
  <c r="F103" i="19"/>
  <c r="I103" i="19"/>
  <c r="L103" i="19" s="1"/>
  <c r="N103" i="19" s="1"/>
  <c r="K103" i="19"/>
  <c r="S103" i="19"/>
  <c r="W103" i="19"/>
  <c r="B103" i="19" s="1"/>
  <c r="F104" i="19"/>
  <c r="I104" i="19"/>
  <c r="L104" i="19" s="1"/>
  <c r="N104" i="19" s="1"/>
  <c r="K104" i="19"/>
  <c r="S104" i="19"/>
  <c r="W104" i="19"/>
  <c r="B104" i="19" s="1"/>
  <c r="F105" i="19"/>
  <c r="I105" i="19"/>
  <c r="L105" i="19" s="1"/>
  <c r="N105" i="19" s="1"/>
  <c r="K105" i="19"/>
  <c r="S105" i="19"/>
  <c r="W105" i="19"/>
  <c r="B105" i="19" s="1"/>
  <c r="F106" i="19"/>
  <c r="I106" i="19"/>
  <c r="L106" i="19" s="1"/>
  <c r="N106" i="19" s="1"/>
  <c r="K106" i="19"/>
  <c r="S106" i="19"/>
  <c r="W106" i="19"/>
  <c r="B106" i="19" s="1"/>
  <c r="F107" i="19"/>
  <c r="I107" i="19"/>
  <c r="L107" i="19" s="1"/>
  <c r="N107" i="19" s="1"/>
  <c r="K107" i="19"/>
  <c r="S107" i="19"/>
  <c r="W107" i="19"/>
  <c r="B107" i="19" s="1"/>
  <c r="F108" i="19"/>
  <c r="I108" i="19"/>
  <c r="L108" i="19" s="1"/>
  <c r="N108" i="19" s="1"/>
  <c r="K108" i="19"/>
  <c r="S108" i="19"/>
  <c r="W108" i="19"/>
  <c r="B108" i="19" s="1"/>
  <c r="F109" i="19"/>
  <c r="I109" i="19"/>
  <c r="L109" i="19" s="1"/>
  <c r="N109" i="19" s="1"/>
  <c r="K109" i="19"/>
  <c r="S109" i="19"/>
  <c r="W109" i="19"/>
  <c r="B109" i="19" s="1"/>
  <c r="F110" i="19"/>
  <c r="I110" i="19"/>
  <c r="L110" i="19" s="1"/>
  <c r="N110" i="19" s="1"/>
  <c r="K110" i="19"/>
  <c r="S110" i="19"/>
  <c r="W110" i="19"/>
  <c r="B110" i="19" s="1"/>
  <c r="F111" i="19"/>
  <c r="I111" i="19"/>
  <c r="L111" i="19" s="1"/>
  <c r="N111" i="19" s="1"/>
  <c r="K111" i="19"/>
  <c r="S111" i="19"/>
  <c r="W111" i="19"/>
  <c r="B111" i="19" s="1"/>
  <c r="F112" i="19"/>
  <c r="I112" i="19"/>
  <c r="L112" i="19" s="1"/>
  <c r="N112" i="19" s="1"/>
  <c r="K112" i="19"/>
  <c r="S112" i="19"/>
  <c r="W112" i="19"/>
  <c r="B112" i="19" s="1"/>
  <c r="F113" i="19"/>
  <c r="I113" i="19"/>
  <c r="L113" i="19" s="1"/>
  <c r="N113" i="19" s="1"/>
  <c r="K113" i="19"/>
  <c r="S113" i="19"/>
  <c r="W113" i="19"/>
  <c r="B113" i="19" s="1"/>
  <c r="F114" i="19"/>
  <c r="I114" i="19"/>
  <c r="L114" i="19" s="1"/>
  <c r="N114" i="19" s="1"/>
  <c r="K114" i="19"/>
  <c r="S114" i="19"/>
  <c r="W114" i="19"/>
  <c r="B114" i="19" s="1"/>
  <c r="F115" i="19"/>
  <c r="I115" i="19"/>
  <c r="L115" i="19" s="1"/>
  <c r="N115" i="19" s="1"/>
  <c r="K115" i="19"/>
  <c r="S115" i="19"/>
  <c r="W115" i="19"/>
  <c r="B115" i="19" s="1"/>
  <c r="F116" i="19"/>
  <c r="I116" i="19"/>
  <c r="L116" i="19" s="1"/>
  <c r="N116" i="19" s="1"/>
  <c r="K116" i="19"/>
  <c r="S116" i="19"/>
  <c r="W116" i="19"/>
  <c r="B116" i="19" s="1"/>
  <c r="F117" i="19"/>
  <c r="I117" i="19"/>
  <c r="L117" i="19" s="1"/>
  <c r="N117" i="19" s="1"/>
  <c r="K117" i="19"/>
  <c r="S117" i="19"/>
  <c r="W117" i="19"/>
  <c r="B117" i="19" s="1"/>
  <c r="F118" i="19"/>
  <c r="I118" i="19"/>
  <c r="L118" i="19" s="1"/>
  <c r="N118" i="19" s="1"/>
  <c r="K118" i="19"/>
  <c r="S118" i="19"/>
  <c r="W118" i="19"/>
  <c r="B118" i="19" s="1"/>
  <c r="F119" i="19"/>
  <c r="I119" i="19"/>
  <c r="L119" i="19" s="1"/>
  <c r="N119" i="19" s="1"/>
  <c r="K119" i="19"/>
  <c r="S119" i="19"/>
  <c r="W119" i="19"/>
  <c r="B119" i="19" s="1"/>
  <c r="F120" i="19"/>
  <c r="I120" i="19"/>
  <c r="L120" i="19" s="1"/>
  <c r="N120" i="19" s="1"/>
  <c r="K120" i="19"/>
  <c r="S120" i="19"/>
  <c r="W120" i="19"/>
  <c r="B120" i="19" s="1"/>
  <c r="F121" i="19"/>
  <c r="I121" i="19"/>
  <c r="L121" i="19" s="1"/>
  <c r="N121" i="19" s="1"/>
  <c r="K121" i="19"/>
  <c r="S121" i="19"/>
  <c r="W121" i="19"/>
  <c r="B121" i="19" s="1"/>
  <c r="F122" i="19"/>
  <c r="I122" i="19"/>
  <c r="L122" i="19" s="1"/>
  <c r="N122" i="19" s="1"/>
  <c r="K122" i="19"/>
  <c r="S122" i="19"/>
  <c r="W122" i="19"/>
  <c r="B122" i="19" s="1"/>
  <c r="F123" i="19"/>
  <c r="I123" i="19"/>
  <c r="L123" i="19" s="1"/>
  <c r="N123" i="19" s="1"/>
  <c r="K123" i="19"/>
  <c r="S123" i="19"/>
  <c r="W123" i="19"/>
  <c r="B123" i="19" s="1"/>
  <c r="F124" i="19"/>
  <c r="I124" i="19"/>
  <c r="L124" i="19" s="1"/>
  <c r="N124" i="19" s="1"/>
  <c r="K124" i="19"/>
  <c r="S124" i="19"/>
  <c r="W124" i="19"/>
  <c r="B124" i="19" s="1"/>
  <c r="F125" i="19"/>
  <c r="I125" i="19"/>
  <c r="L125" i="19" s="1"/>
  <c r="N125" i="19" s="1"/>
  <c r="K125" i="19"/>
  <c r="S125" i="19"/>
  <c r="W125" i="19"/>
  <c r="B125" i="19" s="1"/>
  <c r="F126" i="19"/>
  <c r="I126" i="19"/>
  <c r="L126" i="19" s="1"/>
  <c r="N126" i="19" s="1"/>
  <c r="K126" i="19"/>
  <c r="S126" i="19"/>
  <c r="W126" i="19"/>
  <c r="B126" i="19" s="1"/>
  <c r="F127" i="19"/>
  <c r="I127" i="19"/>
  <c r="L127" i="19" s="1"/>
  <c r="N127" i="19" s="1"/>
  <c r="K127" i="19"/>
  <c r="S127" i="19"/>
  <c r="W127" i="19"/>
  <c r="B127" i="19" s="1"/>
  <c r="F128" i="19"/>
  <c r="I128" i="19"/>
  <c r="L128" i="19" s="1"/>
  <c r="N128" i="19" s="1"/>
  <c r="K128" i="19"/>
  <c r="S128" i="19"/>
  <c r="W128" i="19"/>
  <c r="B128" i="19" s="1"/>
  <c r="F129" i="19"/>
  <c r="I129" i="19"/>
  <c r="L129" i="19" s="1"/>
  <c r="N129" i="19" s="1"/>
  <c r="K129" i="19"/>
  <c r="S129" i="19"/>
  <c r="W129" i="19"/>
  <c r="B129" i="19" s="1"/>
  <c r="F130" i="19"/>
  <c r="I130" i="19"/>
  <c r="L130" i="19" s="1"/>
  <c r="N130" i="19" s="1"/>
  <c r="K130" i="19"/>
  <c r="O130" i="19" s="1"/>
  <c r="U130" i="19" s="1"/>
  <c r="S130" i="19"/>
  <c r="W130" i="19"/>
  <c r="B130" i="19" s="1"/>
  <c r="F131" i="19"/>
  <c r="I131" i="19"/>
  <c r="L131" i="19" s="1"/>
  <c r="N131" i="19" s="1"/>
  <c r="K131" i="19"/>
  <c r="S131" i="19"/>
  <c r="W131" i="19"/>
  <c r="B131" i="19" s="1"/>
  <c r="F132" i="19"/>
  <c r="I132" i="19"/>
  <c r="L132" i="19" s="1"/>
  <c r="N132" i="19" s="1"/>
  <c r="K132" i="19"/>
  <c r="S132" i="19"/>
  <c r="W132" i="19"/>
  <c r="B132" i="19" s="1"/>
  <c r="F133" i="19"/>
  <c r="I133" i="19"/>
  <c r="L133" i="19" s="1"/>
  <c r="N133" i="19" s="1"/>
  <c r="K133" i="19"/>
  <c r="S133" i="19"/>
  <c r="W133" i="19"/>
  <c r="B133" i="19" s="1"/>
  <c r="F134" i="19"/>
  <c r="I134" i="19"/>
  <c r="K134" i="19"/>
  <c r="L134" i="19"/>
  <c r="N134" i="19" s="1"/>
  <c r="S134" i="19"/>
  <c r="W134" i="19"/>
  <c r="B134" i="19" s="1"/>
  <c r="F135" i="19"/>
  <c r="I135" i="19"/>
  <c r="L135" i="19" s="1"/>
  <c r="N135" i="19" s="1"/>
  <c r="K135" i="19"/>
  <c r="S135" i="19"/>
  <c r="W135" i="19"/>
  <c r="B135" i="19" s="1"/>
  <c r="F136" i="19"/>
  <c r="I136" i="19"/>
  <c r="L136" i="19" s="1"/>
  <c r="N136" i="19" s="1"/>
  <c r="K136" i="19"/>
  <c r="S136" i="19"/>
  <c r="W136" i="19"/>
  <c r="B136" i="19" s="1"/>
  <c r="F137" i="19"/>
  <c r="I137" i="19"/>
  <c r="L137" i="19" s="1"/>
  <c r="N137" i="19" s="1"/>
  <c r="K137" i="19"/>
  <c r="S137" i="19"/>
  <c r="W137" i="19"/>
  <c r="B137" i="19" s="1"/>
  <c r="F138" i="19"/>
  <c r="I138" i="19"/>
  <c r="L138" i="19" s="1"/>
  <c r="N138" i="19" s="1"/>
  <c r="K138" i="19"/>
  <c r="O138" i="19" s="1"/>
  <c r="U138" i="19" s="1"/>
  <c r="S138" i="19"/>
  <c r="W138" i="19"/>
  <c r="B138" i="19" s="1"/>
  <c r="F139" i="19"/>
  <c r="I139" i="19"/>
  <c r="L139" i="19" s="1"/>
  <c r="N139" i="19" s="1"/>
  <c r="K139" i="19"/>
  <c r="S139" i="19"/>
  <c r="W139" i="19"/>
  <c r="B139" i="19" s="1"/>
  <c r="F140" i="19"/>
  <c r="I140" i="19"/>
  <c r="L140" i="19" s="1"/>
  <c r="N140" i="19" s="1"/>
  <c r="K140" i="19"/>
  <c r="S140" i="19"/>
  <c r="W140" i="19"/>
  <c r="B140" i="19" s="1"/>
  <c r="F141" i="19"/>
  <c r="I141" i="19"/>
  <c r="L141" i="19" s="1"/>
  <c r="N141" i="19" s="1"/>
  <c r="K141" i="19"/>
  <c r="O141" i="19" s="1"/>
  <c r="S141" i="19"/>
  <c r="W141" i="19"/>
  <c r="B141" i="19" s="1"/>
  <c r="F142" i="19"/>
  <c r="I142" i="19"/>
  <c r="L142" i="19" s="1"/>
  <c r="N142" i="19" s="1"/>
  <c r="K142" i="19"/>
  <c r="S142" i="19"/>
  <c r="W142" i="19"/>
  <c r="B142" i="19" s="1"/>
  <c r="F143" i="19"/>
  <c r="I143" i="19"/>
  <c r="L143" i="19" s="1"/>
  <c r="N143" i="19" s="1"/>
  <c r="K143" i="19"/>
  <c r="S143" i="19"/>
  <c r="W143" i="19"/>
  <c r="B143" i="19" s="1"/>
  <c r="F144" i="19"/>
  <c r="I144" i="19"/>
  <c r="L144" i="19" s="1"/>
  <c r="N144" i="19" s="1"/>
  <c r="K144" i="19"/>
  <c r="S144" i="19"/>
  <c r="W144" i="19"/>
  <c r="B144" i="19" s="1"/>
  <c r="F145" i="19"/>
  <c r="I145" i="19"/>
  <c r="L145" i="19" s="1"/>
  <c r="N145" i="19" s="1"/>
  <c r="K145" i="19"/>
  <c r="S145" i="19"/>
  <c r="W145" i="19"/>
  <c r="B145" i="19" s="1"/>
  <c r="F146" i="19"/>
  <c r="I146" i="19"/>
  <c r="L146" i="19" s="1"/>
  <c r="N146" i="19" s="1"/>
  <c r="K146" i="19"/>
  <c r="S146" i="19"/>
  <c r="W146" i="19"/>
  <c r="B146" i="19" s="1"/>
  <c r="F147" i="19"/>
  <c r="I147" i="19"/>
  <c r="L147" i="19" s="1"/>
  <c r="N147" i="19" s="1"/>
  <c r="K147" i="19"/>
  <c r="S147" i="19"/>
  <c r="W147" i="19"/>
  <c r="B147" i="19" s="1"/>
  <c r="F148" i="19"/>
  <c r="I148" i="19"/>
  <c r="L148" i="19" s="1"/>
  <c r="N148" i="19" s="1"/>
  <c r="K148" i="19"/>
  <c r="S148" i="19"/>
  <c r="W148" i="19"/>
  <c r="B148" i="19" s="1"/>
  <c r="F149" i="19"/>
  <c r="I149" i="19"/>
  <c r="L149" i="19" s="1"/>
  <c r="N149" i="19" s="1"/>
  <c r="K149" i="19"/>
  <c r="S149" i="19"/>
  <c r="W149" i="19"/>
  <c r="B149" i="19" s="1"/>
  <c r="F150" i="19"/>
  <c r="I150" i="19"/>
  <c r="L150" i="19" s="1"/>
  <c r="N150" i="19" s="1"/>
  <c r="K150" i="19"/>
  <c r="S150" i="19"/>
  <c r="W150" i="19"/>
  <c r="B150" i="19" s="1"/>
  <c r="F151" i="19"/>
  <c r="I151" i="19"/>
  <c r="L151" i="19" s="1"/>
  <c r="N151" i="19" s="1"/>
  <c r="K151" i="19"/>
  <c r="S151" i="19"/>
  <c r="W151" i="19"/>
  <c r="B151" i="19" s="1"/>
  <c r="F152" i="19"/>
  <c r="I152" i="19"/>
  <c r="L152" i="19" s="1"/>
  <c r="N152" i="19" s="1"/>
  <c r="K152" i="19"/>
  <c r="S152" i="19"/>
  <c r="W152" i="19"/>
  <c r="B152" i="19" s="1"/>
  <c r="F153" i="19"/>
  <c r="I153" i="19"/>
  <c r="L153" i="19" s="1"/>
  <c r="N153" i="19" s="1"/>
  <c r="K153" i="19"/>
  <c r="O153" i="19" s="1"/>
  <c r="S153" i="19"/>
  <c r="W153" i="19"/>
  <c r="B153" i="19" s="1"/>
  <c r="F154" i="19"/>
  <c r="I154" i="19"/>
  <c r="L154" i="19" s="1"/>
  <c r="N154" i="19" s="1"/>
  <c r="K154" i="19"/>
  <c r="S154" i="19"/>
  <c r="W154" i="19"/>
  <c r="B154" i="19" s="1"/>
  <c r="F155" i="19"/>
  <c r="I155" i="19"/>
  <c r="L155" i="19" s="1"/>
  <c r="N155" i="19" s="1"/>
  <c r="K155" i="19"/>
  <c r="S155" i="19"/>
  <c r="W155" i="19"/>
  <c r="B155" i="19" s="1"/>
  <c r="AD1846" i="18" l="1"/>
  <c r="AD1724" i="18"/>
  <c r="AD1662" i="18"/>
  <c r="AD1654" i="18"/>
  <c r="AD1646" i="18"/>
  <c r="AD1638" i="18"/>
  <c r="AD1630" i="18"/>
  <c r="AD1622" i="18"/>
  <c r="AD1614" i="18"/>
  <c r="AD1606" i="18"/>
  <c r="AD1598" i="18"/>
  <c r="AD1590" i="18"/>
  <c r="AD1582" i="18"/>
  <c r="AD1576" i="18"/>
  <c r="AD1560" i="18"/>
  <c r="AD1544" i="18"/>
  <c r="AD1528" i="18"/>
  <c r="AD1512" i="18"/>
  <c r="AD1485" i="18"/>
  <c r="O92" i="19"/>
  <c r="O26" i="19"/>
  <c r="O10" i="19"/>
  <c r="U10" i="19" s="1"/>
  <c r="O7" i="19"/>
  <c r="T7" i="19" s="1"/>
  <c r="O114" i="19"/>
  <c r="U114" i="19" s="1"/>
  <c r="O13" i="19"/>
  <c r="AD1830" i="18"/>
  <c r="AD1708" i="18"/>
  <c r="AD1664" i="18"/>
  <c r="AD1656" i="18"/>
  <c r="AD1648" i="18"/>
  <c r="AD1640" i="18"/>
  <c r="AD1632" i="18"/>
  <c r="AD1624" i="18"/>
  <c r="AD1616" i="18"/>
  <c r="AD1608" i="18"/>
  <c r="AD1600" i="18"/>
  <c r="AD1592" i="18"/>
  <c r="AD1584" i="18"/>
  <c r="AD1572" i="18"/>
  <c r="AD1556" i="18"/>
  <c r="AD1540" i="18"/>
  <c r="AD1524" i="18"/>
  <c r="AD1508" i="18"/>
  <c r="AD1453" i="18"/>
  <c r="AD1174" i="18"/>
  <c r="O135" i="19"/>
  <c r="O155" i="19"/>
  <c r="O147" i="19"/>
  <c r="U147" i="19" s="1"/>
  <c r="O128" i="19"/>
  <c r="O85" i="19"/>
  <c r="T85" i="19" s="1"/>
  <c r="O36" i="19"/>
  <c r="AD1814" i="18"/>
  <c r="AD1692" i="18"/>
  <c r="AD1666" i="18"/>
  <c r="AD1658" i="18"/>
  <c r="AD1650" i="18"/>
  <c r="AD1642" i="18"/>
  <c r="AD1634" i="18"/>
  <c r="AD1626" i="18"/>
  <c r="AD1618" i="18"/>
  <c r="AD1610" i="18"/>
  <c r="AD1602" i="18"/>
  <c r="AD1594" i="18"/>
  <c r="AD1586" i="18"/>
  <c r="AD1568" i="18"/>
  <c r="AD1552" i="18"/>
  <c r="AD1536" i="18"/>
  <c r="AD1520" i="18"/>
  <c r="AD1504" i="18"/>
  <c r="AD1421" i="18"/>
  <c r="AD1862" i="18"/>
  <c r="AD1798" i="18"/>
  <c r="AD1769" i="18"/>
  <c r="AD1740" i="18"/>
  <c r="AD1676" i="18"/>
  <c r="AD1660" i="18"/>
  <c r="AD1652" i="18"/>
  <c r="AD1644" i="18"/>
  <c r="AD1636" i="18"/>
  <c r="AD1628" i="18"/>
  <c r="AD1620" i="18"/>
  <c r="AD1612" i="18"/>
  <c r="AD1604" i="18"/>
  <c r="AD1596" i="18"/>
  <c r="AD1588" i="18"/>
  <c r="AD1580" i="18"/>
  <c r="AD1564" i="18"/>
  <c r="AD1548" i="18"/>
  <c r="AD1532" i="18"/>
  <c r="AD1516" i="18"/>
  <c r="AD1389" i="18"/>
  <c r="AD1861" i="18"/>
  <c r="AD1845" i="18"/>
  <c r="AD1829" i="18"/>
  <c r="AD1813" i="18"/>
  <c r="AD1797" i="18"/>
  <c r="AD1763" i="18"/>
  <c r="AD1739" i="18"/>
  <c r="AD1723" i="18"/>
  <c r="AD1707" i="18"/>
  <c r="AD1691" i="18"/>
  <c r="AD1675" i="18"/>
  <c r="AC1471" i="18"/>
  <c r="AD1471" i="18"/>
  <c r="AC1407" i="18"/>
  <c r="AD1407" i="18"/>
  <c r="AD1853" i="18"/>
  <c r="AD1837" i="18"/>
  <c r="AD1821" i="18"/>
  <c r="AD1805" i="18"/>
  <c r="AD1779" i="18"/>
  <c r="AD1747" i="18"/>
  <c r="AD1731" i="18"/>
  <c r="AD1715" i="18"/>
  <c r="AD1699" i="18"/>
  <c r="AD1683" i="18"/>
  <c r="AD1667" i="18"/>
  <c r="AD1578" i="18"/>
  <c r="AD1574" i="18"/>
  <c r="AD1570" i="18"/>
  <c r="AD1566" i="18"/>
  <c r="AD1562" i="18"/>
  <c r="AD1558" i="18"/>
  <c r="AD1554" i="18"/>
  <c r="AD1550" i="18"/>
  <c r="AD1546" i="18"/>
  <c r="AD1542" i="18"/>
  <c r="AD1538" i="18"/>
  <c r="AD1534" i="18"/>
  <c r="AD1530" i="18"/>
  <c r="AD1526" i="18"/>
  <c r="AD1522" i="18"/>
  <c r="AD1518" i="18"/>
  <c r="AD1514" i="18"/>
  <c r="AD1510" i="18"/>
  <c r="AD1506" i="18"/>
  <c r="AC1439" i="18"/>
  <c r="AD1439" i="18"/>
  <c r="AC1375" i="18"/>
  <c r="AD1375" i="18"/>
  <c r="AD1579" i="18"/>
  <c r="AD1575" i="18"/>
  <c r="AD1571" i="18"/>
  <c r="AD1567" i="18"/>
  <c r="AD1563" i="18"/>
  <c r="AD1559" i="18"/>
  <c r="AD1555" i="18"/>
  <c r="AD1551" i="18"/>
  <c r="AD1547" i="18"/>
  <c r="AD1543" i="18"/>
  <c r="AD1539" i="18"/>
  <c r="AD1535" i="18"/>
  <c r="AD1531" i="18"/>
  <c r="AD1527" i="18"/>
  <c r="AD1523" i="18"/>
  <c r="AD1519" i="18"/>
  <c r="AD1515" i="18"/>
  <c r="AD1511" i="18"/>
  <c r="AD1507" i="18"/>
  <c r="AD1503" i="18"/>
  <c r="AD1286" i="18"/>
  <c r="AD612" i="18"/>
  <c r="AD1501" i="18"/>
  <c r="AD1469" i="18"/>
  <c r="AD1437" i="18"/>
  <c r="AD1405" i="18"/>
  <c r="AD1373" i="18"/>
  <c r="AD731" i="18"/>
  <c r="AC560" i="18"/>
  <c r="AD1857" i="18"/>
  <c r="AD1833" i="18"/>
  <c r="AD1817" i="18"/>
  <c r="AD1809" i="18"/>
  <c r="AD1793" i="18"/>
  <c r="AD1735" i="18"/>
  <c r="AD1727" i="18"/>
  <c r="AD1719" i="18"/>
  <c r="AD1711" i="18"/>
  <c r="AD1703" i="18"/>
  <c r="AD1695" i="18"/>
  <c r="AD1687" i="18"/>
  <c r="AD1679" i="18"/>
  <c r="AD1671" i="18"/>
  <c r="AD1495" i="18"/>
  <c r="AD1479" i="18"/>
  <c r="AD1463" i="18"/>
  <c r="AD1447" i="18"/>
  <c r="AD1431" i="18"/>
  <c r="AD1415" i="18"/>
  <c r="AD1399" i="18"/>
  <c r="AD1383" i="18"/>
  <c r="AD1363" i="18"/>
  <c r="AD1232" i="18"/>
  <c r="AD1114" i="18"/>
  <c r="AD764" i="18"/>
  <c r="AD707" i="18"/>
  <c r="AC538" i="18"/>
  <c r="AD1849" i="18"/>
  <c r="AD1841" i="18"/>
  <c r="AD1825" i="18"/>
  <c r="AD1801" i="18"/>
  <c r="AD1777" i="18"/>
  <c r="AD1761" i="18"/>
  <c r="AD1745" i="18"/>
  <c r="AD1858" i="18"/>
  <c r="AD1850" i="18"/>
  <c r="AD1842" i="18"/>
  <c r="AD1834" i="18"/>
  <c r="AD1826" i="18"/>
  <c r="AD1818" i="18"/>
  <c r="AD1810" i="18"/>
  <c r="AD1802" i="18"/>
  <c r="AD1794" i="18"/>
  <c r="AD1787" i="18"/>
  <c r="AD1771" i="18"/>
  <c r="AD1755" i="18"/>
  <c r="AD1736" i="18"/>
  <c r="AD1728" i="18"/>
  <c r="AD1720" i="18"/>
  <c r="AD1712" i="18"/>
  <c r="AD1704" i="18"/>
  <c r="AD1696" i="18"/>
  <c r="AD1688" i="18"/>
  <c r="AD1680" i="18"/>
  <c r="AD1672" i="18"/>
  <c r="AD1493" i="18"/>
  <c r="AD1477" i="18"/>
  <c r="AD1461" i="18"/>
  <c r="AD1445" i="18"/>
  <c r="AD1429" i="18"/>
  <c r="AD1413" i="18"/>
  <c r="AD1397" i="18"/>
  <c r="AD1381" i="18"/>
  <c r="AD1163" i="18"/>
  <c r="AD1102" i="18"/>
  <c r="AD855" i="18"/>
  <c r="AC602" i="18"/>
  <c r="AD456" i="18"/>
  <c r="AD906" i="18"/>
  <c r="AD609" i="18"/>
  <c r="AC582" i="18"/>
  <c r="AD336" i="18"/>
  <c r="AD1863" i="18"/>
  <c r="AD1859" i="18"/>
  <c r="AD1855" i="18"/>
  <c r="AD1851" i="18"/>
  <c r="AD1847" i="18"/>
  <c r="AD1843" i="18"/>
  <c r="AD1839" i="18"/>
  <c r="AD1835" i="18"/>
  <c r="AD1831" i="18"/>
  <c r="AD1827" i="18"/>
  <c r="AD1823" i="18"/>
  <c r="AD1819" i="18"/>
  <c r="AD1815" i="18"/>
  <c r="AD1811" i="18"/>
  <c r="AD1807" i="18"/>
  <c r="AD1803" i="18"/>
  <c r="AD1799" i="18"/>
  <c r="AD1795" i="18"/>
  <c r="AD1791" i="18"/>
  <c r="AD1783" i="18"/>
  <c r="AD1775" i="18"/>
  <c r="AD1767" i="18"/>
  <c r="AD1759" i="18"/>
  <c r="AD1751" i="18"/>
  <c r="AD1741" i="18"/>
  <c r="AD1737" i="18"/>
  <c r="AD1733" i="18"/>
  <c r="AD1729" i="18"/>
  <c r="AD1725" i="18"/>
  <c r="AD1721" i="18"/>
  <c r="AD1717" i="18"/>
  <c r="AD1713" i="18"/>
  <c r="AD1709" i="18"/>
  <c r="AD1705" i="18"/>
  <c r="AD1701" i="18"/>
  <c r="AD1697" i="18"/>
  <c r="AD1693" i="18"/>
  <c r="AD1689" i="18"/>
  <c r="AD1685" i="18"/>
  <c r="AD1681" i="18"/>
  <c r="AD1677" i="18"/>
  <c r="AD1673" i="18"/>
  <c r="AD1669" i="18"/>
  <c r="AD1499" i="18"/>
  <c r="AD1491" i="18"/>
  <c r="AD1483" i="18"/>
  <c r="AD1475" i="18"/>
  <c r="AD1467" i="18"/>
  <c r="AD1459" i="18"/>
  <c r="AD1451" i="18"/>
  <c r="AD1443" i="18"/>
  <c r="AD1435" i="18"/>
  <c r="AD1427" i="18"/>
  <c r="AD1419" i="18"/>
  <c r="AD1411" i="18"/>
  <c r="AD1403" i="18"/>
  <c r="AD1395" i="18"/>
  <c r="AD1387" i="18"/>
  <c r="AD1379" i="18"/>
  <c r="AD1371" i="18"/>
  <c r="AD1222" i="18"/>
  <c r="AD1179" i="18"/>
  <c r="AD1168" i="18"/>
  <c r="AD1038" i="18"/>
  <c r="AD919" i="18"/>
  <c r="AD874" i="18"/>
  <c r="AD827" i="18"/>
  <c r="AD659" i="18"/>
  <c r="AD610" i="18"/>
  <c r="AC586" i="18"/>
  <c r="AC544" i="18"/>
  <c r="AD481" i="18"/>
  <c r="AD400" i="18"/>
  <c r="AD269" i="18"/>
  <c r="AD1864" i="18"/>
  <c r="AD1860" i="18"/>
  <c r="AD1856" i="18"/>
  <c r="AD1852" i="18"/>
  <c r="AD1848" i="18"/>
  <c r="AD1844" i="18"/>
  <c r="AD1840" i="18"/>
  <c r="AD1836" i="18"/>
  <c r="AD1832" i="18"/>
  <c r="AD1828" i="18"/>
  <c r="AD1824" i="18"/>
  <c r="AD1820" i="18"/>
  <c r="AD1816" i="18"/>
  <c r="AD1812" i="18"/>
  <c r="AD1808" i="18"/>
  <c r="AD1804" i="18"/>
  <c r="AD1800" i="18"/>
  <c r="AD1796" i="18"/>
  <c r="AD1792" i="18"/>
  <c r="AD1789" i="18"/>
  <c r="AD1781" i="18"/>
  <c r="AD1773" i="18"/>
  <c r="AD1765" i="18"/>
  <c r="AD1757" i="18"/>
  <c r="AD1749" i="18"/>
  <c r="AD1738" i="18"/>
  <c r="AD1734" i="18"/>
  <c r="AD1730" i="18"/>
  <c r="AD1726" i="18"/>
  <c r="AD1722" i="18"/>
  <c r="AD1718" i="18"/>
  <c r="AD1714" i="18"/>
  <c r="AD1710" i="18"/>
  <c r="AD1706" i="18"/>
  <c r="AD1702" i="18"/>
  <c r="AD1698" i="18"/>
  <c r="AD1694" i="18"/>
  <c r="AD1690" i="18"/>
  <c r="AD1686" i="18"/>
  <c r="AD1682" i="18"/>
  <c r="AD1678" i="18"/>
  <c r="AD1674" i="18"/>
  <c r="AD1670" i="18"/>
  <c r="AD1497" i="18"/>
  <c r="AD1489" i="18"/>
  <c r="AD1481" i="18"/>
  <c r="AD1473" i="18"/>
  <c r="AD1465" i="18"/>
  <c r="AD1457" i="18"/>
  <c r="AD1449" i="18"/>
  <c r="AD1441" i="18"/>
  <c r="AD1433" i="18"/>
  <c r="AD1425" i="18"/>
  <c r="AD1417" i="18"/>
  <c r="AD1409" i="18"/>
  <c r="AD1401" i="18"/>
  <c r="AD1393" i="18"/>
  <c r="AD1385" i="18"/>
  <c r="AD1377" i="18"/>
  <c r="AD1369" i="18"/>
  <c r="AD1350" i="18"/>
  <c r="AD1002" i="18"/>
  <c r="AC608" i="18"/>
  <c r="AC566" i="18"/>
  <c r="AD1865" i="18"/>
  <c r="AD1788" i="18"/>
  <c r="AD1784" i="18"/>
  <c r="AD1780" i="18"/>
  <c r="AD1776" i="18"/>
  <c r="AD1772" i="18"/>
  <c r="AD1768" i="18"/>
  <c r="AD1764" i="18"/>
  <c r="AD1760" i="18"/>
  <c r="AD1756" i="18"/>
  <c r="AD1752" i="18"/>
  <c r="AD1748" i="18"/>
  <c r="AD1744" i="18"/>
  <c r="AD1790" i="18"/>
  <c r="AD1786" i="18"/>
  <c r="AD1782" i="18"/>
  <c r="AD1778" i="18"/>
  <c r="AD1774" i="18"/>
  <c r="AD1770" i="18"/>
  <c r="AD1766" i="18"/>
  <c r="AD1762" i="18"/>
  <c r="AD1758" i="18"/>
  <c r="AD1754" i="18"/>
  <c r="AD1750" i="18"/>
  <c r="AD1746" i="18"/>
  <c r="AD1742" i="18"/>
  <c r="AD1743" i="18"/>
  <c r="AD1500" i="18"/>
  <c r="AD1496" i="18"/>
  <c r="AD1492" i="18"/>
  <c r="AD1488" i="18"/>
  <c r="AD1484" i="18"/>
  <c r="AD1480" i="18"/>
  <c r="AD1476" i="18"/>
  <c r="AD1472" i="18"/>
  <c r="AD1468" i="18"/>
  <c r="AD1464" i="18"/>
  <c r="AD1460" i="18"/>
  <c r="AD1456" i="18"/>
  <c r="AD1452" i="18"/>
  <c r="AD1448" i="18"/>
  <c r="AD1444" i="18"/>
  <c r="AD1440" i="18"/>
  <c r="AD1436" i="18"/>
  <c r="AD1432" i="18"/>
  <c r="AD1428" i="18"/>
  <c r="AD1424" i="18"/>
  <c r="AD1420" i="18"/>
  <c r="AD1416" i="18"/>
  <c r="AD1412" i="18"/>
  <c r="AD1408" i="18"/>
  <c r="AD1404" i="18"/>
  <c r="AD1400" i="18"/>
  <c r="AD1396" i="18"/>
  <c r="AD1392" i="18"/>
  <c r="AD1388" i="18"/>
  <c r="AD1384" i="18"/>
  <c r="AD1380" i="18"/>
  <c r="AD1376" i="18"/>
  <c r="AD1372" i="18"/>
  <c r="AD1368" i="18"/>
  <c r="AC1312" i="18"/>
  <c r="AD1312" i="18"/>
  <c r="AD1502" i="18"/>
  <c r="AD1498" i="18"/>
  <c r="AD1494" i="18"/>
  <c r="AD1490" i="18"/>
  <c r="AD1486" i="18"/>
  <c r="AD1482" i="18"/>
  <c r="AD1478" i="18"/>
  <c r="AD1474" i="18"/>
  <c r="AD1470" i="18"/>
  <c r="AD1466" i="18"/>
  <c r="AD1462" i="18"/>
  <c r="AD1458" i="18"/>
  <c r="AD1454" i="18"/>
  <c r="AD1450" i="18"/>
  <c r="AD1446" i="18"/>
  <c r="AD1442" i="18"/>
  <c r="AD1438" i="18"/>
  <c r="AD1434" i="18"/>
  <c r="AD1430" i="18"/>
  <c r="AD1426" i="18"/>
  <c r="AD1422" i="18"/>
  <c r="AD1418" i="18"/>
  <c r="AD1414" i="18"/>
  <c r="AD1410" i="18"/>
  <c r="AD1406" i="18"/>
  <c r="AD1402" i="18"/>
  <c r="AD1398" i="18"/>
  <c r="AD1394" i="18"/>
  <c r="AD1390" i="18"/>
  <c r="AD1386" i="18"/>
  <c r="AD1382" i="18"/>
  <c r="AD1378" i="18"/>
  <c r="AD1374" i="18"/>
  <c r="AD1370" i="18"/>
  <c r="AC1270" i="18"/>
  <c r="AD1270" i="18"/>
  <c r="AC598" i="18"/>
  <c r="AC576" i="18"/>
  <c r="AC554" i="18"/>
  <c r="AD532" i="18"/>
  <c r="AD521" i="18"/>
  <c r="AD1331" i="18"/>
  <c r="AD1302" i="18"/>
  <c r="AD1275" i="18"/>
  <c r="AD1248" i="18"/>
  <c r="AD1144" i="18"/>
  <c r="AD1054" i="18"/>
  <c r="AD887" i="18"/>
  <c r="AD787" i="18"/>
  <c r="AD675" i="18"/>
  <c r="AD632" i="18"/>
  <c r="AD611" i="18"/>
  <c r="AC592" i="18"/>
  <c r="AC570" i="18"/>
  <c r="AC550" i="18"/>
  <c r="AD528" i="18"/>
  <c r="AD499" i="18"/>
  <c r="AD464" i="18"/>
  <c r="AD1082" i="18"/>
  <c r="AD974" i="18"/>
  <c r="AD178" i="18"/>
  <c r="AD1366" i="18"/>
  <c r="AD1336" i="18"/>
  <c r="AD1291" i="18"/>
  <c r="AD1280" i="18"/>
  <c r="AD1206" i="18"/>
  <c r="AD1152" i="18"/>
  <c r="AD1106" i="18"/>
  <c r="AD1066" i="18"/>
  <c r="AD1034" i="18"/>
  <c r="AD978" i="18"/>
  <c r="AD882" i="18"/>
  <c r="AD859" i="18"/>
  <c r="AD850" i="18"/>
  <c r="AD755" i="18"/>
  <c r="AD716" i="18"/>
  <c r="AD689" i="18"/>
  <c r="AD643" i="18"/>
  <c r="AC603" i="18"/>
  <c r="AC593" i="18"/>
  <c r="AC583" i="18"/>
  <c r="AC571" i="18"/>
  <c r="AC561" i="18"/>
  <c r="AC551" i="18"/>
  <c r="AC539" i="18"/>
  <c r="AD529" i="18"/>
  <c r="AD467" i="18"/>
  <c r="AD368" i="18"/>
  <c r="AD293" i="18"/>
  <c r="AD1010" i="18"/>
  <c r="AD1358" i="18"/>
  <c r="AD1326" i="18"/>
  <c r="AD1307" i="18"/>
  <c r="AD1272" i="18"/>
  <c r="AD1267" i="18"/>
  <c r="AD1240" i="18"/>
  <c r="AD1227" i="18"/>
  <c r="AD1216" i="18"/>
  <c r="AD1176" i="18"/>
  <c r="AD1171" i="18"/>
  <c r="AD1166" i="18"/>
  <c r="AD1134" i="18"/>
  <c r="AD1086" i="18"/>
  <c r="AD1050" i="18"/>
  <c r="AD1006" i="18"/>
  <c r="AD946" i="18"/>
  <c r="AD911" i="18"/>
  <c r="AD890" i="18"/>
  <c r="AD788" i="18"/>
  <c r="AD783" i="18"/>
  <c r="AD671" i="18"/>
  <c r="AD623" i="18"/>
  <c r="AC599" i="18"/>
  <c r="AC587" i="18"/>
  <c r="AC577" i="18"/>
  <c r="AC567" i="18"/>
  <c r="AC555" i="18"/>
  <c r="AC545" i="18"/>
  <c r="AC535" i="18"/>
  <c r="AD525" i="18"/>
  <c r="AD508" i="18"/>
  <c r="AD487" i="18"/>
  <c r="AD461" i="18"/>
  <c r="AD432" i="18"/>
  <c r="AD261" i="18"/>
  <c r="AD162" i="18"/>
  <c r="AC1294" i="18"/>
  <c r="AD1294" i="18"/>
  <c r="AC1208" i="18"/>
  <c r="AD1208" i="18"/>
  <c r="AC1147" i="18"/>
  <c r="AD1147" i="18"/>
  <c r="AC1070" i="18"/>
  <c r="AD1070" i="18"/>
  <c r="AC954" i="18"/>
  <c r="AD954" i="18"/>
  <c r="AC807" i="18"/>
  <c r="AD807" i="18"/>
  <c r="AC692" i="18"/>
  <c r="AD692" i="18"/>
  <c r="AC655" i="18"/>
  <c r="AD655" i="18"/>
  <c r="AC628" i="18"/>
  <c r="AD628" i="18"/>
  <c r="AD600" i="18"/>
  <c r="AC600" i="18"/>
  <c r="AD590" i="18"/>
  <c r="AC590" i="18"/>
  <c r="AD578" i="18"/>
  <c r="AC578" i="18"/>
  <c r="AD568" i="18"/>
  <c r="AC568" i="18"/>
  <c r="AD558" i="18"/>
  <c r="AC558" i="18"/>
  <c r="AD546" i="18"/>
  <c r="AC546" i="18"/>
  <c r="AD536" i="18"/>
  <c r="AC536" i="18"/>
  <c r="AC501" i="18"/>
  <c r="AD501" i="18"/>
  <c r="AC482" i="18"/>
  <c r="AD482" i="18"/>
  <c r="AC465" i="18"/>
  <c r="AD465" i="18"/>
  <c r="AC360" i="18"/>
  <c r="AD360" i="18"/>
  <c r="AC285" i="18"/>
  <c r="AD285" i="18"/>
  <c r="AC190" i="18"/>
  <c r="AD190" i="18"/>
  <c r="AC1355" i="18"/>
  <c r="AD1355" i="18"/>
  <c r="AC1360" i="18"/>
  <c r="AD1360" i="18"/>
  <c r="AC1299" i="18"/>
  <c r="AD1299" i="18"/>
  <c r="AD1296" i="18"/>
  <c r="AC1238" i="18"/>
  <c r="AD1238" i="18"/>
  <c r="AD1235" i="18"/>
  <c r="AD1230" i="18"/>
  <c r="AC1158" i="18"/>
  <c r="AD1158" i="18"/>
  <c r="AC1098" i="18"/>
  <c r="AD1098" i="18"/>
  <c r="AD1074" i="18"/>
  <c r="AC986" i="18"/>
  <c r="AD986" i="18"/>
  <c r="AD970" i="18"/>
  <c r="AC839" i="18"/>
  <c r="AD839" i="18"/>
  <c r="AD828" i="18"/>
  <c r="AD823" i="18"/>
  <c r="AC739" i="18"/>
  <c r="AD739" i="18"/>
  <c r="AD732" i="18"/>
  <c r="AD727" i="18"/>
  <c r="AC667" i="18"/>
  <c r="AD667" i="18"/>
  <c r="AD660" i="18"/>
  <c r="AD657" i="18"/>
  <c r="AC517" i="18"/>
  <c r="AD517" i="18"/>
  <c r="AC506" i="18"/>
  <c r="AD506" i="18"/>
  <c r="AD503" i="18"/>
  <c r="AC491" i="18"/>
  <c r="AD491" i="18"/>
  <c r="AC468" i="18"/>
  <c r="AD468" i="18"/>
  <c r="AC452" i="18"/>
  <c r="AD452" i="18"/>
  <c r="AC328" i="18"/>
  <c r="AD328" i="18"/>
  <c r="AC1243" i="18"/>
  <c r="AD1243" i="18"/>
  <c r="AC1184" i="18"/>
  <c r="AD1184" i="18"/>
  <c r="AC1118" i="18"/>
  <c r="AD1118" i="18"/>
  <c r="AC1018" i="18"/>
  <c r="AD1018" i="18"/>
  <c r="AC895" i="18"/>
  <c r="AD895" i="18"/>
  <c r="AC699" i="18"/>
  <c r="AD699" i="18"/>
  <c r="AD606" i="18"/>
  <c r="AC606" i="18"/>
  <c r="AD594" i="18"/>
  <c r="AC594" i="18"/>
  <c r="AD584" i="18"/>
  <c r="AC584" i="18"/>
  <c r="AD574" i="18"/>
  <c r="AC574" i="18"/>
  <c r="AD562" i="18"/>
  <c r="AC562" i="18"/>
  <c r="AD552" i="18"/>
  <c r="AC552" i="18"/>
  <c r="AD542" i="18"/>
  <c r="AC542" i="18"/>
  <c r="AC530" i="18"/>
  <c r="AD530" i="18"/>
  <c r="AC500" i="18"/>
  <c r="AD500" i="18"/>
  <c r="AC485" i="18"/>
  <c r="AD485" i="18"/>
  <c r="AC424" i="18"/>
  <c r="AD424" i="18"/>
  <c r="AC253" i="18"/>
  <c r="AD253" i="18"/>
  <c r="AC1304" i="18"/>
  <c r="AD1304" i="18"/>
  <c r="AC1344" i="18"/>
  <c r="AD1344" i="18"/>
  <c r="AD1339" i="18"/>
  <c r="AD1334" i="18"/>
  <c r="AC1262" i="18"/>
  <c r="AD1262" i="18"/>
  <c r="AC1203" i="18"/>
  <c r="AD1203" i="18"/>
  <c r="AD1198" i="18"/>
  <c r="AC1142" i="18"/>
  <c r="AD1142" i="18"/>
  <c r="AD1139" i="18"/>
  <c r="AD1130" i="18"/>
  <c r="AC1042" i="18"/>
  <c r="AD1042" i="18"/>
  <c r="AD1022" i="18"/>
  <c r="AC927" i="18"/>
  <c r="AD927" i="18"/>
  <c r="AC687" i="18"/>
  <c r="AD687" i="18"/>
  <c r="AC523" i="18"/>
  <c r="AD523" i="18"/>
  <c r="AD522" i="18"/>
  <c r="AC514" i="18"/>
  <c r="AD514" i="18"/>
  <c r="AD513" i="18"/>
  <c r="AC488" i="18"/>
  <c r="AD488" i="18"/>
  <c r="AC392" i="18"/>
  <c r="AD392" i="18"/>
  <c r="AD174" i="18"/>
  <c r="AD158" i="18"/>
  <c r="AD495" i="18"/>
  <c r="AD492" i="18"/>
  <c r="AD489" i="18"/>
  <c r="AD483" i="18"/>
  <c r="AD479" i="18"/>
  <c r="AD474" i="18"/>
  <c r="AD471" i="18"/>
  <c r="AD446" i="18"/>
  <c r="AD416" i="18"/>
  <c r="AD384" i="18"/>
  <c r="AD352" i="18"/>
  <c r="AD320" i="18"/>
  <c r="AD309" i="18"/>
  <c r="AD277" i="18"/>
  <c r="AD245" i="18"/>
  <c r="AD226" i="18"/>
  <c r="AD197" i="18"/>
  <c r="AD186" i="18"/>
  <c r="AD170" i="18"/>
  <c r="AD154" i="18"/>
  <c r="AD759" i="18"/>
  <c r="AD748" i="18"/>
  <c r="AD711" i="18"/>
  <c r="AD700" i="18"/>
  <c r="AD695" i="18"/>
  <c r="AD679" i="18"/>
  <c r="AD647" i="18"/>
  <c r="AD636" i="18"/>
  <c r="AD631" i="18"/>
  <c r="AC607" i="18"/>
  <c r="AC601" i="18"/>
  <c r="AC595" i="18"/>
  <c r="AC591" i="18"/>
  <c r="AC585" i="18"/>
  <c r="AC579" i="18"/>
  <c r="AC575" i="18"/>
  <c r="AC569" i="18"/>
  <c r="AC563" i="18"/>
  <c r="AC559" i="18"/>
  <c r="AC553" i="18"/>
  <c r="AC547" i="18"/>
  <c r="AC543" i="18"/>
  <c r="AC537" i="18"/>
  <c r="AD531" i="18"/>
  <c r="AD527" i="18"/>
  <c r="AD524" i="18"/>
  <c r="AD520" i="18"/>
  <c r="AD515" i="18"/>
  <c r="AD507" i="18"/>
  <c r="AD496" i="18"/>
  <c r="AD493" i="18"/>
  <c r="AD480" i="18"/>
  <c r="AD475" i="18"/>
  <c r="AD472" i="18"/>
  <c r="AD463" i="18"/>
  <c r="AD460" i="18"/>
  <c r="AD440" i="18"/>
  <c r="AD408" i="18"/>
  <c r="AD376" i="18"/>
  <c r="AD344" i="18"/>
  <c r="AD312" i="18"/>
  <c r="AD301" i="18"/>
  <c r="AD237" i="18"/>
  <c r="AD210" i="18"/>
  <c r="AD182" i="18"/>
  <c r="AD166" i="18"/>
  <c r="AD150" i="18"/>
  <c r="AC526" i="18"/>
  <c r="AD526" i="18"/>
  <c r="AC462" i="18"/>
  <c r="AD462" i="18"/>
  <c r="AC448" i="18"/>
  <c r="AD448" i="18"/>
  <c r="AC422" i="18"/>
  <c r="AD422" i="18"/>
  <c r="AC358" i="18"/>
  <c r="AD358" i="18"/>
  <c r="O112" i="19"/>
  <c r="O12" i="19"/>
  <c r="AD1320" i="18"/>
  <c r="AD1315" i="18"/>
  <c r="AD1310" i="18"/>
  <c r="AD1256" i="18"/>
  <c r="AD1251" i="18"/>
  <c r="AD1246" i="18"/>
  <c r="AD1192" i="18"/>
  <c r="AD1187" i="18"/>
  <c r="AD1182" i="18"/>
  <c r="AD1110" i="18"/>
  <c r="AD1078" i="18"/>
  <c r="AD1046" i="18"/>
  <c r="AD1014" i="18"/>
  <c r="AD982" i="18"/>
  <c r="AD950" i="18"/>
  <c r="AD923" i="18"/>
  <c r="AD914" i="18"/>
  <c r="AD891" i="18"/>
  <c r="AD863" i="18"/>
  <c r="AD858" i="18"/>
  <c r="AD812" i="18"/>
  <c r="AD795" i="18"/>
  <c r="AD763" i="18"/>
  <c r="AC534" i="18"/>
  <c r="AD534" i="18"/>
  <c r="AC470" i="18"/>
  <c r="AD470" i="18"/>
  <c r="AC444" i="18"/>
  <c r="AD444" i="18"/>
  <c r="AC414" i="18"/>
  <c r="AD414" i="18"/>
  <c r="AC307" i="18"/>
  <c r="AD307" i="18"/>
  <c r="AC243" i="18"/>
  <c r="AD243" i="18"/>
  <c r="O115" i="19"/>
  <c r="T115" i="19" s="1"/>
  <c r="AD516" i="18"/>
  <c r="AD509" i="18"/>
  <c r="AC478" i="18"/>
  <c r="AD478" i="18"/>
  <c r="AD473" i="18"/>
  <c r="AD466" i="18"/>
  <c r="AC486" i="18"/>
  <c r="AD486" i="18"/>
  <c r="AC454" i="18"/>
  <c r="AD454" i="18"/>
  <c r="AC398" i="18"/>
  <c r="AD398" i="18"/>
  <c r="AC185" i="18"/>
  <c r="AD185" i="18"/>
  <c r="AC153" i="18"/>
  <c r="AD153" i="18"/>
  <c r="AC494" i="18"/>
  <c r="AD494" i="18"/>
  <c r="AC390" i="18"/>
  <c r="AD390" i="18"/>
  <c r="AC326" i="18"/>
  <c r="AD326" i="18"/>
  <c r="O16" i="19"/>
  <c r="AD1352" i="18"/>
  <c r="AD1347" i="18"/>
  <c r="AD1342" i="18"/>
  <c r="AD1288" i="18"/>
  <c r="AD1283" i="18"/>
  <c r="AD1278" i="18"/>
  <c r="AD1224" i="18"/>
  <c r="AD1219" i="18"/>
  <c r="AD1214" i="18"/>
  <c r="AD1160" i="18"/>
  <c r="AD1155" i="18"/>
  <c r="AD1150" i="18"/>
  <c r="AD1126" i="18"/>
  <c r="AD1094" i="18"/>
  <c r="AD1062" i="18"/>
  <c r="AD1030" i="18"/>
  <c r="AD998" i="18"/>
  <c r="AD966" i="18"/>
  <c r="AD939" i="18"/>
  <c r="AD930" i="18"/>
  <c r="AD898" i="18"/>
  <c r="AD879" i="18"/>
  <c r="AD842" i="18"/>
  <c r="AD819" i="18"/>
  <c r="AD756" i="18"/>
  <c r="AD751" i="18"/>
  <c r="AD723" i="18"/>
  <c r="AD663" i="18"/>
  <c r="AD639" i="18"/>
  <c r="AD619" i="18"/>
  <c r="AC604" i="18"/>
  <c r="AC596" i="18"/>
  <c r="AC588" i="18"/>
  <c r="AC580" i="18"/>
  <c r="AC572" i="18"/>
  <c r="AC564" i="18"/>
  <c r="AC556" i="18"/>
  <c r="AC548" i="18"/>
  <c r="AC540" i="18"/>
  <c r="AD533" i="18"/>
  <c r="AD511" i="18"/>
  <c r="AD504" i="18"/>
  <c r="AC502" i="18"/>
  <c r="AD502" i="18"/>
  <c r="AD497" i="18"/>
  <c r="AD490" i="18"/>
  <c r="AD476" i="18"/>
  <c r="AD469" i="18"/>
  <c r="O74" i="19"/>
  <c r="O77" i="19"/>
  <c r="T77" i="19" s="1"/>
  <c r="O69" i="19"/>
  <c r="T69" i="19" s="1"/>
  <c r="AD1328" i="18"/>
  <c r="AD1323" i="18"/>
  <c r="AD1318" i="18"/>
  <c r="AD1264" i="18"/>
  <c r="AD1259" i="18"/>
  <c r="AD1254" i="18"/>
  <c r="AD1200" i="18"/>
  <c r="AD1195" i="18"/>
  <c r="AD1190" i="18"/>
  <c r="AD1136" i="18"/>
  <c r="AD1122" i="18"/>
  <c r="AD1090" i="18"/>
  <c r="AD1058" i="18"/>
  <c r="AD1026" i="18"/>
  <c r="AD994" i="18"/>
  <c r="AD962" i="18"/>
  <c r="AD935" i="18"/>
  <c r="AD903" i="18"/>
  <c r="AD866" i="18"/>
  <c r="AD847" i="18"/>
  <c r="AD820" i="18"/>
  <c r="AD815" i="18"/>
  <c r="AD775" i="18"/>
  <c r="AD724" i="18"/>
  <c r="AD719" i="18"/>
  <c r="AD691" i="18"/>
  <c r="AD640" i="18"/>
  <c r="AD625" i="18"/>
  <c r="AD620" i="18"/>
  <c r="AD615" i="18"/>
  <c r="AC605" i="18"/>
  <c r="AC597" i="18"/>
  <c r="AC589" i="18"/>
  <c r="AC581" i="18"/>
  <c r="AC573" i="18"/>
  <c r="AC565" i="18"/>
  <c r="AC557" i="18"/>
  <c r="AC549" i="18"/>
  <c r="AC541" i="18"/>
  <c r="AD519" i="18"/>
  <c r="AD512" i="18"/>
  <c r="AC510" i="18"/>
  <c r="AD510" i="18"/>
  <c r="AD505" i="18"/>
  <c r="AD498" i="18"/>
  <c r="AD484" i="18"/>
  <c r="AD477" i="18"/>
  <c r="AC438" i="18"/>
  <c r="AD438" i="18"/>
  <c r="O136" i="19"/>
  <c r="O117" i="19"/>
  <c r="O89" i="19"/>
  <c r="T89" i="19" s="1"/>
  <c r="O80" i="19"/>
  <c r="O22" i="19"/>
  <c r="AD990" i="18"/>
  <c r="AD958" i="18"/>
  <c r="AD871" i="18"/>
  <c r="AD780" i="18"/>
  <c r="AD771" i="18"/>
  <c r="AD743" i="18"/>
  <c r="AC518" i="18"/>
  <c r="AD518" i="18"/>
  <c r="AC430" i="18"/>
  <c r="AD430" i="18"/>
  <c r="AC406" i="18"/>
  <c r="AD406" i="18"/>
  <c r="AC382" i="18"/>
  <c r="AD382" i="18"/>
  <c r="AC275" i="18"/>
  <c r="AD275" i="18"/>
  <c r="AC169" i="18"/>
  <c r="AD169" i="18"/>
  <c r="AD350" i="18"/>
  <c r="AD318" i="18"/>
  <c r="AD299" i="18"/>
  <c r="AD267" i="18"/>
  <c r="AD235" i="18"/>
  <c r="AD218" i="18"/>
  <c r="AD201" i="18"/>
  <c r="AD181" i="18"/>
  <c r="AD165" i="18"/>
  <c r="AD149" i="18"/>
  <c r="AD374" i="18"/>
  <c r="AD342" i="18"/>
  <c r="AD310" i="18"/>
  <c r="AD291" i="18"/>
  <c r="AD259" i="18"/>
  <c r="AD193" i="18"/>
  <c r="AD177" i="18"/>
  <c r="AD161" i="18"/>
  <c r="AD366" i="18"/>
  <c r="AD334" i="18"/>
  <c r="AD283" i="18"/>
  <c r="AD251" i="18"/>
  <c r="AD189" i="18"/>
  <c r="AD173" i="18"/>
  <c r="AD157" i="18"/>
  <c r="AD112" i="18"/>
  <c r="AD1362" i="18"/>
  <c r="AD1359" i="18"/>
  <c r="AD1356" i="18"/>
  <c r="AD1346" i="18"/>
  <c r="AD1343" i="18"/>
  <c r="AD1340" i="18"/>
  <c r="AD1330" i="18"/>
  <c r="AD1327" i="18"/>
  <c r="AD1324" i="18"/>
  <c r="AD1314" i="18"/>
  <c r="AD1311" i="18"/>
  <c r="AD1308" i="18"/>
  <c r="AD1298" i="18"/>
  <c r="AD1295" i="18"/>
  <c r="AD1292" i="18"/>
  <c r="AD1282" i="18"/>
  <c r="AD1279" i="18"/>
  <c r="AD1276" i="18"/>
  <c r="AD1266" i="18"/>
  <c r="AD1263" i="18"/>
  <c r="AD1260" i="18"/>
  <c r="AD1250" i="18"/>
  <c r="AD1247" i="18"/>
  <c r="AD1244" i="18"/>
  <c r="AD1234" i="18"/>
  <c r="AD1231" i="18"/>
  <c r="AD1228" i="18"/>
  <c r="AD1218" i="18"/>
  <c r="AD1215" i="18"/>
  <c r="AD1212" i="18"/>
  <c r="AD1202" i="18"/>
  <c r="AD1199" i="18"/>
  <c r="AD1196" i="18"/>
  <c r="AD1186" i="18"/>
  <c r="AD1183" i="18"/>
  <c r="AD1180" i="18"/>
  <c r="AD1170" i="18"/>
  <c r="AD1167" i="18"/>
  <c r="AD1164" i="18"/>
  <c r="AD1154" i="18"/>
  <c r="AD1151" i="18"/>
  <c r="AD1148" i="18"/>
  <c r="AD1138" i="18"/>
  <c r="AD1135" i="18"/>
  <c r="AD1127" i="18"/>
  <c r="AD1119" i="18"/>
  <c r="AD1111" i="18"/>
  <c r="AD1103" i="18"/>
  <c r="AD1095" i="18"/>
  <c r="AD1087" i="18"/>
  <c r="AD1079" i="18"/>
  <c r="AD1071" i="18"/>
  <c r="AD1063" i="18"/>
  <c r="AD1055" i="18"/>
  <c r="AD1047" i="18"/>
  <c r="AD1039" i="18"/>
  <c r="AD1031" i="18"/>
  <c r="AD1023" i="18"/>
  <c r="AD1015" i="18"/>
  <c r="AD1007" i="18"/>
  <c r="AD999" i="18"/>
  <c r="AD991" i="18"/>
  <c r="AD983" i="18"/>
  <c r="AD975" i="18"/>
  <c r="AD967" i="18"/>
  <c r="AD959" i="18"/>
  <c r="AD951" i="18"/>
  <c r="AD943" i="18"/>
  <c r="AD938" i="18"/>
  <c r="AC934" i="18"/>
  <c r="AD934" i="18"/>
  <c r="AD931" i="18"/>
  <c r="AC902" i="18"/>
  <c r="AD902" i="18"/>
  <c r="AD899" i="18"/>
  <c r="AC870" i="18"/>
  <c r="AD870" i="18"/>
  <c r="AD867" i="18"/>
  <c r="AC836" i="18"/>
  <c r="AD836" i="18"/>
  <c r="AD835" i="18"/>
  <c r="AC799" i="18"/>
  <c r="AD799" i="18"/>
  <c r="AD796" i="18"/>
  <c r="AD791" i="18"/>
  <c r="O88" i="19"/>
  <c r="O86" i="19"/>
  <c r="O25" i="19"/>
  <c r="AC942" i="18"/>
  <c r="AD942" i="18"/>
  <c r="AC910" i="18"/>
  <c r="AD910" i="18"/>
  <c r="AD907" i="18"/>
  <c r="AC878" i="18"/>
  <c r="AD878" i="18"/>
  <c r="AD875" i="18"/>
  <c r="AC846" i="18"/>
  <c r="AD846" i="18"/>
  <c r="AD843" i="18"/>
  <c r="AC804" i="18"/>
  <c r="AD804" i="18"/>
  <c r="AD803" i="18"/>
  <c r="O48" i="19"/>
  <c r="O38" i="19"/>
  <c r="U38" i="19" s="1"/>
  <c r="O18" i="19"/>
  <c r="O15" i="19"/>
  <c r="T15" i="19" s="1"/>
  <c r="O144" i="19"/>
  <c r="O133" i="19"/>
  <c r="O122" i="19"/>
  <c r="U122" i="19" s="1"/>
  <c r="O119" i="19"/>
  <c r="O109" i="19"/>
  <c r="O78" i="19"/>
  <c r="O44" i="19"/>
  <c r="O40" i="19"/>
  <c r="O5" i="19"/>
  <c r="AD1367" i="18"/>
  <c r="AD1364" i="18"/>
  <c r="AD1354" i="18"/>
  <c r="AD1351" i="18"/>
  <c r="AD1348" i="18"/>
  <c r="AD1338" i="18"/>
  <c r="AD1335" i="18"/>
  <c r="AD1332" i="18"/>
  <c r="AD1322" i="18"/>
  <c r="AD1319" i="18"/>
  <c r="AD1316" i="18"/>
  <c r="AD1306" i="18"/>
  <c r="AD1303" i="18"/>
  <c r="AD1300" i="18"/>
  <c r="AD1290" i="18"/>
  <c r="AD1287" i="18"/>
  <c r="AD1284" i="18"/>
  <c r="AD1274" i="18"/>
  <c r="AD1271" i="18"/>
  <c r="AD1268" i="18"/>
  <c r="AD1258" i="18"/>
  <c r="AD1255" i="18"/>
  <c r="AD1252" i="18"/>
  <c r="AD1242" i="18"/>
  <c r="AD1239" i="18"/>
  <c r="AD1236" i="18"/>
  <c r="AD1226" i="18"/>
  <c r="AD1223" i="18"/>
  <c r="AD1220" i="18"/>
  <c r="AD1210" i="18"/>
  <c r="AD1207" i="18"/>
  <c r="AD1204" i="18"/>
  <c r="AD1194" i="18"/>
  <c r="AD1191" i="18"/>
  <c r="AD1188" i="18"/>
  <c r="AD1178" i="18"/>
  <c r="AD1175" i="18"/>
  <c r="AD1172" i="18"/>
  <c r="AD1162" i="18"/>
  <c r="AD1159" i="18"/>
  <c r="AD1156" i="18"/>
  <c r="AD1146" i="18"/>
  <c r="AD1143" i="18"/>
  <c r="AD1140" i="18"/>
  <c r="AD1131" i="18"/>
  <c r="AD1123" i="18"/>
  <c r="AD1115" i="18"/>
  <c r="AD1107" i="18"/>
  <c r="AD1099" i="18"/>
  <c r="AD1091" i="18"/>
  <c r="AD1083" i="18"/>
  <c r="AD1075" i="18"/>
  <c r="AD1067" i="18"/>
  <c r="AD1059" i="18"/>
  <c r="AD1051" i="18"/>
  <c r="AD1043" i="18"/>
  <c r="AD1035" i="18"/>
  <c r="AD1027" i="18"/>
  <c r="AD1019" i="18"/>
  <c r="AD1011" i="18"/>
  <c r="AD1003" i="18"/>
  <c r="AD995" i="18"/>
  <c r="AD987" i="18"/>
  <c r="AD979" i="18"/>
  <c r="AD971" i="18"/>
  <c r="AD963" i="18"/>
  <c r="AD955" i="18"/>
  <c r="AD947" i="18"/>
  <c r="AD922" i="18"/>
  <c r="AC918" i="18"/>
  <c r="AD918" i="18"/>
  <c r="AD915" i="18"/>
  <c r="AC886" i="18"/>
  <c r="AD886" i="18"/>
  <c r="AD883" i="18"/>
  <c r="AC854" i="18"/>
  <c r="AD854" i="18"/>
  <c r="AD851" i="18"/>
  <c r="AC811" i="18"/>
  <c r="AD811" i="18"/>
  <c r="AC772" i="18"/>
  <c r="AD772" i="18"/>
  <c r="O131" i="19"/>
  <c r="T131" i="19" s="1"/>
  <c r="O120" i="19"/>
  <c r="O101" i="19"/>
  <c r="T101" i="19" s="1"/>
  <c r="O97" i="19"/>
  <c r="T97" i="19" s="1"/>
  <c r="O146" i="19"/>
  <c r="U146" i="19" s="1"/>
  <c r="O125" i="19"/>
  <c r="O102" i="19"/>
  <c r="AC926" i="18"/>
  <c r="AD926" i="18"/>
  <c r="AC894" i="18"/>
  <c r="AD894" i="18"/>
  <c r="AC862" i="18"/>
  <c r="AD862" i="18"/>
  <c r="AC831" i="18"/>
  <c r="AD831" i="18"/>
  <c r="AC779" i="18"/>
  <c r="AD779" i="18"/>
  <c r="AD224" i="18"/>
  <c r="AD216" i="18"/>
  <c r="AD208" i="18"/>
  <c r="AD202" i="18"/>
  <c r="AD198" i="18"/>
  <c r="AD194" i="18"/>
  <c r="AD436" i="18"/>
  <c r="AD428" i="18"/>
  <c r="AD420" i="18"/>
  <c r="AD412" i="18"/>
  <c r="AD404" i="18"/>
  <c r="AD396" i="18"/>
  <c r="AD388" i="18"/>
  <c r="AD380" i="18"/>
  <c r="AD372" i="18"/>
  <c r="AD364" i="18"/>
  <c r="AD356" i="18"/>
  <c r="AD348" i="18"/>
  <c r="AD340" i="18"/>
  <c r="AD332" i="18"/>
  <c r="AD324" i="18"/>
  <c r="AD316" i="18"/>
  <c r="AD305" i="18"/>
  <c r="AD297" i="18"/>
  <c r="AD289" i="18"/>
  <c r="AD281" i="18"/>
  <c r="AD273" i="18"/>
  <c r="AD265" i="18"/>
  <c r="AD257" i="18"/>
  <c r="AD249" i="18"/>
  <c r="AD241" i="18"/>
  <c r="AD233" i="18"/>
  <c r="AD230" i="18"/>
  <c r="AD222" i="18"/>
  <c r="AD214" i="18"/>
  <c r="AD206" i="18"/>
  <c r="AD203" i="18"/>
  <c r="AD199" i="18"/>
  <c r="AD195" i="18"/>
  <c r="AD191" i="18"/>
  <c r="AD187" i="18"/>
  <c r="AD183" i="18"/>
  <c r="AD179" i="18"/>
  <c r="AD175" i="18"/>
  <c r="AD171" i="18"/>
  <c r="AD167" i="18"/>
  <c r="AD163" i="18"/>
  <c r="AD159" i="18"/>
  <c r="AD155" i="18"/>
  <c r="AD151" i="18"/>
  <c r="AD147" i="18"/>
  <c r="AD108" i="18"/>
  <c r="AD767" i="18"/>
  <c r="AD747" i="18"/>
  <c r="AD740" i="18"/>
  <c r="AD735" i="18"/>
  <c r="AD715" i="18"/>
  <c r="AD708" i="18"/>
  <c r="AD703" i="18"/>
  <c r="AD683" i="18"/>
  <c r="AD676" i="18"/>
  <c r="AD673" i="18"/>
  <c r="AD651" i="18"/>
  <c r="AD644" i="18"/>
  <c r="AD641" i="18"/>
  <c r="AD635" i="18"/>
  <c r="AD627" i="18"/>
  <c r="AD624" i="18"/>
  <c r="AD616" i="18"/>
  <c r="AD458" i="18"/>
  <c r="AD450" i="18"/>
  <c r="AD442" i="18"/>
  <c r="AD434" i="18"/>
  <c r="AD426" i="18"/>
  <c r="AD418" i="18"/>
  <c r="AD410" i="18"/>
  <c r="AD402" i="18"/>
  <c r="AD394" i="18"/>
  <c r="AD386" i="18"/>
  <c r="AD378" i="18"/>
  <c r="AD370" i="18"/>
  <c r="AD362" i="18"/>
  <c r="AD354" i="18"/>
  <c r="AD346" i="18"/>
  <c r="AD338" i="18"/>
  <c r="AD330" i="18"/>
  <c r="AD322" i="18"/>
  <c r="AD314" i="18"/>
  <c r="AD303" i="18"/>
  <c r="AD295" i="18"/>
  <c r="AD287" i="18"/>
  <c r="AD279" i="18"/>
  <c r="AD271" i="18"/>
  <c r="AD263" i="18"/>
  <c r="AD255" i="18"/>
  <c r="AD247" i="18"/>
  <c r="AD239" i="18"/>
  <c r="AD231" i="18"/>
  <c r="AD228" i="18"/>
  <c r="AD220" i="18"/>
  <c r="AD212" i="18"/>
  <c r="AD204" i="18"/>
  <c r="AD200" i="18"/>
  <c r="AD196" i="18"/>
  <c r="AD192" i="18"/>
  <c r="AD188" i="18"/>
  <c r="AD184" i="18"/>
  <c r="AD180" i="18"/>
  <c r="AD176" i="18"/>
  <c r="AD172" i="18"/>
  <c r="AD168" i="18"/>
  <c r="AD164" i="18"/>
  <c r="AD160" i="18"/>
  <c r="AD156" i="18"/>
  <c r="AD152" i="18"/>
  <c r="AD148" i="18"/>
  <c r="AD5" i="18"/>
  <c r="AC7" i="18"/>
  <c r="AD7" i="18"/>
  <c r="AC693" i="18"/>
  <c r="AD693" i="18"/>
  <c r="AC439" i="18"/>
  <c r="AD439" i="18"/>
  <c r="AC431" i="18"/>
  <c r="AD431" i="18"/>
  <c r="AC423" i="18"/>
  <c r="AD423" i="18"/>
  <c r="AC415" i="18"/>
  <c r="AD415" i="18"/>
  <c r="AC407" i="18"/>
  <c r="AD407" i="18"/>
  <c r="AC399" i="18"/>
  <c r="AD399" i="18"/>
  <c r="AC383" i="18"/>
  <c r="AD383" i="18"/>
  <c r="AC351" i="18"/>
  <c r="AD351" i="18"/>
  <c r="AC343" i="18"/>
  <c r="AD343" i="18"/>
  <c r="AC335" i="18"/>
  <c r="AD335" i="18"/>
  <c r="AC311" i="18"/>
  <c r="AD311" i="18"/>
  <c r="AD1365" i="18"/>
  <c r="AD1361" i="18"/>
  <c r="AD1357" i="18"/>
  <c r="AD1353" i="18"/>
  <c r="AD1349" i="18"/>
  <c r="AD1345" i="18"/>
  <c r="AD1341" i="18"/>
  <c r="AD1337" i="18"/>
  <c r="AD1333" i="18"/>
  <c r="AD1329" i="18"/>
  <c r="AD1325" i="18"/>
  <c r="AD1321" i="18"/>
  <c r="AD1317" i="18"/>
  <c r="AD1313" i="18"/>
  <c r="AD1309" i="18"/>
  <c r="AD1305" i="18"/>
  <c r="AD1301" i="18"/>
  <c r="AD1297" i="18"/>
  <c r="AD1293" i="18"/>
  <c r="AD1289" i="18"/>
  <c r="AD1285" i="18"/>
  <c r="AD1281" i="18"/>
  <c r="AD1277" i="18"/>
  <c r="AD1273" i="18"/>
  <c r="AD1269" i="18"/>
  <c r="AD1265" i="18"/>
  <c r="AD1261" i="18"/>
  <c r="AD1257" i="18"/>
  <c r="AD1253" i="18"/>
  <c r="AD1249" i="18"/>
  <c r="AD1245" i="18"/>
  <c r="AD1241" i="18"/>
  <c r="AD1237" i="18"/>
  <c r="AD1233" i="18"/>
  <c r="AD1229" i="18"/>
  <c r="AD1225" i="18"/>
  <c r="AD1221" i="18"/>
  <c r="AD1217" i="18"/>
  <c r="AD1213" i="18"/>
  <c r="AD1209" i="18"/>
  <c r="AD1205" i="18"/>
  <c r="AD1201" i="18"/>
  <c r="AD1197" i="18"/>
  <c r="AD1193" i="18"/>
  <c r="AD1189" i="18"/>
  <c r="AD1185" i="18"/>
  <c r="AD1181" i="18"/>
  <c r="AD1177" i="18"/>
  <c r="AD1173" i="18"/>
  <c r="AD1169" i="18"/>
  <c r="AD1165" i="18"/>
  <c r="AD1161" i="18"/>
  <c r="AD1157" i="18"/>
  <c r="AD1153" i="18"/>
  <c r="AD1149" i="18"/>
  <c r="AD1145" i="18"/>
  <c r="AD1141" i="18"/>
  <c r="AD1137" i="18"/>
  <c r="AC1132" i="18"/>
  <c r="AD1132" i="18"/>
  <c r="AC1124" i="18"/>
  <c r="AD1124" i="18"/>
  <c r="AC1116" i="18"/>
  <c r="AD1116" i="18"/>
  <c r="AC1108" i="18"/>
  <c r="AD1108" i="18"/>
  <c r="AC1100" i="18"/>
  <c r="AD1100" i="18"/>
  <c r="AC1092" i="18"/>
  <c r="AD1092" i="18"/>
  <c r="AC1084" i="18"/>
  <c r="AD1084" i="18"/>
  <c r="AC1076" i="18"/>
  <c r="AD1076" i="18"/>
  <c r="AC1068" i="18"/>
  <c r="AD1068" i="18"/>
  <c r="AC1060" i="18"/>
  <c r="AD1060" i="18"/>
  <c r="AC1052" i="18"/>
  <c r="AD1052" i="18"/>
  <c r="AC1044" i="18"/>
  <c r="AD1044" i="18"/>
  <c r="AC1036" i="18"/>
  <c r="AD1036" i="18"/>
  <c r="AC1028" i="18"/>
  <c r="AD1028" i="18"/>
  <c r="AC1020" i="18"/>
  <c r="AD1020" i="18"/>
  <c r="AC1012" i="18"/>
  <c r="AD1012" i="18"/>
  <c r="AC1004" i="18"/>
  <c r="AD1004" i="18"/>
  <c r="AC996" i="18"/>
  <c r="AD996" i="18"/>
  <c r="AC988" i="18"/>
  <c r="AD988" i="18"/>
  <c r="AC980" i="18"/>
  <c r="AD980" i="18"/>
  <c r="AC972" i="18"/>
  <c r="AD972" i="18"/>
  <c r="AC964" i="18"/>
  <c r="AD964" i="18"/>
  <c r="AC956" i="18"/>
  <c r="AD956" i="18"/>
  <c r="AC948" i="18"/>
  <c r="AD948" i="18"/>
  <c r="AC940" i="18"/>
  <c r="AD940" i="18"/>
  <c r="AC932" i="18"/>
  <c r="AD932" i="18"/>
  <c r="AC924" i="18"/>
  <c r="AD924" i="18"/>
  <c r="AC916" i="18"/>
  <c r="AD916" i="18"/>
  <c r="AC908" i="18"/>
  <c r="AD908" i="18"/>
  <c r="AC900" i="18"/>
  <c r="AD900" i="18"/>
  <c r="AC892" i="18"/>
  <c r="AD892" i="18"/>
  <c r="AC884" i="18"/>
  <c r="AD884" i="18"/>
  <c r="AC876" i="18"/>
  <c r="AD876" i="18"/>
  <c r="AC868" i="18"/>
  <c r="AD868" i="18"/>
  <c r="AC860" i="18"/>
  <c r="AD860" i="18"/>
  <c r="AC852" i="18"/>
  <c r="AD852" i="18"/>
  <c r="AC844" i="18"/>
  <c r="AD844" i="18"/>
  <c r="AC824" i="18"/>
  <c r="AD824" i="18"/>
  <c r="AC792" i="18"/>
  <c r="AD792" i="18"/>
  <c r="AC760" i="18"/>
  <c r="AD760" i="18"/>
  <c r="AC728" i="18"/>
  <c r="AD728" i="18"/>
  <c r="AC696" i="18"/>
  <c r="AD696" i="18"/>
  <c r="AC664" i="18"/>
  <c r="AD664" i="18"/>
  <c r="AC613" i="18"/>
  <c r="AD613" i="18"/>
  <c r="AC391" i="18"/>
  <c r="AD391" i="18"/>
  <c r="AC359" i="18"/>
  <c r="AD359" i="18"/>
  <c r="AC327" i="18"/>
  <c r="AD327" i="18"/>
  <c r="AC319" i="18"/>
  <c r="AD319" i="18"/>
  <c r="AD1981" i="18"/>
  <c r="AC832" i="18"/>
  <c r="AD832" i="18"/>
  <c r="AC800" i="18"/>
  <c r="AD800" i="18"/>
  <c r="AC768" i="18"/>
  <c r="AD768" i="18"/>
  <c r="AC736" i="18"/>
  <c r="AD736" i="18"/>
  <c r="AC704" i="18"/>
  <c r="AD704" i="18"/>
  <c r="AC677" i="18"/>
  <c r="AD677" i="18"/>
  <c r="AC674" i="18"/>
  <c r="AD674" i="18"/>
  <c r="AC645" i="18"/>
  <c r="AD645" i="18"/>
  <c r="AC642" i="18"/>
  <c r="AD642" i="18"/>
  <c r="AC816" i="18"/>
  <c r="AD816" i="18"/>
  <c r="AC784" i="18"/>
  <c r="AD784" i="18"/>
  <c r="AC752" i="18"/>
  <c r="AD752" i="18"/>
  <c r="AC720" i="18"/>
  <c r="AD720" i="18"/>
  <c r="AC690" i="18"/>
  <c r="AD690" i="18"/>
  <c r="AC661" i="18"/>
  <c r="AD661" i="18"/>
  <c r="AC658" i="18"/>
  <c r="AD658" i="18"/>
  <c r="AC455" i="18"/>
  <c r="AD455" i="18"/>
  <c r="AC447" i="18"/>
  <c r="AD447" i="18"/>
  <c r="AC375" i="18"/>
  <c r="AD375" i="18"/>
  <c r="AC367" i="18"/>
  <c r="AD367" i="18"/>
  <c r="AC104" i="18"/>
  <c r="AD104" i="18"/>
  <c r="AD1947" i="18"/>
  <c r="AC1128" i="18"/>
  <c r="AD1128" i="18"/>
  <c r="AC1120" i="18"/>
  <c r="AD1120" i="18"/>
  <c r="AC1112" i="18"/>
  <c r="AD1112" i="18"/>
  <c r="AC1104" i="18"/>
  <c r="AD1104" i="18"/>
  <c r="AC1096" i="18"/>
  <c r="AD1096" i="18"/>
  <c r="AC1088" i="18"/>
  <c r="AD1088" i="18"/>
  <c r="AC1080" i="18"/>
  <c r="AD1080" i="18"/>
  <c r="AC1072" i="18"/>
  <c r="AD1072" i="18"/>
  <c r="AC1064" i="18"/>
  <c r="AD1064" i="18"/>
  <c r="AC1056" i="18"/>
  <c r="AD1056" i="18"/>
  <c r="AC1048" i="18"/>
  <c r="AD1048" i="18"/>
  <c r="AC1040" i="18"/>
  <c r="AD1040" i="18"/>
  <c r="AC1032" i="18"/>
  <c r="AD1032" i="18"/>
  <c r="AC1024" i="18"/>
  <c r="AD1024" i="18"/>
  <c r="AC1016" i="18"/>
  <c r="AD1016" i="18"/>
  <c r="AC1008" i="18"/>
  <c r="AD1008" i="18"/>
  <c r="AC1000" i="18"/>
  <c r="AD1000" i="18"/>
  <c r="AC992" i="18"/>
  <c r="AD992" i="18"/>
  <c r="AC984" i="18"/>
  <c r="AD984" i="18"/>
  <c r="AC976" i="18"/>
  <c r="AD976" i="18"/>
  <c r="AC968" i="18"/>
  <c r="AD968" i="18"/>
  <c r="AC960" i="18"/>
  <c r="AD960" i="18"/>
  <c r="AC952" i="18"/>
  <c r="AD952" i="18"/>
  <c r="AC944" i="18"/>
  <c r="AD944" i="18"/>
  <c r="AC936" i="18"/>
  <c r="AD936" i="18"/>
  <c r="AC928" i="18"/>
  <c r="AD928" i="18"/>
  <c r="AC920" i="18"/>
  <c r="AD920" i="18"/>
  <c r="AC912" i="18"/>
  <c r="AD912" i="18"/>
  <c r="AC904" i="18"/>
  <c r="AD904" i="18"/>
  <c r="AC896" i="18"/>
  <c r="AD896" i="18"/>
  <c r="AC888" i="18"/>
  <c r="AD888" i="18"/>
  <c r="AC880" i="18"/>
  <c r="AD880" i="18"/>
  <c r="AC872" i="18"/>
  <c r="AD872" i="18"/>
  <c r="AC864" i="18"/>
  <c r="AD864" i="18"/>
  <c r="AC856" i="18"/>
  <c r="AD856" i="18"/>
  <c r="AC848" i="18"/>
  <c r="AD848" i="18"/>
  <c r="AC840" i="18"/>
  <c r="AD840" i="18"/>
  <c r="AC808" i="18"/>
  <c r="AD808" i="18"/>
  <c r="AC776" i="18"/>
  <c r="AD776" i="18"/>
  <c r="AC744" i="18"/>
  <c r="AD744" i="18"/>
  <c r="AC712" i="18"/>
  <c r="AD712" i="18"/>
  <c r="AC680" i="18"/>
  <c r="AD680" i="18"/>
  <c r="AC648" i="18"/>
  <c r="AD648" i="18"/>
  <c r="AC833" i="18"/>
  <c r="AD833" i="18"/>
  <c r="AC825" i="18"/>
  <c r="AD825" i="18"/>
  <c r="AC817" i="18"/>
  <c r="AD817" i="18"/>
  <c r="AC809" i="18"/>
  <c r="AD809" i="18"/>
  <c r="AC801" i="18"/>
  <c r="AD801" i="18"/>
  <c r="AC793" i="18"/>
  <c r="AD793" i="18"/>
  <c r="AC785" i="18"/>
  <c r="AD785" i="18"/>
  <c r="AC777" i="18"/>
  <c r="AD777" i="18"/>
  <c r="AC769" i="18"/>
  <c r="AD769" i="18"/>
  <c r="AC761" i="18"/>
  <c r="AD761" i="18"/>
  <c r="AC753" i="18"/>
  <c r="AD753" i="18"/>
  <c r="AC745" i="18"/>
  <c r="AD745" i="18"/>
  <c r="AC737" i="18"/>
  <c r="AD737" i="18"/>
  <c r="AC729" i="18"/>
  <c r="AD729" i="18"/>
  <c r="AC721" i="18"/>
  <c r="AD721" i="18"/>
  <c r="AC713" i="18"/>
  <c r="AD713" i="18"/>
  <c r="AC705" i="18"/>
  <c r="AD705" i="18"/>
  <c r="AC697" i="18"/>
  <c r="AD697" i="18"/>
  <c r="AC694" i="18"/>
  <c r="AD694" i="18"/>
  <c r="AC681" i="18"/>
  <c r="AD681" i="18"/>
  <c r="AC678" i="18"/>
  <c r="AD678" i="18"/>
  <c r="AC665" i="18"/>
  <c r="AD665" i="18"/>
  <c r="AC662" i="18"/>
  <c r="AD662" i="18"/>
  <c r="AC649" i="18"/>
  <c r="AD649" i="18"/>
  <c r="AC646" i="18"/>
  <c r="AD646" i="18"/>
  <c r="AC617" i="18"/>
  <c r="AD617" i="18"/>
  <c r="AC614" i="18"/>
  <c r="AD614" i="18"/>
  <c r="AD1133" i="18"/>
  <c r="AD1129" i="18"/>
  <c r="AD1125" i="18"/>
  <c r="AD1121" i="18"/>
  <c r="AD1117" i="18"/>
  <c r="AD1113" i="18"/>
  <c r="AD1109" i="18"/>
  <c r="AD1105" i="18"/>
  <c r="AD1101" i="18"/>
  <c r="AD1097" i="18"/>
  <c r="AD1093" i="18"/>
  <c r="AD1089" i="18"/>
  <c r="AD1085" i="18"/>
  <c r="AD1081" i="18"/>
  <c r="AD1077" i="18"/>
  <c r="AD1073" i="18"/>
  <c r="AD1069" i="18"/>
  <c r="AD1065" i="18"/>
  <c r="AD1061" i="18"/>
  <c r="AD1057" i="18"/>
  <c r="AD1053" i="18"/>
  <c r="AD1049" i="18"/>
  <c r="AD1045" i="18"/>
  <c r="AD1041" i="18"/>
  <c r="AD1037" i="18"/>
  <c r="AD1033" i="18"/>
  <c r="AD1029" i="18"/>
  <c r="AD1025" i="18"/>
  <c r="AD1021" i="18"/>
  <c r="AD1017" i="18"/>
  <c r="AD1013" i="18"/>
  <c r="AD1009" i="18"/>
  <c r="AD1005" i="18"/>
  <c r="AD1001" i="18"/>
  <c r="AD997" i="18"/>
  <c r="AD993" i="18"/>
  <c r="AD989" i="18"/>
  <c r="AD985" i="18"/>
  <c r="AD981" i="18"/>
  <c r="AD977" i="18"/>
  <c r="AD973" i="18"/>
  <c r="AD969" i="18"/>
  <c r="AD965" i="18"/>
  <c r="AD961" i="18"/>
  <c r="AD957" i="18"/>
  <c r="AD953" i="18"/>
  <c r="AD949" i="18"/>
  <c r="AD945" i="18"/>
  <c r="AD941" i="18"/>
  <c r="AD937" i="18"/>
  <c r="AD933" i="18"/>
  <c r="AD929" i="18"/>
  <c r="AD925" i="18"/>
  <c r="AD921" i="18"/>
  <c r="AD917" i="18"/>
  <c r="AD913" i="18"/>
  <c r="AD909" i="18"/>
  <c r="AD905" i="18"/>
  <c r="AD901" i="18"/>
  <c r="AD897" i="18"/>
  <c r="AD893" i="18"/>
  <c r="AD889" i="18"/>
  <c r="AD885" i="18"/>
  <c r="AD881" i="18"/>
  <c r="AD877" i="18"/>
  <c r="AD873" i="18"/>
  <c r="AD869" i="18"/>
  <c r="AD865" i="18"/>
  <c r="AD861" i="18"/>
  <c r="AD857" i="18"/>
  <c r="AD853" i="18"/>
  <c r="AD849" i="18"/>
  <c r="AD845" i="18"/>
  <c r="AD841" i="18"/>
  <c r="AC684" i="18"/>
  <c r="AD684" i="18"/>
  <c r="AC668" i="18"/>
  <c r="AD668" i="18"/>
  <c r="AC652" i="18"/>
  <c r="AD652" i="18"/>
  <c r="AC626" i="18"/>
  <c r="AD626" i="18"/>
  <c r="AC837" i="18"/>
  <c r="AD837" i="18"/>
  <c r="AC829" i="18"/>
  <c r="AD829" i="18"/>
  <c r="AC821" i="18"/>
  <c r="AD821" i="18"/>
  <c r="AC813" i="18"/>
  <c r="AD813" i="18"/>
  <c r="AC805" i="18"/>
  <c r="AD805" i="18"/>
  <c r="AC797" i="18"/>
  <c r="AD797" i="18"/>
  <c r="AC789" i="18"/>
  <c r="AD789" i="18"/>
  <c r="AC781" i="18"/>
  <c r="AD781" i="18"/>
  <c r="AC773" i="18"/>
  <c r="AD773" i="18"/>
  <c r="AC765" i="18"/>
  <c r="AD765" i="18"/>
  <c r="AC757" i="18"/>
  <c r="AD757" i="18"/>
  <c r="AC749" i="18"/>
  <c r="AD749" i="18"/>
  <c r="AC741" i="18"/>
  <c r="AD741" i="18"/>
  <c r="AC733" i="18"/>
  <c r="AD733" i="18"/>
  <c r="AC725" i="18"/>
  <c r="AD725" i="18"/>
  <c r="AC717" i="18"/>
  <c r="AD717" i="18"/>
  <c r="AC709" i="18"/>
  <c r="AD709" i="18"/>
  <c r="AC701" i="18"/>
  <c r="AD701" i="18"/>
  <c r="AC633" i="18"/>
  <c r="AD633" i="18"/>
  <c r="AC630" i="18"/>
  <c r="AD630" i="18"/>
  <c r="AD629" i="18"/>
  <c r="AC682" i="18"/>
  <c r="AD682" i="18"/>
  <c r="AC666" i="18"/>
  <c r="AD666" i="18"/>
  <c r="AC650" i="18"/>
  <c r="AD650" i="18"/>
  <c r="AC634" i="18"/>
  <c r="AD634" i="18"/>
  <c r="AC618" i="18"/>
  <c r="AD618" i="18"/>
  <c r="AD838" i="18"/>
  <c r="AD834" i="18"/>
  <c r="AD830" i="18"/>
  <c r="AD826" i="18"/>
  <c r="AD822" i="18"/>
  <c r="AD818" i="18"/>
  <c r="AD814" i="18"/>
  <c r="AD810" i="18"/>
  <c r="AD806" i="18"/>
  <c r="AD802" i="18"/>
  <c r="AD798" i="18"/>
  <c r="AD794" i="18"/>
  <c r="AD790" i="18"/>
  <c r="AD786" i="18"/>
  <c r="AD782" i="18"/>
  <c r="AD778" i="18"/>
  <c r="AD774" i="18"/>
  <c r="AD770" i="18"/>
  <c r="AD766" i="18"/>
  <c r="AD762" i="18"/>
  <c r="AD758" i="18"/>
  <c r="AD754" i="18"/>
  <c r="AD750" i="18"/>
  <c r="AD746" i="18"/>
  <c r="AD742" i="18"/>
  <c r="AD738" i="18"/>
  <c r="AD734" i="18"/>
  <c r="AD730" i="18"/>
  <c r="AD726" i="18"/>
  <c r="AD722" i="18"/>
  <c r="AD718" i="18"/>
  <c r="AD714" i="18"/>
  <c r="AD710" i="18"/>
  <c r="AD706" i="18"/>
  <c r="AD702" i="18"/>
  <c r="AD698" i="18"/>
  <c r="AD688" i="18"/>
  <c r="AC686" i="18"/>
  <c r="AD686" i="18"/>
  <c r="AD685" i="18"/>
  <c r="AD672" i="18"/>
  <c r="AC670" i="18"/>
  <c r="AD670" i="18"/>
  <c r="AD669" i="18"/>
  <c r="AD656" i="18"/>
  <c r="AC654" i="18"/>
  <c r="AD654" i="18"/>
  <c r="AD653" i="18"/>
  <c r="AC638" i="18"/>
  <c r="AD638" i="18"/>
  <c r="AD637" i="18"/>
  <c r="AC622" i="18"/>
  <c r="AD622" i="18"/>
  <c r="AD621" i="18"/>
  <c r="AC459" i="18"/>
  <c r="AD459" i="18"/>
  <c r="AC451" i="18"/>
  <c r="AD451" i="18"/>
  <c r="AC443" i="18"/>
  <c r="AD443" i="18"/>
  <c r="AC435" i="18"/>
  <c r="AD435" i="18"/>
  <c r="AC427" i="18"/>
  <c r="AD427" i="18"/>
  <c r="AC419" i="18"/>
  <c r="AD419" i="18"/>
  <c r="AC411" i="18"/>
  <c r="AD411" i="18"/>
  <c r="AC403" i="18"/>
  <c r="AD403" i="18"/>
  <c r="AC395" i="18"/>
  <c r="AD395" i="18"/>
  <c r="AC387" i="18"/>
  <c r="AD387" i="18"/>
  <c r="AC379" i="18"/>
  <c r="AD379" i="18"/>
  <c r="AC371" i="18"/>
  <c r="AD371" i="18"/>
  <c r="AC363" i="18"/>
  <c r="AD363" i="18"/>
  <c r="AC355" i="18"/>
  <c r="AD355" i="18"/>
  <c r="AC347" i="18"/>
  <c r="AD347" i="18"/>
  <c r="AC339" i="18"/>
  <c r="AD339" i="18"/>
  <c r="AC331" i="18"/>
  <c r="AD331" i="18"/>
  <c r="AC323" i="18"/>
  <c r="AD323" i="18"/>
  <c r="AC315" i="18"/>
  <c r="AD315" i="18"/>
  <c r="AC306" i="18"/>
  <c r="AD306" i="18"/>
  <c r="AC298" i="18"/>
  <c r="AD298" i="18"/>
  <c r="AC290" i="18"/>
  <c r="AD290" i="18"/>
  <c r="AC282" i="18"/>
  <c r="AD282" i="18"/>
  <c r="AC274" i="18"/>
  <c r="AD274" i="18"/>
  <c r="AC266" i="18"/>
  <c r="AD266" i="18"/>
  <c r="AC258" i="18"/>
  <c r="AD258" i="18"/>
  <c r="AC250" i="18"/>
  <c r="AD250" i="18"/>
  <c r="AC242" i="18"/>
  <c r="AD242" i="18"/>
  <c r="AC234" i="18"/>
  <c r="AD234" i="18"/>
  <c r="AD457" i="18"/>
  <c r="AD453" i="18"/>
  <c r="AD449" i="18"/>
  <c r="AD445" i="18"/>
  <c r="AD441" i="18"/>
  <c r="AD437" i="18"/>
  <c r="AD433" i="18"/>
  <c r="AD429" i="18"/>
  <c r="AD425" i="18"/>
  <c r="AD421" i="18"/>
  <c r="AD417" i="18"/>
  <c r="AD413" i="18"/>
  <c r="AD409" i="18"/>
  <c r="AD405" i="18"/>
  <c r="AD401" i="18"/>
  <c r="AD397" i="18"/>
  <c r="AD393" i="18"/>
  <c r="AD389" i="18"/>
  <c r="AD385" i="18"/>
  <c r="AD381" i="18"/>
  <c r="AD377" i="18"/>
  <c r="AD373" i="18"/>
  <c r="AD369" i="18"/>
  <c r="AD365" i="18"/>
  <c r="AD361" i="18"/>
  <c r="AD357" i="18"/>
  <c r="AD353" i="18"/>
  <c r="AD349" i="18"/>
  <c r="AD345" i="18"/>
  <c r="AD341" i="18"/>
  <c r="AD337" i="18"/>
  <c r="AD333" i="18"/>
  <c r="AD329" i="18"/>
  <c r="AD325" i="18"/>
  <c r="AD321" i="18"/>
  <c r="AD317" i="18"/>
  <c r="AD313" i="18"/>
  <c r="AC302" i="18"/>
  <c r="AD302" i="18"/>
  <c r="AC294" i="18"/>
  <c r="AD294" i="18"/>
  <c r="AC286" i="18"/>
  <c r="AD286" i="18"/>
  <c r="AC278" i="18"/>
  <c r="AD278" i="18"/>
  <c r="AC270" i="18"/>
  <c r="AD270" i="18"/>
  <c r="AC262" i="18"/>
  <c r="AD262" i="18"/>
  <c r="AC254" i="18"/>
  <c r="AD254" i="18"/>
  <c r="AC246" i="18"/>
  <c r="AD246" i="18"/>
  <c r="AC238" i="18"/>
  <c r="AD238" i="18"/>
  <c r="AC223" i="18"/>
  <c r="AD223" i="18"/>
  <c r="AC215" i="18"/>
  <c r="AD215" i="18"/>
  <c r="AC207" i="18"/>
  <c r="AD207" i="18"/>
  <c r="AD308" i="18"/>
  <c r="AD304" i="18"/>
  <c r="AD300" i="18"/>
  <c r="AD296" i="18"/>
  <c r="AD292" i="18"/>
  <c r="AD288" i="18"/>
  <c r="AD284" i="18"/>
  <c r="AD280" i="18"/>
  <c r="AD276" i="18"/>
  <c r="AD272" i="18"/>
  <c r="AD268" i="18"/>
  <c r="AD264" i="18"/>
  <c r="AD260" i="18"/>
  <c r="AD256" i="18"/>
  <c r="AD252" i="18"/>
  <c r="AD248" i="18"/>
  <c r="AD244" i="18"/>
  <c r="AD240" i="18"/>
  <c r="AD236" i="18"/>
  <c r="AD232" i="18"/>
  <c r="AC227" i="18"/>
  <c r="AD227" i="18"/>
  <c r="AC219" i="18"/>
  <c r="AD219" i="18"/>
  <c r="AC211" i="18"/>
  <c r="AD211" i="18"/>
  <c r="AD229" i="18"/>
  <c r="AD225" i="18"/>
  <c r="AD221" i="18"/>
  <c r="AD217" i="18"/>
  <c r="AD213" i="18"/>
  <c r="AD209" i="18"/>
  <c r="AD205" i="18"/>
  <c r="AD116" i="18"/>
  <c r="AD76" i="18"/>
  <c r="AD8" i="18"/>
  <c r="AD11" i="18"/>
  <c r="AD139" i="18"/>
  <c r="AD124" i="18"/>
  <c r="AD117" i="18"/>
  <c r="AD113" i="18"/>
  <c r="AD109" i="18"/>
  <c r="AD105" i="18"/>
  <c r="AD87" i="18"/>
  <c r="AD60" i="18"/>
  <c r="AD12" i="18"/>
  <c r="AD9" i="18"/>
  <c r="AD1990" i="18"/>
  <c r="AD1958" i="18"/>
  <c r="AD1911" i="18"/>
  <c r="AD1866" i="18"/>
  <c r="AD1927" i="18"/>
  <c r="AD131" i="18"/>
  <c r="AD118" i="18"/>
  <c r="AD114" i="18"/>
  <c r="AD110" i="18"/>
  <c r="AD106" i="18"/>
  <c r="AD96" i="18"/>
  <c r="AD33" i="18"/>
  <c r="AD6" i="18"/>
  <c r="AD1997" i="18"/>
  <c r="AD1965" i="18"/>
  <c r="AD1922" i="18"/>
  <c r="AD1883" i="18"/>
  <c r="AD1974" i="18"/>
  <c r="AD1930" i="18"/>
  <c r="AD1923" i="18"/>
  <c r="AD115" i="18"/>
  <c r="AD111" i="18"/>
  <c r="AD107" i="18"/>
  <c r="AD103" i="18"/>
  <c r="O52" i="19"/>
  <c r="U52" i="19" s="1"/>
  <c r="O127" i="19"/>
  <c r="O68" i="19"/>
  <c r="O42" i="19"/>
  <c r="AD1966" i="18"/>
  <c r="AD1890" i="18"/>
  <c r="AD1879" i="18"/>
  <c r="AD143" i="18"/>
  <c r="AD135" i="18"/>
  <c r="AD127" i="18"/>
  <c r="AD121" i="18"/>
  <c r="U101" i="19"/>
  <c r="O57" i="19"/>
  <c r="T57" i="19" s="1"/>
  <c r="O37" i="19"/>
  <c r="U37" i="19" s="1"/>
  <c r="AD1895" i="18"/>
  <c r="O81" i="19"/>
  <c r="T81" i="19" s="1"/>
  <c r="O70" i="19"/>
  <c r="U70" i="19" s="1"/>
  <c r="O41" i="19"/>
  <c r="T41" i="19" s="1"/>
  <c r="O24" i="19"/>
  <c r="AD2037" i="18"/>
  <c r="AD1989" i="18"/>
  <c r="AD1973" i="18"/>
  <c r="AD1957" i="18"/>
  <c r="AD1915" i="18"/>
  <c r="AD1898" i="18"/>
  <c r="AD1891" i="18"/>
  <c r="AD141" i="18"/>
  <c r="AD133" i="18"/>
  <c r="AD125" i="18"/>
  <c r="AD119" i="18"/>
  <c r="AD83" i="18"/>
  <c r="AD68" i="18"/>
  <c r="AD25" i="18"/>
  <c r="O75" i="19"/>
  <c r="O143" i="19"/>
  <c r="U143" i="19" s="1"/>
  <c r="O94" i="19"/>
  <c r="O90" i="19"/>
  <c r="AD2039" i="18"/>
  <c r="AD1998" i="18"/>
  <c r="AD1982" i="18"/>
  <c r="AD1950" i="18"/>
  <c r="AD1943" i="18"/>
  <c r="O58" i="19"/>
  <c r="AD10" i="18"/>
  <c r="AD145" i="18"/>
  <c r="AD137" i="18"/>
  <c r="AD129" i="18"/>
  <c r="AD123" i="18"/>
  <c r="AD91" i="18"/>
  <c r="AD52" i="18"/>
  <c r="AD144" i="18"/>
  <c r="AD140" i="18"/>
  <c r="AD136" i="18"/>
  <c r="AD132" i="18"/>
  <c r="AD128" i="18"/>
  <c r="AD120" i="18"/>
  <c r="AD92" i="18"/>
  <c r="AD84" i="18"/>
  <c r="AD72" i="18"/>
  <c r="AD56" i="18"/>
  <c r="AD29" i="18"/>
  <c r="AD2001" i="18"/>
  <c r="AD1969" i="18"/>
  <c r="AD1993" i="18"/>
  <c r="AD1985" i="18"/>
  <c r="AD1961" i="18"/>
  <c r="AD1953" i="18"/>
  <c r="AD2041" i="18"/>
  <c r="AD2033" i="18"/>
  <c r="AD2002" i="18"/>
  <c r="AD1994" i="18"/>
  <c r="AD1986" i="18"/>
  <c r="AD1978" i="18"/>
  <c r="AD1970" i="18"/>
  <c r="AD1962" i="18"/>
  <c r="AD1954" i="18"/>
  <c r="AD1919" i="18"/>
  <c r="AD1887" i="18"/>
  <c r="AD146" i="18"/>
  <c r="AD142" i="18"/>
  <c r="AD138" i="18"/>
  <c r="AD134" i="18"/>
  <c r="AD130" i="18"/>
  <c r="AD126" i="18"/>
  <c r="AD122" i="18"/>
  <c r="AD100" i="18"/>
  <c r="AD88" i="18"/>
  <c r="AD80" i="18"/>
  <c r="AD64" i="18"/>
  <c r="AD49" i="18"/>
  <c r="AD23" i="18"/>
  <c r="AD2035" i="18"/>
  <c r="AD2008" i="18"/>
  <c r="AD1977" i="18"/>
  <c r="AD1935" i="18"/>
  <c r="AD1903" i="18"/>
  <c r="AD1871" i="18"/>
  <c r="AD45" i="18"/>
  <c r="AD41" i="18"/>
  <c r="AD37" i="18"/>
  <c r="T127" i="19"/>
  <c r="U127" i="19"/>
  <c r="T143" i="19"/>
  <c r="AC1991" i="18"/>
  <c r="AD1991" i="18"/>
  <c r="AC1967" i="18"/>
  <c r="AD1967" i="18"/>
  <c r="AC1926" i="18"/>
  <c r="AD1926" i="18"/>
  <c r="AC1867" i="18"/>
  <c r="AD1867" i="18"/>
  <c r="AC1975" i="18"/>
  <c r="AD1975" i="18"/>
  <c r="T135" i="19"/>
  <c r="U135" i="19"/>
  <c r="T119" i="19"/>
  <c r="U119" i="19"/>
  <c r="O79" i="19"/>
  <c r="O21" i="19"/>
  <c r="O9" i="19"/>
  <c r="U9" i="19" s="1"/>
  <c r="AD2040" i="18"/>
  <c r="AD2036" i="18"/>
  <c r="AC1938" i="18"/>
  <c r="AD1938" i="18"/>
  <c r="AC1906" i="18"/>
  <c r="AD1906" i="18"/>
  <c r="AC1874" i="18"/>
  <c r="AD1874" i="18"/>
  <c r="U34" i="19"/>
  <c r="T34" i="19"/>
  <c r="U30" i="19"/>
  <c r="T30" i="19"/>
  <c r="AC1959" i="18"/>
  <c r="AD1959" i="18"/>
  <c r="AC1931" i="18"/>
  <c r="AD1931" i="18"/>
  <c r="AC1894" i="18"/>
  <c r="AD1894" i="18"/>
  <c r="O93" i="19"/>
  <c r="T93" i="19" s="1"/>
  <c r="O91" i="19"/>
  <c r="O59" i="19"/>
  <c r="T59" i="19" s="1"/>
  <c r="O50" i="19"/>
  <c r="O45" i="19"/>
  <c r="U22" i="19"/>
  <c r="T22" i="19"/>
  <c r="O14" i="19"/>
  <c r="AC2003" i="18"/>
  <c r="AD2003" i="18"/>
  <c r="AC1995" i="18"/>
  <c r="AD1995" i="18"/>
  <c r="AC1987" i="18"/>
  <c r="AD1987" i="18"/>
  <c r="AC1979" i="18"/>
  <c r="AD1979" i="18"/>
  <c r="AC1971" i="18"/>
  <c r="AD1971" i="18"/>
  <c r="AC1963" i="18"/>
  <c r="AD1963" i="18"/>
  <c r="AC1955" i="18"/>
  <c r="AD1955" i="18"/>
  <c r="AC1999" i="18"/>
  <c r="AD1999" i="18"/>
  <c r="AC1983" i="18"/>
  <c r="AD1983" i="18"/>
  <c r="AC1951" i="18"/>
  <c r="AD1951" i="18"/>
  <c r="AC1899" i="18"/>
  <c r="AD1899" i="18"/>
  <c r="O154" i="19"/>
  <c r="T154" i="19" s="1"/>
  <c r="O151" i="19"/>
  <c r="T151" i="19" s="1"/>
  <c r="O149" i="19"/>
  <c r="T147" i="19"/>
  <c r="O139" i="19"/>
  <c r="U131" i="19"/>
  <c r="O123" i="19"/>
  <c r="U115" i="19"/>
  <c r="O95" i="19"/>
  <c r="T95" i="19" s="1"/>
  <c r="O84" i="19"/>
  <c r="O73" i="19"/>
  <c r="T73" i="19" s="1"/>
  <c r="O60" i="19"/>
  <c r="T60" i="19" s="1"/>
  <c r="O33" i="19"/>
  <c r="T33" i="19" s="1"/>
  <c r="O32" i="19"/>
  <c r="U32" i="19" s="1"/>
  <c r="O29" i="19"/>
  <c r="O28" i="19"/>
  <c r="U28" i="19" s="1"/>
  <c r="O20" i="19"/>
  <c r="O17" i="19"/>
  <c r="AD2042" i="18"/>
  <c r="AD2038" i="18"/>
  <c r="AD2034" i="18"/>
  <c r="AD2006" i="18"/>
  <c r="AD2004" i="18"/>
  <c r="AD2032" i="18"/>
  <c r="AD2031" i="18"/>
  <c r="AD2030" i="18"/>
  <c r="AD2029" i="18"/>
  <c r="AD2028" i="18"/>
  <c r="AD2022" i="18"/>
  <c r="AD2021" i="18"/>
  <c r="AD2020" i="18"/>
  <c r="AD2019" i="18"/>
  <c r="AD2018" i="18"/>
  <c r="AD2017" i="18"/>
  <c r="AD2016" i="18"/>
  <c r="AD2015" i="18"/>
  <c r="AD2014" i="18"/>
  <c r="AD2013" i="18"/>
  <c r="AD2012" i="18"/>
  <c r="AD2011" i="18"/>
  <c r="AD2010" i="18"/>
  <c r="AD2007" i="18"/>
  <c r="AD2005" i="18"/>
  <c r="AC1934" i="18"/>
  <c r="AD1934" i="18"/>
  <c r="AC1902" i="18"/>
  <c r="AD1902" i="18"/>
  <c r="AC1870" i="18"/>
  <c r="AD1870" i="18"/>
  <c r="O152" i="19"/>
  <c r="T152" i="19" s="1"/>
  <c r="O150" i="19"/>
  <c r="O148" i="19"/>
  <c r="O145" i="19"/>
  <c r="U145" i="19" s="1"/>
  <c r="O142" i="19"/>
  <c r="U142" i="19" s="1"/>
  <c r="O140" i="19"/>
  <c r="O137" i="19"/>
  <c r="O134" i="19"/>
  <c r="U134" i="19" s="1"/>
  <c r="O132" i="19"/>
  <c r="O129" i="19"/>
  <c r="O126" i="19"/>
  <c r="U126" i="19" s="1"/>
  <c r="O124" i="19"/>
  <c r="T124" i="19" s="1"/>
  <c r="O121" i="19"/>
  <c r="T121" i="19" s="1"/>
  <c r="O118" i="19"/>
  <c r="U118" i="19" s="1"/>
  <c r="O116" i="19"/>
  <c r="O113" i="19"/>
  <c r="O110" i="19"/>
  <c r="U110" i="19" s="1"/>
  <c r="O105" i="19"/>
  <c r="O98" i="19"/>
  <c r="T98" i="19" s="1"/>
  <c r="O87" i="19"/>
  <c r="O82" i="19"/>
  <c r="U82" i="19" s="1"/>
  <c r="O71" i="19"/>
  <c r="O61" i="19"/>
  <c r="U61" i="19" s="1"/>
  <c r="O53" i="19"/>
  <c r="O35" i="19"/>
  <c r="O23" i="19"/>
  <c r="AC2027" i="18"/>
  <c r="AC2026" i="18"/>
  <c r="AC2025" i="18"/>
  <c r="AC2024" i="18"/>
  <c r="AC2023" i="18"/>
  <c r="AC2009" i="18"/>
  <c r="AD2000" i="18"/>
  <c r="AD1996" i="18"/>
  <c r="AD1992" i="18"/>
  <c r="AD1988" i="18"/>
  <c r="AD1984" i="18"/>
  <c r="AD1980" i="18"/>
  <c r="AD1976" i="18"/>
  <c r="AD1972" i="18"/>
  <c r="AD1968" i="18"/>
  <c r="AD1964" i="18"/>
  <c r="AD1960" i="18"/>
  <c r="AD1956" i="18"/>
  <c r="AD1952" i="18"/>
  <c r="AD1946" i="18"/>
  <c r="AC1942" i="18"/>
  <c r="AD1942" i="18"/>
  <c r="AD1939" i="18"/>
  <c r="AD1914" i="18"/>
  <c r="AC1910" i="18"/>
  <c r="AD1910" i="18"/>
  <c r="AD1907" i="18"/>
  <c r="AD1882" i="18"/>
  <c r="AC1878" i="18"/>
  <c r="AD1878" i="18"/>
  <c r="AD1875" i="18"/>
  <c r="O111" i="19"/>
  <c r="O106" i="19"/>
  <c r="T106" i="19" s="1"/>
  <c r="O99" i="19"/>
  <c r="U99" i="19" s="1"/>
  <c r="O83" i="19"/>
  <c r="U83" i="19" s="1"/>
  <c r="O55" i="19"/>
  <c r="O54" i="19"/>
  <c r="AC1918" i="18"/>
  <c r="AD1918" i="18"/>
  <c r="AC1886" i="18"/>
  <c r="AD1886" i="18"/>
  <c r="AD101" i="18"/>
  <c r="AD97" i="18"/>
  <c r="AD93" i="18"/>
  <c r="AD89" i="18"/>
  <c r="AD85" i="18"/>
  <c r="AD81" i="18"/>
  <c r="AD77" i="18"/>
  <c r="AD73" i="18"/>
  <c r="AD69" i="18"/>
  <c r="AD65" i="18"/>
  <c r="AD61" i="18"/>
  <c r="AD57" i="18"/>
  <c r="AD53" i="18"/>
  <c r="AD46" i="18"/>
  <c r="AD42" i="18"/>
  <c r="AD38" i="18"/>
  <c r="AD34" i="18"/>
  <c r="AD30" i="18"/>
  <c r="AD26" i="18"/>
  <c r="AC19" i="18"/>
  <c r="AD19" i="18"/>
  <c r="AD102" i="18"/>
  <c r="AD98" i="18"/>
  <c r="AD94" i="18"/>
  <c r="AD90" i="18"/>
  <c r="AD86" i="18"/>
  <c r="AD82" i="18"/>
  <c r="AD78" i="18"/>
  <c r="AD74" i="18"/>
  <c r="AD70" i="18"/>
  <c r="AD66" i="18"/>
  <c r="AD62" i="18"/>
  <c r="AD58" i="18"/>
  <c r="AD54" i="18"/>
  <c r="AD47" i="18"/>
  <c r="AD43" i="18"/>
  <c r="AD39" i="18"/>
  <c r="AD35" i="18"/>
  <c r="AD31" i="18"/>
  <c r="AD27" i="18"/>
  <c r="AD99" i="18"/>
  <c r="AD95" i="18"/>
  <c r="AD79" i="18"/>
  <c r="AD75" i="18"/>
  <c r="AD71" i="18"/>
  <c r="AD67" i="18"/>
  <c r="AD63" i="18"/>
  <c r="AD59" i="18"/>
  <c r="AD55" i="18"/>
  <c r="AD51" i="18"/>
  <c r="AD48" i="18"/>
  <c r="AD44" i="18"/>
  <c r="AD40" i="18"/>
  <c r="AD36" i="18"/>
  <c r="AD32" i="18"/>
  <c r="AD28" i="18"/>
  <c r="AD24" i="18"/>
  <c r="AD15" i="18"/>
  <c r="AD20" i="18"/>
  <c r="AD16" i="18"/>
  <c r="AD21" i="18"/>
  <c r="AD17" i="18"/>
  <c r="AD13" i="18"/>
  <c r="AD22" i="18"/>
  <c r="AD18" i="18"/>
  <c r="AD14" i="18"/>
  <c r="AD1948" i="18"/>
  <c r="AD1944" i="18"/>
  <c r="AD1940" i="18"/>
  <c r="AD1936" i="18"/>
  <c r="AD1932" i="18"/>
  <c r="AD1928" i="18"/>
  <c r="AD1924" i="18"/>
  <c r="AD1920" i="18"/>
  <c r="AD1916" i="18"/>
  <c r="AD1912" i="18"/>
  <c r="AD1908" i="18"/>
  <c r="AD1904" i="18"/>
  <c r="AD1900" i="18"/>
  <c r="AD1896" i="18"/>
  <c r="AD1892" i="18"/>
  <c r="AD1888" i="18"/>
  <c r="AD1884" i="18"/>
  <c r="AD1880" i="18"/>
  <c r="AD1876" i="18"/>
  <c r="AD1872" i="18"/>
  <c r="AD1868" i="18"/>
  <c r="AD1949" i="18"/>
  <c r="AD1945" i="18"/>
  <c r="AD1941" i="18"/>
  <c r="AD1937" i="18"/>
  <c r="AD1933" i="18"/>
  <c r="AD1929" i="18"/>
  <c r="AD1925" i="18"/>
  <c r="AD1921" i="18"/>
  <c r="AD1917" i="18"/>
  <c r="AD1913" i="18"/>
  <c r="AD1909" i="18"/>
  <c r="AD1905" i="18"/>
  <c r="AD1901" i="18"/>
  <c r="AD1897" i="18"/>
  <c r="AD1893" i="18"/>
  <c r="AD1889" i="18"/>
  <c r="AD1885" i="18"/>
  <c r="AD1881" i="18"/>
  <c r="AD1877" i="18"/>
  <c r="AD1873" i="18"/>
  <c r="AD1869" i="18"/>
  <c r="U153" i="19"/>
  <c r="T153" i="19"/>
  <c r="T128" i="19"/>
  <c r="U128" i="19"/>
  <c r="T120" i="19"/>
  <c r="U120" i="19"/>
  <c r="T149" i="19"/>
  <c r="U149" i="19"/>
  <c r="U152" i="19"/>
  <c r="T148" i="19"/>
  <c r="U148" i="19"/>
  <c r="T140" i="19"/>
  <c r="U140" i="19"/>
  <c r="T132" i="19"/>
  <c r="U132" i="19"/>
  <c r="U124" i="19"/>
  <c r="T116" i="19"/>
  <c r="U116" i="19"/>
  <c r="T144" i="19"/>
  <c r="U144" i="19"/>
  <c r="T136" i="19"/>
  <c r="U136" i="19"/>
  <c r="T112" i="19"/>
  <c r="U112" i="19"/>
  <c r="U155" i="19"/>
  <c r="T155" i="19"/>
  <c r="U151" i="19"/>
  <c r="U84" i="19"/>
  <c r="T84" i="19"/>
  <c r="U60" i="19"/>
  <c r="U59" i="19"/>
  <c r="T40" i="19"/>
  <c r="U40" i="19"/>
  <c r="T146" i="19"/>
  <c r="T142" i="19"/>
  <c r="T138" i="19"/>
  <c r="T130" i="19"/>
  <c r="T126" i="19"/>
  <c r="T122" i="19"/>
  <c r="T118" i="19"/>
  <c r="T114" i="19"/>
  <c r="T110" i="19"/>
  <c r="T90" i="19"/>
  <c r="U90" i="19"/>
  <c r="U80" i="19"/>
  <c r="T80" i="19"/>
  <c r="T79" i="19"/>
  <c r="U79" i="19"/>
  <c r="T74" i="19"/>
  <c r="U74" i="19"/>
  <c r="T68" i="19"/>
  <c r="U68" i="19"/>
  <c r="T83" i="19"/>
  <c r="T78" i="19"/>
  <c r="U78" i="19"/>
  <c r="T61" i="19"/>
  <c r="T44" i="19"/>
  <c r="U44" i="19"/>
  <c r="T145" i="19"/>
  <c r="T137" i="19"/>
  <c r="U137" i="19"/>
  <c r="T133" i="19"/>
  <c r="U133" i="19"/>
  <c r="T129" i="19"/>
  <c r="U129" i="19"/>
  <c r="T125" i="19"/>
  <c r="U125" i="19"/>
  <c r="U121" i="19"/>
  <c r="T117" i="19"/>
  <c r="U117" i="19"/>
  <c r="T113" i="19"/>
  <c r="U113" i="19"/>
  <c r="T109" i="19"/>
  <c r="U109" i="19"/>
  <c r="U106" i="19"/>
  <c r="U92" i="19"/>
  <c r="T92" i="19"/>
  <c r="T91" i="19"/>
  <c r="U91" i="19"/>
  <c r="T86" i="19"/>
  <c r="U86" i="19"/>
  <c r="T75" i="19"/>
  <c r="U75" i="19"/>
  <c r="T70" i="19"/>
  <c r="T102" i="19"/>
  <c r="U102" i="19"/>
  <c r="T99" i="19"/>
  <c r="T94" i="19"/>
  <c r="U94" i="19"/>
  <c r="T45" i="19"/>
  <c r="U45" i="19"/>
  <c r="U26" i="19"/>
  <c r="T26" i="19"/>
  <c r="T141" i="19"/>
  <c r="U141" i="19"/>
  <c r="U98" i="19"/>
  <c r="U88" i="19"/>
  <c r="T88" i="19"/>
  <c r="T87" i="19"/>
  <c r="U87" i="19"/>
  <c r="T82" i="19"/>
  <c r="T71" i="19"/>
  <c r="U71" i="19"/>
  <c r="O108" i="19"/>
  <c r="O107" i="19"/>
  <c r="O104" i="19"/>
  <c r="O103" i="19"/>
  <c r="O100" i="19"/>
  <c r="O96" i="19"/>
  <c r="O76" i="19"/>
  <c r="O72" i="19"/>
  <c r="U42" i="19"/>
  <c r="T42" i="19"/>
  <c r="T35" i="19"/>
  <c r="U35" i="19"/>
  <c r="T16" i="19"/>
  <c r="U16" i="19"/>
  <c r="T64" i="19"/>
  <c r="U64" i="19"/>
  <c r="T32" i="19"/>
  <c r="T24" i="19"/>
  <c r="U24" i="19"/>
  <c r="T23" i="19"/>
  <c r="U23" i="19"/>
  <c r="T20" i="19"/>
  <c r="U20" i="19"/>
  <c r="U97" i="19"/>
  <c r="U93" i="19"/>
  <c r="U89" i="19"/>
  <c r="U85" i="19"/>
  <c r="U81" i="19"/>
  <c r="U77" i="19"/>
  <c r="U73" i="19"/>
  <c r="U69" i="19"/>
  <c r="U58" i="19"/>
  <c r="T58" i="19"/>
  <c r="T29" i="19"/>
  <c r="U29" i="19"/>
  <c r="T28" i="19"/>
  <c r="U18" i="19"/>
  <c r="T18" i="19"/>
  <c r="T12" i="19"/>
  <c r="U12" i="19"/>
  <c r="O67" i="19"/>
  <c r="O66" i="19"/>
  <c r="O63" i="19"/>
  <c r="O62" i="19"/>
  <c r="T49" i="19"/>
  <c r="U49" i="19"/>
  <c r="T48" i="19"/>
  <c r="U48" i="19"/>
  <c r="O47" i="19"/>
  <c r="O46" i="19"/>
  <c r="O39" i="19"/>
  <c r="T38" i="19"/>
  <c r="U33" i="19"/>
  <c r="T21" i="19"/>
  <c r="U21" i="19"/>
  <c r="U15" i="19"/>
  <c r="O11" i="19"/>
  <c r="T10" i="19"/>
  <c r="O6" i="19"/>
  <c r="T53" i="19"/>
  <c r="U53" i="19"/>
  <c r="T52" i="19"/>
  <c r="O51" i="19"/>
  <c r="O43" i="19"/>
  <c r="T37" i="19"/>
  <c r="T36" i="19"/>
  <c r="U36" i="19"/>
  <c r="O27" i="19"/>
  <c r="O19" i="19"/>
  <c r="T13" i="19"/>
  <c r="U13" i="19"/>
  <c r="O65" i="19"/>
  <c r="U57" i="19"/>
  <c r="T56" i="19"/>
  <c r="U56" i="19"/>
  <c r="U41" i="19"/>
  <c r="O31" i="19"/>
  <c r="T25" i="19"/>
  <c r="U25" i="19"/>
  <c r="T17" i="19"/>
  <c r="U17" i="19"/>
  <c r="T9" i="19"/>
  <c r="T8" i="19"/>
  <c r="U8" i="19"/>
  <c r="U7" i="19"/>
  <c r="T5" i="19"/>
  <c r="U5" i="19"/>
  <c r="B131" i="2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U95" i="19" l="1"/>
  <c r="T134" i="19"/>
  <c r="U154" i="19"/>
  <c r="T55" i="19"/>
  <c r="U55" i="19"/>
  <c r="T111" i="19"/>
  <c r="U111" i="19"/>
  <c r="T105" i="19"/>
  <c r="U105" i="19"/>
  <c r="U150" i="19"/>
  <c r="T150" i="19"/>
  <c r="T123" i="19"/>
  <c r="U123" i="19"/>
  <c r="U14" i="19"/>
  <c r="T14" i="19"/>
  <c r="U50" i="19"/>
  <c r="T50" i="19"/>
  <c r="T139" i="19"/>
  <c r="U139" i="19"/>
  <c r="U54" i="19"/>
  <c r="T54" i="19"/>
  <c r="T47" i="19"/>
  <c r="U47" i="19"/>
  <c r="T19" i="19"/>
  <c r="U19" i="19"/>
  <c r="U6" i="19"/>
  <c r="T6" i="19"/>
  <c r="U62" i="19"/>
  <c r="T62" i="19"/>
  <c r="U96" i="19"/>
  <c r="T96" i="19"/>
  <c r="U107" i="19"/>
  <c r="T107" i="19"/>
  <c r="T51" i="19"/>
  <c r="U51" i="19"/>
  <c r="T104" i="19"/>
  <c r="U104" i="19"/>
  <c r="T65" i="19"/>
  <c r="U65" i="19"/>
  <c r="T27" i="19"/>
  <c r="U27" i="19"/>
  <c r="T39" i="19"/>
  <c r="U39" i="19"/>
  <c r="T63" i="19"/>
  <c r="U63" i="19"/>
  <c r="T100" i="19"/>
  <c r="U100" i="19"/>
  <c r="T108" i="19"/>
  <c r="U108" i="19"/>
  <c r="T67" i="19"/>
  <c r="U67" i="19"/>
  <c r="U76" i="19"/>
  <c r="T76" i="19"/>
  <c r="T31" i="19"/>
  <c r="U31" i="19"/>
  <c r="T43" i="19"/>
  <c r="U43" i="19"/>
  <c r="T11" i="19"/>
  <c r="U11" i="19"/>
  <c r="U46" i="19"/>
  <c r="T46" i="19"/>
  <c r="U66" i="19"/>
  <c r="T66" i="19"/>
  <c r="U72" i="19"/>
  <c r="T72" i="19"/>
  <c r="U103" i="19"/>
  <c r="T103" i="19"/>
  <c r="Q2" i="19"/>
  <c r="R2" i="19"/>
  <c r="P2" i="19"/>
  <c r="H1" i="15"/>
  <c r="AA1" i="18"/>
  <c r="Z1" i="18"/>
  <c r="Y1" i="18"/>
  <c r="I151" i="18" l="1"/>
  <c r="I90" i="18" l="1"/>
  <c r="F4" i="19" l="1"/>
  <c r="J5" i="18"/>
  <c r="J6" i="18" s="1"/>
  <c r="J7" i="18" s="1"/>
  <c r="J8" i="18" s="1"/>
  <c r="J9" i="18" s="1"/>
  <c r="J10" i="18" s="1"/>
  <c r="J11" i="18" s="1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74" i="18"/>
  <c r="I75" i="18"/>
  <c r="I76" i="18"/>
  <c r="I77" i="18"/>
  <c r="I78" i="18"/>
  <c r="I79" i="18"/>
  <c r="I80" i="18"/>
  <c r="I81" i="18"/>
  <c r="I82" i="18"/>
  <c r="I83" i="18"/>
  <c r="I84" i="18"/>
  <c r="I85" i="18"/>
  <c r="I86" i="18"/>
  <c r="I87" i="18"/>
  <c r="I88" i="18"/>
  <c r="I89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129" i="18"/>
  <c r="I130" i="18"/>
  <c r="I131" i="18"/>
  <c r="I132" i="18"/>
  <c r="I133" i="18"/>
  <c r="I134" i="18"/>
  <c r="I135" i="18"/>
  <c r="I136" i="18"/>
  <c r="I137" i="18"/>
  <c r="I138" i="18"/>
  <c r="I139" i="18"/>
  <c r="I140" i="18"/>
  <c r="I141" i="18"/>
  <c r="I142" i="18"/>
  <c r="I143" i="18"/>
  <c r="I144" i="18"/>
  <c r="I145" i="18"/>
  <c r="I146" i="18"/>
  <c r="I147" i="18"/>
  <c r="I148" i="18"/>
  <c r="I149" i="18"/>
  <c r="I150" i="18"/>
  <c r="I152" i="18"/>
  <c r="I153" i="18"/>
  <c r="I154" i="18"/>
  <c r="I155" i="18"/>
  <c r="I156" i="18"/>
  <c r="I157" i="18"/>
  <c r="I158" i="18"/>
  <c r="I159" i="18"/>
  <c r="I160" i="18"/>
  <c r="I161" i="18"/>
  <c r="I162" i="18"/>
  <c r="I163" i="18"/>
  <c r="I164" i="18"/>
  <c r="I165" i="18"/>
  <c r="I166" i="18"/>
  <c r="I167" i="18"/>
  <c r="I168" i="18"/>
  <c r="I169" i="18"/>
  <c r="I170" i="18"/>
  <c r="I171" i="18"/>
  <c r="I172" i="18"/>
  <c r="I173" i="18"/>
  <c r="I174" i="18"/>
  <c r="I175" i="18"/>
  <c r="I176" i="18"/>
  <c r="I177" i="18"/>
  <c r="I178" i="18"/>
  <c r="I179" i="18"/>
  <c r="I180" i="18"/>
  <c r="I181" i="18"/>
  <c r="I182" i="18"/>
  <c r="I183" i="18"/>
  <c r="I184" i="18"/>
  <c r="I185" i="18"/>
  <c r="I186" i="18"/>
  <c r="I187" i="18"/>
  <c r="I188" i="18"/>
  <c r="I189" i="18"/>
  <c r="I190" i="18"/>
  <c r="I191" i="18"/>
  <c r="I192" i="18"/>
  <c r="I193" i="18"/>
  <c r="I194" i="18"/>
  <c r="I195" i="18"/>
  <c r="I196" i="18"/>
  <c r="I197" i="18"/>
  <c r="I198" i="18"/>
  <c r="I199" i="18"/>
  <c r="I200" i="18"/>
  <c r="I201" i="18"/>
  <c r="I202" i="18"/>
  <c r="I203" i="18"/>
  <c r="I204" i="18"/>
  <c r="I205" i="18"/>
  <c r="I206" i="18"/>
  <c r="I207" i="18"/>
  <c r="I208" i="18"/>
  <c r="I209" i="18"/>
  <c r="I210" i="18"/>
  <c r="I211" i="18"/>
  <c r="I212" i="18"/>
  <c r="I213" i="18"/>
  <c r="I214" i="18"/>
  <c r="I215" i="18"/>
  <c r="I216" i="18"/>
  <c r="I217" i="18"/>
  <c r="I218" i="18"/>
  <c r="I219" i="18"/>
  <c r="I220" i="18"/>
  <c r="I221" i="18"/>
  <c r="I222" i="18"/>
  <c r="I223" i="18"/>
  <c r="I224" i="18"/>
  <c r="I225" i="18"/>
  <c r="I226" i="18"/>
  <c r="I227" i="18"/>
  <c r="I228" i="18"/>
  <c r="I229" i="18"/>
  <c r="I230" i="18"/>
  <c r="I231" i="18"/>
  <c r="I232" i="18"/>
  <c r="I233" i="18"/>
  <c r="I234" i="18"/>
  <c r="I235" i="18"/>
  <c r="I236" i="18"/>
  <c r="I237" i="18"/>
  <c r="I238" i="18"/>
  <c r="I239" i="18"/>
  <c r="I240" i="18"/>
  <c r="I241" i="18"/>
  <c r="I242" i="18"/>
  <c r="I243" i="18"/>
  <c r="I244" i="18"/>
  <c r="I245" i="18"/>
  <c r="I246" i="18"/>
  <c r="I247" i="18"/>
  <c r="I248" i="18"/>
  <c r="I249" i="18"/>
  <c r="I250" i="18"/>
  <c r="I251" i="18"/>
  <c r="I252" i="18"/>
  <c r="I253" i="18"/>
  <c r="I254" i="18"/>
  <c r="I255" i="18"/>
  <c r="I256" i="18"/>
  <c r="I257" i="18"/>
  <c r="I258" i="18"/>
  <c r="I259" i="18"/>
  <c r="I260" i="18"/>
  <c r="I261" i="18"/>
  <c r="I262" i="18"/>
  <c r="I263" i="18"/>
  <c r="I264" i="18"/>
  <c r="I265" i="18"/>
  <c r="I266" i="18"/>
  <c r="I267" i="18"/>
  <c r="I268" i="18"/>
  <c r="I269" i="18"/>
  <c r="I270" i="18"/>
  <c r="I271" i="18"/>
  <c r="I272" i="18"/>
  <c r="I273" i="18"/>
  <c r="I274" i="18"/>
  <c r="I275" i="18"/>
  <c r="I276" i="18"/>
  <c r="I277" i="18"/>
  <c r="I278" i="18"/>
  <c r="I279" i="18"/>
  <c r="I280" i="18"/>
  <c r="I281" i="18"/>
  <c r="I282" i="18"/>
  <c r="I283" i="18"/>
  <c r="I284" i="18"/>
  <c r="I285" i="18"/>
  <c r="I286" i="18"/>
  <c r="I287" i="18"/>
  <c r="I288" i="18"/>
  <c r="I289" i="18"/>
  <c r="I290" i="18"/>
  <c r="I291" i="18"/>
  <c r="I292" i="18"/>
  <c r="I293" i="18"/>
  <c r="I294" i="18"/>
  <c r="I295" i="18"/>
  <c r="I296" i="18"/>
  <c r="I297" i="18"/>
  <c r="I298" i="18"/>
  <c r="I299" i="18"/>
  <c r="I300" i="18"/>
  <c r="I301" i="18"/>
  <c r="I302" i="18"/>
  <c r="I303" i="18"/>
  <c r="I304" i="18"/>
  <c r="I305" i="18"/>
  <c r="I306" i="18"/>
  <c r="I307" i="18"/>
  <c r="I308" i="18"/>
  <c r="I309" i="18"/>
  <c r="I310" i="18"/>
  <c r="I311" i="18"/>
  <c r="I312" i="18"/>
  <c r="I313" i="18"/>
  <c r="I314" i="18"/>
  <c r="I315" i="18"/>
  <c r="I316" i="18"/>
  <c r="I317" i="18"/>
  <c r="I318" i="18"/>
  <c r="I319" i="18"/>
  <c r="I320" i="18"/>
  <c r="I321" i="18"/>
  <c r="I322" i="18"/>
  <c r="I323" i="18"/>
  <c r="I324" i="18"/>
  <c r="I325" i="18"/>
  <c r="I326" i="18"/>
  <c r="I327" i="18"/>
  <c r="I328" i="18"/>
  <c r="I329" i="18"/>
  <c r="I330" i="18"/>
  <c r="I331" i="18"/>
  <c r="I332" i="18"/>
  <c r="I333" i="18"/>
  <c r="I334" i="18"/>
  <c r="I335" i="18"/>
  <c r="I336" i="18"/>
  <c r="I337" i="18"/>
  <c r="I338" i="18"/>
  <c r="I339" i="18"/>
  <c r="I340" i="18"/>
  <c r="I341" i="18"/>
  <c r="I342" i="18"/>
  <c r="I343" i="18"/>
  <c r="I344" i="18"/>
  <c r="I345" i="18"/>
  <c r="I346" i="18"/>
  <c r="I347" i="18"/>
  <c r="I348" i="18"/>
  <c r="I349" i="18"/>
  <c r="I350" i="18"/>
  <c r="I351" i="18"/>
  <c r="I352" i="18"/>
  <c r="I353" i="18"/>
  <c r="I354" i="18"/>
  <c r="I355" i="18"/>
  <c r="I356" i="18"/>
  <c r="I357" i="18"/>
  <c r="I358" i="18"/>
  <c r="I359" i="18"/>
  <c r="I360" i="18"/>
  <c r="I361" i="18"/>
  <c r="I362" i="18"/>
  <c r="I363" i="18"/>
  <c r="I364" i="18"/>
  <c r="I365" i="18"/>
  <c r="I366" i="18"/>
  <c r="I367" i="18"/>
  <c r="I368" i="18"/>
  <c r="I369" i="18"/>
  <c r="I370" i="18"/>
  <c r="I371" i="18"/>
  <c r="I372" i="18"/>
  <c r="I373" i="18"/>
  <c r="I374" i="18"/>
  <c r="I375" i="18"/>
  <c r="I376" i="18"/>
  <c r="I377" i="18"/>
  <c r="I378" i="18"/>
  <c r="I379" i="18"/>
  <c r="I380" i="18"/>
  <c r="I381" i="18"/>
  <c r="I382" i="18"/>
  <c r="I383" i="18"/>
  <c r="I384" i="18"/>
  <c r="I385" i="18"/>
  <c r="I386" i="18"/>
  <c r="I387" i="18"/>
  <c r="I388" i="18"/>
  <c r="I389" i="18"/>
  <c r="I390" i="18"/>
  <c r="I391" i="18"/>
  <c r="I392" i="18"/>
  <c r="I393" i="18"/>
  <c r="I394" i="18"/>
  <c r="I395" i="18"/>
  <c r="I396" i="18"/>
  <c r="I397" i="18"/>
  <c r="I398" i="18"/>
  <c r="I399" i="18"/>
  <c r="I400" i="18"/>
  <c r="I401" i="18"/>
  <c r="I402" i="18"/>
  <c r="I403" i="18"/>
  <c r="I404" i="18"/>
  <c r="I405" i="18"/>
  <c r="I406" i="18"/>
  <c r="I407" i="18"/>
  <c r="I408" i="18"/>
  <c r="I409" i="18"/>
  <c r="I410" i="18"/>
  <c r="I411" i="18"/>
  <c r="I412" i="18"/>
  <c r="I413" i="18"/>
  <c r="I414" i="18"/>
  <c r="I415" i="18"/>
  <c r="I416" i="18"/>
  <c r="I417" i="18"/>
  <c r="I418" i="18"/>
  <c r="I419" i="18"/>
  <c r="I420" i="18"/>
  <c r="I421" i="18"/>
  <c r="I422" i="18"/>
  <c r="I423" i="18"/>
  <c r="I424" i="18"/>
  <c r="I425" i="18"/>
  <c r="I426" i="18"/>
  <c r="I427" i="18"/>
  <c r="I428" i="18"/>
  <c r="I429" i="18"/>
  <c r="I430" i="18"/>
  <c r="I431" i="18"/>
  <c r="I432" i="18"/>
  <c r="I433" i="18"/>
  <c r="I434" i="18"/>
  <c r="I435" i="18"/>
  <c r="I436" i="18"/>
  <c r="I437" i="18"/>
  <c r="I438" i="18"/>
  <c r="I439" i="18"/>
  <c r="I440" i="18"/>
  <c r="I441" i="18"/>
  <c r="I442" i="18"/>
  <c r="I443" i="18"/>
  <c r="I444" i="18"/>
  <c r="I445" i="18"/>
  <c r="I446" i="18"/>
  <c r="I447" i="18"/>
  <c r="I448" i="18"/>
  <c r="I449" i="18"/>
  <c r="I450" i="18"/>
  <c r="I451" i="18"/>
  <c r="I452" i="18"/>
  <c r="I453" i="18"/>
  <c r="I454" i="18"/>
  <c r="I455" i="18"/>
  <c r="I456" i="18"/>
  <c r="I457" i="18"/>
  <c r="I458" i="18"/>
  <c r="I459" i="18"/>
  <c r="I460" i="18"/>
  <c r="I461" i="18"/>
  <c r="I462" i="18"/>
  <c r="I463" i="18"/>
  <c r="I464" i="18"/>
  <c r="I465" i="18"/>
  <c r="I466" i="18"/>
  <c r="I467" i="18"/>
  <c r="I468" i="18"/>
  <c r="I469" i="18"/>
  <c r="I470" i="18"/>
  <c r="I471" i="18"/>
  <c r="I472" i="18"/>
  <c r="I473" i="18"/>
  <c r="I474" i="18"/>
  <c r="I475" i="18"/>
  <c r="I476" i="18"/>
  <c r="I477" i="18"/>
  <c r="I478" i="18"/>
  <c r="I479" i="18"/>
  <c r="I480" i="18"/>
  <c r="I481" i="18"/>
  <c r="I482" i="18"/>
  <c r="I483" i="18"/>
  <c r="I484" i="18"/>
  <c r="I485" i="18"/>
  <c r="I486" i="18"/>
  <c r="I487" i="18"/>
  <c r="I488" i="18"/>
  <c r="I489" i="18"/>
  <c r="I490" i="18"/>
  <c r="I491" i="18"/>
  <c r="I492" i="18"/>
  <c r="I493" i="18"/>
  <c r="I494" i="18"/>
  <c r="I495" i="18"/>
  <c r="I496" i="18"/>
  <c r="I497" i="18"/>
  <c r="I498" i="18"/>
  <c r="I499" i="18"/>
  <c r="I500" i="18"/>
  <c r="I501" i="18"/>
  <c r="I502" i="18"/>
  <c r="I503" i="18"/>
  <c r="I504" i="18"/>
  <c r="I505" i="18"/>
  <c r="I506" i="18"/>
  <c r="I507" i="18"/>
  <c r="I508" i="18"/>
  <c r="I509" i="18"/>
  <c r="I510" i="18"/>
  <c r="I511" i="18"/>
  <c r="I512" i="18"/>
  <c r="I513" i="18"/>
  <c r="I514" i="18"/>
  <c r="I515" i="18"/>
  <c r="I516" i="18"/>
  <c r="I517" i="18"/>
  <c r="I518" i="18"/>
  <c r="I519" i="18"/>
  <c r="I520" i="18"/>
  <c r="I521" i="18"/>
  <c r="I522" i="18"/>
  <c r="I523" i="18"/>
  <c r="I524" i="18"/>
  <c r="I525" i="18"/>
  <c r="I526" i="18"/>
  <c r="I527" i="18"/>
  <c r="I528" i="18"/>
  <c r="I529" i="18"/>
  <c r="I530" i="18"/>
  <c r="I531" i="18"/>
  <c r="I532" i="18"/>
  <c r="I533" i="18"/>
  <c r="I534" i="18"/>
  <c r="I535" i="18"/>
  <c r="I536" i="18"/>
  <c r="I537" i="18"/>
  <c r="I538" i="18"/>
  <c r="I539" i="18"/>
  <c r="I540" i="18"/>
  <c r="I541" i="18"/>
  <c r="I542" i="18"/>
  <c r="I543" i="18"/>
  <c r="I544" i="18"/>
  <c r="I545" i="18"/>
  <c r="I546" i="18"/>
  <c r="I547" i="18"/>
  <c r="I548" i="18"/>
  <c r="I549" i="18"/>
  <c r="I550" i="18"/>
  <c r="I551" i="18"/>
  <c r="I552" i="18"/>
  <c r="I553" i="18"/>
  <c r="I554" i="18"/>
  <c r="I555" i="18"/>
  <c r="I556" i="18"/>
  <c r="I557" i="18"/>
  <c r="I558" i="18"/>
  <c r="I559" i="18"/>
  <c r="I560" i="18"/>
  <c r="I561" i="18"/>
  <c r="I562" i="18"/>
  <c r="I563" i="18"/>
  <c r="I564" i="18"/>
  <c r="I565" i="18"/>
  <c r="I566" i="18"/>
  <c r="I567" i="18"/>
  <c r="I568" i="18"/>
  <c r="I569" i="18"/>
  <c r="I570" i="18"/>
  <c r="I571" i="18"/>
  <c r="I572" i="18"/>
  <c r="I573" i="18"/>
  <c r="I574" i="18"/>
  <c r="I575" i="18"/>
  <c r="I576" i="18"/>
  <c r="I577" i="18"/>
  <c r="I578" i="18"/>
  <c r="I579" i="18"/>
  <c r="I580" i="18"/>
  <c r="I581" i="18"/>
  <c r="I582" i="18"/>
  <c r="I583" i="18"/>
  <c r="I584" i="18"/>
  <c r="I585" i="18"/>
  <c r="I586" i="18"/>
  <c r="I587" i="18"/>
  <c r="I588" i="18"/>
  <c r="I589" i="18"/>
  <c r="I590" i="18"/>
  <c r="I591" i="18"/>
  <c r="I592" i="18"/>
  <c r="I593" i="18"/>
  <c r="I594" i="18"/>
  <c r="I595" i="18"/>
  <c r="I596" i="18"/>
  <c r="I597" i="18"/>
  <c r="I598" i="18"/>
  <c r="I599" i="18"/>
  <c r="I600" i="18"/>
  <c r="I601" i="18"/>
  <c r="I602" i="18"/>
  <c r="I603" i="18"/>
  <c r="I604" i="18"/>
  <c r="I605" i="18"/>
  <c r="I606" i="18"/>
  <c r="I607" i="18"/>
  <c r="I608" i="18"/>
  <c r="I609" i="18"/>
  <c r="I610" i="18"/>
  <c r="I611" i="18"/>
  <c r="I612" i="18"/>
  <c r="I613" i="18"/>
  <c r="I614" i="18"/>
  <c r="I615" i="18"/>
  <c r="I616" i="18"/>
  <c r="I617" i="18"/>
  <c r="I618" i="18"/>
  <c r="I619" i="18"/>
  <c r="I620" i="18"/>
  <c r="I621" i="18"/>
  <c r="I622" i="18"/>
  <c r="I623" i="18"/>
  <c r="I624" i="18"/>
  <c r="I625" i="18"/>
  <c r="I626" i="18"/>
  <c r="I627" i="18"/>
  <c r="I628" i="18"/>
  <c r="I629" i="18"/>
  <c r="I630" i="18"/>
  <c r="I631" i="18"/>
  <c r="I632" i="18"/>
  <c r="I633" i="18"/>
  <c r="I634" i="18"/>
  <c r="I635" i="18"/>
  <c r="I636" i="18"/>
  <c r="I637" i="18"/>
  <c r="I638" i="18"/>
  <c r="I639" i="18"/>
  <c r="I640" i="18"/>
  <c r="I641" i="18"/>
  <c r="I642" i="18"/>
  <c r="I643" i="18"/>
  <c r="I644" i="18"/>
  <c r="I645" i="18"/>
  <c r="I646" i="18"/>
  <c r="I647" i="18"/>
  <c r="I648" i="18"/>
  <c r="I649" i="18"/>
  <c r="I650" i="18"/>
  <c r="I651" i="18"/>
  <c r="I652" i="18"/>
  <c r="I653" i="18"/>
  <c r="I654" i="18"/>
  <c r="I655" i="18"/>
  <c r="I656" i="18"/>
  <c r="I657" i="18"/>
  <c r="I658" i="18"/>
  <c r="I659" i="18"/>
  <c r="I660" i="18"/>
  <c r="I661" i="18"/>
  <c r="I662" i="18"/>
  <c r="I663" i="18"/>
  <c r="I664" i="18"/>
  <c r="I665" i="18"/>
  <c r="I666" i="18"/>
  <c r="I667" i="18"/>
  <c r="I668" i="18"/>
  <c r="I669" i="18"/>
  <c r="I670" i="18"/>
  <c r="I671" i="18"/>
  <c r="I672" i="18"/>
  <c r="I673" i="18"/>
  <c r="I674" i="18"/>
  <c r="I675" i="18"/>
  <c r="I676" i="18"/>
  <c r="I677" i="18"/>
  <c r="I678" i="18"/>
  <c r="I679" i="18"/>
  <c r="I680" i="18"/>
  <c r="I681" i="18"/>
  <c r="I682" i="18"/>
  <c r="I683" i="18"/>
  <c r="I684" i="18"/>
  <c r="I685" i="18"/>
  <c r="I686" i="18"/>
  <c r="I687" i="18"/>
  <c r="I688" i="18"/>
  <c r="I689" i="18"/>
  <c r="I690" i="18"/>
  <c r="I691" i="18"/>
  <c r="I692" i="18"/>
  <c r="I693" i="18"/>
  <c r="I694" i="18"/>
  <c r="I695" i="18"/>
  <c r="I696" i="18"/>
  <c r="I697" i="18"/>
  <c r="I698" i="18"/>
  <c r="I699" i="18"/>
  <c r="I700" i="18"/>
  <c r="I701" i="18"/>
  <c r="I702" i="18"/>
  <c r="I703" i="18"/>
  <c r="I704" i="18"/>
  <c r="I705" i="18"/>
  <c r="I706" i="18"/>
  <c r="I707" i="18"/>
  <c r="I708" i="18"/>
  <c r="I709" i="18"/>
  <c r="I710" i="18"/>
  <c r="I711" i="18"/>
  <c r="I712" i="18"/>
  <c r="I713" i="18"/>
  <c r="I714" i="18"/>
  <c r="I715" i="18"/>
  <c r="I716" i="18"/>
  <c r="I717" i="18"/>
  <c r="I718" i="18"/>
  <c r="I719" i="18"/>
  <c r="I720" i="18"/>
  <c r="I721" i="18"/>
  <c r="I722" i="18"/>
  <c r="I723" i="18"/>
  <c r="I724" i="18"/>
  <c r="I725" i="18"/>
  <c r="I726" i="18"/>
  <c r="I727" i="18"/>
  <c r="I728" i="18"/>
  <c r="I729" i="18"/>
  <c r="I730" i="18"/>
  <c r="I731" i="18"/>
  <c r="I732" i="18"/>
  <c r="I733" i="18"/>
  <c r="I734" i="18"/>
  <c r="I735" i="18"/>
  <c r="I736" i="18"/>
  <c r="I737" i="18"/>
  <c r="I738" i="18"/>
  <c r="I739" i="18"/>
  <c r="I740" i="18"/>
  <c r="I741" i="18"/>
  <c r="I742" i="18"/>
  <c r="I743" i="18"/>
  <c r="I744" i="18"/>
  <c r="I745" i="18"/>
  <c r="I746" i="18"/>
  <c r="I747" i="18"/>
  <c r="I748" i="18"/>
  <c r="I749" i="18"/>
  <c r="I750" i="18"/>
  <c r="I751" i="18"/>
  <c r="I752" i="18"/>
  <c r="I753" i="18"/>
  <c r="I754" i="18"/>
  <c r="I755" i="18"/>
  <c r="I756" i="18"/>
  <c r="I757" i="18"/>
  <c r="I758" i="18"/>
  <c r="I759" i="18"/>
  <c r="I760" i="18"/>
  <c r="I761" i="18"/>
  <c r="I762" i="18"/>
  <c r="I763" i="18"/>
  <c r="I764" i="18"/>
  <c r="I765" i="18"/>
  <c r="I766" i="18"/>
  <c r="I767" i="18"/>
  <c r="I768" i="18"/>
  <c r="I769" i="18"/>
  <c r="I770" i="18"/>
  <c r="I771" i="18"/>
  <c r="I772" i="18"/>
  <c r="I773" i="18"/>
  <c r="I774" i="18"/>
  <c r="I775" i="18"/>
  <c r="I776" i="18"/>
  <c r="I777" i="18"/>
  <c r="I778" i="18"/>
  <c r="I779" i="18"/>
  <c r="I780" i="18"/>
  <c r="I781" i="18"/>
  <c r="I782" i="18"/>
  <c r="I783" i="18"/>
  <c r="I784" i="18"/>
  <c r="I785" i="18"/>
  <c r="I786" i="18"/>
  <c r="I787" i="18"/>
  <c r="I788" i="18"/>
  <c r="I789" i="18"/>
  <c r="I790" i="18"/>
  <c r="I791" i="18"/>
  <c r="I792" i="18"/>
  <c r="I793" i="18"/>
  <c r="I794" i="18"/>
  <c r="I795" i="18"/>
  <c r="I796" i="18"/>
  <c r="I797" i="18"/>
  <c r="I798" i="18"/>
  <c r="I799" i="18"/>
  <c r="I800" i="18"/>
  <c r="I801" i="18"/>
  <c r="I802" i="18"/>
  <c r="I803" i="18"/>
  <c r="I804" i="18"/>
  <c r="I805" i="18"/>
  <c r="I806" i="18"/>
  <c r="I807" i="18"/>
  <c r="I808" i="18"/>
  <c r="I809" i="18"/>
  <c r="I810" i="18"/>
  <c r="I811" i="18"/>
  <c r="I812" i="18"/>
  <c r="I813" i="18"/>
  <c r="I814" i="18"/>
  <c r="I815" i="18"/>
  <c r="I816" i="18"/>
  <c r="I817" i="18"/>
  <c r="I818" i="18"/>
  <c r="I819" i="18"/>
  <c r="I820" i="18"/>
  <c r="I821" i="18"/>
  <c r="I822" i="18"/>
  <c r="I823" i="18"/>
  <c r="I824" i="18"/>
  <c r="I825" i="18"/>
  <c r="I826" i="18"/>
  <c r="I827" i="18"/>
  <c r="I828" i="18"/>
  <c r="I829" i="18"/>
  <c r="I830" i="18"/>
  <c r="I831" i="18"/>
  <c r="I832" i="18"/>
  <c r="I833" i="18"/>
  <c r="I834" i="18"/>
  <c r="I835" i="18"/>
  <c r="I836" i="18"/>
  <c r="I837" i="18"/>
  <c r="I838" i="18"/>
  <c r="I839" i="18"/>
  <c r="I840" i="18"/>
  <c r="I841" i="18"/>
  <c r="I842" i="18"/>
  <c r="I843" i="18"/>
  <c r="I844" i="18"/>
  <c r="I845" i="18"/>
  <c r="I846" i="18"/>
  <c r="I847" i="18"/>
  <c r="I848" i="18"/>
  <c r="I849" i="18"/>
  <c r="I850" i="18"/>
  <c r="I851" i="18"/>
  <c r="I852" i="18"/>
  <c r="I853" i="18"/>
  <c r="I854" i="18"/>
  <c r="I855" i="18"/>
  <c r="I856" i="18"/>
  <c r="I857" i="18"/>
  <c r="I858" i="18"/>
  <c r="I859" i="18"/>
  <c r="I860" i="18"/>
  <c r="I861" i="18"/>
  <c r="I862" i="18"/>
  <c r="I863" i="18"/>
  <c r="I864" i="18"/>
  <c r="I865" i="18"/>
  <c r="I866" i="18"/>
  <c r="I867" i="18"/>
  <c r="I868" i="18"/>
  <c r="I869" i="18"/>
  <c r="I870" i="18"/>
  <c r="I871" i="18"/>
  <c r="I872" i="18"/>
  <c r="I873" i="18"/>
  <c r="I874" i="18"/>
  <c r="I875" i="18"/>
  <c r="I876" i="18"/>
  <c r="I877" i="18"/>
  <c r="I878" i="18"/>
  <c r="I879" i="18"/>
  <c r="I880" i="18"/>
  <c r="I881" i="18"/>
  <c r="I882" i="18"/>
  <c r="I883" i="18"/>
  <c r="I884" i="18"/>
  <c r="I885" i="18"/>
  <c r="I886" i="18"/>
  <c r="I887" i="18"/>
  <c r="I888" i="18"/>
  <c r="I889" i="18"/>
  <c r="I890" i="18"/>
  <c r="I891" i="18"/>
  <c r="I892" i="18"/>
  <c r="I893" i="18"/>
  <c r="I894" i="18"/>
  <c r="I895" i="18"/>
  <c r="I896" i="18"/>
  <c r="I897" i="18"/>
  <c r="I898" i="18"/>
  <c r="I899" i="18"/>
  <c r="I900" i="18"/>
  <c r="I901" i="18"/>
  <c r="I902" i="18"/>
  <c r="I903" i="18"/>
  <c r="I904" i="18"/>
  <c r="I905" i="18"/>
  <c r="I906" i="18"/>
  <c r="I907" i="18"/>
  <c r="I908" i="18"/>
  <c r="I909" i="18"/>
  <c r="I910" i="18"/>
  <c r="I911" i="18"/>
  <c r="I912" i="18"/>
  <c r="I913" i="18"/>
  <c r="I914" i="18"/>
  <c r="I915" i="18"/>
  <c r="I916" i="18"/>
  <c r="I917" i="18"/>
  <c r="I918" i="18"/>
  <c r="I919" i="18"/>
  <c r="I920" i="18"/>
  <c r="I921" i="18"/>
  <c r="I922" i="18"/>
  <c r="I923" i="18"/>
  <c r="I924" i="18"/>
  <c r="I925" i="18"/>
  <c r="I926" i="18"/>
  <c r="I927" i="18"/>
  <c r="I928" i="18"/>
  <c r="I929" i="18"/>
  <c r="I930" i="18"/>
  <c r="I931" i="18"/>
  <c r="I932" i="18"/>
  <c r="I933" i="18"/>
  <c r="I934" i="18"/>
  <c r="I935" i="18"/>
  <c r="I936" i="18"/>
  <c r="I937" i="18"/>
  <c r="I938" i="18"/>
  <c r="I939" i="18"/>
  <c r="I940" i="18"/>
  <c r="I941" i="18"/>
  <c r="I942" i="18"/>
  <c r="I943" i="18"/>
  <c r="I944" i="18"/>
  <c r="I945" i="18"/>
  <c r="I946" i="18"/>
  <c r="I947" i="18"/>
  <c r="I948" i="18"/>
  <c r="I949" i="18"/>
  <c r="I950" i="18"/>
  <c r="I951" i="18"/>
  <c r="I952" i="18"/>
  <c r="I953" i="18"/>
  <c r="I954" i="18"/>
  <c r="I955" i="18"/>
  <c r="I956" i="18"/>
  <c r="I957" i="18"/>
  <c r="I958" i="18"/>
  <c r="I959" i="18"/>
  <c r="I960" i="18"/>
  <c r="I961" i="18"/>
  <c r="I962" i="18"/>
  <c r="I963" i="18"/>
  <c r="I964" i="18"/>
  <c r="I965" i="18"/>
  <c r="I966" i="18"/>
  <c r="I967" i="18"/>
  <c r="I968" i="18"/>
  <c r="I969" i="18"/>
  <c r="I970" i="18"/>
  <c r="I971" i="18"/>
  <c r="I972" i="18"/>
  <c r="I973" i="18"/>
  <c r="I974" i="18"/>
  <c r="I975" i="18"/>
  <c r="I976" i="18"/>
  <c r="I977" i="18"/>
  <c r="I978" i="18"/>
  <c r="I979" i="18"/>
  <c r="I980" i="18"/>
  <c r="I981" i="18"/>
  <c r="I982" i="18"/>
  <c r="I983" i="18"/>
  <c r="I984" i="18"/>
  <c r="I985" i="18"/>
  <c r="I986" i="18"/>
  <c r="I987" i="18"/>
  <c r="I988" i="18"/>
  <c r="I989" i="18"/>
  <c r="I990" i="18"/>
  <c r="I991" i="18"/>
  <c r="I992" i="18"/>
  <c r="I993" i="18"/>
  <c r="I994" i="18"/>
  <c r="I995" i="18"/>
  <c r="I996" i="18"/>
  <c r="I997" i="18"/>
  <c r="I998" i="18"/>
  <c r="I999" i="18"/>
  <c r="I1000" i="18"/>
  <c r="I1001" i="18"/>
  <c r="I1002" i="18"/>
  <c r="I1003" i="18"/>
  <c r="I1004" i="18"/>
  <c r="I1005" i="18"/>
  <c r="I1006" i="18"/>
  <c r="I1007" i="18"/>
  <c r="I1008" i="18"/>
  <c r="I1009" i="18"/>
  <c r="I1010" i="18"/>
  <c r="I1011" i="18"/>
  <c r="I1012" i="18"/>
  <c r="I1013" i="18"/>
  <c r="I1014" i="18"/>
  <c r="I1015" i="18"/>
  <c r="I1016" i="18"/>
  <c r="I1017" i="18"/>
  <c r="I1018" i="18"/>
  <c r="I1019" i="18"/>
  <c r="I1020" i="18"/>
  <c r="I1021" i="18"/>
  <c r="I1022" i="18"/>
  <c r="I1023" i="18"/>
  <c r="I1024" i="18"/>
  <c r="I1025" i="18"/>
  <c r="I1026" i="18"/>
  <c r="I1027" i="18"/>
  <c r="I1028" i="18"/>
  <c r="I1029" i="18"/>
  <c r="I1030" i="18"/>
  <c r="I1031" i="18"/>
  <c r="I1032" i="18"/>
  <c r="I1033" i="18"/>
  <c r="I1034" i="18"/>
  <c r="I1035" i="18"/>
  <c r="I1036" i="18"/>
  <c r="I1037" i="18"/>
  <c r="I1038" i="18"/>
  <c r="I1039" i="18"/>
  <c r="I1040" i="18"/>
  <c r="I1041" i="18"/>
  <c r="I1042" i="18"/>
  <c r="I1043" i="18"/>
  <c r="I1044" i="18"/>
  <c r="I1045" i="18"/>
  <c r="I1046" i="18"/>
  <c r="I1047" i="18"/>
  <c r="I1048" i="18"/>
  <c r="I1049" i="18"/>
  <c r="I1050" i="18"/>
  <c r="I1051" i="18"/>
  <c r="I1052" i="18"/>
  <c r="I1053" i="18"/>
  <c r="I1054" i="18"/>
  <c r="I1055" i="18"/>
  <c r="I1056" i="18"/>
  <c r="I1057" i="18"/>
  <c r="I1058" i="18"/>
  <c r="I1059" i="18"/>
  <c r="I1060" i="18"/>
  <c r="I1061" i="18"/>
  <c r="I1062" i="18"/>
  <c r="I1063" i="18"/>
  <c r="I1064" i="18"/>
  <c r="I1065" i="18"/>
  <c r="I1066" i="18"/>
  <c r="I1067" i="18"/>
  <c r="I1068" i="18"/>
  <c r="I1069" i="18"/>
  <c r="I1070" i="18"/>
  <c r="I1071" i="18"/>
  <c r="I1072" i="18"/>
  <c r="I1073" i="18"/>
  <c r="I1074" i="18"/>
  <c r="I1075" i="18"/>
  <c r="I1076" i="18"/>
  <c r="I1077" i="18"/>
  <c r="I1078" i="18"/>
  <c r="I1079" i="18"/>
  <c r="I1080" i="18"/>
  <c r="I1081" i="18"/>
  <c r="I1082" i="18"/>
  <c r="I1083" i="18"/>
  <c r="I1084" i="18"/>
  <c r="I1085" i="18"/>
  <c r="I1086" i="18"/>
  <c r="I1087" i="18"/>
  <c r="I1088" i="18"/>
  <c r="I1089" i="18"/>
  <c r="I1090" i="18"/>
  <c r="I1091" i="18"/>
  <c r="I1092" i="18"/>
  <c r="I1093" i="18"/>
  <c r="I1094" i="18"/>
  <c r="I1095" i="18"/>
  <c r="I1096" i="18"/>
  <c r="I1097" i="18"/>
  <c r="I1098" i="18"/>
  <c r="I1099" i="18"/>
  <c r="I1100" i="18"/>
  <c r="I1101" i="18"/>
  <c r="I1102" i="18"/>
  <c r="I1103" i="18"/>
  <c r="I1104" i="18"/>
  <c r="I1105" i="18"/>
  <c r="I1106" i="18"/>
  <c r="I1107" i="18"/>
  <c r="I1108" i="18"/>
  <c r="I1109" i="18"/>
  <c r="I1110" i="18"/>
  <c r="I1111" i="18"/>
  <c r="I1112" i="18"/>
  <c r="I1113" i="18"/>
  <c r="I1114" i="18"/>
  <c r="I1115" i="18"/>
  <c r="I1116" i="18"/>
  <c r="I1117" i="18"/>
  <c r="I1118" i="18"/>
  <c r="I1119" i="18"/>
  <c r="I1120" i="18"/>
  <c r="I1121" i="18"/>
  <c r="I1122" i="18"/>
  <c r="I1123" i="18"/>
  <c r="I1124" i="18"/>
  <c r="I1125" i="18"/>
  <c r="I1126" i="18"/>
  <c r="I1127" i="18"/>
  <c r="I1128" i="18"/>
  <c r="I1129" i="18"/>
  <c r="I1130" i="18"/>
  <c r="I1131" i="18"/>
  <c r="I1132" i="18"/>
  <c r="I1133" i="18"/>
  <c r="I1134" i="18"/>
  <c r="I1135" i="18"/>
  <c r="I1136" i="18"/>
  <c r="I1137" i="18"/>
  <c r="I1138" i="18"/>
  <c r="I1139" i="18"/>
  <c r="I1140" i="18"/>
  <c r="I1141" i="18"/>
  <c r="I1142" i="18"/>
  <c r="I1143" i="18"/>
  <c r="I1144" i="18"/>
  <c r="I1145" i="18"/>
  <c r="I1146" i="18"/>
  <c r="I1147" i="18"/>
  <c r="I1148" i="18"/>
  <c r="I1149" i="18"/>
  <c r="I1150" i="18"/>
  <c r="I1151" i="18"/>
  <c r="I1152" i="18"/>
  <c r="I1153" i="18"/>
  <c r="I1154" i="18"/>
  <c r="I1155" i="18"/>
  <c r="I1156" i="18"/>
  <c r="I1157" i="18"/>
  <c r="I1158" i="18"/>
  <c r="I1159" i="18"/>
  <c r="I1160" i="18"/>
  <c r="I1161" i="18"/>
  <c r="I1162" i="18"/>
  <c r="I1163" i="18"/>
  <c r="I1164" i="18"/>
  <c r="I1165" i="18"/>
  <c r="I1166" i="18"/>
  <c r="I1167" i="18"/>
  <c r="I1168" i="18"/>
  <c r="I1169" i="18"/>
  <c r="I1170" i="18"/>
  <c r="I1171" i="18"/>
  <c r="I1172" i="18"/>
  <c r="I1173" i="18"/>
  <c r="I1174" i="18"/>
  <c r="I1175" i="18"/>
  <c r="I1176" i="18"/>
  <c r="I1177" i="18"/>
  <c r="I1178" i="18"/>
  <c r="I1179" i="18"/>
  <c r="I1180" i="18"/>
  <c r="I1181" i="18"/>
  <c r="I1182" i="18"/>
  <c r="I1183" i="18"/>
  <c r="I1184" i="18"/>
  <c r="I1185" i="18"/>
  <c r="I1186" i="18"/>
  <c r="I1187" i="18"/>
  <c r="I1188" i="18"/>
  <c r="I1189" i="18"/>
  <c r="I1190" i="18"/>
  <c r="I1191" i="18"/>
  <c r="I1192" i="18"/>
  <c r="I1193" i="18"/>
  <c r="I1194" i="18"/>
  <c r="I1195" i="18"/>
  <c r="I1196" i="18"/>
  <c r="I1197" i="18"/>
  <c r="I1198" i="18"/>
  <c r="I1199" i="18"/>
  <c r="I1200" i="18"/>
  <c r="I1201" i="18"/>
  <c r="I1202" i="18"/>
  <c r="I1203" i="18"/>
  <c r="I1204" i="18"/>
  <c r="I1205" i="18"/>
  <c r="I1206" i="18"/>
  <c r="I1207" i="18"/>
  <c r="I1208" i="18"/>
  <c r="I1209" i="18"/>
  <c r="I1210" i="18"/>
  <c r="I1211" i="18"/>
  <c r="I1212" i="18"/>
  <c r="I1213" i="18"/>
  <c r="I1214" i="18"/>
  <c r="I1215" i="18"/>
  <c r="I1216" i="18"/>
  <c r="I1217" i="18"/>
  <c r="I1218" i="18"/>
  <c r="I1219" i="18"/>
  <c r="I1220" i="18"/>
  <c r="I1221" i="18"/>
  <c r="I1222" i="18"/>
  <c r="I1223" i="18"/>
  <c r="I1224" i="18"/>
  <c r="I1225" i="18"/>
  <c r="I1226" i="18"/>
  <c r="I1227" i="18"/>
  <c r="I1228" i="18"/>
  <c r="I1229" i="18"/>
  <c r="I1230" i="18"/>
  <c r="I1231" i="18"/>
  <c r="I1232" i="18"/>
  <c r="I1233" i="18"/>
  <c r="I1234" i="18"/>
  <c r="I1235" i="18"/>
  <c r="I1236" i="18"/>
  <c r="I1237" i="18"/>
  <c r="I1238" i="18"/>
  <c r="I1239" i="18"/>
  <c r="I1240" i="18"/>
  <c r="I1241" i="18"/>
  <c r="I1242" i="18"/>
  <c r="I1243" i="18"/>
  <c r="I1244" i="18"/>
  <c r="I1245" i="18"/>
  <c r="I1246" i="18"/>
  <c r="I1247" i="18"/>
  <c r="I1248" i="18"/>
  <c r="I1249" i="18"/>
  <c r="I1250" i="18"/>
  <c r="I1251" i="18"/>
  <c r="I1252" i="18"/>
  <c r="I1253" i="18"/>
  <c r="I1254" i="18"/>
  <c r="I1255" i="18"/>
  <c r="I1256" i="18"/>
  <c r="I1257" i="18"/>
  <c r="I1258" i="18"/>
  <c r="I1259" i="18"/>
  <c r="I1260" i="18"/>
  <c r="I1261" i="18"/>
  <c r="I1262" i="18"/>
  <c r="I1263" i="18"/>
  <c r="I1264" i="18"/>
  <c r="I1265" i="18"/>
  <c r="I1266" i="18"/>
  <c r="I1267" i="18"/>
  <c r="I1268" i="18"/>
  <c r="I1269" i="18"/>
  <c r="I1270" i="18"/>
  <c r="I1271" i="18"/>
  <c r="I1272" i="18"/>
  <c r="I1273" i="18"/>
  <c r="I1274" i="18"/>
  <c r="I1275" i="18"/>
  <c r="I1276" i="18"/>
  <c r="I1277" i="18"/>
  <c r="I1278" i="18"/>
  <c r="I1279" i="18"/>
  <c r="I1280" i="18"/>
  <c r="I1281" i="18"/>
  <c r="I1282" i="18"/>
  <c r="I1283" i="18"/>
  <c r="I1284" i="18"/>
  <c r="I1285" i="18"/>
  <c r="I1286" i="18"/>
  <c r="I1287" i="18"/>
  <c r="I1288" i="18"/>
  <c r="I1289" i="18"/>
  <c r="I1290" i="18"/>
  <c r="I1291" i="18"/>
  <c r="I1292" i="18"/>
  <c r="I1293" i="18"/>
  <c r="I1294" i="18"/>
  <c r="I1295" i="18"/>
  <c r="I1296" i="18"/>
  <c r="I1297" i="18"/>
  <c r="I1298" i="18"/>
  <c r="I1299" i="18"/>
  <c r="I1300" i="18"/>
  <c r="I1301" i="18"/>
  <c r="I1302" i="18"/>
  <c r="I1303" i="18"/>
  <c r="I1304" i="18"/>
  <c r="I1305" i="18"/>
  <c r="I1306" i="18"/>
  <c r="I1307" i="18"/>
  <c r="I1308" i="18"/>
  <c r="I1309" i="18"/>
  <c r="I1310" i="18"/>
  <c r="I1311" i="18"/>
  <c r="I1312" i="18"/>
  <c r="I1313" i="18"/>
  <c r="I1314" i="18"/>
  <c r="I1315" i="18"/>
  <c r="I1316" i="18"/>
  <c r="I1317" i="18"/>
  <c r="I1318" i="18"/>
  <c r="I1319" i="18"/>
  <c r="I1320" i="18"/>
  <c r="I1321" i="18"/>
  <c r="I1322" i="18"/>
  <c r="I1323" i="18"/>
  <c r="I1324" i="18"/>
  <c r="I1325" i="18"/>
  <c r="I1326" i="18"/>
  <c r="I1327" i="18"/>
  <c r="I1328" i="18"/>
  <c r="I1329" i="18"/>
  <c r="I1330" i="18"/>
  <c r="I1331" i="18"/>
  <c r="I1332" i="18"/>
  <c r="I1333" i="18"/>
  <c r="I1334" i="18"/>
  <c r="I1335" i="18"/>
  <c r="I1336" i="18"/>
  <c r="I1337" i="18"/>
  <c r="I1338" i="18"/>
  <c r="I1339" i="18"/>
  <c r="I1340" i="18"/>
  <c r="I1341" i="18"/>
  <c r="I1342" i="18"/>
  <c r="I1343" i="18"/>
  <c r="I1344" i="18"/>
  <c r="I1345" i="18"/>
  <c r="I1346" i="18"/>
  <c r="I1347" i="18"/>
  <c r="I1348" i="18"/>
  <c r="I1349" i="18"/>
  <c r="I1350" i="18"/>
  <c r="I1351" i="18"/>
  <c r="I1352" i="18"/>
  <c r="I1353" i="18"/>
  <c r="I1354" i="18"/>
  <c r="I1355" i="18"/>
  <c r="I1356" i="18"/>
  <c r="I1357" i="18"/>
  <c r="I1358" i="18"/>
  <c r="I1359" i="18"/>
  <c r="I1360" i="18"/>
  <c r="I1361" i="18"/>
  <c r="I1362" i="18"/>
  <c r="I1363" i="18"/>
  <c r="I1364" i="18"/>
  <c r="I1365" i="18"/>
  <c r="I1366" i="18"/>
  <c r="I1367" i="18"/>
  <c r="I1368" i="18"/>
  <c r="I1369" i="18"/>
  <c r="I1370" i="18"/>
  <c r="I1371" i="18"/>
  <c r="I1372" i="18"/>
  <c r="I1373" i="18"/>
  <c r="I1374" i="18"/>
  <c r="I1375" i="18"/>
  <c r="I1376" i="18"/>
  <c r="I1377" i="18"/>
  <c r="I1378" i="18"/>
  <c r="I1379" i="18"/>
  <c r="I1380" i="18"/>
  <c r="I1381" i="18"/>
  <c r="I1382" i="18"/>
  <c r="I1383" i="18"/>
  <c r="I1384" i="18"/>
  <c r="I1385" i="18"/>
  <c r="I1386" i="18"/>
  <c r="I1387" i="18"/>
  <c r="I1388" i="18"/>
  <c r="I1389" i="18"/>
  <c r="I1390" i="18"/>
  <c r="I1391" i="18"/>
  <c r="I1392" i="18"/>
  <c r="I1393" i="18"/>
  <c r="I1394" i="18"/>
  <c r="I1395" i="18"/>
  <c r="I1396" i="18"/>
  <c r="I1397" i="18"/>
  <c r="I1398" i="18"/>
  <c r="I1399" i="18"/>
  <c r="I1400" i="18"/>
  <c r="I1401" i="18"/>
  <c r="I1402" i="18"/>
  <c r="I1403" i="18"/>
  <c r="I1404" i="18"/>
  <c r="I1405" i="18"/>
  <c r="I1406" i="18"/>
  <c r="I1407" i="18"/>
  <c r="I1408" i="18"/>
  <c r="I1409" i="18"/>
  <c r="I1410" i="18"/>
  <c r="I1411" i="18"/>
  <c r="I1412" i="18"/>
  <c r="I1413" i="18"/>
  <c r="I1414" i="18"/>
  <c r="I1415" i="18"/>
  <c r="I1416" i="18"/>
  <c r="I1417" i="18"/>
  <c r="I1418" i="18"/>
  <c r="I1419" i="18"/>
  <c r="I1420" i="18"/>
  <c r="I1421" i="18"/>
  <c r="I1422" i="18"/>
  <c r="I1423" i="18"/>
  <c r="I1424" i="18"/>
  <c r="I1425" i="18"/>
  <c r="I1426" i="18"/>
  <c r="I1427" i="18"/>
  <c r="I1428" i="18"/>
  <c r="I1429" i="18"/>
  <c r="I1430" i="18"/>
  <c r="I1431" i="18"/>
  <c r="I1432" i="18"/>
  <c r="I1433" i="18"/>
  <c r="I1434" i="18"/>
  <c r="I1435" i="18"/>
  <c r="I1436" i="18"/>
  <c r="I1437" i="18"/>
  <c r="I1438" i="18"/>
  <c r="I1439" i="18"/>
  <c r="I1440" i="18"/>
  <c r="I1441" i="18"/>
  <c r="I1442" i="18"/>
  <c r="I1443" i="18"/>
  <c r="I1444" i="18"/>
  <c r="I1445" i="18"/>
  <c r="I1446" i="18"/>
  <c r="I1447" i="18"/>
  <c r="I1448" i="18"/>
  <c r="I1449" i="18"/>
  <c r="I1450" i="18"/>
  <c r="I1451" i="18"/>
  <c r="I1452" i="18"/>
  <c r="I1453" i="18"/>
  <c r="I1454" i="18"/>
  <c r="I1455" i="18"/>
  <c r="I1456" i="18"/>
  <c r="I1457" i="18"/>
  <c r="I1458" i="18"/>
  <c r="I1459" i="18"/>
  <c r="I1460" i="18"/>
  <c r="I1461" i="18"/>
  <c r="I1462" i="18"/>
  <c r="I1463" i="18"/>
  <c r="I1464" i="18"/>
  <c r="I1465" i="18"/>
  <c r="I1466" i="18"/>
  <c r="I1467" i="18"/>
  <c r="I1468" i="18"/>
  <c r="I1469" i="18"/>
  <c r="I1470" i="18"/>
  <c r="I1471" i="18"/>
  <c r="I1472" i="18"/>
  <c r="I1473" i="18"/>
  <c r="I1474" i="18"/>
  <c r="I1475" i="18"/>
  <c r="I1476" i="18"/>
  <c r="I1477" i="18"/>
  <c r="I1478" i="18"/>
  <c r="I1479" i="18"/>
  <c r="I1480" i="18"/>
  <c r="I1481" i="18"/>
  <c r="I1482" i="18"/>
  <c r="I1483" i="18"/>
  <c r="I1484" i="18"/>
  <c r="I1485" i="18"/>
  <c r="I1486" i="18"/>
  <c r="I1487" i="18"/>
  <c r="I1488" i="18"/>
  <c r="I1489" i="18"/>
  <c r="I1490" i="18"/>
  <c r="I1491" i="18"/>
  <c r="I1492" i="18"/>
  <c r="I1493" i="18"/>
  <c r="I1494" i="18"/>
  <c r="I1495" i="18"/>
  <c r="I1496" i="18"/>
  <c r="I1497" i="18"/>
  <c r="I1498" i="18"/>
  <c r="I1499" i="18"/>
  <c r="I1500" i="18"/>
  <c r="I1501" i="18"/>
  <c r="I1502" i="18"/>
  <c r="I1503" i="18"/>
  <c r="I1504" i="18"/>
  <c r="I1505" i="18"/>
  <c r="I1506" i="18"/>
  <c r="I1507" i="18"/>
  <c r="I1508" i="18"/>
  <c r="I1509" i="18"/>
  <c r="I1510" i="18"/>
  <c r="I1511" i="18"/>
  <c r="I1512" i="18"/>
  <c r="I1513" i="18"/>
  <c r="I1514" i="18"/>
  <c r="I1515" i="18"/>
  <c r="I1516" i="18"/>
  <c r="I1517" i="18"/>
  <c r="I1518" i="18"/>
  <c r="I1519" i="18"/>
  <c r="I1520" i="18"/>
  <c r="I1521" i="18"/>
  <c r="I1522" i="18"/>
  <c r="I1523" i="18"/>
  <c r="I1524" i="18"/>
  <c r="I1525" i="18"/>
  <c r="I1526" i="18"/>
  <c r="I1527" i="18"/>
  <c r="I1528" i="18"/>
  <c r="I1529" i="18"/>
  <c r="I1530" i="18"/>
  <c r="I1531" i="18"/>
  <c r="I1532" i="18"/>
  <c r="I1533" i="18"/>
  <c r="I1534" i="18"/>
  <c r="I1535" i="18"/>
  <c r="I1536" i="18"/>
  <c r="I1537" i="18"/>
  <c r="I1538" i="18"/>
  <c r="I1539" i="18"/>
  <c r="I1540" i="18"/>
  <c r="I1541" i="18"/>
  <c r="I1542" i="18"/>
  <c r="I1543" i="18"/>
  <c r="I1544" i="18"/>
  <c r="I1545" i="18"/>
  <c r="I1546" i="18"/>
  <c r="I1547" i="18"/>
  <c r="I1548" i="18"/>
  <c r="I1549" i="18"/>
  <c r="I1550" i="18"/>
  <c r="I1551" i="18"/>
  <c r="I1552" i="18"/>
  <c r="I1553" i="18"/>
  <c r="I1554" i="18"/>
  <c r="I1555" i="18"/>
  <c r="I1556" i="18"/>
  <c r="I1557" i="18"/>
  <c r="I1558" i="18"/>
  <c r="I1559" i="18"/>
  <c r="I1560" i="18"/>
  <c r="I1561" i="18"/>
  <c r="I1562" i="18"/>
  <c r="I1563" i="18"/>
  <c r="I1564" i="18"/>
  <c r="I1565" i="18"/>
  <c r="I1566" i="18"/>
  <c r="I1567" i="18"/>
  <c r="I1568" i="18"/>
  <c r="I1569" i="18"/>
  <c r="I1570" i="18"/>
  <c r="I1571" i="18"/>
  <c r="I1572" i="18"/>
  <c r="I1573" i="18"/>
  <c r="I1574" i="18"/>
  <c r="I1575" i="18"/>
  <c r="I1576" i="18"/>
  <c r="I1577" i="18"/>
  <c r="I1578" i="18"/>
  <c r="I1579" i="18"/>
  <c r="I1580" i="18"/>
  <c r="I1581" i="18"/>
  <c r="I1582" i="18"/>
  <c r="I1583" i="18"/>
  <c r="I1584" i="18"/>
  <c r="I1585" i="18"/>
  <c r="I1586" i="18"/>
  <c r="I1587" i="18"/>
  <c r="I1588" i="18"/>
  <c r="I1589" i="18"/>
  <c r="I1590" i="18"/>
  <c r="I1591" i="18"/>
  <c r="I1592" i="18"/>
  <c r="I1593" i="18"/>
  <c r="I1594" i="18"/>
  <c r="I1595" i="18"/>
  <c r="I1596" i="18"/>
  <c r="I1597" i="18"/>
  <c r="I1598" i="18"/>
  <c r="I1599" i="18"/>
  <c r="I1600" i="18"/>
  <c r="I1601" i="18"/>
  <c r="I1602" i="18"/>
  <c r="I1603" i="18"/>
  <c r="I1604" i="18"/>
  <c r="I1605" i="18"/>
  <c r="I1606" i="18"/>
  <c r="I1607" i="18"/>
  <c r="I1608" i="18"/>
  <c r="I1609" i="18"/>
  <c r="I1610" i="18"/>
  <c r="I1611" i="18"/>
  <c r="I1612" i="18"/>
  <c r="I1613" i="18"/>
  <c r="I1614" i="18"/>
  <c r="I1615" i="18"/>
  <c r="I1616" i="18"/>
  <c r="I1617" i="18"/>
  <c r="I1618" i="18"/>
  <c r="I1619" i="18"/>
  <c r="I1620" i="18"/>
  <c r="I1621" i="18"/>
  <c r="I1622" i="18"/>
  <c r="I1623" i="18"/>
  <c r="I1624" i="18"/>
  <c r="I1625" i="18"/>
  <c r="I1626" i="18"/>
  <c r="I1627" i="18"/>
  <c r="I1628" i="18"/>
  <c r="I1629" i="18"/>
  <c r="I1630" i="18"/>
  <c r="I1631" i="18"/>
  <c r="I1632" i="18"/>
  <c r="I1633" i="18"/>
  <c r="I1634" i="18"/>
  <c r="I1635" i="18"/>
  <c r="I1636" i="18"/>
  <c r="I1637" i="18"/>
  <c r="I1638" i="18"/>
  <c r="I1639" i="18"/>
  <c r="I1640" i="18"/>
  <c r="I1641" i="18"/>
  <c r="I1642" i="18"/>
  <c r="I1643" i="18"/>
  <c r="I1644" i="18"/>
  <c r="I1645" i="18"/>
  <c r="I1646" i="18"/>
  <c r="I1647" i="18"/>
  <c r="I1648" i="18"/>
  <c r="I1649" i="18"/>
  <c r="I1650" i="18"/>
  <c r="I1651" i="18"/>
  <c r="I1652" i="18"/>
  <c r="I1653" i="18"/>
  <c r="I1654" i="18"/>
  <c r="I1655" i="18"/>
  <c r="I1656" i="18"/>
  <c r="I1657" i="18"/>
  <c r="I1658" i="18"/>
  <c r="I1659" i="18"/>
  <c r="I1660" i="18"/>
  <c r="I1661" i="18"/>
  <c r="I1662" i="18"/>
  <c r="I1663" i="18"/>
  <c r="I1664" i="18"/>
  <c r="I1665" i="18"/>
  <c r="I1666" i="18"/>
  <c r="I1667" i="18"/>
  <c r="I1668" i="18"/>
  <c r="I1669" i="18"/>
  <c r="I1670" i="18"/>
  <c r="I1671" i="18"/>
  <c r="I1672" i="18"/>
  <c r="I1673" i="18"/>
  <c r="I1674" i="18"/>
  <c r="I1675" i="18"/>
  <c r="I1676" i="18"/>
  <c r="I1677" i="18"/>
  <c r="I1678" i="18"/>
  <c r="I1679" i="18"/>
  <c r="I1680" i="18"/>
  <c r="I1681" i="18"/>
  <c r="I1682" i="18"/>
  <c r="I1683" i="18"/>
  <c r="I1684" i="18"/>
  <c r="I1685" i="18"/>
  <c r="I1686" i="18"/>
  <c r="I1687" i="18"/>
  <c r="I1688" i="18"/>
  <c r="I1689" i="18"/>
  <c r="I1690" i="18"/>
  <c r="I1691" i="18"/>
  <c r="I1692" i="18"/>
  <c r="I1693" i="18"/>
  <c r="I1694" i="18"/>
  <c r="I1695" i="18"/>
  <c r="I1696" i="18"/>
  <c r="I1697" i="18"/>
  <c r="I1698" i="18"/>
  <c r="I1699" i="18"/>
  <c r="I1700" i="18"/>
  <c r="I1701" i="18"/>
  <c r="I1702" i="18"/>
  <c r="I1703" i="18"/>
  <c r="I1704" i="18"/>
  <c r="I1705" i="18"/>
  <c r="I1706" i="18"/>
  <c r="I1707" i="18"/>
  <c r="I1708" i="18"/>
  <c r="I1709" i="18"/>
  <c r="I1710" i="18"/>
  <c r="I1711" i="18"/>
  <c r="I1712" i="18"/>
  <c r="I1713" i="18"/>
  <c r="I1714" i="18"/>
  <c r="I1715" i="18"/>
  <c r="I1716" i="18"/>
  <c r="I1717" i="18"/>
  <c r="I1718" i="18"/>
  <c r="I1719" i="18"/>
  <c r="I1720" i="18"/>
  <c r="I1721" i="18"/>
  <c r="I1722" i="18"/>
  <c r="I1723" i="18"/>
  <c r="I1724" i="18"/>
  <c r="I1725" i="18"/>
  <c r="I1726" i="18"/>
  <c r="I1727" i="18"/>
  <c r="I1728" i="18"/>
  <c r="I1729" i="18"/>
  <c r="I1730" i="18"/>
  <c r="I1731" i="18"/>
  <c r="I1732" i="18"/>
  <c r="I1733" i="18"/>
  <c r="I1734" i="18"/>
  <c r="I1735" i="18"/>
  <c r="I1736" i="18"/>
  <c r="I1737" i="18"/>
  <c r="I1738" i="18"/>
  <c r="I1739" i="18"/>
  <c r="I1740" i="18"/>
  <c r="I1741" i="18"/>
  <c r="I1742" i="18"/>
  <c r="I1743" i="18"/>
  <c r="I1744" i="18"/>
  <c r="I1745" i="18"/>
  <c r="I1746" i="18"/>
  <c r="I1747" i="18"/>
  <c r="I1748" i="18"/>
  <c r="I1749" i="18"/>
  <c r="I1750" i="18"/>
  <c r="I1751" i="18"/>
  <c r="I1752" i="18"/>
  <c r="I1753" i="18"/>
  <c r="I1754" i="18"/>
  <c r="I1755" i="18"/>
  <c r="I1756" i="18"/>
  <c r="I1757" i="18"/>
  <c r="I1758" i="18"/>
  <c r="I1759" i="18"/>
  <c r="I1760" i="18"/>
  <c r="I1761" i="18"/>
  <c r="I1762" i="18"/>
  <c r="I1763" i="18"/>
  <c r="I1764" i="18"/>
  <c r="I1765" i="18"/>
  <c r="I1766" i="18"/>
  <c r="I1767" i="18"/>
  <c r="I1768" i="18"/>
  <c r="I1769" i="18"/>
  <c r="I1770" i="18"/>
  <c r="I1771" i="18"/>
  <c r="I1772" i="18"/>
  <c r="I1773" i="18"/>
  <c r="I1774" i="18"/>
  <c r="I1775" i="18"/>
  <c r="I1776" i="18"/>
  <c r="I1777" i="18"/>
  <c r="I1778" i="18"/>
  <c r="I1779" i="18"/>
  <c r="I1780" i="18"/>
  <c r="I1781" i="18"/>
  <c r="I1782" i="18"/>
  <c r="I1783" i="18"/>
  <c r="I1784" i="18"/>
  <c r="I1785" i="18"/>
  <c r="I1786" i="18"/>
  <c r="I1787" i="18"/>
  <c r="I1788" i="18"/>
  <c r="I1789" i="18"/>
  <c r="I1790" i="18"/>
  <c r="I1791" i="18"/>
  <c r="I1792" i="18"/>
  <c r="I1793" i="18"/>
  <c r="I1794" i="18"/>
  <c r="I1795" i="18"/>
  <c r="I1796" i="18"/>
  <c r="I1797" i="18"/>
  <c r="I1798" i="18"/>
  <c r="I1799" i="18"/>
  <c r="I1800" i="18"/>
  <c r="I1801" i="18"/>
  <c r="I1802" i="18"/>
  <c r="I1803" i="18"/>
  <c r="I1804" i="18"/>
  <c r="I1805" i="18"/>
  <c r="I1806" i="18"/>
  <c r="I1807" i="18"/>
  <c r="I1808" i="18"/>
  <c r="I1809" i="18"/>
  <c r="I1810" i="18"/>
  <c r="I1811" i="18"/>
  <c r="I1812" i="18"/>
  <c r="I1813" i="18"/>
  <c r="I1814" i="18"/>
  <c r="I1815" i="18"/>
  <c r="I1816" i="18"/>
  <c r="I1817" i="18"/>
  <c r="I1818" i="18"/>
  <c r="I1819" i="18"/>
  <c r="I1820" i="18"/>
  <c r="I1821" i="18"/>
  <c r="I1822" i="18"/>
  <c r="I1823" i="18"/>
  <c r="I1824" i="18"/>
  <c r="I1825" i="18"/>
  <c r="I1826" i="18"/>
  <c r="I1827" i="18"/>
  <c r="I1828" i="18"/>
  <c r="I1829" i="18"/>
  <c r="I1830" i="18"/>
  <c r="I1831" i="18"/>
  <c r="I1832" i="18"/>
  <c r="I1833" i="18"/>
  <c r="I1834" i="18"/>
  <c r="I1835" i="18"/>
  <c r="I1836" i="18"/>
  <c r="I1837" i="18"/>
  <c r="I1838" i="18"/>
  <c r="I1839" i="18"/>
  <c r="I1840" i="18"/>
  <c r="I1841" i="18"/>
  <c r="I1842" i="18"/>
  <c r="I1843" i="18"/>
  <c r="I1844" i="18"/>
  <c r="I1845" i="18"/>
  <c r="I1846" i="18"/>
  <c r="I1847" i="18"/>
  <c r="I1848" i="18"/>
  <c r="I1849" i="18"/>
  <c r="I1850" i="18"/>
  <c r="I1851" i="18"/>
  <c r="I1852" i="18"/>
  <c r="I1853" i="18"/>
  <c r="I1854" i="18"/>
  <c r="I1855" i="18"/>
  <c r="I1856" i="18"/>
  <c r="I1857" i="18"/>
  <c r="I1858" i="18"/>
  <c r="I1859" i="18"/>
  <c r="I1860" i="18"/>
  <c r="I1861" i="18"/>
  <c r="I1862" i="18"/>
  <c r="I1863" i="18"/>
  <c r="I1864" i="18"/>
  <c r="I1865" i="18"/>
  <c r="I1866" i="18"/>
  <c r="I1867" i="18"/>
  <c r="I1868" i="18"/>
  <c r="I1869" i="18"/>
  <c r="I1870" i="18"/>
  <c r="I1871" i="18"/>
  <c r="I1872" i="18"/>
  <c r="I1873" i="18"/>
  <c r="I1874" i="18"/>
  <c r="I1875" i="18"/>
  <c r="I1876" i="18"/>
  <c r="I1877" i="18"/>
  <c r="I1878" i="18"/>
  <c r="I1879" i="18"/>
  <c r="I1880" i="18"/>
  <c r="I1881" i="18"/>
  <c r="I1882" i="18"/>
  <c r="I1883" i="18"/>
  <c r="I1884" i="18"/>
  <c r="I1885" i="18"/>
  <c r="I1886" i="18"/>
  <c r="I1887" i="18"/>
  <c r="I1888" i="18"/>
  <c r="I1889" i="18"/>
  <c r="I1890" i="18"/>
  <c r="I1891" i="18"/>
  <c r="I1892" i="18"/>
  <c r="I1893" i="18"/>
  <c r="I1894" i="18"/>
  <c r="I1895" i="18"/>
  <c r="I1896" i="18"/>
  <c r="I1897" i="18"/>
  <c r="I1898" i="18"/>
  <c r="I1899" i="18"/>
  <c r="I1900" i="18"/>
  <c r="I1901" i="18"/>
  <c r="I1902" i="18"/>
  <c r="I1903" i="18"/>
  <c r="I1904" i="18"/>
  <c r="I1905" i="18"/>
  <c r="I1906" i="18"/>
  <c r="I1907" i="18"/>
  <c r="I1908" i="18"/>
  <c r="I1909" i="18"/>
  <c r="I1910" i="18"/>
  <c r="I1911" i="18"/>
  <c r="I1912" i="18"/>
  <c r="I1913" i="18"/>
  <c r="I1914" i="18"/>
  <c r="I1915" i="18"/>
  <c r="I1916" i="18"/>
  <c r="I1917" i="18"/>
  <c r="I1918" i="18"/>
  <c r="I1919" i="18"/>
  <c r="I1920" i="18"/>
  <c r="I1921" i="18"/>
  <c r="I1922" i="18"/>
  <c r="I1923" i="18"/>
  <c r="I1924" i="18"/>
  <c r="I1925" i="18"/>
  <c r="I1926" i="18"/>
  <c r="I1927" i="18"/>
  <c r="I1928" i="18"/>
  <c r="I1929" i="18"/>
  <c r="I1930" i="18"/>
  <c r="I1931" i="18"/>
  <c r="I1932" i="18"/>
  <c r="I1933" i="18"/>
  <c r="I1934" i="18"/>
  <c r="I1935" i="18"/>
  <c r="I1936" i="18"/>
  <c r="I1937" i="18"/>
  <c r="I1938" i="18"/>
  <c r="I1939" i="18"/>
  <c r="I1940" i="18"/>
  <c r="I1941" i="18"/>
  <c r="I1942" i="18"/>
  <c r="I1943" i="18"/>
  <c r="I1944" i="18"/>
  <c r="I1945" i="18"/>
  <c r="I1946" i="18"/>
  <c r="I1947" i="18"/>
  <c r="I1948" i="18"/>
  <c r="I1949" i="18"/>
  <c r="I1950" i="18"/>
  <c r="I1951" i="18"/>
  <c r="I1952" i="18"/>
  <c r="I1953" i="18"/>
  <c r="I1954" i="18"/>
  <c r="I1955" i="18"/>
  <c r="I1956" i="18"/>
  <c r="I1957" i="18"/>
  <c r="I1958" i="18"/>
  <c r="I1959" i="18"/>
  <c r="I1960" i="18"/>
  <c r="I1961" i="18"/>
  <c r="I1962" i="18"/>
  <c r="I1963" i="18"/>
  <c r="I1964" i="18"/>
  <c r="I1965" i="18"/>
  <c r="I1966" i="18"/>
  <c r="I1967" i="18"/>
  <c r="I1968" i="18"/>
  <c r="I1969" i="18"/>
  <c r="I1970" i="18"/>
  <c r="I1971" i="18"/>
  <c r="I1972" i="18"/>
  <c r="I1973" i="18"/>
  <c r="I1974" i="18"/>
  <c r="I1975" i="18"/>
  <c r="I1976" i="18"/>
  <c r="I1977" i="18"/>
  <c r="I1978" i="18"/>
  <c r="I1979" i="18"/>
  <c r="I1980" i="18"/>
  <c r="I1981" i="18"/>
  <c r="I1982" i="18"/>
  <c r="I1983" i="18"/>
  <c r="I1984" i="18"/>
  <c r="I1985" i="18"/>
  <c r="I1986" i="18"/>
  <c r="I1987" i="18"/>
  <c r="I1988" i="18"/>
  <c r="I1989" i="18"/>
  <c r="I1990" i="18"/>
  <c r="I1991" i="18"/>
  <c r="I1992" i="18"/>
  <c r="I1993" i="18"/>
  <c r="I1994" i="18"/>
  <c r="I1995" i="18"/>
  <c r="I1996" i="18"/>
  <c r="I1997" i="18"/>
  <c r="I1998" i="18"/>
  <c r="I1999" i="18"/>
  <c r="I2000" i="18"/>
  <c r="I2001" i="18"/>
  <c r="I2002" i="18"/>
  <c r="I2003" i="18"/>
  <c r="I2004" i="18"/>
  <c r="I2005" i="18"/>
  <c r="I2006" i="18"/>
  <c r="I2007" i="18"/>
  <c r="I2008" i="18"/>
  <c r="I2009" i="18"/>
  <c r="I2010" i="18"/>
  <c r="I2011" i="18"/>
  <c r="I2012" i="18"/>
  <c r="I2013" i="18"/>
  <c r="I2014" i="18"/>
  <c r="I2015" i="18"/>
  <c r="I2016" i="18"/>
  <c r="I2017" i="18"/>
  <c r="I2018" i="18"/>
  <c r="I2019" i="18"/>
  <c r="I2020" i="18"/>
  <c r="I2021" i="18"/>
  <c r="I2022" i="18"/>
  <c r="I2023" i="18"/>
  <c r="I2024" i="18"/>
  <c r="I2025" i="18"/>
  <c r="I2026" i="18"/>
  <c r="I2027" i="18"/>
  <c r="I2028" i="18"/>
  <c r="I2029" i="18"/>
  <c r="I2030" i="18"/>
  <c r="I2031" i="18"/>
  <c r="I2032" i="18"/>
  <c r="I2033" i="18"/>
  <c r="I2034" i="18"/>
  <c r="I2035" i="18"/>
  <c r="I2036" i="18"/>
  <c r="I2037" i="18"/>
  <c r="I2038" i="18"/>
  <c r="I2039" i="18"/>
  <c r="I2040" i="18"/>
  <c r="I2041" i="18"/>
  <c r="I2042" i="18"/>
  <c r="J12" i="18" l="1"/>
  <c r="J13" i="18" s="1"/>
  <c r="J14" i="18" s="1"/>
  <c r="J15" i="18" s="1"/>
  <c r="J16" i="18" s="1"/>
  <c r="J17" i="18" s="1"/>
  <c r="J18" i="18" s="1"/>
  <c r="J19" i="18" s="1"/>
  <c r="J20" i="18" s="1"/>
  <c r="J21" i="18" s="1"/>
  <c r="J22" i="18" s="1"/>
  <c r="J23" i="18" s="1"/>
  <c r="J24" i="18" s="1"/>
  <c r="J25" i="18" s="1"/>
  <c r="J26" i="18" s="1"/>
  <c r="J27" i="18" s="1"/>
  <c r="J28" i="18" s="1"/>
  <c r="J29" i="18" s="1"/>
  <c r="J30" i="18" s="1"/>
  <c r="J31" i="18" s="1"/>
  <c r="J32" i="18" s="1"/>
  <c r="J33" i="18" s="1"/>
  <c r="J34" i="18" s="1"/>
  <c r="J35" i="18" s="1"/>
  <c r="J36" i="18" s="1"/>
  <c r="J37" i="18" s="1"/>
  <c r="J38" i="18" s="1"/>
  <c r="J39" i="18" s="1"/>
  <c r="J40" i="18" s="1"/>
  <c r="J41" i="18" s="1"/>
  <c r="J42" i="18" s="1"/>
  <c r="J43" i="18" s="1"/>
  <c r="J44" i="18" s="1"/>
  <c r="J45" i="18" s="1"/>
  <c r="J46" i="18" s="1"/>
  <c r="J47" i="18" s="1"/>
  <c r="J48" i="18" s="1"/>
  <c r="J49" i="18" s="1"/>
  <c r="J50" i="18" s="1"/>
  <c r="J51" i="18" s="1"/>
  <c r="J52" i="18" l="1"/>
  <c r="J53" i="18" s="1"/>
  <c r="J54" i="18" s="1"/>
  <c r="J55" i="18" s="1"/>
  <c r="J56" i="18" s="1"/>
  <c r="J57" i="18" s="1"/>
  <c r="J58" i="18" s="1"/>
  <c r="J59" i="18" s="1"/>
  <c r="J60" i="18" s="1"/>
  <c r="J61" i="18" s="1"/>
  <c r="J62" i="18" s="1"/>
  <c r="J63" i="18" s="1"/>
  <c r="J64" i="18" s="1"/>
  <c r="J65" i="18" s="1"/>
  <c r="J66" i="18" s="1"/>
  <c r="J67" i="18" s="1"/>
  <c r="J68" i="18" s="1"/>
  <c r="J69" i="18" s="1"/>
  <c r="J70" i="18" s="1"/>
  <c r="J71" i="18" s="1"/>
  <c r="J72" i="18" s="1"/>
  <c r="J73" i="18" s="1"/>
  <c r="J74" i="18" s="1"/>
  <c r="J75" i="18" s="1"/>
  <c r="J76" i="18" s="1"/>
  <c r="J77" i="18" s="1"/>
  <c r="J78" i="18" s="1"/>
  <c r="J79" i="18" s="1"/>
  <c r="J80" i="18" s="1"/>
  <c r="J81" i="18" s="1"/>
  <c r="J82" i="18" s="1"/>
  <c r="J83" i="18" s="1"/>
  <c r="J84" i="18" s="1"/>
  <c r="J85" i="18" s="1"/>
  <c r="J86" i="18" s="1"/>
  <c r="J87" i="18" s="1"/>
  <c r="J88" i="18" s="1"/>
  <c r="J89" i="18" s="1"/>
  <c r="J90" i="18" s="1"/>
  <c r="M1" i="18"/>
  <c r="J91" i="18" l="1"/>
  <c r="J92" i="18" s="1"/>
  <c r="J93" i="18" s="1"/>
  <c r="J94" i="18" s="1"/>
  <c r="J95" i="18" s="1"/>
  <c r="J96" i="18" s="1"/>
  <c r="J97" i="18" s="1"/>
  <c r="J98" i="18" s="1"/>
  <c r="J99" i="18" s="1"/>
  <c r="J100" i="18" s="1"/>
  <c r="J101" i="18" s="1"/>
  <c r="J102" i="18" s="1"/>
  <c r="J103" i="18" s="1"/>
  <c r="J104" i="18" s="1"/>
  <c r="J105" i="18" s="1"/>
  <c r="J106" i="18" s="1"/>
  <c r="J107" i="18" s="1"/>
  <c r="J108" i="18" s="1"/>
  <c r="J109" i="18" s="1"/>
  <c r="J110" i="18" s="1"/>
  <c r="J111" i="18" s="1"/>
  <c r="J112" i="18" s="1"/>
  <c r="J113" i="18" s="1"/>
  <c r="J114" i="18" s="1"/>
  <c r="J115" i="18" s="1"/>
  <c r="J116" i="18" s="1"/>
  <c r="J117" i="18" s="1"/>
  <c r="J118" i="18" s="1"/>
  <c r="J119" i="18" s="1"/>
  <c r="J120" i="18" s="1"/>
  <c r="J121" i="18" s="1"/>
  <c r="J122" i="18" s="1"/>
  <c r="J123" i="18" s="1"/>
  <c r="J124" i="18" s="1"/>
  <c r="J125" i="18" s="1"/>
  <c r="J126" i="18" s="1"/>
  <c r="J127" i="18" s="1"/>
  <c r="J128" i="18" s="1"/>
  <c r="J129" i="18" s="1"/>
  <c r="J130" i="18" s="1"/>
  <c r="J131" i="18" s="1"/>
  <c r="J132" i="18" s="1"/>
  <c r="J133" i="18" s="1"/>
  <c r="J134" i="18" s="1"/>
  <c r="J135" i="18" s="1"/>
  <c r="J136" i="18" s="1"/>
  <c r="J137" i="18" s="1"/>
  <c r="J138" i="18" s="1"/>
  <c r="J139" i="18" s="1"/>
  <c r="J140" i="18" s="1"/>
  <c r="J141" i="18" s="1"/>
  <c r="J142" i="18" s="1"/>
  <c r="J143" i="18" s="1"/>
  <c r="J144" i="18" s="1"/>
  <c r="J145" i="18" s="1"/>
  <c r="J146" i="18" s="1"/>
  <c r="J147" i="18" s="1"/>
  <c r="J148" i="18" s="1"/>
  <c r="J149" i="18" s="1"/>
  <c r="J150" i="18" s="1"/>
  <c r="Q5" i="2"/>
  <c r="Q6" i="2" s="1"/>
  <c r="Q7" i="2" s="1"/>
  <c r="Q8" i="2" s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N1" i="18"/>
  <c r="J151" i="18" l="1"/>
  <c r="J152" i="18" s="1"/>
  <c r="J153" i="18" s="1"/>
  <c r="J154" i="18" s="1"/>
  <c r="J155" i="18" s="1"/>
  <c r="J156" i="18" s="1"/>
  <c r="J157" i="18" s="1"/>
  <c r="J158" i="18" s="1"/>
  <c r="J159" i="18" s="1"/>
  <c r="J160" i="18" s="1"/>
  <c r="J161" i="18" s="1"/>
  <c r="J162" i="18" s="1"/>
  <c r="J163" i="18" s="1"/>
  <c r="J164" i="18" s="1"/>
  <c r="J165" i="18" s="1"/>
  <c r="J166" i="18" s="1"/>
  <c r="J167" i="18" s="1"/>
  <c r="J168" i="18" s="1"/>
  <c r="J169" i="18" s="1"/>
  <c r="J170" i="18" s="1"/>
  <c r="J171" i="18" s="1"/>
  <c r="J172" i="18" s="1"/>
  <c r="J173" i="18" s="1"/>
  <c r="J174" i="18" s="1"/>
  <c r="J175" i="18" s="1"/>
  <c r="J176" i="18" s="1"/>
  <c r="J177" i="18" s="1"/>
  <c r="J178" i="18" s="1"/>
  <c r="J179" i="18" s="1"/>
  <c r="J180" i="18" s="1"/>
  <c r="J181" i="18" s="1"/>
  <c r="J182" i="18" s="1"/>
  <c r="J183" i="18" s="1"/>
  <c r="J184" i="18" s="1"/>
  <c r="J185" i="18" s="1"/>
  <c r="J186" i="18" s="1"/>
  <c r="J187" i="18" s="1"/>
  <c r="J188" i="18" s="1"/>
  <c r="J189" i="18" s="1"/>
  <c r="J190" i="18" s="1"/>
  <c r="J191" i="18" s="1"/>
  <c r="J192" i="18" s="1"/>
  <c r="J193" i="18" s="1"/>
  <c r="J194" i="18" s="1"/>
  <c r="J195" i="18" s="1"/>
  <c r="J196" i="18" s="1"/>
  <c r="J197" i="18" s="1"/>
  <c r="J198" i="18" s="1"/>
  <c r="J199" i="18" s="1"/>
  <c r="J200" i="18" s="1"/>
  <c r="J201" i="18" s="1"/>
  <c r="J202" i="18" s="1"/>
  <c r="J203" i="18" s="1"/>
  <c r="J204" i="18" s="1"/>
  <c r="J205" i="18" s="1"/>
  <c r="J206" i="18" s="1"/>
  <c r="J207" i="18" s="1"/>
  <c r="J208" i="18" s="1"/>
  <c r="J209" i="18" s="1"/>
  <c r="J210" i="18" s="1"/>
  <c r="J211" i="18" s="1"/>
  <c r="J212" i="18" s="1"/>
  <c r="J213" i="18" s="1"/>
  <c r="J214" i="18" s="1"/>
  <c r="J215" i="18" s="1"/>
  <c r="J216" i="18" s="1"/>
  <c r="J217" i="18" s="1"/>
  <c r="J218" i="18" s="1"/>
  <c r="J219" i="18" s="1"/>
  <c r="J220" i="18" s="1"/>
  <c r="J221" i="18" s="1"/>
  <c r="J222" i="18" s="1"/>
  <c r="J223" i="18" s="1"/>
  <c r="J224" i="18" s="1"/>
  <c r="J225" i="18" s="1"/>
  <c r="J226" i="18" s="1"/>
  <c r="J227" i="18" s="1"/>
  <c r="J228" i="18" s="1"/>
  <c r="J229" i="18" s="1"/>
  <c r="J230" i="18" s="1"/>
  <c r="J231" i="18" s="1"/>
  <c r="J232" i="18" s="1"/>
  <c r="J233" i="18" s="1"/>
  <c r="J234" i="18" s="1"/>
  <c r="J235" i="18" s="1"/>
  <c r="J236" i="18" s="1"/>
  <c r="J237" i="18" s="1"/>
  <c r="J238" i="18" s="1"/>
  <c r="J239" i="18" s="1"/>
  <c r="J240" i="18" s="1"/>
  <c r="J241" i="18" s="1"/>
  <c r="J242" i="18" s="1"/>
  <c r="J243" i="18" s="1"/>
  <c r="J244" i="18" s="1"/>
  <c r="J245" i="18" s="1"/>
  <c r="J246" i="18" s="1"/>
  <c r="J247" i="18" s="1"/>
  <c r="J248" i="18" s="1"/>
  <c r="J249" i="18" s="1"/>
  <c r="J250" i="18" s="1"/>
  <c r="J251" i="18" s="1"/>
  <c r="J252" i="18" s="1"/>
  <c r="J253" i="18" s="1"/>
  <c r="J254" i="18" s="1"/>
  <c r="J255" i="18" s="1"/>
  <c r="J256" i="18" s="1"/>
  <c r="J257" i="18" s="1"/>
  <c r="J258" i="18" s="1"/>
  <c r="J259" i="18" s="1"/>
  <c r="J260" i="18" s="1"/>
  <c r="J261" i="18" s="1"/>
  <c r="J262" i="18" s="1"/>
  <c r="J263" i="18" s="1"/>
  <c r="J264" i="18" s="1"/>
  <c r="J265" i="18" s="1"/>
  <c r="J266" i="18" s="1"/>
  <c r="J267" i="18" s="1"/>
  <c r="J268" i="18" s="1"/>
  <c r="J269" i="18" s="1"/>
  <c r="J270" i="18" s="1"/>
  <c r="J271" i="18" s="1"/>
  <c r="J272" i="18" s="1"/>
  <c r="J273" i="18" s="1"/>
  <c r="J274" i="18" s="1"/>
  <c r="J275" i="18" s="1"/>
  <c r="J276" i="18" s="1"/>
  <c r="J277" i="18" s="1"/>
  <c r="J278" i="18" s="1"/>
  <c r="J279" i="18" s="1"/>
  <c r="J280" i="18" s="1"/>
  <c r="J281" i="18" s="1"/>
  <c r="J282" i="18" s="1"/>
  <c r="J283" i="18" s="1"/>
  <c r="J284" i="18" s="1"/>
  <c r="J285" i="18" s="1"/>
  <c r="J286" i="18" s="1"/>
  <c r="J287" i="18" s="1"/>
  <c r="J288" i="18" s="1"/>
  <c r="J289" i="18" s="1"/>
  <c r="J290" i="18" s="1"/>
  <c r="J291" i="18" s="1"/>
  <c r="J292" i="18" s="1"/>
  <c r="J293" i="18" s="1"/>
  <c r="J294" i="18" s="1"/>
  <c r="J295" i="18" s="1"/>
  <c r="J296" i="18" s="1"/>
  <c r="J297" i="18" s="1"/>
  <c r="J298" i="18" s="1"/>
  <c r="J299" i="18" s="1"/>
  <c r="J300" i="18" s="1"/>
  <c r="J301" i="18" s="1"/>
  <c r="J302" i="18" s="1"/>
  <c r="J303" i="18" s="1"/>
  <c r="J304" i="18" s="1"/>
  <c r="J305" i="18" s="1"/>
  <c r="J306" i="18" s="1"/>
  <c r="J307" i="18" s="1"/>
  <c r="J308" i="18" s="1"/>
  <c r="J309" i="18" s="1"/>
  <c r="J310" i="18" s="1"/>
  <c r="J311" i="18" s="1"/>
  <c r="J312" i="18" s="1"/>
  <c r="J313" i="18" s="1"/>
  <c r="J314" i="18" s="1"/>
  <c r="J315" i="18" s="1"/>
  <c r="J316" i="18" s="1"/>
  <c r="J317" i="18" s="1"/>
  <c r="J318" i="18" s="1"/>
  <c r="J319" i="18" s="1"/>
  <c r="J320" i="18" s="1"/>
  <c r="J321" i="18" s="1"/>
  <c r="J322" i="18" s="1"/>
  <c r="J323" i="18" s="1"/>
  <c r="J324" i="18" s="1"/>
  <c r="J325" i="18" s="1"/>
  <c r="J326" i="18" s="1"/>
  <c r="J327" i="18" s="1"/>
  <c r="J328" i="18" s="1"/>
  <c r="J329" i="18" s="1"/>
  <c r="J330" i="18" s="1"/>
  <c r="J331" i="18" s="1"/>
  <c r="J332" i="18" s="1"/>
  <c r="J333" i="18" s="1"/>
  <c r="J334" i="18" s="1"/>
  <c r="J335" i="18" s="1"/>
  <c r="J336" i="18" s="1"/>
  <c r="J337" i="18" s="1"/>
  <c r="J338" i="18" s="1"/>
  <c r="J339" i="18" s="1"/>
  <c r="J340" i="18" s="1"/>
  <c r="J341" i="18" s="1"/>
  <c r="J342" i="18" s="1"/>
  <c r="J343" i="18" s="1"/>
  <c r="J344" i="18" s="1"/>
  <c r="J345" i="18" s="1"/>
  <c r="J346" i="18" s="1"/>
  <c r="J347" i="18" s="1"/>
  <c r="J348" i="18" s="1"/>
  <c r="J349" i="18" s="1"/>
  <c r="J350" i="18" s="1"/>
  <c r="J351" i="18" s="1"/>
  <c r="J352" i="18" s="1"/>
  <c r="J353" i="18" s="1"/>
  <c r="J354" i="18" s="1"/>
  <c r="J355" i="18" s="1"/>
  <c r="J356" i="18" s="1"/>
  <c r="J357" i="18" s="1"/>
  <c r="J358" i="18" s="1"/>
  <c r="J359" i="18" s="1"/>
  <c r="J360" i="18" s="1"/>
  <c r="J361" i="18" s="1"/>
  <c r="J362" i="18" s="1"/>
  <c r="J363" i="18" s="1"/>
  <c r="J364" i="18" s="1"/>
  <c r="J365" i="18" s="1"/>
  <c r="J366" i="18" s="1"/>
  <c r="J367" i="18" s="1"/>
  <c r="J368" i="18" s="1"/>
  <c r="J369" i="18" s="1"/>
  <c r="J370" i="18" s="1"/>
  <c r="J371" i="18" s="1"/>
  <c r="J372" i="18" s="1"/>
  <c r="J373" i="18" s="1"/>
  <c r="J374" i="18" s="1"/>
  <c r="J375" i="18" s="1"/>
  <c r="J376" i="18" s="1"/>
  <c r="J377" i="18" s="1"/>
  <c r="J378" i="18" s="1"/>
  <c r="J379" i="18" s="1"/>
  <c r="J380" i="18" s="1"/>
  <c r="J381" i="18" s="1"/>
  <c r="J382" i="18" s="1"/>
  <c r="J383" i="18" s="1"/>
  <c r="J384" i="18" s="1"/>
  <c r="J385" i="18" s="1"/>
  <c r="J386" i="18" s="1"/>
  <c r="J387" i="18" s="1"/>
  <c r="J388" i="18" s="1"/>
  <c r="J389" i="18" s="1"/>
  <c r="J390" i="18" s="1"/>
  <c r="J391" i="18" s="1"/>
  <c r="J392" i="18" s="1"/>
  <c r="J393" i="18" s="1"/>
  <c r="J394" i="18" s="1"/>
  <c r="J395" i="18" s="1"/>
  <c r="J396" i="18" s="1"/>
  <c r="J397" i="18" s="1"/>
  <c r="J398" i="18" s="1"/>
  <c r="J399" i="18" s="1"/>
  <c r="J400" i="18" s="1"/>
  <c r="J401" i="18" s="1"/>
  <c r="J402" i="18" s="1"/>
  <c r="J403" i="18" s="1"/>
  <c r="J404" i="18" s="1"/>
  <c r="J405" i="18" s="1"/>
  <c r="J406" i="18" s="1"/>
  <c r="J407" i="18" s="1"/>
  <c r="J408" i="18" s="1"/>
  <c r="J409" i="18" s="1"/>
  <c r="J410" i="18" s="1"/>
  <c r="J411" i="18" s="1"/>
  <c r="J412" i="18" s="1"/>
  <c r="J413" i="18" s="1"/>
  <c r="J414" i="18" s="1"/>
  <c r="J415" i="18" s="1"/>
  <c r="J416" i="18" s="1"/>
  <c r="J417" i="18" s="1"/>
  <c r="J418" i="18" s="1"/>
  <c r="J419" i="18" s="1"/>
  <c r="J420" i="18" s="1"/>
  <c r="J421" i="18" s="1"/>
  <c r="J422" i="18" s="1"/>
  <c r="J423" i="18" s="1"/>
  <c r="J424" i="18" s="1"/>
  <c r="J425" i="18" s="1"/>
  <c r="J426" i="18" s="1"/>
  <c r="J427" i="18" s="1"/>
  <c r="J428" i="18" s="1"/>
  <c r="J429" i="18" s="1"/>
  <c r="J430" i="18" s="1"/>
  <c r="J431" i="18" s="1"/>
  <c r="J432" i="18" s="1"/>
  <c r="J433" i="18" s="1"/>
  <c r="J434" i="18" s="1"/>
  <c r="J435" i="18" s="1"/>
  <c r="J436" i="18" s="1"/>
  <c r="J437" i="18" s="1"/>
  <c r="J438" i="18" s="1"/>
  <c r="J439" i="18" s="1"/>
  <c r="J440" i="18" s="1"/>
  <c r="J441" i="18" s="1"/>
  <c r="J442" i="18" s="1"/>
  <c r="J443" i="18" s="1"/>
  <c r="J444" i="18" s="1"/>
  <c r="J445" i="18" s="1"/>
  <c r="J446" i="18" s="1"/>
  <c r="J447" i="18" s="1"/>
  <c r="J448" i="18" s="1"/>
  <c r="J449" i="18" s="1"/>
  <c r="J450" i="18" s="1"/>
  <c r="J451" i="18" s="1"/>
  <c r="J452" i="18" s="1"/>
  <c r="J453" i="18" s="1"/>
  <c r="J454" i="18" s="1"/>
  <c r="J455" i="18" s="1"/>
  <c r="J456" i="18" s="1"/>
  <c r="J457" i="18" s="1"/>
  <c r="J458" i="18" s="1"/>
  <c r="J459" i="18" s="1"/>
  <c r="J460" i="18" s="1"/>
  <c r="J461" i="18" s="1"/>
  <c r="J462" i="18" s="1"/>
  <c r="J463" i="18" s="1"/>
  <c r="J464" i="18" s="1"/>
  <c r="J465" i="18" s="1"/>
  <c r="J466" i="18" s="1"/>
  <c r="J467" i="18" s="1"/>
  <c r="J468" i="18" s="1"/>
  <c r="J469" i="18" s="1"/>
  <c r="J470" i="18" s="1"/>
  <c r="J471" i="18" s="1"/>
  <c r="J472" i="18" s="1"/>
  <c r="J473" i="18" s="1"/>
  <c r="J474" i="18" s="1"/>
  <c r="J475" i="18" s="1"/>
  <c r="J476" i="18" s="1"/>
  <c r="J477" i="18" s="1"/>
  <c r="J478" i="18" s="1"/>
  <c r="J479" i="18" s="1"/>
  <c r="J480" i="18" s="1"/>
  <c r="J481" i="18" s="1"/>
  <c r="J482" i="18" s="1"/>
  <c r="J483" i="18" s="1"/>
  <c r="J484" i="18" s="1"/>
  <c r="J485" i="18" s="1"/>
  <c r="J486" i="18" s="1"/>
  <c r="J487" i="18" s="1"/>
  <c r="J488" i="18" s="1"/>
  <c r="J489" i="18" s="1"/>
  <c r="J490" i="18" s="1"/>
  <c r="J491" i="18" s="1"/>
  <c r="J492" i="18" s="1"/>
  <c r="J493" i="18" s="1"/>
  <c r="J494" i="18" s="1"/>
  <c r="J495" i="18" s="1"/>
  <c r="J496" i="18" s="1"/>
  <c r="J497" i="18" s="1"/>
  <c r="J498" i="18" s="1"/>
  <c r="J499" i="18" s="1"/>
  <c r="J500" i="18" s="1"/>
  <c r="J501" i="18" s="1"/>
  <c r="J502" i="18" s="1"/>
  <c r="J503" i="18" s="1"/>
  <c r="J504" i="18" s="1"/>
  <c r="J505" i="18" s="1"/>
  <c r="J506" i="18" s="1"/>
  <c r="J507" i="18" s="1"/>
  <c r="J508" i="18" s="1"/>
  <c r="J509" i="18" s="1"/>
  <c r="J510" i="18" s="1"/>
  <c r="J511" i="18" s="1"/>
  <c r="J512" i="18" s="1"/>
  <c r="J513" i="18" s="1"/>
  <c r="J514" i="18" s="1"/>
  <c r="J515" i="18" s="1"/>
  <c r="J516" i="18" s="1"/>
  <c r="J517" i="18" s="1"/>
  <c r="J518" i="18" s="1"/>
  <c r="J519" i="18" s="1"/>
  <c r="J520" i="18" s="1"/>
  <c r="J521" i="18" s="1"/>
  <c r="J522" i="18" s="1"/>
  <c r="J523" i="18" s="1"/>
  <c r="J524" i="18" s="1"/>
  <c r="J525" i="18" s="1"/>
  <c r="J526" i="18" s="1"/>
  <c r="J527" i="18" s="1"/>
  <c r="J528" i="18" s="1"/>
  <c r="J529" i="18" s="1"/>
  <c r="J530" i="18" s="1"/>
  <c r="J531" i="18" s="1"/>
  <c r="J532" i="18" s="1"/>
  <c r="J533" i="18" s="1"/>
  <c r="J534" i="18" s="1"/>
  <c r="J535" i="18" s="1"/>
  <c r="J536" i="18" s="1"/>
  <c r="J537" i="18" s="1"/>
  <c r="J538" i="18" s="1"/>
  <c r="J539" i="18" s="1"/>
  <c r="J540" i="18" s="1"/>
  <c r="J541" i="18" s="1"/>
  <c r="J542" i="18" s="1"/>
  <c r="J543" i="18" s="1"/>
  <c r="J544" i="18" s="1"/>
  <c r="J545" i="18" s="1"/>
  <c r="J546" i="18" s="1"/>
  <c r="J547" i="18" s="1"/>
  <c r="J548" i="18" s="1"/>
  <c r="J549" i="18" s="1"/>
  <c r="J550" i="18" s="1"/>
  <c r="J551" i="18" s="1"/>
  <c r="J552" i="18" s="1"/>
  <c r="J553" i="18" s="1"/>
  <c r="J554" i="18" s="1"/>
  <c r="J555" i="18" s="1"/>
  <c r="J556" i="18" s="1"/>
  <c r="J557" i="18" s="1"/>
  <c r="J558" i="18" s="1"/>
  <c r="J559" i="18" s="1"/>
  <c r="J560" i="18" s="1"/>
  <c r="J561" i="18" s="1"/>
  <c r="J562" i="18" s="1"/>
  <c r="J563" i="18" s="1"/>
  <c r="J564" i="18" s="1"/>
  <c r="J565" i="18" s="1"/>
  <c r="J566" i="18" s="1"/>
  <c r="J567" i="18" s="1"/>
  <c r="J568" i="18" s="1"/>
  <c r="J569" i="18" s="1"/>
  <c r="J570" i="18" s="1"/>
  <c r="J571" i="18" s="1"/>
  <c r="J572" i="18" s="1"/>
  <c r="J573" i="18" s="1"/>
  <c r="J574" i="18" s="1"/>
  <c r="J575" i="18" s="1"/>
  <c r="J576" i="18" s="1"/>
  <c r="J577" i="18" s="1"/>
  <c r="J578" i="18" s="1"/>
  <c r="J579" i="18" s="1"/>
  <c r="J580" i="18" s="1"/>
  <c r="J581" i="18" s="1"/>
  <c r="J582" i="18" s="1"/>
  <c r="J583" i="18" s="1"/>
  <c r="J584" i="18" s="1"/>
  <c r="J585" i="18" s="1"/>
  <c r="J586" i="18" s="1"/>
  <c r="J587" i="18" s="1"/>
  <c r="J588" i="18" s="1"/>
  <c r="J589" i="18" s="1"/>
  <c r="J590" i="18" s="1"/>
  <c r="J591" i="18" s="1"/>
  <c r="J592" i="18" s="1"/>
  <c r="J593" i="18" s="1"/>
  <c r="J594" i="18" s="1"/>
  <c r="J595" i="18" s="1"/>
  <c r="J596" i="18" s="1"/>
  <c r="J597" i="18" s="1"/>
  <c r="J598" i="18" s="1"/>
  <c r="J599" i="18" s="1"/>
  <c r="J600" i="18" s="1"/>
  <c r="J601" i="18" s="1"/>
  <c r="J602" i="18" s="1"/>
  <c r="J603" i="18" s="1"/>
  <c r="J604" i="18" s="1"/>
  <c r="J605" i="18" s="1"/>
  <c r="J606" i="18" s="1"/>
  <c r="J607" i="18" s="1"/>
  <c r="J608" i="18" s="1"/>
  <c r="J609" i="18" s="1"/>
  <c r="J610" i="18" s="1"/>
  <c r="J611" i="18" s="1"/>
  <c r="J612" i="18" s="1"/>
  <c r="J613" i="18" s="1"/>
  <c r="J614" i="18" s="1"/>
  <c r="J615" i="18" s="1"/>
  <c r="J616" i="18" s="1"/>
  <c r="J617" i="18" s="1"/>
  <c r="J618" i="18" s="1"/>
  <c r="J619" i="18" s="1"/>
  <c r="J620" i="18" s="1"/>
  <c r="J621" i="18" s="1"/>
  <c r="J622" i="18" s="1"/>
  <c r="J623" i="18" s="1"/>
  <c r="J624" i="18" s="1"/>
  <c r="J625" i="18" s="1"/>
  <c r="J626" i="18" s="1"/>
  <c r="J627" i="18" s="1"/>
  <c r="J628" i="18" s="1"/>
  <c r="J629" i="18" s="1"/>
  <c r="J630" i="18" s="1"/>
  <c r="J631" i="18" s="1"/>
  <c r="J632" i="18" s="1"/>
  <c r="J633" i="18" s="1"/>
  <c r="J634" i="18" s="1"/>
  <c r="J635" i="18" s="1"/>
  <c r="J636" i="18" s="1"/>
  <c r="J637" i="18" s="1"/>
  <c r="J638" i="18" s="1"/>
  <c r="J639" i="18" s="1"/>
  <c r="J640" i="18" s="1"/>
  <c r="J641" i="18" s="1"/>
  <c r="J642" i="18" s="1"/>
  <c r="J643" i="18" s="1"/>
  <c r="J644" i="18" s="1"/>
  <c r="J645" i="18" s="1"/>
  <c r="J646" i="18" s="1"/>
  <c r="J647" i="18" s="1"/>
  <c r="J648" i="18" s="1"/>
  <c r="J649" i="18" s="1"/>
  <c r="J650" i="18" s="1"/>
  <c r="J651" i="18" s="1"/>
  <c r="J652" i="18" s="1"/>
  <c r="J653" i="18" s="1"/>
  <c r="J654" i="18" s="1"/>
  <c r="J655" i="18" s="1"/>
  <c r="J656" i="18" s="1"/>
  <c r="J657" i="18" s="1"/>
  <c r="J658" i="18" s="1"/>
  <c r="J659" i="18" s="1"/>
  <c r="J660" i="18" s="1"/>
  <c r="J661" i="18" s="1"/>
  <c r="J662" i="18" s="1"/>
  <c r="J663" i="18" s="1"/>
  <c r="J664" i="18" s="1"/>
  <c r="J665" i="18" s="1"/>
  <c r="J666" i="18" s="1"/>
  <c r="J667" i="18" s="1"/>
  <c r="J668" i="18" s="1"/>
  <c r="J669" i="18" s="1"/>
  <c r="J670" i="18" s="1"/>
  <c r="J671" i="18" s="1"/>
  <c r="J672" i="18" s="1"/>
  <c r="J673" i="18" s="1"/>
  <c r="J674" i="18" s="1"/>
  <c r="J675" i="18" s="1"/>
  <c r="J676" i="18" s="1"/>
  <c r="J677" i="18" s="1"/>
  <c r="J678" i="18" s="1"/>
  <c r="J679" i="18" s="1"/>
  <c r="J680" i="18" s="1"/>
  <c r="J681" i="18" s="1"/>
  <c r="J682" i="18" s="1"/>
  <c r="J683" i="18" s="1"/>
  <c r="J684" i="18" s="1"/>
  <c r="J685" i="18" s="1"/>
  <c r="J686" i="18" s="1"/>
  <c r="J687" i="18" s="1"/>
  <c r="J688" i="18" s="1"/>
  <c r="J689" i="18" s="1"/>
  <c r="J690" i="18" s="1"/>
  <c r="J691" i="18" s="1"/>
  <c r="J692" i="18" s="1"/>
  <c r="J693" i="18" s="1"/>
  <c r="J694" i="18" s="1"/>
  <c r="J695" i="18" s="1"/>
  <c r="J696" i="18" s="1"/>
  <c r="J697" i="18" s="1"/>
  <c r="J698" i="18" s="1"/>
  <c r="J699" i="18" s="1"/>
  <c r="J700" i="18" s="1"/>
  <c r="J701" i="18" s="1"/>
  <c r="J702" i="18" s="1"/>
  <c r="J703" i="18" s="1"/>
  <c r="J704" i="18" s="1"/>
  <c r="J705" i="18" s="1"/>
  <c r="J706" i="18" s="1"/>
  <c r="J707" i="18" s="1"/>
  <c r="J708" i="18" s="1"/>
  <c r="J709" i="18" s="1"/>
  <c r="J710" i="18" s="1"/>
  <c r="J711" i="18" s="1"/>
  <c r="J712" i="18" s="1"/>
  <c r="J713" i="18" s="1"/>
  <c r="J714" i="18" s="1"/>
  <c r="J715" i="18" s="1"/>
  <c r="J716" i="18" s="1"/>
  <c r="J717" i="18" s="1"/>
  <c r="J718" i="18" s="1"/>
  <c r="J719" i="18" s="1"/>
  <c r="J720" i="18" s="1"/>
  <c r="J721" i="18" s="1"/>
  <c r="J722" i="18" s="1"/>
  <c r="J723" i="18" s="1"/>
  <c r="J724" i="18" s="1"/>
  <c r="J725" i="18" s="1"/>
  <c r="J726" i="18" s="1"/>
  <c r="J727" i="18" s="1"/>
  <c r="J728" i="18" s="1"/>
  <c r="J729" i="18" s="1"/>
  <c r="J730" i="18" s="1"/>
  <c r="J731" i="18" s="1"/>
  <c r="J732" i="18" s="1"/>
  <c r="J733" i="18" s="1"/>
  <c r="J734" i="18" s="1"/>
  <c r="J735" i="18" s="1"/>
  <c r="J736" i="18" s="1"/>
  <c r="J737" i="18" s="1"/>
  <c r="J738" i="18" s="1"/>
  <c r="J739" i="18" s="1"/>
  <c r="J740" i="18" s="1"/>
  <c r="J741" i="18" s="1"/>
  <c r="J742" i="18" s="1"/>
  <c r="J743" i="18" s="1"/>
  <c r="J744" i="18" s="1"/>
  <c r="J745" i="18" s="1"/>
  <c r="J746" i="18" s="1"/>
  <c r="J747" i="18" s="1"/>
  <c r="J748" i="18" s="1"/>
  <c r="J749" i="18" s="1"/>
  <c r="J750" i="18" s="1"/>
  <c r="J751" i="18" s="1"/>
  <c r="J752" i="18" s="1"/>
  <c r="J753" i="18" s="1"/>
  <c r="J754" i="18" s="1"/>
  <c r="J755" i="18" s="1"/>
  <c r="J756" i="18" s="1"/>
  <c r="J757" i="18" s="1"/>
  <c r="J758" i="18" s="1"/>
  <c r="J759" i="18" s="1"/>
  <c r="J760" i="18" s="1"/>
  <c r="J761" i="18" s="1"/>
  <c r="J762" i="18" s="1"/>
  <c r="J763" i="18" s="1"/>
  <c r="J764" i="18" s="1"/>
  <c r="J765" i="18" s="1"/>
  <c r="J766" i="18" s="1"/>
  <c r="J767" i="18" s="1"/>
  <c r="J768" i="18" s="1"/>
  <c r="J769" i="18" s="1"/>
  <c r="J770" i="18" s="1"/>
  <c r="J771" i="18" s="1"/>
  <c r="J772" i="18" s="1"/>
  <c r="J773" i="18" s="1"/>
  <c r="J774" i="18" s="1"/>
  <c r="J775" i="18" s="1"/>
  <c r="J776" i="18" s="1"/>
  <c r="J777" i="18" s="1"/>
  <c r="J778" i="18" s="1"/>
  <c r="J779" i="18" s="1"/>
  <c r="J780" i="18" s="1"/>
  <c r="J781" i="18" s="1"/>
  <c r="J782" i="18" s="1"/>
  <c r="J783" i="18" s="1"/>
  <c r="J784" i="18" s="1"/>
  <c r="J785" i="18" s="1"/>
  <c r="J786" i="18" s="1"/>
  <c r="J787" i="18" s="1"/>
  <c r="J788" i="18" s="1"/>
  <c r="J789" i="18" s="1"/>
  <c r="J790" i="18" s="1"/>
  <c r="J791" i="18" s="1"/>
  <c r="J792" i="18" s="1"/>
  <c r="J793" i="18" s="1"/>
  <c r="J794" i="18" s="1"/>
  <c r="J795" i="18" s="1"/>
  <c r="J796" i="18" s="1"/>
  <c r="J797" i="18" s="1"/>
  <c r="J798" i="18" s="1"/>
  <c r="J799" i="18" s="1"/>
  <c r="J800" i="18" s="1"/>
  <c r="J801" i="18" s="1"/>
  <c r="J802" i="18" s="1"/>
  <c r="J803" i="18" s="1"/>
  <c r="J804" i="18" s="1"/>
  <c r="J805" i="18" s="1"/>
  <c r="J806" i="18" s="1"/>
  <c r="J807" i="18" s="1"/>
  <c r="J808" i="18" s="1"/>
  <c r="J809" i="18" s="1"/>
  <c r="J810" i="18" s="1"/>
  <c r="J811" i="18" s="1"/>
  <c r="J812" i="18" s="1"/>
  <c r="J813" i="18" s="1"/>
  <c r="J814" i="18" s="1"/>
  <c r="J815" i="18" s="1"/>
  <c r="J816" i="18" s="1"/>
  <c r="J817" i="18" s="1"/>
  <c r="J818" i="18" s="1"/>
  <c r="J819" i="18" s="1"/>
  <c r="J820" i="18" s="1"/>
  <c r="J821" i="18" s="1"/>
  <c r="J822" i="18" s="1"/>
  <c r="J823" i="18" s="1"/>
  <c r="J824" i="18" s="1"/>
  <c r="J825" i="18" s="1"/>
  <c r="J826" i="18" s="1"/>
  <c r="J827" i="18" s="1"/>
  <c r="J828" i="18" s="1"/>
  <c r="J829" i="18" s="1"/>
  <c r="J830" i="18" s="1"/>
  <c r="J831" i="18" s="1"/>
  <c r="J832" i="18" s="1"/>
  <c r="J833" i="18" s="1"/>
  <c r="J834" i="18" s="1"/>
  <c r="J835" i="18" s="1"/>
  <c r="J836" i="18" s="1"/>
  <c r="J837" i="18" s="1"/>
  <c r="J838" i="18" s="1"/>
  <c r="J839" i="18" s="1"/>
  <c r="J840" i="18" s="1"/>
  <c r="J841" i="18" s="1"/>
  <c r="J842" i="18" s="1"/>
  <c r="J843" i="18" s="1"/>
  <c r="J844" i="18" s="1"/>
  <c r="J845" i="18" s="1"/>
  <c r="J846" i="18" s="1"/>
  <c r="J847" i="18" s="1"/>
  <c r="J848" i="18" s="1"/>
  <c r="J849" i="18" s="1"/>
  <c r="J850" i="18" s="1"/>
  <c r="J851" i="18" s="1"/>
  <c r="J852" i="18" s="1"/>
  <c r="J853" i="18" s="1"/>
  <c r="J854" i="18" s="1"/>
  <c r="J855" i="18" s="1"/>
  <c r="J856" i="18" s="1"/>
  <c r="J857" i="18" s="1"/>
  <c r="J858" i="18" s="1"/>
  <c r="J859" i="18" s="1"/>
  <c r="J860" i="18" s="1"/>
  <c r="J861" i="18" s="1"/>
  <c r="J862" i="18" s="1"/>
  <c r="J863" i="18" s="1"/>
  <c r="J864" i="18" s="1"/>
  <c r="J865" i="18" s="1"/>
  <c r="J866" i="18" s="1"/>
  <c r="J867" i="18" s="1"/>
  <c r="J868" i="18" s="1"/>
  <c r="J869" i="18" s="1"/>
  <c r="J870" i="18" s="1"/>
  <c r="J871" i="18" s="1"/>
  <c r="J872" i="18" s="1"/>
  <c r="J873" i="18" s="1"/>
  <c r="J874" i="18" s="1"/>
  <c r="J875" i="18" s="1"/>
  <c r="J876" i="18" s="1"/>
  <c r="J877" i="18" s="1"/>
  <c r="J878" i="18" s="1"/>
  <c r="J879" i="18" s="1"/>
  <c r="J880" i="18" s="1"/>
  <c r="J881" i="18" s="1"/>
  <c r="J882" i="18" s="1"/>
  <c r="J883" i="18" s="1"/>
  <c r="J884" i="18" s="1"/>
  <c r="J885" i="18" s="1"/>
  <c r="J886" i="18" s="1"/>
  <c r="J887" i="18" s="1"/>
  <c r="J888" i="18" s="1"/>
  <c r="J889" i="18" s="1"/>
  <c r="J890" i="18" s="1"/>
  <c r="J891" i="18" s="1"/>
  <c r="J892" i="18" s="1"/>
  <c r="J893" i="18" s="1"/>
  <c r="J894" i="18" s="1"/>
  <c r="J895" i="18" s="1"/>
  <c r="J896" i="18" s="1"/>
  <c r="J897" i="18" s="1"/>
  <c r="J898" i="18" s="1"/>
  <c r="J899" i="18" s="1"/>
  <c r="J900" i="18" s="1"/>
  <c r="J901" i="18" s="1"/>
  <c r="J902" i="18" s="1"/>
  <c r="J903" i="18" s="1"/>
  <c r="J904" i="18" s="1"/>
  <c r="J905" i="18" s="1"/>
  <c r="J906" i="18" s="1"/>
  <c r="J907" i="18" s="1"/>
  <c r="J908" i="18" s="1"/>
  <c r="J909" i="18" s="1"/>
  <c r="J910" i="18" s="1"/>
  <c r="J911" i="18" s="1"/>
  <c r="J912" i="18" s="1"/>
  <c r="J913" i="18" s="1"/>
  <c r="J914" i="18" s="1"/>
  <c r="J915" i="18" s="1"/>
  <c r="J916" i="18" s="1"/>
  <c r="J917" i="18" s="1"/>
  <c r="J918" i="18" s="1"/>
  <c r="J919" i="18" s="1"/>
  <c r="J920" i="18" s="1"/>
  <c r="J921" i="18" s="1"/>
  <c r="J922" i="18" s="1"/>
  <c r="J923" i="18" s="1"/>
  <c r="J924" i="18" s="1"/>
  <c r="J925" i="18" s="1"/>
  <c r="J926" i="18" s="1"/>
  <c r="J927" i="18" s="1"/>
  <c r="J928" i="18" s="1"/>
  <c r="J929" i="18" s="1"/>
  <c r="J930" i="18" s="1"/>
  <c r="J931" i="18" s="1"/>
  <c r="J932" i="18" s="1"/>
  <c r="J933" i="18" s="1"/>
  <c r="J934" i="18" s="1"/>
  <c r="J935" i="18" s="1"/>
  <c r="J936" i="18" s="1"/>
  <c r="J937" i="18" s="1"/>
  <c r="J938" i="18" s="1"/>
  <c r="J939" i="18" s="1"/>
  <c r="J940" i="18" s="1"/>
  <c r="J941" i="18" s="1"/>
  <c r="J942" i="18" s="1"/>
  <c r="J943" i="18" s="1"/>
  <c r="J944" i="18" s="1"/>
  <c r="J945" i="18" s="1"/>
  <c r="J946" i="18" s="1"/>
  <c r="J947" i="18" s="1"/>
  <c r="J948" i="18" s="1"/>
  <c r="J949" i="18" s="1"/>
  <c r="J950" i="18" s="1"/>
  <c r="J951" i="18" s="1"/>
  <c r="J952" i="18" s="1"/>
  <c r="J953" i="18" s="1"/>
  <c r="J954" i="18" s="1"/>
  <c r="J955" i="18" s="1"/>
  <c r="J956" i="18" s="1"/>
  <c r="J957" i="18" s="1"/>
  <c r="J958" i="18" s="1"/>
  <c r="J959" i="18" s="1"/>
  <c r="J960" i="18" s="1"/>
  <c r="J961" i="18" s="1"/>
  <c r="J962" i="18" s="1"/>
  <c r="J963" i="18" s="1"/>
  <c r="J964" i="18" s="1"/>
  <c r="J965" i="18" s="1"/>
  <c r="J966" i="18" s="1"/>
  <c r="J967" i="18" s="1"/>
  <c r="J968" i="18" s="1"/>
  <c r="J969" i="18" s="1"/>
  <c r="J970" i="18" s="1"/>
  <c r="J971" i="18" s="1"/>
  <c r="J972" i="18" s="1"/>
  <c r="J973" i="18" s="1"/>
  <c r="J974" i="18" s="1"/>
  <c r="J975" i="18" s="1"/>
  <c r="J976" i="18" s="1"/>
  <c r="J977" i="18" s="1"/>
  <c r="J978" i="18" s="1"/>
  <c r="J979" i="18" s="1"/>
  <c r="J980" i="18" s="1"/>
  <c r="J981" i="18" s="1"/>
  <c r="J982" i="18" s="1"/>
  <c r="J983" i="18" s="1"/>
  <c r="J984" i="18" s="1"/>
  <c r="J985" i="18" s="1"/>
  <c r="J986" i="18" s="1"/>
  <c r="J987" i="18" s="1"/>
  <c r="J988" i="18" s="1"/>
  <c r="J989" i="18" s="1"/>
  <c r="J990" i="18" s="1"/>
  <c r="J991" i="18" s="1"/>
  <c r="J992" i="18" s="1"/>
  <c r="J993" i="18" s="1"/>
  <c r="J994" i="18" s="1"/>
  <c r="J995" i="18" s="1"/>
  <c r="J996" i="18" s="1"/>
  <c r="J997" i="18" s="1"/>
  <c r="J998" i="18" s="1"/>
  <c r="J999" i="18" s="1"/>
  <c r="J1000" i="18" s="1"/>
  <c r="J1001" i="18" s="1"/>
  <c r="J1002" i="18" s="1"/>
  <c r="J1003" i="18" s="1"/>
  <c r="J1004" i="18" s="1"/>
  <c r="J1005" i="18" s="1"/>
  <c r="J1006" i="18" s="1"/>
  <c r="J1007" i="18" s="1"/>
  <c r="J1008" i="18" s="1"/>
  <c r="J1009" i="18" s="1"/>
  <c r="J1010" i="18" s="1"/>
  <c r="J1011" i="18" s="1"/>
  <c r="J1012" i="18" s="1"/>
  <c r="J1013" i="18" s="1"/>
  <c r="J1014" i="18" s="1"/>
  <c r="J1015" i="18" s="1"/>
  <c r="J1016" i="18" s="1"/>
  <c r="J1017" i="18" s="1"/>
  <c r="J1018" i="18" s="1"/>
  <c r="J1019" i="18" s="1"/>
  <c r="J1020" i="18" s="1"/>
  <c r="J1021" i="18" s="1"/>
  <c r="J1022" i="18" s="1"/>
  <c r="J1023" i="18" s="1"/>
  <c r="J1024" i="18" s="1"/>
  <c r="J1025" i="18" s="1"/>
  <c r="J1026" i="18" s="1"/>
  <c r="J1027" i="18" s="1"/>
  <c r="J1028" i="18" s="1"/>
  <c r="J1029" i="18" s="1"/>
  <c r="J1030" i="18" s="1"/>
  <c r="J1031" i="18" s="1"/>
  <c r="J1032" i="18" s="1"/>
  <c r="J1033" i="18" s="1"/>
  <c r="J1034" i="18" s="1"/>
  <c r="J1035" i="18" s="1"/>
  <c r="J1036" i="18" s="1"/>
  <c r="J1037" i="18" s="1"/>
  <c r="J1038" i="18" s="1"/>
  <c r="J1039" i="18" s="1"/>
  <c r="J1040" i="18" s="1"/>
  <c r="J1041" i="18" s="1"/>
  <c r="J1042" i="18" s="1"/>
  <c r="J1043" i="18" s="1"/>
  <c r="J1044" i="18" s="1"/>
  <c r="J1045" i="18" s="1"/>
  <c r="J1046" i="18" s="1"/>
  <c r="J1047" i="18" s="1"/>
  <c r="J1048" i="18" s="1"/>
  <c r="J1049" i="18" s="1"/>
  <c r="J1050" i="18" s="1"/>
  <c r="J1051" i="18" s="1"/>
  <c r="J1052" i="18" s="1"/>
  <c r="J1053" i="18" s="1"/>
  <c r="J1054" i="18" s="1"/>
  <c r="J1055" i="18" s="1"/>
  <c r="J1056" i="18" s="1"/>
  <c r="J1057" i="18" s="1"/>
  <c r="J1058" i="18" s="1"/>
  <c r="J1059" i="18" s="1"/>
  <c r="J1060" i="18" s="1"/>
  <c r="J1061" i="18" s="1"/>
  <c r="J1062" i="18" s="1"/>
  <c r="J1063" i="18" s="1"/>
  <c r="J1064" i="18" s="1"/>
  <c r="J1065" i="18" s="1"/>
  <c r="J1066" i="18" s="1"/>
  <c r="J1067" i="18" s="1"/>
  <c r="J1068" i="18" s="1"/>
  <c r="J1069" i="18" s="1"/>
  <c r="J1070" i="18" s="1"/>
  <c r="J1071" i="18" s="1"/>
  <c r="J1072" i="18" s="1"/>
  <c r="J1073" i="18" s="1"/>
  <c r="J1074" i="18" s="1"/>
  <c r="J1075" i="18" s="1"/>
  <c r="J1076" i="18" s="1"/>
  <c r="J1077" i="18" s="1"/>
  <c r="J1078" i="18" s="1"/>
  <c r="J1079" i="18" s="1"/>
  <c r="J1080" i="18" s="1"/>
  <c r="J1081" i="18" s="1"/>
  <c r="J1082" i="18" s="1"/>
  <c r="J1083" i="18" s="1"/>
  <c r="J1084" i="18" s="1"/>
  <c r="J1085" i="18" s="1"/>
  <c r="J1086" i="18" s="1"/>
  <c r="J1087" i="18" s="1"/>
  <c r="J1088" i="18" s="1"/>
  <c r="J1089" i="18" s="1"/>
  <c r="J1090" i="18" s="1"/>
  <c r="J1091" i="18" s="1"/>
  <c r="J1092" i="18" s="1"/>
  <c r="J1093" i="18" s="1"/>
  <c r="J1094" i="18" s="1"/>
  <c r="J1095" i="18" s="1"/>
  <c r="J1096" i="18" s="1"/>
  <c r="J1097" i="18" s="1"/>
  <c r="J1098" i="18" s="1"/>
  <c r="J1099" i="18" s="1"/>
  <c r="J1100" i="18" s="1"/>
  <c r="J1101" i="18" s="1"/>
  <c r="J1102" i="18" s="1"/>
  <c r="J1103" i="18" s="1"/>
  <c r="J1104" i="18" s="1"/>
  <c r="J1105" i="18" s="1"/>
  <c r="J1106" i="18" s="1"/>
  <c r="J1107" i="18" s="1"/>
  <c r="J1108" i="18" s="1"/>
  <c r="J1109" i="18" s="1"/>
  <c r="J1110" i="18" s="1"/>
  <c r="J1111" i="18" s="1"/>
  <c r="J1112" i="18" s="1"/>
  <c r="J1113" i="18" s="1"/>
  <c r="J1114" i="18" s="1"/>
  <c r="J1115" i="18" s="1"/>
  <c r="J1116" i="18" s="1"/>
  <c r="J1117" i="18" s="1"/>
  <c r="J1118" i="18" s="1"/>
  <c r="J1119" i="18" s="1"/>
  <c r="J1120" i="18" s="1"/>
  <c r="J1121" i="18" s="1"/>
  <c r="J1122" i="18" s="1"/>
  <c r="J1123" i="18" s="1"/>
  <c r="J1124" i="18" s="1"/>
  <c r="J1125" i="18" s="1"/>
  <c r="J1126" i="18" s="1"/>
  <c r="J1127" i="18" s="1"/>
  <c r="J1128" i="18" s="1"/>
  <c r="J1129" i="18" s="1"/>
  <c r="J1130" i="18" s="1"/>
  <c r="J1131" i="18" s="1"/>
  <c r="J1132" i="18" s="1"/>
  <c r="J1133" i="18" s="1"/>
  <c r="J1134" i="18" s="1"/>
  <c r="J1135" i="18" s="1"/>
  <c r="J1136" i="18" s="1"/>
  <c r="J1137" i="18" s="1"/>
  <c r="J1138" i="18" s="1"/>
  <c r="J1139" i="18" s="1"/>
  <c r="J1140" i="18" s="1"/>
  <c r="J1141" i="18" s="1"/>
  <c r="J1142" i="18" s="1"/>
  <c r="J1143" i="18" s="1"/>
  <c r="J1144" i="18" s="1"/>
  <c r="J1145" i="18" s="1"/>
  <c r="J1146" i="18" s="1"/>
  <c r="J1147" i="18" s="1"/>
  <c r="J1148" i="18" s="1"/>
  <c r="J1149" i="18" s="1"/>
  <c r="J1150" i="18" s="1"/>
  <c r="J1151" i="18" s="1"/>
  <c r="J1152" i="18" s="1"/>
  <c r="J1153" i="18" s="1"/>
  <c r="J1154" i="18" s="1"/>
  <c r="J1155" i="18" s="1"/>
  <c r="J1156" i="18" s="1"/>
  <c r="J1157" i="18" s="1"/>
  <c r="J1158" i="18" s="1"/>
  <c r="J1159" i="18" s="1"/>
  <c r="J1160" i="18" s="1"/>
  <c r="J1161" i="18" s="1"/>
  <c r="J1162" i="18" s="1"/>
  <c r="J1163" i="18" s="1"/>
  <c r="J1164" i="18" s="1"/>
  <c r="J1165" i="18" s="1"/>
  <c r="J1166" i="18" s="1"/>
  <c r="J1167" i="18" s="1"/>
  <c r="J1168" i="18" s="1"/>
  <c r="J1169" i="18" s="1"/>
  <c r="J1170" i="18" s="1"/>
  <c r="J1171" i="18" s="1"/>
  <c r="J1172" i="18" s="1"/>
  <c r="J1173" i="18" s="1"/>
  <c r="J1174" i="18" s="1"/>
  <c r="J1175" i="18" s="1"/>
  <c r="J1176" i="18" s="1"/>
  <c r="J1177" i="18" s="1"/>
  <c r="J1178" i="18" s="1"/>
  <c r="J1179" i="18" s="1"/>
  <c r="J1180" i="18" s="1"/>
  <c r="J1181" i="18" s="1"/>
  <c r="J1182" i="18" s="1"/>
  <c r="J1183" i="18" s="1"/>
  <c r="J1184" i="18" s="1"/>
  <c r="J1185" i="18" s="1"/>
  <c r="J1186" i="18" s="1"/>
  <c r="J1187" i="18" s="1"/>
  <c r="J1188" i="18" s="1"/>
  <c r="J1189" i="18" s="1"/>
  <c r="J1190" i="18" s="1"/>
  <c r="J1191" i="18" s="1"/>
  <c r="J1192" i="18" s="1"/>
  <c r="J1193" i="18" s="1"/>
  <c r="J1194" i="18" s="1"/>
  <c r="J1195" i="18" s="1"/>
  <c r="J1196" i="18" s="1"/>
  <c r="J1197" i="18" s="1"/>
  <c r="J1198" i="18" s="1"/>
  <c r="J1199" i="18" s="1"/>
  <c r="J1200" i="18" s="1"/>
  <c r="J1201" i="18" s="1"/>
  <c r="J1202" i="18" s="1"/>
  <c r="J1203" i="18" s="1"/>
  <c r="J1204" i="18" s="1"/>
  <c r="J1205" i="18" s="1"/>
  <c r="J1206" i="18" s="1"/>
  <c r="J1207" i="18" s="1"/>
  <c r="J1208" i="18" s="1"/>
  <c r="J1209" i="18" s="1"/>
  <c r="J1210" i="18" s="1"/>
  <c r="J1211" i="18" s="1"/>
  <c r="J1212" i="18" s="1"/>
  <c r="J1213" i="18" s="1"/>
  <c r="J1214" i="18" s="1"/>
  <c r="J1215" i="18" s="1"/>
  <c r="J1216" i="18" s="1"/>
  <c r="J1217" i="18" s="1"/>
  <c r="J1218" i="18" s="1"/>
  <c r="J1219" i="18" s="1"/>
  <c r="J1220" i="18" s="1"/>
  <c r="J1221" i="18" s="1"/>
  <c r="J1222" i="18" s="1"/>
  <c r="J1223" i="18" s="1"/>
  <c r="J1224" i="18" s="1"/>
  <c r="J1225" i="18" s="1"/>
  <c r="J1226" i="18" s="1"/>
  <c r="J1227" i="18" s="1"/>
  <c r="J1228" i="18" s="1"/>
  <c r="J1229" i="18" s="1"/>
  <c r="J1230" i="18" s="1"/>
  <c r="J1231" i="18" s="1"/>
  <c r="J1232" i="18" s="1"/>
  <c r="J1233" i="18" s="1"/>
  <c r="J1234" i="18" s="1"/>
  <c r="J1235" i="18" s="1"/>
  <c r="J1236" i="18" s="1"/>
  <c r="J1237" i="18" s="1"/>
  <c r="J1238" i="18" s="1"/>
  <c r="J1239" i="18" s="1"/>
  <c r="J1240" i="18" s="1"/>
  <c r="J1241" i="18" s="1"/>
  <c r="J1242" i="18" s="1"/>
  <c r="J1243" i="18" s="1"/>
  <c r="J1244" i="18" s="1"/>
  <c r="J1245" i="18" s="1"/>
  <c r="J1246" i="18" s="1"/>
  <c r="J1247" i="18" s="1"/>
  <c r="J1248" i="18" s="1"/>
  <c r="J1249" i="18" s="1"/>
  <c r="J1250" i="18" s="1"/>
  <c r="J1251" i="18" s="1"/>
  <c r="J1252" i="18" s="1"/>
  <c r="J1253" i="18" s="1"/>
  <c r="J1254" i="18" s="1"/>
  <c r="J1255" i="18" s="1"/>
  <c r="J1256" i="18" s="1"/>
  <c r="J1257" i="18" s="1"/>
  <c r="J1258" i="18" s="1"/>
  <c r="J1259" i="18" s="1"/>
  <c r="J1260" i="18" s="1"/>
  <c r="J1261" i="18" s="1"/>
  <c r="J1262" i="18" s="1"/>
  <c r="J1263" i="18" s="1"/>
  <c r="J1264" i="18" s="1"/>
  <c r="J1265" i="18" s="1"/>
  <c r="J1266" i="18" s="1"/>
  <c r="J1267" i="18" s="1"/>
  <c r="J1268" i="18" s="1"/>
  <c r="J1269" i="18" s="1"/>
  <c r="J1270" i="18" s="1"/>
  <c r="J1271" i="18" s="1"/>
  <c r="J1272" i="18" s="1"/>
  <c r="J1273" i="18" s="1"/>
  <c r="J1274" i="18" s="1"/>
  <c r="J1275" i="18" s="1"/>
  <c r="J1276" i="18" s="1"/>
  <c r="J1277" i="18" s="1"/>
  <c r="J1278" i="18" s="1"/>
  <c r="J1279" i="18" s="1"/>
  <c r="J1280" i="18" s="1"/>
  <c r="J1281" i="18" s="1"/>
  <c r="J1282" i="18" s="1"/>
  <c r="J1283" i="18" s="1"/>
  <c r="J1284" i="18" s="1"/>
  <c r="J1285" i="18" s="1"/>
  <c r="J1286" i="18" s="1"/>
  <c r="J1287" i="18" s="1"/>
  <c r="J1288" i="18" s="1"/>
  <c r="J1289" i="18" s="1"/>
  <c r="J1290" i="18" s="1"/>
  <c r="J1291" i="18" s="1"/>
  <c r="J1292" i="18" s="1"/>
  <c r="J1293" i="18" s="1"/>
  <c r="J1294" i="18" s="1"/>
  <c r="J1295" i="18" s="1"/>
  <c r="J1296" i="18" s="1"/>
  <c r="J1297" i="18" s="1"/>
  <c r="J1298" i="18" s="1"/>
  <c r="J1299" i="18" s="1"/>
  <c r="J1300" i="18" s="1"/>
  <c r="J1301" i="18" s="1"/>
  <c r="J1302" i="18" s="1"/>
  <c r="J1303" i="18" s="1"/>
  <c r="J1304" i="18" s="1"/>
  <c r="J1305" i="18" s="1"/>
  <c r="J1306" i="18" s="1"/>
  <c r="J1307" i="18" s="1"/>
  <c r="J1308" i="18" s="1"/>
  <c r="J1309" i="18" s="1"/>
  <c r="J1310" i="18" s="1"/>
  <c r="J1311" i="18" s="1"/>
  <c r="J1312" i="18" s="1"/>
  <c r="J1313" i="18" s="1"/>
  <c r="J1314" i="18" s="1"/>
  <c r="J1315" i="18" s="1"/>
  <c r="J1316" i="18" s="1"/>
  <c r="J1317" i="18" s="1"/>
  <c r="J1318" i="18" s="1"/>
  <c r="J1319" i="18" s="1"/>
  <c r="J1320" i="18" s="1"/>
  <c r="J1321" i="18" s="1"/>
  <c r="J1322" i="18" s="1"/>
  <c r="J1323" i="18" s="1"/>
  <c r="J1324" i="18" s="1"/>
  <c r="J1325" i="18" s="1"/>
  <c r="J1326" i="18" s="1"/>
  <c r="J1327" i="18" s="1"/>
  <c r="J1328" i="18" s="1"/>
  <c r="J1329" i="18" s="1"/>
  <c r="J1330" i="18" s="1"/>
  <c r="J1331" i="18" s="1"/>
  <c r="J1332" i="18" s="1"/>
  <c r="J1333" i="18" s="1"/>
  <c r="J1334" i="18" s="1"/>
  <c r="J1335" i="18" s="1"/>
  <c r="J1336" i="18" s="1"/>
  <c r="J1337" i="18" s="1"/>
  <c r="J1338" i="18" s="1"/>
  <c r="J1339" i="18" s="1"/>
  <c r="J1340" i="18" s="1"/>
  <c r="J1341" i="18" s="1"/>
  <c r="J1342" i="18" s="1"/>
  <c r="J1343" i="18" s="1"/>
  <c r="J1344" i="18" s="1"/>
  <c r="J1345" i="18" s="1"/>
  <c r="J1346" i="18" s="1"/>
  <c r="J1347" i="18" s="1"/>
  <c r="J1348" i="18" s="1"/>
  <c r="J1349" i="18" s="1"/>
  <c r="J1350" i="18" s="1"/>
  <c r="J1351" i="18" s="1"/>
  <c r="J1352" i="18" s="1"/>
  <c r="J1353" i="18" s="1"/>
  <c r="J1354" i="18" s="1"/>
  <c r="J1355" i="18" s="1"/>
  <c r="J1356" i="18" s="1"/>
  <c r="J1357" i="18" s="1"/>
  <c r="J1358" i="18" s="1"/>
  <c r="J1359" i="18" s="1"/>
  <c r="J1360" i="18" s="1"/>
  <c r="J1361" i="18" s="1"/>
  <c r="J1362" i="18" s="1"/>
  <c r="J1363" i="18" s="1"/>
  <c r="J1364" i="18" s="1"/>
  <c r="J1365" i="18" s="1"/>
  <c r="J1366" i="18" s="1"/>
  <c r="J1367" i="18" s="1"/>
  <c r="J1368" i="18" s="1"/>
  <c r="J1369" i="18" s="1"/>
  <c r="J1370" i="18" s="1"/>
  <c r="J1371" i="18" s="1"/>
  <c r="J1372" i="18" s="1"/>
  <c r="J1373" i="18" s="1"/>
  <c r="J1374" i="18" s="1"/>
  <c r="J1375" i="18" s="1"/>
  <c r="J1376" i="18" s="1"/>
  <c r="J1377" i="18" s="1"/>
  <c r="J1378" i="18" s="1"/>
  <c r="J1379" i="18" s="1"/>
  <c r="J1380" i="18" s="1"/>
  <c r="J1381" i="18" s="1"/>
  <c r="J1382" i="18" s="1"/>
  <c r="J1383" i="18" s="1"/>
  <c r="J1384" i="18" s="1"/>
  <c r="J1385" i="18" s="1"/>
  <c r="J1386" i="18" s="1"/>
  <c r="J1387" i="18" s="1"/>
  <c r="J1388" i="18" s="1"/>
  <c r="J1389" i="18" s="1"/>
  <c r="J1390" i="18" s="1"/>
  <c r="J1391" i="18" s="1"/>
  <c r="J1392" i="18" s="1"/>
  <c r="J1393" i="18" s="1"/>
  <c r="J1394" i="18" s="1"/>
  <c r="J1395" i="18" s="1"/>
  <c r="J1396" i="18" s="1"/>
  <c r="J1397" i="18" s="1"/>
  <c r="J1398" i="18" s="1"/>
  <c r="J1399" i="18" s="1"/>
  <c r="J1400" i="18" s="1"/>
  <c r="J1401" i="18" s="1"/>
  <c r="J1402" i="18" s="1"/>
  <c r="J1403" i="18" s="1"/>
  <c r="J1404" i="18" s="1"/>
  <c r="J1405" i="18" s="1"/>
  <c r="J1406" i="18" s="1"/>
  <c r="J1407" i="18" s="1"/>
  <c r="J1408" i="18" s="1"/>
  <c r="J1409" i="18" s="1"/>
  <c r="J1410" i="18" s="1"/>
  <c r="J1411" i="18" s="1"/>
  <c r="J1412" i="18" s="1"/>
  <c r="J1413" i="18" s="1"/>
  <c r="J1414" i="18" s="1"/>
  <c r="J1415" i="18" s="1"/>
  <c r="J1416" i="18" s="1"/>
  <c r="J1417" i="18" s="1"/>
  <c r="J1418" i="18" s="1"/>
  <c r="J1419" i="18" s="1"/>
  <c r="J1420" i="18" s="1"/>
  <c r="J1421" i="18" s="1"/>
  <c r="J1422" i="18" s="1"/>
  <c r="J1423" i="18" s="1"/>
  <c r="J1424" i="18" s="1"/>
  <c r="J1425" i="18" s="1"/>
  <c r="J1426" i="18" s="1"/>
  <c r="J1427" i="18" s="1"/>
  <c r="J1428" i="18" s="1"/>
  <c r="J1429" i="18" s="1"/>
  <c r="J1430" i="18" s="1"/>
  <c r="J1431" i="18" s="1"/>
  <c r="J1432" i="18" s="1"/>
  <c r="J1433" i="18" s="1"/>
  <c r="J1434" i="18" s="1"/>
  <c r="J1435" i="18" s="1"/>
  <c r="J1436" i="18" s="1"/>
  <c r="J1437" i="18" s="1"/>
  <c r="J1438" i="18" s="1"/>
  <c r="J1439" i="18" s="1"/>
  <c r="J1440" i="18" s="1"/>
  <c r="J1441" i="18" s="1"/>
  <c r="J1442" i="18" s="1"/>
  <c r="J1443" i="18" s="1"/>
  <c r="J1444" i="18" s="1"/>
  <c r="J1445" i="18" s="1"/>
  <c r="J1446" i="18" s="1"/>
  <c r="J1447" i="18" s="1"/>
  <c r="J1448" i="18" s="1"/>
  <c r="J1449" i="18" s="1"/>
  <c r="J1450" i="18" s="1"/>
  <c r="J1451" i="18" s="1"/>
  <c r="J1452" i="18" s="1"/>
  <c r="J1453" i="18" s="1"/>
  <c r="J1454" i="18" s="1"/>
  <c r="J1455" i="18" s="1"/>
  <c r="J1456" i="18" s="1"/>
  <c r="J1457" i="18" s="1"/>
  <c r="J1458" i="18" s="1"/>
  <c r="J1459" i="18" s="1"/>
  <c r="J1460" i="18" s="1"/>
  <c r="J1461" i="18" s="1"/>
  <c r="J1462" i="18" s="1"/>
  <c r="J1463" i="18" s="1"/>
  <c r="J1464" i="18" s="1"/>
  <c r="J1465" i="18" s="1"/>
  <c r="J1466" i="18" s="1"/>
  <c r="J1467" i="18" s="1"/>
  <c r="J1468" i="18" s="1"/>
  <c r="J1469" i="18" s="1"/>
  <c r="J1470" i="18" s="1"/>
  <c r="J1471" i="18" s="1"/>
  <c r="J1472" i="18" s="1"/>
  <c r="J1473" i="18" s="1"/>
  <c r="J1474" i="18" s="1"/>
  <c r="J1475" i="18" s="1"/>
  <c r="J1476" i="18" s="1"/>
  <c r="J1477" i="18" s="1"/>
  <c r="J1478" i="18" s="1"/>
  <c r="J1479" i="18" s="1"/>
  <c r="J1480" i="18" s="1"/>
  <c r="J1481" i="18" s="1"/>
  <c r="J1482" i="18" s="1"/>
  <c r="J1483" i="18" s="1"/>
  <c r="J1484" i="18" s="1"/>
  <c r="J1485" i="18" s="1"/>
  <c r="J1486" i="18" s="1"/>
  <c r="J1487" i="18" s="1"/>
  <c r="J1488" i="18" s="1"/>
  <c r="J1489" i="18" s="1"/>
  <c r="J1490" i="18" s="1"/>
  <c r="J1491" i="18" s="1"/>
  <c r="J1492" i="18" s="1"/>
  <c r="J1493" i="18" s="1"/>
  <c r="J1494" i="18" s="1"/>
  <c r="J1495" i="18" s="1"/>
  <c r="J1496" i="18" s="1"/>
  <c r="J1497" i="18" s="1"/>
  <c r="J1498" i="18" s="1"/>
  <c r="J1499" i="18" s="1"/>
  <c r="J1500" i="18" s="1"/>
  <c r="J1501" i="18" s="1"/>
  <c r="J1502" i="18" s="1"/>
  <c r="J1503" i="18" s="1"/>
  <c r="J1504" i="18" s="1"/>
  <c r="J1505" i="18" s="1"/>
  <c r="J1506" i="18" s="1"/>
  <c r="J1507" i="18" s="1"/>
  <c r="J1508" i="18" s="1"/>
  <c r="J1509" i="18" s="1"/>
  <c r="J1510" i="18" s="1"/>
  <c r="J1511" i="18" s="1"/>
  <c r="J1512" i="18" s="1"/>
  <c r="J1513" i="18" s="1"/>
  <c r="J1514" i="18" s="1"/>
  <c r="J1515" i="18" s="1"/>
  <c r="J1516" i="18" s="1"/>
  <c r="J1517" i="18" s="1"/>
  <c r="J1518" i="18" s="1"/>
  <c r="J1519" i="18" s="1"/>
  <c r="J1520" i="18" s="1"/>
  <c r="J1521" i="18" s="1"/>
  <c r="J1522" i="18" s="1"/>
  <c r="J1523" i="18" s="1"/>
  <c r="J1524" i="18" s="1"/>
  <c r="J1525" i="18" s="1"/>
  <c r="J1526" i="18" s="1"/>
  <c r="J1527" i="18" s="1"/>
  <c r="J1528" i="18" s="1"/>
  <c r="J1529" i="18" s="1"/>
  <c r="J1530" i="18" s="1"/>
  <c r="J1531" i="18" s="1"/>
  <c r="J1532" i="18" s="1"/>
  <c r="J1533" i="18" s="1"/>
  <c r="J1534" i="18" s="1"/>
  <c r="J1535" i="18" s="1"/>
  <c r="J1536" i="18" s="1"/>
  <c r="J1537" i="18" s="1"/>
  <c r="J1538" i="18" s="1"/>
  <c r="J1539" i="18" s="1"/>
  <c r="J1540" i="18" s="1"/>
  <c r="J1541" i="18" s="1"/>
  <c r="J1542" i="18" s="1"/>
  <c r="J1543" i="18" s="1"/>
  <c r="J1544" i="18" s="1"/>
  <c r="J1545" i="18" s="1"/>
  <c r="J1546" i="18" s="1"/>
  <c r="J1547" i="18" s="1"/>
  <c r="J1548" i="18" s="1"/>
  <c r="J1549" i="18" s="1"/>
  <c r="J1550" i="18" s="1"/>
  <c r="J1551" i="18" s="1"/>
  <c r="J1552" i="18" s="1"/>
  <c r="J1553" i="18" s="1"/>
  <c r="J1554" i="18" s="1"/>
  <c r="J1555" i="18" s="1"/>
  <c r="J1556" i="18" s="1"/>
  <c r="J1557" i="18" s="1"/>
  <c r="J1558" i="18" s="1"/>
  <c r="J1559" i="18" s="1"/>
  <c r="J1560" i="18" s="1"/>
  <c r="J1561" i="18" s="1"/>
  <c r="J1562" i="18" s="1"/>
  <c r="J1563" i="18" s="1"/>
  <c r="J1564" i="18" s="1"/>
  <c r="J1565" i="18" s="1"/>
  <c r="J1566" i="18" s="1"/>
  <c r="J1567" i="18" s="1"/>
  <c r="J1568" i="18" s="1"/>
  <c r="J1569" i="18" s="1"/>
  <c r="J1570" i="18" s="1"/>
  <c r="J1571" i="18" s="1"/>
  <c r="J1572" i="18" s="1"/>
  <c r="J1573" i="18" s="1"/>
  <c r="J1574" i="18" s="1"/>
  <c r="J1575" i="18" s="1"/>
  <c r="J1576" i="18" s="1"/>
  <c r="J1577" i="18" s="1"/>
  <c r="J1578" i="18" s="1"/>
  <c r="J1579" i="18" s="1"/>
  <c r="J1580" i="18" s="1"/>
  <c r="J1581" i="18" s="1"/>
  <c r="J1582" i="18" s="1"/>
  <c r="J1583" i="18" s="1"/>
  <c r="J1584" i="18" s="1"/>
  <c r="J1585" i="18" s="1"/>
  <c r="J1586" i="18" s="1"/>
  <c r="J1587" i="18" s="1"/>
  <c r="J1588" i="18" s="1"/>
  <c r="J1589" i="18" s="1"/>
  <c r="J1590" i="18" s="1"/>
  <c r="J1591" i="18" s="1"/>
  <c r="J1592" i="18" s="1"/>
  <c r="J1593" i="18" s="1"/>
  <c r="J1594" i="18" s="1"/>
  <c r="J1595" i="18" s="1"/>
  <c r="J1596" i="18" s="1"/>
  <c r="J1597" i="18" s="1"/>
  <c r="J1598" i="18" s="1"/>
  <c r="J1599" i="18" s="1"/>
  <c r="J1600" i="18" s="1"/>
  <c r="J1601" i="18" s="1"/>
  <c r="J1602" i="18" s="1"/>
  <c r="J1603" i="18" s="1"/>
  <c r="J1604" i="18" s="1"/>
  <c r="J1605" i="18" s="1"/>
  <c r="J1606" i="18" s="1"/>
  <c r="J1607" i="18" s="1"/>
  <c r="J1608" i="18" s="1"/>
  <c r="J1609" i="18" s="1"/>
  <c r="J1610" i="18" s="1"/>
  <c r="J1611" i="18" s="1"/>
  <c r="J1612" i="18" s="1"/>
  <c r="J1613" i="18" s="1"/>
  <c r="J1614" i="18" s="1"/>
  <c r="J1615" i="18" s="1"/>
  <c r="J1616" i="18" s="1"/>
  <c r="J1617" i="18" s="1"/>
  <c r="J1618" i="18" s="1"/>
  <c r="J1619" i="18" s="1"/>
  <c r="J1620" i="18" s="1"/>
  <c r="J1621" i="18" s="1"/>
  <c r="J1622" i="18" s="1"/>
  <c r="J1623" i="18" s="1"/>
  <c r="J1624" i="18" s="1"/>
  <c r="J1625" i="18" s="1"/>
  <c r="J1626" i="18" s="1"/>
  <c r="J1627" i="18" s="1"/>
  <c r="J1628" i="18" s="1"/>
  <c r="J1629" i="18" s="1"/>
  <c r="J1630" i="18" s="1"/>
  <c r="J1631" i="18" s="1"/>
  <c r="J1632" i="18" s="1"/>
  <c r="J1633" i="18" s="1"/>
  <c r="J1634" i="18" s="1"/>
  <c r="J1635" i="18" s="1"/>
  <c r="J1636" i="18" s="1"/>
  <c r="J1637" i="18" s="1"/>
  <c r="J1638" i="18" s="1"/>
  <c r="J1639" i="18" s="1"/>
  <c r="J1640" i="18" s="1"/>
  <c r="J1641" i="18" s="1"/>
  <c r="J1642" i="18" s="1"/>
  <c r="J1643" i="18" s="1"/>
  <c r="J1644" i="18" s="1"/>
  <c r="J1645" i="18" s="1"/>
  <c r="J1646" i="18" s="1"/>
  <c r="J1647" i="18" s="1"/>
  <c r="J1648" i="18" s="1"/>
  <c r="J1649" i="18" s="1"/>
  <c r="J1650" i="18" s="1"/>
  <c r="J1651" i="18" s="1"/>
  <c r="J1652" i="18" s="1"/>
  <c r="J1653" i="18" s="1"/>
  <c r="J1654" i="18" s="1"/>
  <c r="J1655" i="18" s="1"/>
  <c r="J1656" i="18" s="1"/>
  <c r="J1657" i="18" s="1"/>
  <c r="J1658" i="18" s="1"/>
  <c r="J1659" i="18" s="1"/>
  <c r="J1660" i="18" s="1"/>
  <c r="J1661" i="18" s="1"/>
  <c r="J1662" i="18" s="1"/>
  <c r="J1663" i="18" s="1"/>
  <c r="J1664" i="18" s="1"/>
  <c r="J1665" i="18" s="1"/>
  <c r="J1666" i="18" s="1"/>
  <c r="J1667" i="18" s="1"/>
  <c r="J1668" i="18" s="1"/>
  <c r="J1669" i="18" s="1"/>
  <c r="J1670" i="18" s="1"/>
  <c r="J1671" i="18" s="1"/>
  <c r="J1672" i="18" s="1"/>
  <c r="J1673" i="18" s="1"/>
  <c r="J1674" i="18" s="1"/>
  <c r="J1675" i="18" s="1"/>
  <c r="J1676" i="18" s="1"/>
  <c r="J1677" i="18" s="1"/>
  <c r="J1678" i="18" s="1"/>
  <c r="J1679" i="18" s="1"/>
  <c r="J1680" i="18" s="1"/>
  <c r="J1681" i="18" s="1"/>
  <c r="J1682" i="18" s="1"/>
  <c r="J1683" i="18" s="1"/>
  <c r="J1684" i="18" s="1"/>
  <c r="J1685" i="18" s="1"/>
  <c r="J1686" i="18" s="1"/>
  <c r="J1687" i="18" s="1"/>
  <c r="J1688" i="18" s="1"/>
  <c r="J1689" i="18" s="1"/>
  <c r="J1690" i="18" s="1"/>
  <c r="J1691" i="18" s="1"/>
  <c r="J1692" i="18" s="1"/>
  <c r="J1693" i="18" s="1"/>
  <c r="J1694" i="18" s="1"/>
  <c r="J1695" i="18" s="1"/>
  <c r="J1696" i="18" s="1"/>
  <c r="J1697" i="18" s="1"/>
  <c r="J1698" i="18" s="1"/>
  <c r="J1699" i="18" s="1"/>
  <c r="J1700" i="18" s="1"/>
  <c r="J1701" i="18" s="1"/>
  <c r="J1702" i="18" s="1"/>
  <c r="J1703" i="18" s="1"/>
  <c r="J1704" i="18" s="1"/>
  <c r="J1705" i="18" s="1"/>
  <c r="J1706" i="18" s="1"/>
  <c r="J1707" i="18" s="1"/>
  <c r="J1708" i="18" s="1"/>
  <c r="J1709" i="18" s="1"/>
  <c r="J1710" i="18" s="1"/>
  <c r="J1711" i="18" s="1"/>
  <c r="J1712" i="18" s="1"/>
  <c r="J1713" i="18" s="1"/>
  <c r="J1714" i="18" s="1"/>
  <c r="J1715" i="18" s="1"/>
  <c r="J1716" i="18" s="1"/>
  <c r="J1717" i="18" s="1"/>
  <c r="J1718" i="18" s="1"/>
  <c r="J1719" i="18" s="1"/>
  <c r="J1720" i="18" s="1"/>
  <c r="J1721" i="18" s="1"/>
  <c r="J1722" i="18" s="1"/>
  <c r="J1723" i="18" s="1"/>
  <c r="J1724" i="18" s="1"/>
  <c r="J1725" i="18" s="1"/>
  <c r="J1726" i="18" s="1"/>
  <c r="J1727" i="18" s="1"/>
  <c r="J1728" i="18" s="1"/>
  <c r="J1729" i="18" s="1"/>
  <c r="J1730" i="18" s="1"/>
  <c r="J1731" i="18" s="1"/>
  <c r="J1732" i="18" s="1"/>
  <c r="J1733" i="18" s="1"/>
  <c r="J1734" i="18" s="1"/>
  <c r="J1735" i="18" s="1"/>
  <c r="J1736" i="18" s="1"/>
  <c r="J1737" i="18" s="1"/>
  <c r="J1738" i="18" s="1"/>
  <c r="J1739" i="18" s="1"/>
  <c r="J1740" i="18" s="1"/>
  <c r="J1741" i="18" s="1"/>
  <c r="J1742" i="18" s="1"/>
  <c r="J1743" i="18" s="1"/>
  <c r="J1744" i="18" s="1"/>
  <c r="J1745" i="18" s="1"/>
  <c r="J1746" i="18" s="1"/>
  <c r="J1747" i="18" s="1"/>
  <c r="J1748" i="18" s="1"/>
  <c r="J1749" i="18" s="1"/>
  <c r="J1750" i="18" s="1"/>
  <c r="J1751" i="18" s="1"/>
  <c r="J1752" i="18" s="1"/>
  <c r="J1753" i="18" s="1"/>
  <c r="J1754" i="18" s="1"/>
  <c r="J1755" i="18" s="1"/>
  <c r="J1756" i="18" s="1"/>
  <c r="J1757" i="18" s="1"/>
  <c r="J1758" i="18" s="1"/>
  <c r="J1759" i="18" s="1"/>
  <c r="J1760" i="18" s="1"/>
  <c r="J1761" i="18" s="1"/>
  <c r="J1762" i="18" s="1"/>
  <c r="J1763" i="18" s="1"/>
  <c r="J1764" i="18" s="1"/>
  <c r="J1765" i="18" s="1"/>
  <c r="J1766" i="18" s="1"/>
  <c r="J1767" i="18" s="1"/>
  <c r="J1768" i="18" s="1"/>
  <c r="J1769" i="18" s="1"/>
  <c r="J1770" i="18" s="1"/>
  <c r="J1771" i="18" s="1"/>
  <c r="J1772" i="18" s="1"/>
  <c r="J1773" i="18" s="1"/>
  <c r="J1774" i="18" s="1"/>
  <c r="J1775" i="18" s="1"/>
  <c r="J1776" i="18" s="1"/>
  <c r="J1777" i="18" s="1"/>
  <c r="J1778" i="18" s="1"/>
  <c r="J1779" i="18" s="1"/>
  <c r="J1780" i="18" s="1"/>
  <c r="J1781" i="18" s="1"/>
  <c r="J1782" i="18" s="1"/>
  <c r="J1783" i="18" s="1"/>
  <c r="J1784" i="18" s="1"/>
  <c r="J1785" i="18" s="1"/>
  <c r="J1786" i="18" s="1"/>
  <c r="J1787" i="18" s="1"/>
  <c r="J1788" i="18" s="1"/>
  <c r="J1789" i="18" s="1"/>
  <c r="J1790" i="18" s="1"/>
  <c r="J1791" i="18" s="1"/>
  <c r="J1792" i="18" s="1"/>
  <c r="J1793" i="18" s="1"/>
  <c r="J1794" i="18" s="1"/>
  <c r="J1795" i="18" s="1"/>
  <c r="J1796" i="18" s="1"/>
  <c r="J1797" i="18" s="1"/>
  <c r="J1798" i="18" s="1"/>
  <c r="J1799" i="18" s="1"/>
  <c r="J1800" i="18" s="1"/>
  <c r="J1801" i="18" s="1"/>
  <c r="J1802" i="18" s="1"/>
  <c r="J1803" i="18" s="1"/>
  <c r="J1804" i="18" s="1"/>
  <c r="J1805" i="18" s="1"/>
  <c r="J1806" i="18" s="1"/>
  <c r="J1807" i="18" s="1"/>
  <c r="J1808" i="18" s="1"/>
  <c r="J1809" i="18" s="1"/>
  <c r="J1810" i="18" s="1"/>
  <c r="J1811" i="18" s="1"/>
  <c r="J1812" i="18" s="1"/>
  <c r="J1813" i="18" s="1"/>
  <c r="J1814" i="18" s="1"/>
  <c r="J1815" i="18" s="1"/>
  <c r="J1816" i="18" s="1"/>
  <c r="J1817" i="18" s="1"/>
  <c r="J1818" i="18" s="1"/>
  <c r="J1819" i="18" s="1"/>
  <c r="J1820" i="18" s="1"/>
  <c r="J1821" i="18" s="1"/>
  <c r="J1822" i="18" s="1"/>
  <c r="J1823" i="18" s="1"/>
  <c r="J1824" i="18" s="1"/>
  <c r="J1825" i="18" s="1"/>
  <c r="J1826" i="18" s="1"/>
  <c r="J1827" i="18" s="1"/>
  <c r="J1828" i="18" s="1"/>
  <c r="J1829" i="18" s="1"/>
  <c r="J1830" i="18" s="1"/>
  <c r="J1831" i="18" s="1"/>
  <c r="J1832" i="18" s="1"/>
  <c r="J1833" i="18" s="1"/>
  <c r="J1834" i="18" s="1"/>
  <c r="J1835" i="18" s="1"/>
  <c r="J1836" i="18" s="1"/>
  <c r="J1837" i="18" s="1"/>
  <c r="J1838" i="18" s="1"/>
  <c r="J1839" i="18" s="1"/>
  <c r="J1840" i="18" s="1"/>
  <c r="J1841" i="18" s="1"/>
  <c r="J1842" i="18" s="1"/>
  <c r="J1843" i="18" s="1"/>
  <c r="J1844" i="18" s="1"/>
  <c r="J1845" i="18" s="1"/>
  <c r="J1846" i="18" s="1"/>
  <c r="J1847" i="18" s="1"/>
  <c r="J1848" i="18" s="1"/>
  <c r="J1849" i="18" s="1"/>
  <c r="J1850" i="18" s="1"/>
  <c r="J1851" i="18" s="1"/>
  <c r="J1852" i="18" s="1"/>
  <c r="J1853" i="18" s="1"/>
  <c r="J1854" i="18" s="1"/>
  <c r="J1855" i="18" s="1"/>
  <c r="J1856" i="18" s="1"/>
  <c r="J1857" i="18" s="1"/>
  <c r="J1858" i="18" s="1"/>
  <c r="J1859" i="18" s="1"/>
  <c r="J1860" i="18" s="1"/>
  <c r="J1861" i="18" s="1"/>
  <c r="J1862" i="18" s="1"/>
  <c r="J1863" i="18" s="1"/>
  <c r="J1864" i="18" s="1"/>
  <c r="J1865" i="18" s="1"/>
  <c r="J1866" i="18" s="1"/>
  <c r="J1867" i="18" s="1"/>
  <c r="J1868" i="18" s="1"/>
  <c r="J1869" i="18" s="1"/>
  <c r="J1870" i="18" s="1"/>
  <c r="J1871" i="18" s="1"/>
  <c r="J1872" i="18" s="1"/>
  <c r="J1873" i="18" s="1"/>
  <c r="J1874" i="18" s="1"/>
  <c r="J1875" i="18" s="1"/>
  <c r="J1876" i="18" s="1"/>
  <c r="J1877" i="18" s="1"/>
  <c r="J1878" i="18" s="1"/>
  <c r="J1879" i="18" s="1"/>
  <c r="J1880" i="18" s="1"/>
  <c r="J1881" i="18" s="1"/>
  <c r="J1882" i="18" s="1"/>
  <c r="J1883" i="18" s="1"/>
  <c r="J1884" i="18" s="1"/>
  <c r="J1885" i="18" s="1"/>
  <c r="J1886" i="18" s="1"/>
  <c r="J1887" i="18" s="1"/>
  <c r="J1888" i="18" s="1"/>
  <c r="J1889" i="18" s="1"/>
  <c r="J1890" i="18" s="1"/>
  <c r="J1891" i="18" s="1"/>
  <c r="J1892" i="18" s="1"/>
  <c r="J1893" i="18" s="1"/>
  <c r="J1894" i="18" s="1"/>
  <c r="J1895" i="18" s="1"/>
  <c r="J1896" i="18" s="1"/>
  <c r="J1897" i="18" s="1"/>
  <c r="J1898" i="18" s="1"/>
  <c r="J1899" i="18" s="1"/>
  <c r="J1900" i="18" s="1"/>
  <c r="J1901" i="18" s="1"/>
  <c r="J1902" i="18" s="1"/>
  <c r="J1903" i="18" s="1"/>
  <c r="J1904" i="18" s="1"/>
  <c r="J1905" i="18" s="1"/>
  <c r="J1906" i="18" s="1"/>
  <c r="J1907" i="18" s="1"/>
  <c r="J1908" i="18" s="1"/>
  <c r="J1909" i="18" s="1"/>
  <c r="J1910" i="18" s="1"/>
  <c r="J1911" i="18" s="1"/>
  <c r="J1912" i="18" s="1"/>
  <c r="J1913" i="18" s="1"/>
  <c r="J1914" i="18" s="1"/>
  <c r="J1915" i="18" s="1"/>
  <c r="J1916" i="18" s="1"/>
  <c r="J1917" i="18" s="1"/>
  <c r="J1918" i="18" s="1"/>
  <c r="J1919" i="18" s="1"/>
  <c r="J1920" i="18" s="1"/>
  <c r="J1921" i="18" s="1"/>
  <c r="J1922" i="18" s="1"/>
  <c r="J1923" i="18" s="1"/>
  <c r="J1924" i="18" s="1"/>
  <c r="J1925" i="18" s="1"/>
  <c r="J1926" i="18" s="1"/>
  <c r="J1927" i="18" s="1"/>
  <c r="J1928" i="18" s="1"/>
  <c r="J1929" i="18" s="1"/>
  <c r="J1930" i="18" s="1"/>
  <c r="J1931" i="18" s="1"/>
  <c r="J1932" i="18" s="1"/>
  <c r="J1933" i="18" s="1"/>
  <c r="J1934" i="18" s="1"/>
  <c r="J1935" i="18" s="1"/>
  <c r="J1936" i="18" s="1"/>
  <c r="J1937" i="18" s="1"/>
  <c r="J1938" i="18" s="1"/>
  <c r="J1939" i="18" s="1"/>
  <c r="J1940" i="18" s="1"/>
  <c r="J1941" i="18" s="1"/>
  <c r="J1942" i="18" s="1"/>
  <c r="J1943" i="18" s="1"/>
  <c r="J1944" i="18" s="1"/>
  <c r="J1945" i="18" s="1"/>
  <c r="J1946" i="18" s="1"/>
  <c r="J1947" i="18" s="1"/>
  <c r="J1948" i="18" s="1"/>
  <c r="J1949" i="18" s="1"/>
  <c r="J1950" i="18" s="1"/>
  <c r="J1951" i="18" s="1"/>
  <c r="J1952" i="18" s="1"/>
  <c r="J1953" i="18" s="1"/>
  <c r="J1954" i="18" s="1"/>
  <c r="J1955" i="18" s="1"/>
  <c r="J1956" i="18" s="1"/>
  <c r="J1957" i="18" s="1"/>
  <c r="J1958" i="18" s="1"/>
  <c r="J1959" i="18" s="1"/>
  <c r="J1960" i="18" s="1"/>
  <c r="J1961" i="18" s="1"/>
  <c r="J1962" i="18" s="1"/>
  <c r="J1963" i="18" s="1"/>
  <c r="J1964" i="18" s="1"/>
  <c r="J1965" i="18" s="1"/>
  <c r="J1966" i="18" s="1"/>
  <c r="J1967" i="18" s="1"/>
  <c r="J1968" i="18" s="1"/>
  <c r="J1969" i="18" s="1"/>
  <c r="J1970" i="18" s="1"/>
  <c r="J1971" i="18" s="1"/>
  <c r="J1972" i="18" s="1"/>
  <c r="J1973" i="18" s="1"/>
  <c r="J1974" i="18" s="1"/>
  <c r="J1975" i="18" s="1"/>
  <c r="J1976" i="18" s="1"/>
  <c r="J1977" i="18" s="1"/>
  <c r="J1978" i="18" s="1"/>
  <c r="J1979" i="18" s="1"/>
  <c r="J1980" i="18" s="1"/>
  <c r="J1981" i="18" s="1"/>
  <c r="J1982" i="18" s="1"/>
  <c r="J1983" i="18" s="1"/>
  <c r="J1984" i="18" s="1"/>
  <c r="J1985" i="18" s="1"/>
  <c r="J1986" i="18" s="1"/>
  <c r="J1987" i="18" s="1"/>
  <c r="J1988" i="18" s="1"/>
  <c r="J1989" i="18" s="1"/>
  <c r="J1990" i="18" s="1"/>
  <c r="J1991" i="18" s="1"/>
  <c r="J1992" i="18" s="1"/>
  <c r="J1993" i="18" s="1"/>
  <c r="J1994" i="18" s="1"/>
  <c r="J1995" i="18" s="1"/>
  <c r="J1996" i="18" s="1"/>
  <c r="J1997" i="18" s="1"/>
  <c r="J1998" i="18" s="1"/>
  <c r="J1999" i="18" s="1"/>
  <c r="J2000" i="18" s="1"/>
  <c r="J2001" i="18" s="1"/>
  <c r="J2002" i="18" s="1"/>
  <c r="J2003" i="18" s="1"/>
  <c r="J2004" i="18" s="1"/>
  <c r="J2005" i="18" s="1"/>
  <c r="J2006" i="18" s="1"/>
  <c r="J2007" i="18" s="1"/>
  <c r="J2008" i="18" s="1"/>
  <c r="J2009" i="18" s="1"/>
  <c r="J2010" i="18" s="1"/>
  <c r="J2011" i="18" s="1"/>
  <c r="J2012" i="18" s="1"/>
  <c r="J2013" i="18" s="1"/>
  <c r="J2014" i="18" s="1"/>
  <c r="J2015" i="18" s="1"/>
  <c r="J2016" i="18" s="1"/>
  <c r="J2017" i="18" s="1"/>
  <c r="J2018" i="18" s="1"/>
  <c r="J2019" i="18" s="1"/>
  <c r="J2020" i="18" s="1"/>
  <c r="J2021" i="18" s="1"/>
  <c r="J2022" i="18" s="1"/>
  <c r="J2023" i="18" s="1"/>
  <c r="J2024" i="18" s="1"/>
  <c r="J2025" i="18" s="1"/>
  <c r="J2026" i="18" s="1"/>
  <c r="J2027" i="18" s="1"/>
  <c r="J2028" i="18" s="1"/>
  <c r="J2029" i="18" s="1"/>
  <c r="J2030" i="18" s="1"/>
  <c r="J2031" i="18" s="1"/>
  <c r="J2032" i="18" s="1"/>
  <c r="J2033" i="18" s="1"/>
  <c r="J2034" i="18" s="1"/>
  <c r="J2035" i="18" s="1"/>
  <c r="J2036" i="18" s="1"/>
  <c r="J2037" i="18" s="1"/>
  <c r="J2038" i="18" s="1"/>
  <c r="J2039" i="18" s="1"/>
  <c r="J2040" i="18" s="1"/>
  <c r="J2041" i="18" s="1"/>
  <c r="J2042" i="18" s="1"/>
  <c r="S35" i="2"/>
  <c r="R35" i="2"/>
  <c r="I4" i="19"/>
  <c r="L4" i="19" s="1"/>
  <c r="N4" i="19" s="1"/>
  <c r="K4" i="19"/>
  <c r="S4" i="19"/>
  <c r="W4" i="19"/>
  <c r="B4" i="19" s="1"/>
  <c r="AB4" i="18"/>
  <c r="X4" i="18"/>
  <c r="U4" i="18"/>
  <c r="AD4" i="18" s="1"/>
  <c r="R4" i="18"/>
  <c r="N4" i="18"/>
  <c r="AF4" i="18"/>
  <c r="O4" i="19" l="1"/>
  <c r="AC4" i="18"/>
  <c r="T4" i="19" l="1"/>
  <c r="U4" i="19"/>
  <c r="I4" i="18" l="1"/>
  <c r="C84" i="3" l="1"/>
  <c r="C102" i="20" l="1"/>
  <c r="D102" i="20" s="1"/>
  <c r="C103" i="20"/>
  <c r="D103" i="20" s="1"/>
  <c r="C104" i="20"/>
  <c r="D104" i="20" s="1"/>
  <c r="C105" i="20"/>
  <c r="D105" i="20" s="1"/>
  <c r="C106" i="20"/>
  <c r="D106" i="20" s="1"/>
  <c r="C107" i="20"/>
  <c r="D107" i="20" s="1"/>
  <c r="C108" i="20"/>
  <c r="D108" i="20" s="1"/>
  <c r="C109" i="20"/>
  <c r="D109" i="20" s="1"/>
  <c r="C110" i="20"/>
  <c r="D110" i="20" s="1"/>
  <c r="C111" i="20"/>
  <c r="D111" i="20" s="1"/>
  <c r="C112" i="20"/>
  <c r="D112" i="20" s="1"/>
  <c r="F112" i="20" l="1"/>
  <c r="G109" i="20"/>
  <c r="F103" i="20"/>
  <c r="G108" i="20"/>
  <c r="F108" i="20"/>
  <c r="G112" i="20"/>
  <c r="F107" i="20"/>
  <c r="F105" i="20"/>
  <c r="G104" i="20"/>
  <c r="F111" i="20"/>
  <c r="F109" i="20"/>
  <c r="G105" i="20"/>
  <c r="F104" i="20"/>
  <c r="G110" i="20"/>
  <c r="G106" i="20"/>
  <c r="G102" i="20"/>
  <c r="G111" i="20"/>
  <c r="F110" i="20"/>
  <c r="G107" i="20"/>
  <c r="F106" i="20"/>
  <c r="F102" i="20"/>
  <c r="E112" i="20"/>
  <c r="E111" i="20"/>
  <c r="E110" i="20"/>
  <c r="E109" i="20"/>
  <c r="E108" i="20"/>
  <c r="E107" i="20"/>
  <c r="E106" i="20"/>
  <c r="E105" i="20"/>
  <c r="E104" i="20"/>
  <c r="E102" i="20"/>
  <c r="H112" i="20"/>
  <c r="H111" i="20"/>
  <c r="H110" i="20"/>
  <c r="H109" i="20"/>
  <c r="H108" i="20"/>
  <c r="H107" i="20"/>
  <c r="H106" i="20"/>
  <c r="H105" i="20"/>
  <c r="H104" i="20"/>
  <c r="H102" i="20"/>
  <c r="E103" i="20"/>
  <c r="G103" i="20" l="1"/>
  <c r="H103" i="20"/>
  <c r="I111" i="20"/>
  <c r="J111" i="20" s="1"/>
  <c r="I104" i="20"/>
  <c r="J104" i="20" s="1"/>
  <c r="I109" i="20"/>
  <c r="J109" i="20" s="1"/>
  <c r="I108" i="20"/>
  <c r="J108" i="20" s="1"/>
  <c r="I105" i="20"/>
  <c r="J105" i="20" s="1"/>
  <c r="I106" i="20"/>
  <c r="J106" i="20" s="1"/>
  <c r="I112" i="20"/>
  <c r="J112" i="20" s="1"/>
  <c r="I102" i="20"/>
  <c r="J102" i="20" s="1"/>
  <c r="I110" i="20"/>
  <c r="J110" i="20" s="1"/>
  <c r="I107" i="20"/>
  <c r="J107" i="20" s="1"/>
  <c r="I103" i="20" l="1"/>
  <c r="J103" i="20" s="1"/>
  <c r="C97" i="20"/>
  <c r="C98" i="20"/>
  <c r="C99" i="20"/>
  <c r="C100" i="20"/>
  <c r="C101" i="20"/>
  <c r="G101" i="20" s="1"/>
  <c r="C82" i="20"/>
  <c r="E82" i="20" s="1"/>
  <c r="C83" i="20"/>
  <c r="F83" i="20" s="1"/>
  <c r="C84" i="20"/>
  <c r="D84" i="20" s="1"/>
  <c r="C85" i="20"/>
  <c r="F85" i="20" s="1"/>
  <c r="C86" i="20"/>
  <c r="D86" i="20" s="1"/>
  <c r="C87" i="20"/>
  <c r="D87" i="20" s="1"/>
  <c r="C88" i="20"/>
  <c r="C89" i="20"/>
  <c r="D89" i="20" s="1"/>
  <c r="C90" i="20"/>
  <c r="C91" i="20"/>
  <c r="D91" i="20" s="1"/>
  <c r="C92" i="20"/>
  <c r="C93" i="20"/>
  <c r="F93" i="20" s="1"/>
  <c r="C94" i="20"/>
  <c r="C95" i="20"/>
  <c r="C96" i="20"/>
  <c r="C71" i="20"/>
  <c r="D71" i="20" s="1"/>
  <c r="C72" i="20"/>
  <c r="G72" i="20" s="1"/>
  <c r="C73" i="20"/>
  <c r="D73" i="20" s="1"/>
  <c r="C74" i="20"/>
  <c r="C75" i="20"/>
  <c r="H75" i="20" s="1"/>
  <c r="C76" i="20"/>
  <c r="D76" i="20" s="1"/>
  <c r="C77" i="20"/>
  <c r="D77" i="20" s="1"/>
  <c r="C78" i="20"/>
  <c r="D78" i="20" s="1"/>
  <c r="C79" i="20"/>
  <c r="D79" i="20" s="1"/>
  <c r="C80" i="20"/>
  <c r="C81" i="20"/>
  <c r="D81" i="20" s="1"/>
  <c r="D96" i="20" l="1"/>
  <c r="G96" i="20"/>
  <c r="H96" i="20"/>
  <c r="E100" i="20"/>
  <c r="G100" i="20"/>
  <c r="H100" i="20"/>
  <c r="F95" i="20"/>
  <c r="H95" i="20"/>
  <c r="G95" i="20"/>
  <c r="D99" i="20"/>
  <c r="H99" i="20"/>
  <c r="G99" i="20"/>
  <c r="D94" i="20"/>
  <c r="G94" i="20"/>
  <c r="H94" i="20"/>
  <c r="D98" i="20"/>
  <c r="H98" i="20"/>
  <c r="G98" i="20"/>
  <c r="E97" i="20"/>
  <c r="H97" i="20"/>
  <c r="G97" i="20"/>
  <c r="F99" i="20"/>
  <c r="E99" i="20"/>
  <c r="D101" i="20"/>
  <c r="F101" i="20"/>
  <c r="E101" i="20"/>
  <c r="E98" i="20"/>
  <c r="H101" i="20"/>
  <c r="I101" i="20" s="1"/>
  <c r="J101" i="20" s="1"/>
  <c r="D100" i="20"/>
  <c r="D97" i="20"/>
  <c r="D85" i="20"/>
  <c r="F97" i="20"/>
  <c r="D95" i="20"/>
  <c r="F75" i="20"/>
  <c r="H73" i="20"/>
  <c r="F98" i="20"/>
  <c r="E95" i="20"/>
  <c r="D92" i="20"/>
  <c r="D90" i="20"/>
  <c r="D82" i="20"/>
  <c r="F80" i="20"/>
  <c r="G75" i="20"/>
  <c r="I75" i="20" s="1"/>
  <c r="J75" i="20" s="1"/>
  <c r="D74" i="20"/>
  <c r="F72" i="20"/>
  <c r="E72" i="20"/>
  <c r="F96" i="20"/>
  <c r="D88" i="20"/>
  <c r="F86" i="20"/>
  <c r="H84" i="20"/>
  <c r="D80" i="20"/>
  <c r="E75" i="20"/>
  <c r="G73" i="20"/>
  <c r="D72" i="20"/>
  <c r="E96" i="20"/>
  <c r="D93" i="20"/>
  <c r="F91" i="20"/>
  <c r="F89" i="20"/>
  <c r="H87" i="20"/>
  <c r="G84" i="20"/>
  <c r="D83" i="20"/>
  <c r="F81" i="20"/>
  <c r="H79" i="20"/>
  <c r="D75" i="20"/>
  <c r="F73" i="20"/>
  <c r="F94" i="20"/>
  <c r="G87" i="20"/>
  <c r="F84" i="20"/>
  <c r="H82" i="20"/>
  <c r="G79" i="20"/>
  <c r="F76" i="20"/>
  <c r="E73" i="20"/>
  <c r="F87" i="20"/>
  <c r="E84" i="20"/>
  <c r="G82" i="20"/>
  <c r="F79" i="20"/>
  <c r="F71" i="20"/>
  <c r="F92" i="20"/>
  <c r="F90" i="20"/>
  <c r="E87" i="20"/>
  <c r="F82" i="20"/>
  <c r="E79" i="20"/>
  <c r="F74" i="20"/>
  <c r="H72" i="20"/>
  <c r="I72" i="20" s="1"/>
  <c r="J72" i="20" s="1"/>
  <c r="F100" i="20"/>
  <c r="F88" i="20"/>
  <c r="G115" i="20" l="1"/>
  <c r="I97" i="20"/>
  <c r="J97" i="20" s="1"/>
  <c r="I99" i="20"/>
  <c r="J99" i="20" s="1"/>
  <c r="I98" i="20"/>
  <c r="J98" i="20" s="1"/>
  <c r="I100" i="20"/>
  <c r="J100" i="20" s="1"/>
  <c r="I87" i="20"/>
  <c r="J87" i="20" s="1"/>
  <c r="I73" i="20"/>
  <c r="J73" i="20" s="1"/>
  <c r="I95" i="20"/>
  <c r="J95" i="20" s="1"/>
  <c r="I96" i="20"/>
  <c r="J96" i="20" s="1"/>
  <c r="I84" i="20"/>
  <c r="J84" i="20" s="1"/>
  <c r="I79" i="20"/>
  <c r="J79" i="20" s="1"/>
  <c r="I82" i="20"/>
  <c r="J82" i="20" s="1"/>
  <c r="F78" i="20" l="1"/>
  <c r="F77" i="20" l="1"/>
  <c r="E71" i="20" l="1"/>
  <c r="E91" i="20"/>
  <c r="E92" i="20" l="1"/>
  <c r="G89" i="20"/>
  <c r="E89" i="20"/>
  <c r="G85" i="20"/>
  <c r="E85" i="20"/>
  <c r="E86" i="20"/>
  <c r="G74" i="20"/>
  <c r="E74" i="20"/>
  <c r="E78" i="20"/>
  <c r="H85" i="20"/>
  <c r="H89" i="20"/>
  <c r="H74" i="20"/>
  <c r="H91" i="20"/>
  <c r="G91" i="20"/>
  <c r="H71" i="20"/>
  <c r="G71" i="20"/>
  <c r="I71" i="20" l="1"/>
  <c r="J71" i="20" s="1"/>
  <c r="G86" i="20"/>
  <c r="I89" i="20"/>
  <c r="J89" i="20" s="1"/>
  <c r="H86" i="20"/>
  <c r="I74" i="20"/>
  <c r="J74" i="20" s="1"/>
  <c r="H78" i="20"/>
  <c r="G92" i="20"/>
  <c r="I91" i="20"/>
  <c r="J91" i="20" s="1"/>
  <c r="I85" i="20"/>
  <c r="J85" i="20" s="1"/>
  <c r="G78" i="20"/>
  <c r="H92" i="20"/>
  <c r="I86" i="20" l="1"/>
  <c r="J86" i="20" s="1"/>
  <c r="I78" i="20"/>
  <c r="J78" i="20" s="1"/>
  <c r="I92" i="20"/>
  <c r="J92" i="20" s="1"/>
  <c r="E76" i="20" l="1"/>
  <c r="E81" i="20"/>
  <c r="E80" i="20"/>
  <c r="E93" i="20"/>
  <c r="E88" i="20"/>
  <c r="E90" i="20"/>
  <c r="E94" i="20" l="1"/>
  <c r="H77" i="20"/>
  <c r="E77" i="20"/>
  <c r="H83" i="20"/>
  <c r="E83" i="20"/>
  <c r="G77" i="20"/>
  <c r="G76" i="20"/>
  <c r="H76" i="20"/>
  <c r="G83" i="20"/>
  <c r="G81" i="20"/>
  <c r="H81" i="20"/>
  <c r="H88" i="20"/>
  <c r="G88" i="20"/>
  <c r="G93" i="20"/>
  <c r="H93" i="20"/>
  <c r="G80" i="20"/>
  <c r="H80" i="20"/>
  <c r="I94" i="20" l="1"/>
  <c r="J94" i="20" s="1"/>
  <c r="G90" i="20"/>
  <c r="I80" i="20"/>
  <c r="J80" i="20" s="1"/>
  <c r="I93" i="20"/>
  <c r="J93" i="20" s="1"/>
  <c r="I81" i="20"/>
  <c r="J81" i="20" s="1"/>
  <c r="H90" i="20"/>
  <c r="I88" i="20"/>
  <c r="J88" i="20" s="1"/>
  <c r="I76" i="20"/>
  <c r="J76" i="20" s="1"/>
  <c r="I83" i="20"/>
  <c r="J83" i="20" s="1"/>
  <c r="I77" i="20"/>
  <c r="J77" i="20" s="1"/>
  <c r="I90" i="20" l="1"/>
  <c r="J90" i="20" s="1"/>
  <c r="C50" i="20" l="1"/>
  <c r="D50" i="20" s="1"/>
  <c r="C51" i="20"/>
  <c r="D51" i="20" s="1"/>
  <c r="C52" i="20"/>
  <c r="F52" i="20" s="1"/>
  <c r="C53" i="20"/>
  <c r="D53" i="20" s="1"/>
  <c r="C54" i="20"/>
  <c r="D54" i="20" s="1"/>
  <c r="C55" i="20"/>
  <c r="D55" i="20" s="1"/>
  <c r="C56" i="20"/>
  <c r="F56" i="20" s="1"/>
  <c r="C57" i="20"/>
  <c r="H57" i="20" s="1"/>
  <c r="C58" i="20"/>
  <c r="D58" i="20" s="1"/>
  <c r="C59" i="20"/>
  <c r="D59" i="20" s="1"/>
  <c r="C60" i="20"/>
  <c r="F60" i="20" s="1"/>
  <c r="C61" i="20"/>
  <c r="D61" i="20" s="1"/>
  <c r="C62" i="20"/>
  <c r="D62" i="20" s="1"/>
  <c r="C63" i="20"/>
  <c r="D63" i="20" s="1"/>
  <c r="C64" i="20"/>
  <c r="F64" i="20" s="1"/>
  <c r="C65" i="20"/>
  <c r="D65" i="20" s="1"/>
  <c r="C66" i="20"/>
  <c r="D66" i="20" s="1"/>
  <c r="C67" i="20"/>
  <c r="C68" i="20"/>
  <c r="F68" i="20" s="1"/>
  <c r="C69" i="20"/>
  <c r="C70" i="20"/>
  <c r="D70" i="20" s="1"/>
  <c r="G61" i="20" l="1"/>
  <c r="D57" i="20"/>
  <c r="D68" i="20"/>
  <c r="E61" i="20"/>
  <c r="E53" i="20"/>
  <c r="F65" i="20"/>
  <c r="D60" i="20"/>
  <c r="F62" i="20"/>
  <c r="F69" i="20"/>
  <c r="G57" i="20"/>
  <c r="I57" i="20" s="1"/>
  <c r="J57" i="20" s="1"/>
  <c r="F54" i="20"/>
  <c r="D52" i="20"/>
  <c r="F57" i="20"/>
  <c r="D69" i="20"/>
  <c r="E57" i="20"/>
  <c r="G53" i="20"/>
  <c r="G51" i="20"/>
  <c r="G50" i="20"/>
  <c r="F50" i="20"/>
  <c r="D67" i="20"/>
  <c r="D64" i="20"/>
  <c r="H61" i="20"/>
  <c r="F61" i="20"/>
  <c r="F58" i="20"/>
  <c r="D56" i="20"/>
  <c r="G55" i="20"/>
  <c r="H53" i="20"/>
  <c r="F53" i="20"/>
  <c r="F70" i="20"/>
  <c r="F67" i="20"/>
  <c r="F55" i="20"/>
  <c r="F51" i="20"/>
  <c r="E50" i="20"/>
  <c r="F66" i="20"/>
  <c r="F63" i="20"/>
  <c r="F59" i="20"/>
  <c r="E55" i="20"/>
  <c r="E51" i="20"/>
  <c r="H50" i="20"/>
  <c r="H55" i="20"/>
  <c r="H51" i="20"/>
  <c r="I61" i="20" l="1"/>
  <c r="J61" i="20" s="1"/>
  <c r="I50" i="20"/>
  <c r="J50" i="20" s="1"/>
  <c r="I51" i="20"/>
  <c r="J51" i="20" s="1"/>
  <c r="I53" i="20"/>
  <c r="J53" i="20" s="1"/>
  <c r="I55" i="20"/>
  <c r="J55" i="20" s="1"/>
  <c r="E59" i="20" l="1"/>
  <c r="E52" i="20"/>
  <c r="E62" i="20"/>
  <c r="G59" i="20" l="1"/>
  <c r="H59" i="20"/>
  <c r="G52" i="20"/>
  <c r="H52" i="20"/>
  <c r="G62" i="20"/>
  <c r="H62" i="20"/>
  <c r="I52" i="20" l="1"/>
  <c r="J52" i="20" s="1"/>
  <c r="I59" i="20"/>
  <c r="J59" i="20" s="1"/>
  <c r="I62" i="20"/>
  <c r="J62" i="20" s="1"/>
  <c r="E56" i="20" l="1"/>
  <c r="H58" i="20" l="1"/>
  <c r="E58" i="20"/>
  <c r="G58" i="20"/>
  <c r="H56" i="20"/>
  <c r="G56" i="20"/>
  <c r="I56" i="20" l="1"/>
  <c r="J56" i="20" s="1"/>
  <c r="I58" i="20"/>
  <c r="J58" i="20" s="1"/>
  <c r="Y16" i="2"/>
  <c r="Y15" i="2"/>
  <c r="C43" i="20" l="1"/>
  <c r="D43" i="20" s="1"/>
  <c r="C44" i="20"/>
  <c r="D44" i="20" s="1"/>
  <c r="C45" i="20"/>
  <c r="D45" i="20" s="1"/>
  <c r="C46" i="20"/>
  <c r="D46" i="20" s="1"/>
  <c r="C47" i="20"/>
  <c r="C48" i="20"/>
  <c r="D48" i="20" s="1"/>
  <c r="C49" i="20"/>
  <c r="E49" i="20" s="1"/>
  <c r="C42" i="20"/>
  <c r="D42" i="20" s="1"/>
  <c r="H49" i="20" l="1"/>
  <c r="F49" i="20"/>
  <c r="D49" i="20"/>
  <c r="G48" i="20"/>
  <c r="E48" i="20"/>
  <c r="F47" i="20"/>
  <c r="D47" i="20"/>
  <c r="G46" i="20"/>
  <c r="E46" i="20"/>
  <c r="F45" i="20"/>
  <c r="F44" i="20"/>
  <c r="F43" i="20"/>
  <c r="F42" i="20"/>
  <c r="G49" i="20"/>
  <c r="H48" i="20"/>
  <c r="F48" i="20"/>
  <c r="H46" i="20"/>
  <c r="F46" i="20"/>
  <c r="I46" i="20" l="1"/>
  <c r="J46" i="20" s="1"/>
  <c r="I48" i="20"/>
  <c r="J48" i="20" s="1"/>
  <c r="I49" i="20"/>
  <c r="J49" i="20" s="1"/>
  <c r="C37" i="20" l="1"/>
  <c r="S9" i="2" l="1"/>
  <c r="R9" i="2"/>
  <c r="S8" i="2"/>
  <c r="R8" i="2" l="1"/>
  <c r="S6" i="2" l="1"/>
  <c r="R6" i="2"/>
  <c r="S5" i="2"/>
  <c r="R5" i="2"/>
  <c r="S10" i="2" l="1"/>
  <c r="R10" i="2"/>
  <c r="R7" i="2"/>
  <c r="S7" i="2"/>
  <c r="S12" i="2" l="1"/>
  <c r="R12" i="2"/>
  <c r="S13" i="2" l="1"/>
  <c r="R13" i="2"/>
  <c r="S14" i="2" l="1"/>
  <c r="R14" i="2"/>
  <c r="O2" i="2"/>
  <c r="S15" i="2" l="1"/>
  <c r="R15" i="2"/>
  <c r="S16" i="2" l="1"/>
  <c r="R16" i="2"/>
  <c r="S17" i="2" l="1"/>
  <c r="R17" i="2"/>
  <c r="S18" i="2" l="1"/>
  <c r="R18" i="2"/>
  <c r="E42" i="20" l="1"/>
  <c r="E44" i="20"/>
  <c r="E65" i="20"/>
  <c r="E63" i="20"/>
  <c r="E68" i="20"/>
  <c r="S19" i="2"/>
  <c r="R19" i="2"/>
  <c r="H54" i="20" l="1"/>
  <c r="E54" i="20"/>
  <c r="E67" i="20"/>
  <c r="H66" i="20"/>
  <c r="E66" i="20"/>
  <c r="E47" i="20"/>
  <c r="G43" i="20"/>
  <c r="E43" i="20"/>
  <c r="S20" i="2"/>
  <c r="R20" i="2"/>
  <c r="G66" i="20"/>
  <c r="H43" i="20"/>
  <c r="G54" i="20"/>
  <c r="H68" i="20"/>
  <c r="G68" i="20"/>
  <c r="G44" i="20"/>
  <c r="H44" i="20"/>
  <c r="G65" i="20"/>
  <c r="H65" i="20"/>
  <c r="H63" i="20"/>
  <c r="G63" i="20"/>
  <c r="H42" i="20"/>
  <c r="G42" i="20"/>
  <c r="I54" i="20" l="1"/>
  <c r="J54" i="20" s="1"/>
  <c r="I68" i="20"/>
  <c r="J68" i="20" s="1"/>
  <c r="H67" i="20"/>
  <c r="G67" i="20"/>
  <c r="I66" i="20"/>
  <c r="J66" i="20" s="1"/>
  <c r="I63" i="20"/>
  <c r="J63" i="20" s="1"/>
  <c r="I65" i="20"/>
  <c r="J65" i="20" s="1"/>
  <c r="H47" i="20"/>
  <c r="G47" i="20"/>
  <c r="I43" i="20"/>
  <c r="J43" i="20" s="1"/>
  <c r="I44" i="20"/>
  <c r="J44" i="20" s="1"/>
  <c r="I42" i="20"/>
  <c r="J42" i="20" s="1"/>
  <c r="S21" i="2"/>
  <c r="R21" i="2"/>
  <c r="C8" i="15"/>
  <c r="I67" i="20" l="1"/>
  <c r="J67" i="20" s="1"/>
  <c r="I47" i="20"/>
  <c r="J47" i="20" s="1"/>
  <c r="S22" i="2"/>
  <c r="R22" i="2"/>
  <c r="R4" i="2"/>
  <c r="H45" i="20" l="1"/>
  <c r="E45" i="20"/>
  <c r="S23" i="2"/>
  <c r="R23" i="2"/>
  <c r="G45" i="20"/>
  <c r="L176" i="3"/>
  <c r="L175" i="3"/>
  <c r="I45" i="20" l="1"/>
  <c r="J45" i="20" s="1"/>
  <c r="S24" i="2"/>
  <c r="R24" i="2"/>
  <c r="G3" i="22"/>
  <c r="G4" i="22"/>
  <c r="G5" i="22"/>
  <c r="G6" i="22"/>
  <c r="G7" i="22"/>
  <c r="G8" i="22"/>
  <c r="G2" i="22"/>
  <c r="S25" i="2" l="1"/>
  <c r="R25" i="2"/>
  <c r="S26" i="2" l="1"/>
  <c r="R26" i="2"/>
  <c r="S27" i="2" l="1"/>
  <c r="R27" i="2"/>
  <c r="S28" i="2" l="1"/>
  <c r="R28" i="2"/>
  <c r="S29" i="2" l="1"/>
  <c r="R29" i="2"/>
  <c r="S30" i="2" l="1"/>
  <c r="R30" i="2"/>
  <c r="C23" i="3"/>
  <c r="C24" i="3"/>
  <c r="C34" i="3"/>
  <c r="C35" i="3"/>
  <c r="C36" i="3"/>
  <c r="C37" i="3"/>
  <c r="C38" i="3"/>
  <c r="C39" i="3"/>
  <c r="C40" i="3"/>
  <c r="C41" i="3"/>
  <c r="C42" i="3"/>
  <c r="C43" i="3"/>
  <c r="C44" i="3"/>
  <c r="D44" i="3" s="1"/>
  <c r="C45" i="3"/>
  <c r="C46" i="3"/>
  <c r="C47" i="3"/>
  <c r="C48" i="3"/>
  <c r="C49" i="3"/>
  <c r="C50" i="3"/>
  <c r="C51" i="3"/>
  <c r="C52" i="3"/>
  <c r="S31" i="2" l="1"/>
  <c r="R31" i="2"/>
  <c r="I44" i="23"/>
  <c r="J44" i="23"/>
  <c r="C28" i="23"/>
  <c r="C29" i="23"/>
  <c r="C30" i="23"/>
  <c r="C31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5" i="23"/>
  <c r="I46" i="23"/>
  <c r="I47" i="23"/>
  <c r="C32" i="23"/>
  <c r="C33" i="23"/>
  <c r="C34" i="23"/>
  <c r="C35" i="23"/>
  <c r="C36" i="23"/>
  <c r="C37" i="23"/>
  <c r="C38" i="23"/>
  <c r="C39" i="23"/>
  <c r="C40" i="23"/>
  <c r="C41" i="23"/>
  <c r="C42" i="23"/>
  <c r="C43" i="23"/>
  <c r="C44" i="23"/>
  <c r="C45" i="23"/>
  <c r="C46" i="23"/>
  <c r="C47" i="23"/>
  <c r="J42" i="23"/>
  <c r="J43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J40" i="23"/>
  <c r="J41" i="23"/>
  <c r="J45" i="23"/>
  <c r="J46" i="23"/>
  <c r="J47" i="23"/>
  <c r="G44" i="23"/>
  <c r="G42" i="23"/>
  <c r="G43" i="23"/>
  <c r="G40" i="23"/>
  <c r="G41" i="23"/>
  <c r="G39" i="23"/>
  <c r="G30" i="23"/>
  <c r="G33" i="23"/>
  <c r="G34" i="23"/>
  <c r="G46" i="23"/>
  <c r="G47" i="23"/>
  <c r="F44" i="23"/>
  <c r="F42" i="23"/>
  <c r="F43" i="23"/>
  <c r="F40" i="23"/>
  <c r="F41" i="23"/>
  <c r="F39" i="23"/>
  <c r="F30" i="23"/>
  <c r="F33" i="23"/>
  <c r="F34" i="23"/>
  <c r="F46" i="23"/>
  <c r="F47" i="23"/>
  <c r="E44" i="23"/>
  <c r="E42" i="23"/>
  <c r="E43" i="23"/>
  <c r="E38" i="23"/>
  <c r="E39" i="23"/>
  <c r="E40" i="23"/>
  <c r="E41" i="23"/>
  <c r="E28" i="23"/>
  <c r="E29" i="23"/>
  <c r="E30" i="23"/>
  <c r="E31" i="23"/>
  <c r="E32" i="23"/>
  <c r="E33" i="23"/>
  <c r="E34" i="23"/>
  <c r="E35" i="23"/>
  <c r="E36" i="23"/>
  <c r="E37" i="23"/>
  <c r="E45" i="23"/>
  <c r="E46" i="23"/>
  <c r="E47" i="23"/>
  <c r="D44" i="23"/>
  <c r="D42" i="23"/>
  <c r="D43" i="23"/>
  <c r="D38" i="23"/>
  <c r="D39" i="23"/>
  <c r="D40" i="23"/>
  <c r="D41" i="23"/>
  <c r="D28" i="23"/>
  <c r="D29" i="23"/>
  <c r="D30" i="23"/>
  <c r="D31" i="23"/>
  <c r="D32" i="23"/>
  <c r="D33" i="23"/>
  <c r="D34" i="23"/>
  <c r="D35" i="23"/>
  <c r="D36" i="23"/>
  <c r="D37" i="23"/>
  <c r="D45" i="23"/>
  <c r="D46" i="23"/>
  <c r="D47" i="23"/>
  <c r="J21" i="23"/>
  <c r="K21" i="23"/>
  <c r="J18" i="23"/>
  <c r="K18" i="23"/>
  <c r="J15" i="23"/>
  <c r="K15" i="23"/>
  <c r="J12" i="23"/>
  <c r="K12" i="23"/>
  <c r="J9" i="23"/>
  <c r="K9" i="23"/>
  <c r="J6" i="23"/>
  <c r="K6" i="23"/>
  <c r="C9" i="15"/>
  <c r="C10" i="15"/>
  <c r="C11" i="15"/>
  <c r="C12" i="15"/>
  <c r="C13" i="15"/>
  <c r="D6" i="15"/>
  <c r="K3" i="23" s="1"/>
  <c r="Q32" i="3"/>
  <c r="R32" i="3"/>
  <c r="S32" i="3"/>
  <c r="T32" i="3"/>
  <c r="Q33" i="3"/>
  <c r="R33" i="3"/>
  <c r="S33" i="3"/>
  <c r="T33" i="3"/>
  <c r="Q35" i="3"/>
  <c r="R35" i="3"/>
  <c r="S35" i="3"/>
  <c r="T35" i="3"/>
  <c r="Q36" i="3"/>
  <c r="R36" i="3"/>
  <c r="S36" i="3"/>
  <c r="T36" i="3"/>
  <c r="Q37" i="3"/>
  <c r="R37" i="3"/>
  <c r="S37" i="3"/>
  <c r="T37" i="3"/>
  <c r="Q39" i="3"/>
  <c r="R39" i="3"/>
  <c r="S39" i="3"/>
  <c r="T39" i="3"/>
  <c r="Q40" i="3"/>
  <c r="R40" i="3"/>
  <c r="S40" i="3"/>
  <c r="T40" i="3"/>
  <c r="Q42" i="3"/>
  <c r="R42" i="3"/>
  <c r="S42" i="3"/>
  <c r="T42" i="3"/>
  <c r="Q43" i="3"/>
  <c r="R43" i="3"/>
  <c r="S43" i="3"/>
  <c r="T43" i="3"/>
  <c r="Q44" i="3"/>
  <c r="R44" i="3"/>
  <c r="S44" i="3"/>
  <c r="T44" i="3"/>
  <c r="Q45" i="3"/>
  <c r="R45" i="3"/>
  <c r="S45" i="3"/>
  <c r="T45" i="3"/>
  <c r="Q46" i="3"/>
  <c r="R46" i="3"/>
  <c r="S46" i="3"/>
  <c r="T46" i="3"/>
  <c r="Q47" i="3"/>
  <c r="R47" i="3"/>
  <c r="S47" i="3"/>
  <c r="T47" i="3"/>
  <c r="Q48" i="3"/>
  <c r="R48" i="3"/>
  <c r="S48" i="3"/>
  <c r="T48" i="3"/>
  <c r="Q49" i="3"/>
  <c r="R49" i="3"/>
  <c r="S49" i="3"/>
  <c r="T49" i="3"/>
  <c r="Q50" i="3"/>
  <c r="R50" i="3"/>
  <c r="S50" i="3"/>
  <c r="T50" i="3"/>
  <c r="Q51" i="3"/>
  <c r="R51" i="3"/>
  <c r="S51" i="3"/>
  <c r="T51" i="3"/>
  <c r="Q52" i="3"/>
  <c r="R52" i="3"/>
  <c r="S52" i="3"/>
  <c r="T52" i="3"/>
  <c r="Q53" i="3"/>
  <c r="R53" i="3"/>
  <c r="S53" i="3"/>
  <c r="T53" i="3"/>
  <c r="Q54" i="3"/>
  <c r="R54" i="3"/>
  <c r="S54" i="3"/>
  <c r="T54" i="3"/>
  <c r="Q55" i="3"/>
  <c r="R55" i="3"/>
  <c r="S55" i="3"/>
  <c r="T55" i="3"/>
  <c r="Q6" i="3"/>
  <c r="R6" i="3"/>
  <c r="S6" i="3"/>
  <c r="T6" i="3"/>
  <c r="Q7" i="3"/>
  <c r="R7" i="3"/>
  <c r="S7" i="3"/>
  <c r="T7" i="3"/>
  <c r="Q9" i="3"/>
  <c r="R9" i="3"/>
  <c r="S9" i="3"/>
  <c r="T9" i="3"/>
  <c r="Q10" i="3"/>
  <c r="R10" i="3"/>
  <c r="S10" i="3"/>
  <c r="T10" i="3"/>
  <c r="Q11" i="3"/>
  <c r="R11" i="3"/>
  <c r="S11" i="3"/>
  <c r="T11" i="3"/>
  <c r="Q12" i="3"/>
  <c r="Q13" i="3"/>
  <c r="R13" i="3"/>
  <c r="S13" i="3"/>
  <c r="T13" i="3"/>
  <c r="Q14" i="3"/>
  <c r="R14" i="3"/>
  <c r="S14" i="3"/>
  <c r="T14" i="3"/>
  <c r="Q15" i="3"/>
  <c r="R15" i="3"/>
  <c r="S15" i="3"/>
  <c r="T15" i="3"/>
  <c r="Q16" i="3"/>
  <c r="R16" i="3"/>
  <c r="S16" i="3"/>
  <c r="T16" i="3"/>
  <c r="Q17" i="3"/>
  <c r="R17" i="3"/>
  <c r="S17" i="3"/>
  <c r="T17" i="3"/>
  <c r="Q18" i="3"/>
  <c r="R18" i="3"/>
  <c r="S18" i="3"/>
  <c r="T18" i="3"/>
  <c r="Q19" i="3"/>
  <c r="R19" i="3"/>
  <c r="S19" i="3"/>
  <c r="T19" i="3"/>
  <c r="Q20" i="3"/>
  <c r="Q21" i="3"/>
  <c r="R21" i="3"/>
  <c r="S21" i="3"/>
  <c r="T21" i="3"/>
  <c r="Q22" i="3"/>
  <c r="R22" i="3"/>
  <c r="S22" i="3"/>
  <c r="T22" i="3"/>
  <c r="Q23" i="3"/>
  <c r="R23" i="3"/>
  <c r="S23" i="3"/>
  <c r="T23" i="3"/>
  <c r="Q24" i="3"/>
  <c r="R24" i="3"/>
  <c r="S24" i="3"/>
  <c r="T24" i="3"/>
  <c r="Q25" i="3"/>
  <c r="R25" i="3"/>
  <c r="S25" i="3"/>
  <c r="T25" i="3"/>
  <c r="Q26" i="3"/>
  <c r="R26" i="3"/>
  <c r="S26" i="3"/>
  <c r="T26" i="3"/>
  <c r="Q27" i="3"/>
  <c r="R27" i="3"/>
  <c r="S27" i="3"/>
  <c r="T27" i="3"/>
  <c r="Q28" i="3"/>
  <c r="R28" i="3"/>
  <c r="S28" i="3"/>
  <c r="T28" i="3"/>
  <c r="Q29" i="3"/>
  <c r="R29" i="3"/>
  <c r="S29" i="3"/>
  <c r="T29" i="3"/>
  <c r="T5" i="3"/>
  <c r="S5" i="3"/>
  <c r="R5" i="3"/>
  <c r="Q5" i="3"/>
  <c r="O31" i="3"/>
  <c r="T12" i="3"/>
  <c r="R8" i="3"/>
  <c r="R20" i="3"/>
  <c r="T20" i="3"/>
  <c r="S20" i="3"/>
  <c r="Q2" i="2"/>
  <c r="C6" i="3"/>
  <c r="G6" i="3" s="1"/>
  <c r="C7" i="3"/>
  <c r="D7" i="3" s="1"/>
  <c r="C8" i="3"/>
  <c r="D8" i="3" s="1"/>
  <c r="C9" i="3"/>
  <c r="C10" i="3"/>
  <c r="E10" i="3" s="1"/>
  <c r="C11" i="3"/>
  <c r="C12" i="3"/>
  <c r="D12" i="3" s="1"/>
  <c r="C13" i="3"/>
  <c r="G13" i="3" s="1"/>
  <c r="C14" i="3"/>
  <c r="D14" i="3" s="1"/>
  <c r="C15" i="3"/>
  <c r="D15" i="3" s="1"/>
  <c r="C16" i="3"/>
  <c r="E16" i="3" s="1"/>
  <c r="C17" i="3"/>
  <c r="D17" i="3" s="1"/>
  <c r="C18" i="3"/>
  <c r="E18" i="3" s="1"/>
  <c r="C19" i="3"/>
  <c r="F19" i="3" s="1"/>
  <c r="C20" i="3"/>
  <c r="C21" i="3"/>
  <c r="C22" i="3"/>
  <c r="D22" i="3" s="1"/>
  <c r="C25" i="3"/>
  <c r="E25" i="3" s="1"/>
  <c r="C26" i="3"/>
  <c r="D26" i="3" s="1"/>
  <c r="C27" i="3"/>
  <c r="D27" i="3" s="1"/>
  <c r="C28" i="3"/>
  <c r="D28" i="3" s="1"/>
  <c r="C29" i="3"/>
  <c r="D29" i="3" s="1"/>
  <c r="C30" i="3"/>
  <c r="E30" i="3" s="1"/>
  <c r="C31" i="3"/>
  <c r="E31" i="3" s="1"/>
  <c r="C32" i="3"/>
  <c r="E32" i="3" s="1"/>
  <c r="C33" i="3"/>
  <c r="G33" i="3" s="1"/>
  <c r="F38" i="3"/>
  <c r="D41" i="3"/>
  <c r="E42" i="3"/>
  <c r="F45" i="3"/>
  <c r="F48" i="3"/>
  <c r="G49" i="3"/>
  <c r="C53" i="3"/>
  <c r="F53" i="3" s="1"/>
  <c r="C54" i="3"/>
  <c r="F54" i="3" s="1"/>
  <c r="C55" i="3"/>
  <c r="D55" i="3" s="1"/>
  <c r="C56" i="3"/>
  <c r="G56" i="3" s="1"/>
  <c r="C57" i="3"/>
  <c r="F57" i="3" s="1"/>
  <c r="C58" i="3"/>
  <c r="D58" i="3" s="1"/>
  <c r="C59" i="3"/>
  <c r="E59" i="3" s="1"/>
  <c r="C60" i="3"/>
  <c r="C61" i="3"/>
  <c r="G61" i="3" s="1"/>
  <c r="C62" i="3"/>
  <c r="G62" i="3" s="1"/>
  <c r="C63" i="3"/>
  <c r="D63" i="3" s="1"/>
  <c r="C64" i="3"/>
  <c r="G64" i="3" s="1"/>
  <c r="C65" i="3"/>
  <c r="E65" i="3" s="1"/>
  <c r="C66" i="3"/>
  <c r="D66" i="3" s="1"/>
  <c r="C67" i="3"/>
  <c r="D67" i="3" s="1"/>
  <c r="C68" i="3"/>
  <c r="G68" i="3" s="1"/>
  <c r="C69" i="3"/>
  <c r="E69" i="3" s="1"/>
  <c r="C70" i="3"/>
  <c r="G70" i="3" s="1"/>
  <c r="C71" i="3"/>
  <c r="D71" i="3" s="1"/>
  <c r="C72" i="3"/>
  <c r="E72" i="3" s="1"/>
  <c r="C73" i="3"/>
  <c r="D73" i="3" s="1"/>
  <c r="C74" i="3"/>
  <c r="G74" i="3" s="1"/>
  <c r="C75" i="3"/>
  <c r="G75" i="3" s="1"/>
  <c r="C76" i="3"/>
  <c r="D76" i="3" s="1"/>
  <c r="C77" i="3"/>
  <c r="E77" i="3" s="1"/>
  <c r="C78" i="3"/>
  <c r="E78" i="3" s="1"/>
  <c r="C79" i="3"/>
  <c r="G79" i="3" s="1"/>
  <c r="C80" i="3"/>
  <c r="F80" i="3" s="1"/>
  <c r="C20" i="20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62" i="21"/>
  <c r="F63" i="21"/>
  <c r="F64" i="21"/>
  <c r="F65" i="21"/>
  <c r="F66" i="21"/>
  <c r="F67" i="21"/>
  <c r="F68" i="21"/>
  <c r="F69" i="21"/>
  <c r="F70" i="21"/>
  <c r="F71" i="21"/>
  <c r="F72" i="21"/>
  <c r="F73" i="21"/>
  <c r="F74" i="21"/>
  <c r="F75" i="21"/>
  <c r="F76" i="21"/>
  <c r="F77" i="21"/>
  <c r="F78" i="21"/>
  <c r="F79" i="21"/>
  <c r="F80" i="21"/>
  <c r="F81" i="21"/>
  <c r="F82" i="21"/>
  <c r="F83" i="21"/>
  <c r="F84" i="21"/>
  <c r="F85" i="21"/>
  <c r="F86" i="21"/>
  <c r="F87" i="21"/>
  <c r="F88" i="21"/>
  <c r="F89" i="21"/>
  <c r="F90" i="21"/>
  <c r="F91" i="21"/>
  <c r="F92" i="21"/>
  <c r="F93" i="21"/>
  <c r="F94" i="21"/>
  <c r="F95" i="21"/>
  <c r="F96" i="21"/>
  <c r="F97" i="21"/>
  <c r="F98" i="21"/>
  <c r="F99" i="21"/>
  <c r="F100" i="21"/>
  <c r="F101" i="21"/>
  <c r="F102" i="21"/>
  <c r="F103" i="21"/>
  <c r="F104" i="21"/>
  <c r="F105" i="21"/>
  <c r="F106" i="21"/>
  <c r="F107" i="21"/>
  <c r="F108" i="21"/>
  <c r="F109" i="21"/>
  <c r="F110" i="21"/>
  <c r="F111" i="21"/>
  <c r="F112" i="21"/>
  <c r="F113" i="21"/>
  <c r="F114" i="21"/>
  <c r="F115" i="21"/>
  <c r="F116" i="21"/>
  <c r="F117" i="21"/>
  <c r="F118" i="21"/>
  <c r="F119" i="21"/>
  <c r="F120" i="21"/>
  <c r="F121" i="21"/>
  <c r="F122" i="21"/>
  <c r="F123" i="21"/>
  <c r="F124" i="21"/>
  <c r="F125" i="21"/>
  <c r="F126" i="21"/>
  <c r="F127" i="21"/>
  <c r="F128" i="21"/>
  <c r="F129" i="21"/>
  <c r="F130" i="21"/>
  <c r="F131" i="21"/>
  <c r="F132" i="21"/>
  <c r="F133" i="21"/>
  <c r="F134" i="21"/>
  <c r="F135" i="21"/>
  <c r="F136" i="21"/>
  <c r="F137" i="21"/>
  <c r="F138" i="21"/>
  <c r="F139" i="21"/>
  <c r="F140" i="21"/>
  <c r="F141" i="21"/>
  <c r="F142" i="21"/>
  <c r="F143" i="21"/>
  <c r="F144" i="21"/>
  <c r="F145" i="21"/>
  <c r="F146" i="21"/>
  <c r="F147" i="21"/>
  <c r="F148" i="21"/>
  <c r="F149" i="21"/>
  <c r="F150" i="21"/>
  <c r="F151" i="21"/>
  <c r="F152" i="21"/>
  <c r="F153" i="21"/>
  <c r="F154" i="21"/>
  <c r="F155" i="21"/>
  <c r="F156" i="21"/>
  <c r="F157" i="21"/>
  <c r="F158" i="21"/>
  <c r="F159" i="21"/>
  <c r="F160" i="21"/>
  <c r="F161" i="21"/>
  <c r="F162" i="21"/>
  <c r="F163" i="21"/>
  <c r="F164" i="21"/>
  <c r="F165" i="21"/>
  <c r="F166" i="21"/>
  <c r="F167" i="21"/>
  <c r="F168" i="21"/>
  <c r="F169" i="21"/>
  <c r="F170" i="21"/>
  <c r="F171" i="21"/>
  <c r="F172" i="21"/>
  <c r="F173" i="21"/>
  <c r="F174" i="21"/>
  <c r="F175" i="21"/>
  <c r="F176" i="21"/>
  <c r="F177" i="21"/>
  <c r="F178" i="21"/>
  <c r="F179" i="21"/>
  <c r="F180" i="21"/>
  <c r="F181" i="21"/>
  <c r="F182" i="21"/>
  <c r="F183" i="21"/>
  <c r="F184" i="21"/>
  <c r="F185" i="21"/>
  <c r="F186" i="21"/>
  <c r="F187" i="21"/>
  <c r="F188" i="21"/>
  <c r="F189" i="21"/>
  <c r="F190" i="21"/>
  <c r="F191" i="21"/>
  <c r="F192" i="21"/>
  <c r="F193" i="21"/>
  <c r="F194" i="21"/>
  <c r="F195" i="21"/>
  <c r="F196" i="21"/>
  <c r="F197" i="21"/>
  <c r="F198" i="21"/>
  <c r="F199" i="21"/>
  <c r="F200" i="21"/>
  <c r="F201" i="21"/>
  <c r="F202" i="21"/>
  <c r="F203" i="21"/>
  <c r="F204" i="21"/>
  <c r="F205" i="21"/>
  <c r="F206" i="21"/>
  <c r="F207" i="21"/>
  <c r="F208" i="21"/>
  <c r="F209" i="21"/>
  <c r="F210" i="21"/>
  <c r="F211" i="21"/>
  <c r="F212" i="21"/>
  <c r="F213" i="21"/>
  <c r="F214" i="21"/>
  <c r="F215" i="21"/>
  <c r="F216" i="21"/>
  <c r="F217" i="21"/>
  <c r="F218" i="21"/>
  <c r="F219" i="21"/>
  <c r="F220" i="21"/>
  <c r="F221" i="21"/>
  <c r="F222" i="21"/>
  <c r="F223" i="21"/>
  <c r="F224" i="21"/>
  <c r="F225" i="21"/>
  <c r="F226" i="21"/>
  <c r="F227" i="21"/>
  <c r="F228" i="21"/>
  <c r="F229" i="21"/>
  <c r="F230" i="21"/>
  <c r="F231" i="21"/>
  <c r="F232" i="21"/>
  <c r="F233" i="21"/>
  <c r="F234" i="21"/>
  <c r="F235" i="21"/>
  <c r="F236" i="21"/>
  <c r="F237" i="21"/>
  <c r="F238" i="21"/>
  <c r="F239" i="21"/>
  <c r="F240" i="21"/>
  <c r="F241" i="21"/>
  <c r="F242" i="21"/>
  <c r="F243" i="21"/>
  <c r="F244" i="21"/>
  <c r="F245" i="21"/>
  <c r="F246" i="21"/>
  <c r="F247" i="21"/>
  <c r="F248" i="21"/>
  <c r="F249" i="21"/>
  <c r="F250" i="21"/>
  <c r="F251" i="21"/>
  <c r="F252" i="21"/>
  <c r="F253" i="21"/>
  <c r="F254" i="21"/>
  <c r="F255" i="21"/>
  <c r="F256" i="21"/>
  <c r="F257" i="21"/>
  <c r="F258" i="21"/>
  <c r="F259" i="21"/>
  <c r="F260" i="21"/>
  <c r="F261" i="21"/>
  <c r="F262" i="21"/>
  <c r="F263" i="21"/>
  <c r="F264" i="21"/>
  <c r="F265" i="21"/>
  <c r="F266" i="21"/>
  <c r="F267" i="21"/>
  <c r="F268" i="21"/>
  <c r="F269" i="21"/>
  <c r="F270" i="21"/>
  <c r="F271" i="21"/>
  <c r="F272" i="21"/>
  <c r="F273" i="21"/>
  <c r="F274" i="21"/>
  <c r="F275" i="21"/>
  <c r="F276" i="21"/>
  <c r="F277" i="21"/>
  <c r="F278" i="21"/>
  <c r="F279" i="21"/>
  <c r="F280" i="21"/>
  <c r="F281" i="21"/>
  <c r="F282" i="21"/>
  <c r="F283" i="21"/>
  <c r="F284" i="21"/>
  <c r="F285" i="21"/>
  <c r="F286" i="21"/>
  <c r="F287" i="21"/>
  <c r="F288" i="21"/>
  <c r="F289" i="21"/>
  <c r="F290" i="21"/>
  <c r="F291" i="21"/>
  <c r="F292" i="21"/>
  <c r="F293" i="21"/>
  <c r="F294" i="21"/>
  <c r="F295" i="21"/>
  <c r="F296" i="21"/>
  <c r="F297" i="21"/>
  <c r="F298" i="21"/>
  <c r="F299" i="21"/>
  <c r="F300" i="21"/>
  <c r="F301" i="21"/>
  <c r="F302" i="21"/>
  <c r="F303" i="21"/>
  <c r="F304" i="21"/>
  <c r="F305" i="21"/>
  <c r="F306" i="21"/>
  <c r="F307" i="21"/>
  <c r="F308" i="21"/>
  <c r="F309" i="21"/>
  <c r="F310" i="21"/>
  <c r="F311" i="21"/>
  <c r="F312" i="21"/>
  <c r="F313" i="21"/>
  <c r="F314" i="21"/>
  <c r="F315" i="21"/>
  <c r="F316" i="21"/>
  <c r="F317" i="21"/>
  <c r="F318" i="21"/>
  <c r="F319" i="21"/>
  <c r="F320" i="21"/>
  <c r="F321" i="21"/>
  <c r="F322" i="21"/>
  <c r="F323" i="21"/>
  <c r="F324" i="21"/>
  <c r="F325" i="21"/>
  <c r="F326" i="21"/>
  <c r="F327" i="21"/>
  <c r="F328" i="21"/>
  <c r="F329" i="21"/>
  <c r="F330" i="21"/>
  <c r="F331" i="21"/>
  <c r="F332" i="21"/>
  <c r="F333" i="21"/>
  <c r="F334" i="21"/>
  <c r="F335" i="21"/>
  <c r="F336" i="21"/>
  <c r="F337" i="21"/>
  <c r="F338" i="21"/>
  <c r="F339" i="21"/>
  <c r="F340" i="21"/>
  <c r="F341" i="21"/>
  <c r="F342" i="21"/>
  <c r="F343" i="21"/>
  <c r="F344" i="21"/>
  <c r="F345" i="21"/>
  <c r="F346" i="21"/>
  <c r="F347" i="21"/>
  <c r="F348" i="21"/>
  <c r="F349" i="21"/>
  <c r="F350" i="21"/>
  <c r="F351" i="21"/>
  <c r="F352" i="21"/>
  <c r="F353" i="21"/>
  <c r="F354" i="21"/>
  <c r="F355" i="21"/>
  <c r="F356" i="21"/>
  <c r="F357" i="21"/>
  <c r="F358" i="21"/>
  <c r="F359" i="21"/>
  <c r="F360" i="21"/>
  <c r="F361" i="21"/>
  <c r="F362" i="21"/>
  <c r="F363" i="21"/>
  <c r="F364" i="21"/>
  <c r="F365" i="21"/>
  <c r="F366" i="21"/>
  <c r="F367" i="21"/>
  <c r="F368" i="21"/>
  <c r="F369" i="21"/>
  <c r="F370" i="21"/>
  <c r="F371" i="21"/>
  <c r="F372" i="21"/>
  <c r="F373" i="21"/>
  <c r="F374" i="21"/>
  <c r="F375" i="21"/>
  <c r="F376" i="21"/>
  <c r="F377" i="21"/>
  <c r="F378" i="21"/>
  <c r="F379" i="21"/>
  <c r="F380" i="21"/>
  <c r="F381" i="21"/>
  <c r="F382" i="21"/>
  <c r="F383" i="21"/>
  <c r="F384" i="21"/>
  <c r="F385" i="21"/>
  <c r="F386" i="21"/>
  <c r="F387" i="21"/>
  <c r="F388" i="21"/>
  <c r="F389" i="21"/>
  <c r="F390" i="21"/>
  <c r="F391" i="21"/>
  <c r="F392" i="21"/>
  <c r="F393" i="21"/>
  <c r="F394" i="21"/>
  <c r="F395" i="21"/>
  <c r="F396" i="21"/>
  <c r="F397" i="21"/>
  <c r="F398" i="21"/>
  <c r="F399" i="21"/>
  <c r="F400" i="21"/>
  <c r="F401" i="21"/>
  <c r="F402" i="21"/>
  <c r="F403" i="21"/>
  <c r="F404" i="21"/>
  <c r="F405" i="21"/>
  <c r="F406" i="21"/>
  <c r="F407" i="21"/>
  <c r="F408" i="21"/>
  <c r="F409" i="21"/>
  <c r="F410" i="21"/>
  <c r="F411" i="21"/>
  <c r="F412" i="21"/>
  <c r="F413" i="21"/>
  <c r="F414" i="21"/>
  <c r="F415" i="21"/>
  <c r="F416" i="21"/>
  <c r="F417" i="21"/>
  <c r="F418" i="21"/>
  <c r="F419" i="21"/>
  <c r="F420" i="21"/>
  <c r="F421" i="21"/>
  <c r="F422" i="21"/>
  <c r="F423" i="21"/>
  <c r="F424" i="21"/>
  <c r="F425" i="21"/>
  <c r="F426" i="21"/>
  <c r="F427" i="21"/>
  <c r="F428" i="21"/>
  <c r="F429" i="21"/>
  <c r="F430" i="21"/>
  <c r="F431" i="21"/>
  <c r="F432" i="21"/>
  <c r="F433" i="21"/>
  <c r="F434" i="21"/>
  <c r="F435" i="21"/>
  <c r="F436" i="21"/>
  <c r="F437" i="21"/>
  <c r="F438" i="21"/>
  <c r="F439" i="21"/>
  <c r="F440" i="21"/>
  <c r="F441" i="21"/>
  <c r="F442" i="21"/>
  <c r="F443" i="21"/>
  <c r="F444" i="21"/>
  <c r="F445" i="21"/>
  <c r="F446" i="21"/>
  <c r="F447" i="21"/>
  <c r="F448" i="21"/>
  <c r="F449" i="21"/>
  <c r="F450" i="21"/>
  <c r="F451" i="21"/>
  <c r="F452" i="21"/>
  <c r="F453" i="21"/>
  <c r="F454" i="21"/>
  <c r="F455" i="21"/>
  <c r="F456" i="21"/>
  <c r="F457" i="21"/>
  <c r="F458" i="21"/>
  <c r="F459" i="21"/>
  <c r="F460" i="21"/>
  <c r="F461" i="21"/>
  <c r="F462" i="21"/>
  <c r="F463" i="21"/>
  <c r="F464" i="21"/>
  <c r="F465" i="21"/>
  <c r="F466" i="21"/>
  <c r="F467" i="21"/>
  <c r="F468" i="21"/>
  <c r="F469" i="21"/>
  <c r="F470" i="21"/>
  <c r="F471" i="21"/>
  <c r="F472" i="21"/>
  <c r="F473" i="21"/>
  <c r="F474" i="21"/>
  <c r="F475" i="21"/>
  <c r="F476" i="21"/>
  <c r="F477" i="21"/>
  <c r="F478" i="21"/>
  <c r="F479" i="21"/>
  <c r="F480" i="21"/>
  <c r="F481" i="21"/>
  <c r="F482" i="21"/>
  <c r="F483" i="21"/>
  <c r="F484" i="21"/>
  <c r="F485" i="21"/>
  <c r="F486" i="21"/>
  <c r="F487" i="21"/>
  <c r="F488" i="21"/>
  <c r="F489" i="21"/>
  <c r="F490" i="21"/>
  <c r="F491" i="21"/>
  <c r="F492" i="21"/>
  <c r="F493" i="21"/>
  <c r="F494" i="21"/>
  <c r="F495" i="21"/>
  <c r="F496" i="21"/>
  <c r="F497" i="21"/>
  <c r="F498" i="21"/>
  <c r="F499" i="21"/>
  <c r="F500" i="21"/>
  <c r="F501" i="21"/>
  <c r="F502" i="21"/>
  <c r="F503" i="21"/>
  <c r="F504" i="21"/>
  <c r="F505" i="21"/>
  <c r="F506" i="21"/>
  <c r="F507" i="21"/>
  <c r="F508" i="21"/>
  <c r="F509" i="21"/>
  <c r="F510" i="21"/>
  <c r="F511" i="21"/>
  <c r="F512" i="21"/>
  <c r="F513" i="21"/>
  <c r="F514" i="21"/>
  <c r="F515" i="21"/>
  <c r="F516" i="21"/>
  <c r="F517" i="21"/>
  <c r="F518" i="21"/>
  <c r="F519" i="21"/>
  <c r="F520" i="21"/>
  <c r="F521" i="21"/>
  <c r="F522" i="21"/>
  <c r="F523" i="21"/>
  <c r="F524" i="21"/>
  <c r="F525" i="21"/>
  <c r="F526" i="21"/>
  <c r="F527" i="21"/>
  <c r="F528" i="21"/>
  <c r="F529" i="21"/>
  <c r="F530" i="21"/>
  <c r="F531" i="21"/>
  <c r="F532" i="21"/>
  <c r="F533" i="21"/>
  <c r="F534" i="21"/>
  <c r="F535" i="21"/>
  <c r="F536" i="21"/>
  <c r="F537" i="21"/>
  <c r="F538" i="21"/>
  <c r="F539" i="21"/>
  <c r="F540" i="21"/>
  <c r="F541" i="21"/>
  <c r="F542" i="21"/>
  <c r="F543" i="21"/>
  <c r="F544" i="21"/>
  <c r="F545" i="21"/>
  <c r="F546" i="21"/>
  <c r="F547" i="21"/>
  <c r="F548" i="21"/>
  <c r="F549" i="21"/>
  <c r="F550" i="21"/>
  <c r="F551" i="21"/>
  <c r="F552" i="21"/>
  <c r="F553" i="21"/>
  <c r="F554" i="21"/>
  <c r="F555" i="21"/>
  <c r="F556" i="21"/>
  <c r="F557" i="21"/>
  <c r="F558" i="21"/>
  <c r="F559" i="21"/>
  <c r="F560" i="21"/>
  <c r="F561" i="21"/>
  <c r="F562" i="21"/>
  <c r="F563" i="21"/>
  <c r="F564" i="21"/>
  <c r="F565" i="21"/>
  <c r="F566" i="21"/>
  <c r="F567" i="21"/>
  <c r="F568" i="21"/>
  <c r="F569" i="21"/>
  <c r="F570" i="21"/>
  <c r="F571" i="21"/>
  <c r="F572" i="21"/>
  <c r="F573" i="21"/>
  <c r="F574" i="21"/>
  <c r="F575" i="21"/>
  <c r="F576" i="21"/>
  <c r="F577" i="21"/>
  <c r="F578" i="21"/>
  <c r="F579" i="21"/>
  <c r="F580" i="21"/>
  <c r="F581" i="21"/>
  <c r="F582" i="21"/>
  <c r="F583" i="21"/>
  <c r="F584" i="21"/>
  <c r="F585" i="21"/>
  <c r="F586" i="21"/>
  <c r="F587" i="21"/>
  <c r="F588" i="21"/>
  <c r="F589" i="21"/>
  <c r="F590" i="21"/>
  <c r="F591" i="21"/>
  <c r="F592" i="21"/>
  <c r="F593" i="21"/>
  <c r="F594" i="21"/>
  <c r="F595" i="21"/>
  <c r="F596" i="21"/>
  <c r="F597" i="21"/>
  <c r="F598" i="21"/>
  <c r="F599" i="21"/>
  <c r="F600" i="21"/>
  <c r="F601" i="21"/>
  <c r="F602" i="21"/>
  <c r="F603" i="21"/>
  <c r="F604" i="21"/>
  <c r="F605" i="21"/>
  <c r="F606" i="21"/>
  <c r="F607" i="21"/>
  <c r="F608" i="21"/>
  <c r="F609" i="21"/>
  <c r="F610" i="21"/>
  <c r="F611" i="21"/>
  <c r="F612" i="21"/>
  <c r="F613" i="21"/>
  <c r="F614" i="21"/>
  <c r="F615" i="21"/>
  <c r="F616" i="21"/>
  <c r="F617" i="21"/>
  <c r="F618" i="21"/>
  <c r="F619" i="21"/>
  <c r="F620" i="21"/>
  <c r="F621" i="21"/>
  <c r="F622" i="21"/>
  <c r="F623" i="21"/>
  <c r="F624" i="21"/>
  <c r="F625" i="21"/>
  <c r="F626" i="21"/>
  <c r="F627" i="21"/>
  <c r="F628" i="21"/>
  <c r="F629" i="21"/>
  <c r="F630" i="21"/>
  <c r="F631" i="21"/>
  <c r="F632" i="21"/>
  <c r="F633" i="21"/>
  <c r="F634" i="21"/>
  <c r="F635" i="21"/>
  <c r="F636" i="21"/>
  <c r="F637" i="21"/>
  <c r="F638" i="21"/>
  <c r="F639" i="21"/>
  <c r="F640" i="21"/>
  <c r="F641" i="21"/>
  <c r="F642" i="21"/>
  <c r="F643" i="21"/>
  <c r="F644" i="21"/>
  <c r="F645" i="21"/>
  <c r="F646" i="21"/>
  <c r="F647" i="21"/>
  <c r="F648" i="21"/>
  <c r="F649" i="21"/>
  <c r="F650" i="21"/>
  <c r="F651" i="21"/>
  <c r="F652" i="21"/>
  <c r="F653" i="21"/>
  <c r="F654" i="21"/>
  <c r="F655" i="21"/>
  <c r="F656" i="21"/>
  <c r="F657" i="21"/>
  <c r="F658" i="21"/>
  <c r="F659" i="21"/>
  <c r="F660" i="21"/>
  <c r="F661" i="21"/>
  <c r="F662" i="21"/>
  <c r="F663" i="21"/>
  <c r="F664" i="21"/>
  <c r="F665" i="21"/>
  <c r="F666" i="21"/>
  <c r="F667" i="21"/>
  <c r="F668" i="21"/>
  <c r="F669" i="21"/>
  <c r="F670" i="21"/>
  <c r="F671" i="21"/>
  <c r="F672" i="21"/>
  <c r="F673" i="21"/>
  <c r="F674" i="21"/>
  <c r="F675" i="21"/>
  <c r="F676" i="21"/>
  <c r="F677" i="21"/>
  <c r="F678" i="21"/>
  <c r="F679" i="21"/>
  <c r="F680" i="21"/>
  <c r="F681" i="21"/>
  <c r="F682" i="21"/>
  <c r="F683" i="21"/>
  <c r="F684" i="21"/>
  <c r="F685" i="21"/>
  <c r="F686" i="21"/>
  <c r="F687" i="21"/>
  <c r="F688" i="21"/>
  <c r="F689" i="21"/>
  <c r="F690" i="21"/>
  <c r="F691" i="21"/>
  <c r="F692" i="21"/>
  <c r="F693" i="21"/>
  <c r="F694" i="21"/>
  <c r="F695" i="21"/>
  <c r="F696" i="21"/>
  <c r="F697" i="21"/>
  <c r="F698" i="21"/>
  <c r="F699" i="21"/>
  <c r="F700" i="21"/>
  <c r="F701" i="21"/>
  <c r="F702" i="21"/>
  <c r="F703" i="21"/>
  <c r="F704" i="21"/>
  <c r="F705" i="21"/>
  <c r="F706" i="21"/>
  <c r="F707" i="21"/>
  <c r="F708" i="21"/>
  <c r="F709" i="21"/>
  <c r="F710" i="21"/>
  <c r="F711" i="21"/>
  <c r="F712" i="21"/>
  <c r="F713" i="21"/>
  <c r="F714" i="21"/>
  <c r="F715" i="21"/>
  <c r="F716" i="21"/>
  <c r="F717" i="21"/>
  <c r="F718" i="21"/>
  <c r="F719" i="21"/>
  <c r="F720" i="21"/>
  <c r="F721" i="21"/>
  <c r="F722" i="21"/>
  <c r="F723" i="21"/>
  <c r="F724" i="21"/>
  <c r="F725" i="21"/>
  <c r="F726" i="21"/>
  <c r="F727" i="21"/>
  <c r="F728" i="21"/>
  <c r="F729" i="21"/>
  <c r="F730" i="21"/>
  <c r="F731" i="21"/>
  <c r="F732" i="21"/>
  <c r="F733" i="21"/>
  <c r="F734" i="21"/>
  <c r="F735" i="21"/>
  <c r="F736" i="21"/>
  <c r="F737" i="21"/>
  <c r="F738" i="21"/>
  <c r="F739" i="21"/>
  <c r="F740" i="21"/>
  <c r="F741" i="21"/>
  <c r="F742" i="21"/>
  <c r="F743" i="21"/>
  <c r="F744" i="21"/>
  <c r="F745" i="21"/>
  <c r="F746" i="21"/>
  <c r="F747" i="21"/>
  <c r="F748" i="21"/>
  <c r="F749" i="21"/>
  <c r="F750" i="21"/>
  <c r="F751" i="21"/>
  <c r="F752" i="21"/>
  <c r="F753" i="21"/>
  <c r="F754" i="21"/>
  <c r="F755" i="21"/>
  <c r="F756" i="21"/>
  <c r="F757" i="21"/>
  <c r="F758" i="21"/>
  <c r="F759" i="21"/>
  <c r="F760" i="21"/>
  <c r="F761" i="21"/>
  <c r="F762" i="21"/>
  <c r="F763" i="21"/>
  <c r="F764" i="21"/>
  <c r="F765" i="21"/>
  <c r="F766" i="21"/>
  <c r="F767" i="21"/>
  <c r="F768" i="21"/>
  <c r="F769" i="21"/>
  <c r="F770" i="21"/>
  <c r="F771" i="21"/>
  <c r="F772" i="21"/>
  <c r="F773" i="21"/>
  <c r="F774" i="21"/>
  <c r="F775" i="21"/>
  <c r="F776" i="21"/>
  <c r="F777" i="21"/>
  <c r="F778" i="21"/>
  <c r="F779" i="21"/>
  <c r="F780" i="21"/>
  <c r="F781" i="21"/>
  <c r="F782" i="21"/>
  <c r="F783" i="21"/>
  <c r="F784" i="21"/>
  <c r="F785" i="21"/>
  <c r="F786" i="21"/>
  <c r="F787" i="21"/>
  <c r="F788" i="21"/>
  <c r="F789" i="21"/>
  <c r="F790" i="21"/>
  <c r="F791" i="21"/>
  <c r="F792" i="21"/>
  <c r="F793" i="21"/>
  <c r="F794" i="21"/>
  <c r="F795" i="21"/>
  <c r="F796" i="21"/>
  <c r="F797" i="21"/>
  <c r="F798" i="21"/>
  <c r="F799" i="21"/>
  <c r="F800" i="21"/>
  <c r="F801" i="21"/>
  <c r="F802" i="21"/>
  <c r="F803" i="21"/>
  <c r="F804" i="21"/>
  <c r="F805" i="21"/>
  <c r="F806" i="21"/>
  <c r="F807" i="21"/>
  <c r="F808" i="21"/>
  <c r="F809" i="21"/>
  <c r="F810" i="21"/>
  <c r="F811" i="21"/>
  <c r="F812" i="21"/>
  <c r="F813" i="21"/>
  <c r="F814" i="21"/>
  <c r="F815" i="21"/>
  <c r="F816" i="21"/>
  <c r="F817" i="21"/>
  <c r="F818" i="21"/>
  <c r="F819" i="21"/>
  <c r="F820" i="21"/>
  <c r="F821" i="21"/>
  <c r="F822" i="21"/>
  <c r="F823" i="21"/>
  <c r="F824" i="21"/>
  <c r="F825" i="21"/>
  <c r="F826" i="21"/>
  <c r="F827" i="21"/>
  <c r="F828" i="21"/>
  <c r="F829" i="21"/>
  <c r="F830" i="21"/>
  <c r="F831" i="21"/>
  <c r="F832" i="21"/>
  <c r="F833" i="21"/>
  <c r="F834" i="21"/>
  <c r="F835" i="21"/>
  <c r="F836" i="21"/>
  <c r="F837" i="21"/>
  <c r="F838" i="21"/>
  <c r="F839" i="21"/>
  <c r="F840" i="21"/>
  <c r="F841" i="21"/>
  <c r="F842" i="21"/>
  <c r="F843" i="21"/>
  <c r="F844" i="21"/>
  <c r="F845" i="21"/>
  <c r="F846" i="21"/>
  <c r="F847" i="21"/>
  <c r="F848" i="21"/>
  <c r="F849" i="21"/>
  <c r="F850" i="21"/>
  <c r="F851" i="21"/>
  <c r="F852" i="21"/>
  <c r="F853" i="21"/>
  <c r="F854" i="21"/>
  <c r="F855" i="21"/>
  <c r="F856" i="21"/>
  <c r="F857" i="21"/>
  <c r="F858" i="21"/>
  <c r="F859" i="21"/>
  <c r="F860" i="21"/>
  <c r="F861" i="21"/>
  <c r="F862" i="21"/>
  <c r="F863" i="21"/>
  <c r="F864" i="21"/>
  <c r="F865" i="21"/>
  <c r="F866" i="21"/>
  <c r="F867" i="21"/>
  <c r="F868" i="21"/>
  <c r="F869" i="21"/>
  <c r="F870" i="21"/>
  <c r="F871" i="21"/>
  <c r="F872" i="21"/>
  <c r="F873" i="21"/>
  <c r="F874" i="21"/>
  <c r="F875" i="21"/>
  <c r="F876" i="21"/>
  <c r="F877" i="21"/>
  <c r="F878" i="21"/>
  <c r="F879" i="21"/>
  <c r="F880" i="21"/>
  <c r="F881" i="21"/>
  <c r="F882" i="21"/>
  <c r="F883" i="21"/>
  <c r="F884" i="21"/>
  <c r="F885" i="21"/>
  <c r="F886" i="21"/>
  <c r="F887" i="21"/>
  <c r="F888" i="21"/>
  <c r="F889" i="21"/>
  <c r="F890" i="21"/>
  <c r="F891" i="21"/>
  <c r="F892" i="21"/>
  <c r="F893" i="21"/>
  <c r="F894" i="21"/>
  <c r="F895" i="21"/>
  <c r="F896" i="21"/>
  <c r="F897" i="21"/>
  <c r="F898" i="21"/>
  <c r="F899" i="21"/>
  <c r="F900" i="21"/>
  <c r="F901" i="21"/>
  <c r="F902" i="21"/>
  <c r="F903" i="21"/>
  <c r="F904" i="21"/>
  <c r="F905" i="21"/>
  <c r="F906" i="21"/>
  <c r="F907" i="21"/>
  <c r="F908" i="21"/>
  <c r="F909" i="21"/>
  <c r="F910" i="21"/>
  <c r="F911" i="21"/>
  <c r="F912" i="21"/>
  <c r="F913" i="21"/>
  <c r="F914" i="21"/>
  <c r="F915" i="21"/>
  <c r="F916" i="21"/>
  <c r="F917" i="21"/>
  <c r="F918" i="21"/>
  <c r="F919" i="21"/>
  <c r="F920" i="21"/>
  <c r="F921" i="21"/>
  <c r="F922" i="21"/>
  <c r="F923" i="21"/>
  <c r="F924" i="21"/>
  <c r="F925" i="21"/>
  <c r="F926" i="21"/>
  <c r="F927" i="21"/>
  <c r="F928" i="21"/>
  <c r="F929" i="21"/>
  <c r="F930" i="21"/>
  <c r="F931" i="21"/>
  <c r="F932" i="21"/>
  <c r="F933" i="21"/>
  <c r="F934" i="21"/>
  <c r="F935" i="21"/>
  <c r="F936" i="21"/>
  <c r="F937" i="21"/>
  <c r="F938" i="21"/>
  <c r="F939" i="21"/>
  <c r="F940" i="21"/>
  <c r="F941" i="21"/>
  <c r="F942" i="21"/>
  <c r="F943" i="21"/>
  <c r="F944" i="21"/>
  <c r="F945" i="21"/>
  <c r="F946" i="21"/>
  <c r="F947" i="21"/>
  <c r="F948" i="21"/>
  <c r="F949" i="21"/>
  <c r="F950" i="21"/>
  <c r="F951" i="21"/>
  <c r="F952" i="21"/>
  <c r="F953" i="21"/>
  <c r="F954" i="21"/>
  <c r="F955" i="21"/>
  <c r="F956" i="21"/>
  <c r="F957" i="21"/>
  <c r="F958" i="21"/>
  <c r="F959" i="21"/>
  <c r="F960" i="21"/>
  <c r="F961" i="21"/>
  <c r="F962" i="21"/>
  <c r="F963" i="21"/>
  <c r="F964" i="21"/>
  <c r="F965" i="21"/>
  <c r="F966" i="21"/>
  <c r="F967" i="21"/>
  <c r="F968" i="21"/>
  <c r="F969" i="21"/>
  <c r="F970" i="21"/>
  <c r="F971" i="21"/>
  <c r="F972" i="21"/>
  <c r="F973" i="21"/>
  <c r="F974" i="21"/>
  <c r="F975" i="21"/>
  <c r="F976" i="21"/>
  <c r="F977" i="21"/>
  <c r="F978" i="21"/>
  <c r="F979" i="21"/>
  <c r="F980" i="21"/>
  <c r="F981" i="21"/>
  <c r="F982" i="21"/>
  <c r="F983" i="21"/>
  <c r="F984" i="21"/>
  <c r="F985" i="21"/>
  <c r="F986" i="21"/>
  <c r="F987" i="21"/>
  <c r="F988" i="21"/>
  <c r="F989" i="21"/>
  <c r="F990" i="21"/>
  <c r="F991" i="21"/>
  <c r="F992" i="21"/>
  <c r="F993" i="21"/>
  <c r="F994" i="21"/>
  <c r="F995" i="21"/>
  <c r="F996" i="21"/>
  <c r="F997" i="21"/>
  <c r="F998" i="21"/>
  <c r="F999" i="21"/>
  <c r="F1000" i="21"/>
  <c r="F1001" i="21"/>
  <c r="F1002" i="21"/>
  <c r="F1003" i="21"/>
  <c r="F1004" i="21"/>
  <c r="F1005" i="21"/>
  <c r="F1006" i="21"/>
  <c r="F1007" i="21"/>
  <c r="F1008" i="21"/>
  <c r="F1009" i="21"/>
  <c r="F1010" i="21"/>
  <c r="F1011" i="21"/>
  <c r="F1012" i="21"/>
  <c r="F1013" i="21"/>
  <c r="F1014" i="21"/>
  <c r="F1015" i="21"/>
  <c r="F1016" i="21"/>
  <c r="F1017" i="21"/>
  <c r="F1018" i="21"/>
  <c r="F1019" i="21"/>
  <c r="F1020" i="21"/>
  <c r="F1021" i="21"/>
  <c r="F1022" i="21"/>
  <c r="F1023" i="21"/>
  <c r="F1024" i="21"/>
  <c r="F1025" i="21"/>
  <c r="F1026" i="21"/>
  <c r="F1027" i="21"/>
  <c r="F1028" i="21"/>
  <c r="F1029" i="21"/>
  <c r="F1030" i="21"/>
  <c r="F1031" i="21"/>
  <c r="F1032" i="21"/>
  <c r="F1033" i="21"/>
  <c r="F1034" i="21"/>
  <c r="F1035" i="21"/>
  <c r="F1036" i="21"/>
  <c r="F1037" i="21"/>
  <c r="F1038" i="21"/>
  <c r="F1039" i="21"/>
  <c r="F1040" i="21"/>
  <c r="F1041" i="21"/>
  <c r="F1042" i="21"/>
  <c r="F1043" i="21"/>
  <c r="F1044" i="21"/>
  <c r="F1045" i="21"/>
  <c r="F1046" i="21"/>
  <c r="F1047" i="21"/>
  <c r="F1048" i="21"/>
  <c r="F1049" i="21"/>
  <c r="F1050" i="21"/>
  <c r="F1051" i="21"/>
  <c r="F1052" i="21"/>
  <c r="F1053" i="21"/>
  <c r="F1054" i="21"/>
  <c r="F1055" i="21"/>
  <c r="F1056" i="21"/>
  <c r="F1057" i="21"/>
  <c r="F1058" i="21"/>
  <c r="F1059" i="21"/>
  <c r="F1060" i="21"/>
  <c r="F1061" i="21"/>
  <c r="F1062" i="21"/>
  <c r="F1063" i="21"/>
  <c r="F1064" i="21"/>
  <c r="F1065" i="21"/>
  <c r="F1066" i="21"/>
  <c r="F1067" i="21"/>
  <c r="F1068" i="21"/>
  <c r="F1069" i="21"/>
  <c r="F1070" i="21"/>
  <c r="F1071" i="21"/>
  <c r="F1072" i="21"/>
  <c r="F1073" i="21"/>
  <c r="F1074" i="21"/>
  <c r="F1075" i="21"/>
  <c r="F1076" i="21"/>
  <c r="F1077" i="21"/>
  <c r="F1078" i="21"/>
  <c r="F1079" i="21"/>
  <c r="F1080" i="21"/>
  <c r="F1081" i="21"/>
  <c r="F1082" i="21"/>
  <c r="F1083" i="21"/>
  <c r="F1084" i="21"/>
  <c r="F1085" i="21"/>
  <c r="F1086" i="21"/>
  <c r="F1087" i="21"/>
  <c r="F1088" i="21"/>
  <c r="F1089" i="21"/>
  <c r="F1090" i="21"/>
  <c r="F1091" i="21"/>
  <c r="F1092" i="21"/>
  <c r="F1093" i="21"/>
  <c r="F1094" i="21"/>
  <c r="F1095" i="21"/>
  <c r="F1096" i="21"/>
  <c r="F1097" i="21"/>
  <c r="F1098" i="21"/>
  <c r="F1099" i="21"/>
  <c r="F1100" i="21"/>
  <c r="F1101" i="21"/>
  <c r="F1102" i="21"/>
  <c r="F1103" i="21"/>
  <c r="F1104" i="21"/>
  <c r="F1105" i="21"/>
  <c r="F1106" i="21"/>
  <c r="F1107" i="21"/>
  <c r="F1108" i="21"/>
  <c r="F1109" i="21"/>
  <c r="F1110" i="21"/>
  <c r="F1111" i="21"/>
  <c r="F1112" i="21"/>
  <c r="F1113" i="21"/>
  <c r="F1114" i="21"/>
  <c r="F1115" i="21"/>
  <c r="F1116" i="21"/>
  <c r="F1117" i="21"/>
  <c r="F1118" i="21"/>
  <c r="F1119" i="21"/>
  <c r="F1120" i="21"/>
  <c r="F1121" i="21"/>
  <c r="F1122" i="21"/>
  <c r="F1123" i="21"/>
  <c r="F1124" i="21"/>
  <c r="F1125" i="21"/>
  <c r="F1126" i="21"/>
  <c r="F1127" i="21"/>
  <c r="F1128" i="21"/>
  <c r="F1129" i="21"/>
  <c r="F1130" i="21"/>
  <c r="F1131" i="21"/>
  <c r="F1132" i="21"/>
  <c r="F1133" i="21"/>
  <c r="F1134" i="21"/>
  <c r="F1135" i="21"/>
  <c r="F1136" i="21"/>
  <c r="F1137" i="21"/>
  <c r="F1138" i="21"/>
  <c r="F1139" i="21"/>
  <c r="F1140" i="21"/>
  <c r="F1141" i="21"/>
  <c r="F1142" i="21"/>
  <c r="F1143" i="21"/>
  <c r="F1144" i="21"/>
  <c r="F1145" i="21"/>
  <c r="F1146" i="21"/>
  <c r="F1147" i="21"/>
  <c r="F1148" i="21"/>
  <c r="F1149" i="21"/>
  <c r="F1150" i="21"/>
  <c r="F1151" i="21"/>
  <c r="F1152" i="21"/>
  <c r="F1153" i="21"/>
  <c r="F1154" i="21"/>
  <c r="F1155" i="21"/>
  <c r="F1156" i="21"/>
  <c r="F1157" i="21"/>
  <c r="F1158" i="21"/>
  <c r="F1159" i="21"/>
  <c r="F1160" i="21"/>
  <c r="F1161" i="21"/>
  <c r="F1162" i="21"/>
  <c r="F1163" i="21"/>
  <c r="F1164" i="21"/>
  <c r="F1165" i="21"/>
  <c r="F1166" i="21"/>
  <c r="F1167" i="21"/>
  <c r="F1168" i="21"/>
  <c r="F1169" i="21"/>
  <c r="F1170" i="21"/>
  <c r="F1171" i="21"/>
  <c r="F1172" i="21"/>
  <c r="F1173" i="21"/>
  <c r="F1174" i="21"/>
  <c r="F1175" i="21"/>
  <c r="F1176" i="21"/>
  <c r="F1177" i="21"/>
  <c r="F1178" i="21"/>
  <c r="F1179" i="21"/>
  <c r="F1180" i="21"/>
  <c r="F1181" i="21"/>
  <c r="F1182" i="21"/>
  <c r="F1183" i="21"/>
  <c r="F1184" i="21"/>
  <c r="F1185" i="21"/>
  <c r="F1186" i="21"/>
  <c r="F1187" i="21"/>
  <c r="F1188" i="21"/>
  <c r="F1189" i="21"/>
  <c r="F1190" i="21"/>
  <c r="F1191" i="21"/>
  <c r="F1192" i="21"/>
  <c r="F1193" i="21"/>
  <c r="F1194" i="21"/>
  <c r="F1195" i="21"/>
  <c r="F1196" i="21"/>
  <c r="F1197" i="21"/>
  <c r="F1198" i="21"/>
  <c r="F1199" i="21"/>
  <c r="F1200" i="21"/>
  <c r="F1201" i="21"/>
  <c r="F1202" i="21"/>
  <c r="F1203" i="21"/>
  <c r="F1204" i="21"/>
  <c r="F1205" i="21"/>
  <c r="F1206" i="21"/>
  <c r="F1207" i="21"/>
  <c r="F1208" i="21"/>
  <c r="F1209" i="21"/>
  <c r="F1210" i="21"/>
  <c r="F1211" i="21"/>
  <c r="F1212" i="21"/>
  <c r="F1213" i="21"/>
  <c r="F1214" i="21"/>
  <c r="F1215" i="21"/>
  <c r="F1216" i="21"/>
  <c r="F1217" i="21"/>
  <c r="F1218" i="21"/>
  <c r="F1219" i="21"/>
  <c r="F1220" i="21"/>
  <c r="F1221" i="21"/>
  <c r="F1222" i="21"/>
  <c r="F1223" i="21"/>
  <c r="F1224" i="21"/>
  <c r="F1225" i="21"/>
  <c r="F1226" i="21"/>
  <c r="F1227" i="21"/>
  <c r="F1228" i="21"/>
  <c r="F1229" i="21"/>
  <c r="F1230" i="21"/>
  <c r="F1231" i="21"/>
  <c r="F1232" i="21"/>
  <c r="F1233" i="21"/>
  <c r="F1234" i="21"/>
  <c r="F1235" i="21"/>
  <c r="F1236" i="21"/>
  <c r="F1237" i="21"/>
  <c r="F1238" i="21"/>
  <c r="F1239" i="21"/>
  <c r="F1240" i="21"/>
  <c r="F1241" i="21"/>
  <c r="F1242" i="21"/>
  <c r="F1243" i="21"/>
  <c r="F1244" i="21"/>
  <c r="F1245" i="21"/>
  <c r="F1246" i="21"/>
  <c r="F1247" i="21"/>
  <c r="F1248" i="21"/>
  <c r="F1249" i="21"/>
  <c r="F1250" i="21"/>
  <c r="F1251" i="21"/>
  <c r="F1252" i="21"/>
  <c r="F1253" i="21"/>
  <c r="F1254" i="21"/>
  <c r="F1255" i="21"/>
  <c r="F1256" i="21"/>
  <c r="F1257" i="21"/>
  <c r="F1258" i="21"/>
  <c r="F1259" i="21"/>
  <c r="F1260" i="21"/>
  <c r="F1261" i="21"/>
  <c r="F1262" i="21"/>
  <c r="F1263" i="21"/>
  <c r="F1264" i="21"/>
  <c r="F1265" i="21"/>
  <c r="F1266" i="21"/>
  <c r="F1267" i="21"/>
  <c r="F1268" i="21"/>
  <c r="F1269" i="21"/>
  <c r="F1270" i="21"/>
  <c r="F1271" i="21"/>
  <c r="F1272" i="21"/>
  <c r="F1273" i="21"/>
  <c r="F1274" i="21"/>
  <c r="F1275" i="21"/>
  <c r="F1276" i="21"/>
  <c r="F1277" i="21"/>
  <c r="F1278" i="21"/>
  <c r="F1279" i="21"/>
  <c r="F1280" i="21"/>
  <c r="F1281" i="21"/>
  <c r="F1282" i="21"/>
  <c r="F1283" i="21"/>
  <c r="F1284" i="21"/>
  <c r="F1285" i="21"/>
  <c r="F1286" i="21"/>
  <c r="F1287" i="21"/>
  <c r="F1288" i="21"/>
  <c r="F1289" i="21"/>
  <c r="F1290" i="21"/>
  <c r="F1291" i="21"/>
  <c r="F1292" i="21"/>
  <c r="F1293" i="21"/>
  <c r="F1294" i="21"/>
  <c r="F1295" i="21"/>
  <c r="F1296" i="21"/>
  <c r="F1297" i="21"/>
  <c r="F1298" i="21"/>
  <c r="F1299" i="21"/>
  <c r="F1300" i="21"/>
  <c r="F1301" i="21"/>
  <c r="F1302" i="21"/>
  <c r="F1303" i="21"/>
  <c r="F1304" i="21"/>
  <c r="F1305" i="21"/>
  <c r="F1306" i="21"/>
  <c r="F1307" i="21"/>
  <c r="F1308" i="21"/>
  <c r="F1309" i="21"/>
  <c r="F1310" i="21"/>
  <c r="F1311" i="21"/>
  <c r="F1312" i="21"/>
  <c r="F1313" i="21"/>
  <c r="F1314" i="21"/>
  <c r="F1315" i="21"/>
  <c r="F1316" i="21"/>
  <c r="F1317" i="21"/>
  <c r="F1318" i="21"/>
  <c r="F1319" i="21"/>
  <c r="F1320" i="21"/>
  <c r="F1321" i="21"/>
  <c r="F1322" i="21"/>
  <c r="F1323" i="21"/>
  <c r="F1324" i="21"/>
  <c r="F1325" i="21"/>
  <c r="F1326" i="21"/>
  <c r="F1327" i="21"/>
  <c r="F1328" i="21"/>
  <c r="F1329" i="21"/>
  <c r="F1330" i="21"/>
  <c r="F1331" i="21"/>
  <c r="F1332" i="21"/>
  <c r="F1333" i="21"/>
  <c r="F1334" i="21"/>
  <c r="F1335" i="21"/>
  <c r="F1336" i="21"/>
  <c r="F1337" i="21"/>
  <c r="F1338" i="21"/>
  <c r="F8" i="21"/>
  <c r="N1338" i="21"/>
  <c r="O1338" i="21" s="1"/>
  <c r="J1338" i="21"/>
  <c r="N1337" i="21"/>
  <c r="O1337" i="21" s="1"/>
  <c r="J1337" i="21"/>
  <c r="N1336" i="21"/>
  <c r="O1336" i="21" s="1"/>
  <c r="J1336" i="21"/>
  <c r="N1335" i="21"/>
  <c r="O1335" i="21" s="1"/>
  <c r="J1335" i="21"/>
  <c r="N1334" i="21"/>
  <c r="O1334" i="21" s="1"/>
  <c r="J1334" i="21"/>
  <c r="N1333" i="21"/>
  <c r="O1333" i="21" s="1"/>
  <c r="J1333" i="21"/>
  <c r="N1332" i="21"/>
  <c r="O1332" i="21" s="1"/>
  <c r="J1332" i="21"/>
  <c r="N1331" i="21"/>
  <c r="O1331" i="21" s="1"/>
  <c r="J1331" i="21"/>
  <c r="N1330" i="21"/>
  <c r="O1330" i="21" s="1"/>
  <c r="J1330" i="21"/>
  <c r="N1329" i="21"/>
  <c r="O1329" i="21" s="1"/>
  <c r="J1329" i="21"/>
  <c r="N1328" i="21"/>
  <c r="O1328" i="21" s="1"/>
  <c r="J1328" i="21"/>
  <c r="N1327" i="21"/>
  <c r="O1327" i="21" s="1"/>
  <c r="J1327" i="21"/>
  <c r="N1326" i="21"/>
  <c r="O1326" i="21" s="1"/>
  <c r="J1326" i="21"/>
  <c r="N1325" i="21"/>
  <c r="O1325" i="21" s="1"/>
  <c r="J1325" i="21"/>
  <c r="N1324" i="21"/>
  <c r="O1324" i="21" s="1"/>
  <c r="J1324" i="21"/>
  <c r="N1323" i="21"/>
  <c r="O1323" i="21" s="1"/>
  <c r="J1323" i="21"/>
  <c r="N1322" i="21"/>
  <c r="O1322" i="21" s="1"/>
  <c r="J1322" i="21"/>
  <c r="N1321" i="21"/>
  <c r="O1321" i="21" s="1"/>
  <c r="J1321" i="21"/>
  <c r="N1320" i="21"/>
  <c r="O1320" i="21" s="1"/>
  <c r="J1320" i="21"/>
  <c r="N1319" i="21"/>
  <c r="O1319" i="21" s="1"/>
  <c r="J1319" i="21"/>
  <c r="N1318" i="21"/>
  <c r="O1318" i="21" s="1"/>
  <c r="J1318" i="21"/>
  <c r="N1317" i="21"/>
  <c r="O1317" i="21" s="1"/>
  <c r="J1317" i="21"/>
  <c r="N1316" i="21"/>
  <c r="O1316" i="21" s="1"/>
  <c r="J1316" i="21"/>
  <c r="N1315" i="21"/>
  <c r="O1315" i="21" s="1"/>
  <c r="J1315" i="21"/>
  <c r="N1314" i="21"/>
  <c r="O1314" i="21" s="1"/>
  <c r="J1314" i="21"/>
  <c r="N1313" i="21"/>
  <c r="O1313" i="21" s="1"/>
  <c r="J1313" i="21"/>
  <c r="N1312" i="21"/>
  <c r="O1312" i="21" s="1"/>
  <c r="J1312" i="21"/>
  <c r="N1311" i="21"/>
  <c r="O1311" i="21" s="1"/>
  <c r="J1311" i="21"/>
  <c r="N1310" i="21"/>
  <c r="O1310" i="21" s="1"/>
  <c r="J1310" i="21"/>
  <c r="N1309" i="21"/>
  <c r="O1309" i="21" s="1"/>
  <c r="J1309" i="21"/>
  <c r="N1308" i="21"/>
  <c r="O1308" i="21" s="1"/>
  <c r="J1308" i="21"/>
  <c r="N1307" i="21"/>
  <c r="O1307" i="21" s="1"/>
  <c r="J1307" i="21"/>
  <c r="N1306" i="21"/>
  <c r="O1306" i="21" s="1"/>
  <c r="J1306" i="21"/>
  <c r="N1305" i="21"/>
  <c r="O1305" i="21" s="1"/>
  <c r="J1305" i="21"/>
  <c r="N1304" i="21"/>
  <c r="O1304" i="21" s="1"/>
  <c r="J1304" i="21"/>
  <c r="N1303" i="21"/>
  <c r="O1303" i="21" s="1"/>
  <c r="J1303" i="21"/>
  <c r="N1302" i="21"/>
  <c r="O1302" i="21" s="1"/>
  <c r="J1302" i="21"/>
  <c r="N1301" i="21"/>
  <c r="O1301" i="21" s="1"/>
  <c r="J1301" i="21"/>
  <c r="N1300" i="21"/>
  <c r="O1300" i="21" s="1"/>
  <c r="J1300" i="21"/>
  <c r="N1299" i="21"/>
  <c r="O1299" i="21" s="1"/>
  <c r="J1299" i="21"/>
  <c r="N1298" i="21"/>
  <c r="O1298" i="21" s="1"/>
  <c r="J1298" i="21"/>
  <c r="N1297" i="21"/>
  <c r="O1297" i="21" s="1"/>
  <c r="J1297" i="21"/>
  <c r="N1296" i="21"/>
  <c r="O1296" i="21" s="1"/>
  <c r="J1296" i="21"/>
  <c r="N1295" i="21"/>
  <c r="O1295" i="21" s="1"/>
  <c r="J1295" i="21"/>
  <c r="N1294" i="21"/>
  <c r="O1294" i="21" s="1"/>
  <c r="J1294" i="21"/>
  <c r="N1293" i="21"/>
  <c r="O1293" i="21" s="1"/>
  <c r="J1293" i="21"/>
  <c r="N1292" i="21"/>
  <c r="O1292" i="21" s="1"/>
  <c r="J1292" i="21"/>
  <c r="N1291" i="21"/>
  <c r="O1291" i="21" s="1"/>
  <c r="J1291" i="21"/>
  <c r="N1290" i="21"/>
  <c r="O1290" i="21" s="1"/>
  <c r="J1290" i="21"/>
  <c r="N1289" i="21"/>
  <c r="O1289" i="21" s="1"/>
  <c r="J1289" i="21"/>
  <c r="N1288" i="21"/>
  <c r="O1288" i="21" s="1"/>
  <c r="J1288" i="21"/>
  <c r="N1287" i="21"/>
  <c r="O1287" i="21" s="1"/>
  <c r="J1287" i="21"/>
  <c r="N1286" i="21"/>
  <c r="O1286" i="21" s="1"/>
  <c r="J1286" i="21"/>
  <c r="N1285" i="21"/>
  <c r="O1285" i="21" s="1"/>
  <c r="J1285" i="21"/>
  <c r="N1284" i="21"/>
  <c r="O1284" i="21" s="1"/>
  <c r="J1284" i="21"/>
  <c r="N1283" i="21"/>
  <c r="O1283" i="21" s="1"/>
  <c r="J1283" i="21"/>
  <c r="N1282" i="21"/>
  <c r="O1282" i="21" s="1"/>
  <c r="J1282" i="21"/>
  <c r="N1281" i="21"/>
  <c r="O1281" i="21" s="1"/>
  <c r="J1281" i="21"/>
  <c r="N1280" i="21"/>
  <c r="O1280" i="21" s="1"/>
  <c r="J1280" i="21"/>
  <c r="N1279" i="21"/>
  <c r="O1279" i="21" s="1"/>
  <c r="J1279" i="21"/>
  <c r="N1278" i="21"/>
  <c r="O1278" i="21" s="1"/>
  <c r="J1278" i="21"/>
  <c r="N1277" i="21"/>
  <c r="O1277" i="21" s="1"/>
  <c r="J1277" i="21"/>
  <c r="N1276" i="21"/>
  <c r="O1276" i="21" s="1"/>
  <c r="J1276" i="21"/>
  <c r="N1275" i="21"/>
  <c r="O1275" i="21" s="1"/>
  <c r="J1275" i="21"/>
  <c r="N1274" i="21"/>
  <c r="O1274" i="21" s="1"/>
  <c r="J1274" i="21"/>
  <c r="N1273" i="21"/>
  <c r="O1273" i="21" s="1"/>
  <c r="J1273" i="21"/>
  <c r="N1272" i="21"/>
  <c r="O1272" i="21" s="1"/>
  <c r="J1272" i="21"/>
  <c r="N1271" i="21"/>
  <c r="O1271" i="21" s="1"/>
  <c r="J1271" i="21"/>
  <c r="N1270" i="21"/>
  <c r="O1270" i="21" s="1"/>
  <c r="J1270" i="21"/>
  <c r="N1269" i="21"/>
  <c r="O1269" i="21" s="1"/>
  <c r="J1269" i="21"/>
  <c r="N1268" i="21"/>
  <c r="O1268" i="21" s="1"/>
  <c r="J1268" i="21"/>
  <c r="N1267" i="21"/>
  <c r="O1267" i="21" s="1"/>
  <c r="J1267" i="21"/>
  <c r="N1266" i="21"/>
  <c r="O1266" i="21" s="1"/>
  <c r="J1266" i="21"/>
  <c r="N1265" i="21"/>
  <c r="O1265" i="21" s="1"/>
  <c r="J1265" i="21"/>
  <c r="N1264" i="21"/>
  <c r="O1264" i="21" s="1"/>
  <c r="J1264" i="21"/>
  <c r="N1263" i="21"/>
  <c r="O1263" i="21" s="1"/>
  <c r="J1263" i="21"/>
  <c r="N1262" i="21"/>
  <c r="O1262" i="21" s="1"/>
  <c r="J1262" i="21"/>
  <c r="N1261" i="21"/>
  <c r="O1261" i="21" s="1"/>
  <c r="J1261" i="21"/>
  <c r="N1260" i="21"/>
  <c r="O1260" i="21" s="1"/>
  <c r="J1260" i="21"/>
  <c r="N1259" i="21"/>
  <c r="O1259" i="21" s="1"/>
  <c r="J1259" i="21"/>
  <c r="N1258" i="21"/>
  <c r="O1258" i="21" s="1"/>
  <c r="J1258" i="21"/>
  <c r="N1257" i="21"/>
  <c r="O1257" i="21" s="1"/>
  <c r="J1257" i="21"/>
  <c r="N1256" i="21"/>
  <c r="O1256" i="21" s="1"/>
  <c r="J1256" i="21"/>
  <c r="N1255" i="21"/>
  <c r="O1255" i="21" s="1"/>
  <c r="J1255" i="21"/>
  <c r="N1254" i="21"/>
  <c r="O1254" i="21" s="1"/>
  <c r="J1254" i="21"/>
  <c r="N1253" i="21"/>
  <c r="O1253" i="21" s="1"/>
  <c r="J1253" i="21"/>
  <c r="N1252" i="21"/>
  <c r="O1252" i="21" s="1"/>
  <c r="J1252" i="21"/>
  <c r="N1251" i="21"/>
  <c r="O1251" i="21" s="1"/>
  <c r="J1251" i="21"/>
  <c r="N1250" i="21"/>
  <c r="O1250" i="21" s="1"/>
  <c r="J1250" i="21"/>
  <c r="N1249" i="21"/>
  <c r="O1249" i="21" s="1"/>
  <c r="J1249" i="21"/>
  <c r="N1248" i="21"/>
  <c r="O1248" i="21" s="1"/>
  <c r="J1248" i="21"/>
  <c r="N1247" i="21"/>
  <c r="O1247" i="21" s="1"/>
  <c r="J1247" i="21"/>
  <c r="N1246" i="21"/>
  <c r="O1246" i="21" s="1"/>
  <c r="J1246" i="21"/>
  <c r="N1245" i="21"/>
  <c r="O1245" i="21" s="1"/>
  <c r="J1245" i="21"/>
  <c r="N1244" i="21"/>
  <c r="O1244" i="21" s="1"/>
  <c r="J1244" i="21"/>
  <c r="N1243" i="21"/>
  <c r="O1243" i="21" s="1"/>
  <c r="J1243" i="21"/>
  <c r="N1242" i="21"/>
  <c r="O1242" i="21" s="1"/>
  <c r="J1242" i="21"/>
  <c r="N1241" i="21"/>
  <c r="O1241" i="21" s="1"/>
  <c r="J1241" i="21"/>
  <c r="N1240" i="21"/>
  <c r="O1240" i="21" s="1"/>
  <c r="J1240" i="21"/>
  <c r="N1239" i="21"/>
  <c r="O1239" i="21" s="1"/>
  <c r="J1239" i="21"/>
  <c r="N1238" i="21"/>
  <c r="O1238" i="21" s="1"/>
  <c r="J1238" i="21"/>
  <c r="N1237" i="21"/>
  <c r="O1237" i="21" s="1"/>
  <c r="J1237" i="21"/>
  <c r="N1236" i="21"/>
  <c r="O1236" i="21" s="1"/>
  <c r="J1236" i="21"/>
  <c r="N1235" i="21"/>
  <c r="O1235" i="21" s="1"/>
  <c r="J1235" i="21"/>
  <c r="N1234" i="21"/>
  <c r="O1234" i="21" s="1"/>
  <c r="J1234" i="21"/>
  <c r="N1233" i="21"/>
  <c r="O1233" i="21" s="1"/>
  <c r="J1233" i="21"/>
  <c r="N1232" i="21"/>
  <c r="O1232" i="21" s="1"/>
  <c r="J1232" i="21"/>
  <c r="N1231" i="21"/>
  <c r="O1231" i="21" s="1"/>
  <c r="J1231" i="21"/>
  <c r="N1230" i="21"/>
  <c r="O1230" i="21" s="1"/>
  <c r="J1230" i="21"/>
  <c r="N1229" i="21"/>
  <c r="O1229" i="21" s="1"/>
  <c r="J1229" i="21"/>
  <c r="N1228" i="21"/>
  <c r="O1228" i="21" s="1"/>
  <c r="J1228" i="21"/>
  <c r="N1227" i="21"/>
  <c r="O1227" i="21" s="1"/>
  <c r="J1227" i="21"/>
  <c r="N1226" i="21"/>
  <c r="O1226" i="21" s="1"/>
  <c r="J1226" i="21"/>
  <c r="N1225" i="21"/>
  <c r="O1225" i="21" s="1"/>
  <c r="J1225" i="21"/>
  <c r="N1224" i="21"/>
  <c r="O1224" i="21" s="1"/>
  <c r="J1224" i="21"/>
  <c r="N1223" i="21"/>
  <c r="O1223" i="21" s="1"/>
  <c r="J1223" i="21"/>
  <c r="N1222" i="21"/>
  <c r="O1222" i="21" s="1"/>
  <c r="J1222" i="21"/>
  <c r="N1221" i="21"/>
  <c r="O1221" i="21" s="1"/>
  <c r="J1221" i="21"/>
  <c r="N1220" i="21"/>
  <c r="O1220" i="21" s="1"/>
  <c r="J1220" i="21"/>
  <c r="N1219" i="21"/>
  <c r="O1219" i="21" s="1"/>
  <c r="J1219" i="21"/>
  <c r="N1218" i="21"/>
  <c r="O1218" i="21" s="1"/>
  <c r="J1218" i="21"/>
  <c r="N1217" i="21"/>
  <c r="O1217" i="21" s="1"/>
  <c r="J1217" i="21"/>
  <c r="N1216" i="21"/>
  <c r="O1216" i="21" s="1"/>
  <c r="J1216" i="21"/>
  <c r="N1215" i="21"/>
  <c r="O1215" i="21" s="1"/>
  <c r="J1215" i="21"/>
  <c r="N1214" i="21"/>
  <c r="O1214" i="21" s="1"/>
  <c r="J1214" i="21"/>
  <c r="N1213" i="21"/>
  <c r="O1213" i="21" s="1"/>
  <c r="J1213" i="21"/>
  <c r="N1212" i="21"/>
  <c r="O1212" i="21" s="1"/>
  <c r="J1212" i="21"/>
  <c r="N1211" i="21"/>
  <c r="O1211" i="21" s="1"/>
  <c r="J1211" i="21"/>
  <c r="N1210" i="21"/>
  <c r="O1210" i="21" s="1"/>
  <c r="J1210" i="21"/>
  <c r="N1209" i="21"/>
  <c r="O1209" i="21" s="1"/>
  <c r="J1209" i="21"/>
  <c r="N1208" i="21"/>
  <c r="O1208" i="21" s="1"/>
  <c r="J1208" i="21"/>
  <c r="N1207" i="21"/>
  <c r="O1207" i="21" s="1"/>
  <c r="J1207" i="21"/>
  <c r="N1206" i="21"/>
  <c r="O1206" i="21" s="1"/>
  <c r="J1206" i="21"/>
  <c r="N1205" i="21"/>
  <c r="O1205" i="21" s="1"/>
  <c r="J1205" i="21"/>
  <c r="N1204" i="21"/>
  <c r="O1204" i="21" s="1"/>
  <c r="J1204" i="21"/>
  <c r="N1203" i="21"/>
  <c r="O1203" i="21" s="1"/>
  <c r="J1203" i="21"/>
  <c r="N1202" i="21"/>
  <c r="O1202" i="21" s="1"/>
  <c r="J1202" i="21"/>
  <c r="N1201" i="21"/>
  <c r="O1201" i="21" s="1"/>
  <c r="J1201" i="21"/>
  <c r="N1200" i="21"/>
  <c r="O1200" i="21" s="1"/>
  <c r="J1200" i="21"/>
  <c r="N1199" i="21"/>
  <c r="O1199" i="21" s="1"/>
  <c r="J1199" i="21"/>
  <c r="N1198" i="21"/>
  <c r="O1198" i="21" s="1"/>
  <c r="J1198" i="21"/>
  <c r="N1197" i="21"/>
  <c r="O1197" i="21" s="1"/>
  <c r="J1197" i="21"/>
  <c r="N1196" i="21"/>
  <c r="O1196" i="21" s="1"/>
  <c r="J1196" i="21"/>
  <c r="N1195" i="21"/>
  <c r="O1195" i="21" s="1"/>
  <c r="J1195" i="21"/>
  <c r="N1194" i="21"/>
  <c r="O1194" i="21" s="1"/>
  <c r="J1194" i="21"/>
  <c r="N1193" i="21"/>
  <c r="O1193" i="21" s="1"/>
  <c r="J1193" i="21"/>
  <c r="N1192" i="21"/>
  <c r="O1192" i="21" s="1"/>
  <c r="J1192" i="21"/>
  <c r="N1191" i="21"/>
  <c r="O1191" i="21" s="1"/>
  <c r="J1191" i="21"/>
  <c r="N1190" i="21"/>
  <c r="O1190" i="21" s="1"/>
  <c r="J1190" i="21"/>
  <c r="N1189" i="21"/>
  <c r="O1189" i="21" s="1"/>
  <c r="J1189" i="21"/>
  <c r="N1188" i="21"/>
  <c r="O1188" i="21" s="1"/>
  <c r="J1188" i="21"/>
  <c r="N1187" i="21"/>
  <c r="O1187" i="21" s="1"/>
  <c r="J1187" i="21"/>
  <c r="N1186" i="21"/>
  <c r="O1186" i="21" s="1"/>
  <c r="J1186" i="21"/>
  <c r="N1185" i="21"/>
  <c r="O1185" i="21" s="1"/>
  <c r="J1185" i="21"/>
  <c r="N1184" i="21"/>
  <c r="O1184" i="21" s="1"/>
  <c r="J1184" i="21"/>
  <c r="N1183" i="21"/>
  <c r="O1183" i="21" s="1"/>
  <c r="J1183" i="21"/>
  <c r="N1182" i="21"/>
  <c r="O1182" i="21" s="1"/>
  <c r="J1182" i="21"/>
  <c r="N1181" i="21"/>
  <c r="O1181" i="21" s="1"/>
  <c r="J1181" i="21"/>
  <c r="N1180" i="21"/>
  <c r="O1180" i="21" s="1"/>
  <c r="J1180" i="21"/>
  <c r="N1179" i="21"/>
  <c r="O1179" i="21" s="1"/>
  <c r="J1179" i="21"/>
  <c r="N1178" i="21"/>
  <c r="O1178" i="21" s="1"/>
  <c r="J1178" i="21"/>
  <c r="N1177" i="21"/>
  <c r="O1177" i="21" s="1"/>
  <c r="J1177" i="21"/>
  <c r="N1176" i="21"/>
  <c r="O1176" i="21" s="1"/>
  <c r="J1176" i="21"/>
  <c r="N1175" i="21"/>
  <c r="O1175" i="21" s="1"/>
  <c r="J1175" i="21"/>
  <c r="N1174" i="21"/>
  <c r="O1174" i="21" s="1"/>
  <c r="J1174" i="21"/>
  <c r="N1173" i="21"/>
  <c r="O1173" i="21" s="1"/>
  <c r="J1173" i="21"/>
  <c r="N1172" i="21"/>
  <c r="O1172" i="21" s="1"/>
  <c r="J1172" i="21"/>
  <c r="N1171" i="21"/>
  <c r="O1171" i="21" s="1"/>
  <c r="J1171" i="21"/>
  <c r="N1170" i="21"/>
  <c r="O1170" i="21" s="1"/>
  <c r="J1170" i="21"/>
  <c r="N1169" i="21"/>
  <c r="O1169" i="21" s="1"/>
  <c r="J1169" i="21"/>
  <c r="N1168" i="21"/>
  <c r="O1168" i="21" s="1"/>
  <c r="J1168" i="21"/>
  <c r="N1167" i="21"/>
  <c r="O1167" i="21" s="1"/>
  <c r="J1167" i="21"/>
  <c r="N1166" i="21"/>
  <c r="O1166" i="21" s="1"/>
  <c r="J1166" i="21"/>
  <c r="N1165" i="21"/>
  <c r="O1165" i="21" s="1"/>
  <c r="J1165" i="21"/>
  <c r="N1164" i="21"/>
  <c r="O1164" i="21" s="1"/>
  <c r="J1164" i="21"/>
  <c r="N1163" i="21"/>
  <c r="O1163" i="21" s="1"/>
  <c r="J1163" i="21"/>
  <c r="N1162" i="21"/>
  <c r="O1162" i="21" s="1"/>
  <c r="J1162" i="21"/>
  <c r="N1161" i="21"/>
  <c r="O1161" i="21" s="1"/>
  <c r="J1161" i="21"/>
  <c r="N1160" i="21"/>
  <c r="O1160" i="21" s="1"/>
  <c r="J1160" i="21"/>
  <c r="N1159" i="21"/>
  <c r="O1159" i="21" s="1"/>
  <c r="J1159" i="21"/>
  <c r="N1158" i="21"/>
  <c r="O1158" i="21" s="1"/>
  <c r="J1158" i="21"/>
  <c r="N1157" i="21"/>
  <c r="O1157" i="21" s="1"/>
  <c r="J1157" i="21"/>
  <c r="N1156" i="21"/>
  <c r="O1156" i="21" s="1"/>
  <c r="J1156" i="21"/>
  <c r="N1155" i="21"/>
  <c r="O1155" i="21" s="1"/>
  <c r="J1155" i="21"/>
  <c r="N1154" i="21"/>
  <c r="O1154" i="21" s="1"/>
  <c r="J1154" i="21"/>
  <c r="N1153" i="21"/>
  <c r="O1153" i="21" s="1"/>
  <c r="J1153" i="21"/>
  <c r="N1152" i="21"/>
  <c r="O1152" i="21" s="1"/>
  <c r="J1152" i="21"/>
  <c r="N1151" i="21"/>
  <c r="O1151" i="21" s="1"/>
  <c r="J1151" i="21"/>
  <c r="N1150" i="21"/>
  <c r="O1150" i="21" s="1"/>
  <c r="J1150" i="21"/>
  <c r="N1149" i="21"/>
  <c r="O1149" i="21" s="1"/>
  <c r="J1149" i="21"/>
  <c r="N1148" i="21"/>
  <c r="O1148" i="21" s="1"/>
  <c r="J1148" i="21"/>
  <c r="N1147" i="21"/>
  <c r="O1147" i="21" s="1"/>
  <c r="J1147" i="21"/>
  <c r="N1146" i="21"/>
  <c r="O1146" i="21" s="1"/>
  <c r="J1146" i="21"/>
  <c r="N1145" i="21"/>
  <c r="O1145" i="21" s="1"/>
  <c r="J1145" i="21"/>
  <c r="N1144" i="21"/>
  <c r="O1144" i="21" s="1"/>
  <c r="J1144" i="21"/>
  <c r="N1143" i="21"/>
  <c r="O1143" i="21" s="1"/>
  <c r="J1143" i="21"/>
  <c r="N1142" i="21"/>
  <c r="O1142" i="21" s="1"/>
  <c r="J1142" i="21"/>
  <c r="N1141" i="21"/>
  <c r="O1141" i="21" s="1"/>
  <c r="J1141" i="21"/>
  <c r="N1140" i="21"/>
  <c r="O1140" i="21" s="1"/>
  <c r="J1140" i="21"/>
  <c r="N1139" i="21"/>
  <c r="O1139" i="21" s="1"/>
  <c r="J1139" i="21"/>
  <c r="N1138" i="21"/>
  <c r="O1138" i="21" s="1"/>
  <c r="J1138" i="21"/>
  <c r="N1137" i="21"/>
  <c r="O1137" i="21" s="1"/>
  <c r="J1137" i="21"/>
  <c r="N1136" i="21"/>
  <c r="O1136" i="21" s="1"/>
  <c r="J1136" i="21"/>
  <c r="N1135" i="21"/>
  <c r="O1135" i="21" s="1"/>
  <c r="J1135" i="21"/>
  <c r="N1134" i="21"/>
  <c r="O1134" i="21" s="1"/>
  <c r="J1134" i="21"/>
  <c r="N1133" i="21"/>
  <c r="O1133" i="21" s="1"/>
  <c r="J1133" i="21"/>
  <c r="N1132" i="21"/>
  <c r="O1132" i="21" s="1"/>
  <c r="J1132" i="21"/>
  <c r="N1131" i="21"/>
  <c r="O1131" i="21" s="1"/>
  <c r="J1131" i="21"/>
  <c r="N1130" i="21"/>
  <c r="O1130" i="21" s="1"/>
  <c r="J1130" i="21"/>
  <c r="N1129" i="21"/>
  <c r="O1129" i="21" s="1"/>
  <c r="J1129" i="21"/>
  <c r="N1128" i="21"/>
  <c r="O1128" i="21" s="1"/>
  <c r="J1128" i="21"/>
  <c r="N1127" i="21"/>
  <c r="O1127" i="21" s="1"/>
  <c r="J1127" i="21"/>
  <c r="N1126" i="21"/>
  <c r="O1126" i="21" s="1"/>
  <c r="J1126" i="21"/>
  <c r="N1125" i="21"/>
  <c r="O1125" i="21" s="1"/>
  <c r="J1125" i="21"/>
  <c r="N1124" i="21"/>
  <c r="O1124" i="21" s="1"/>
  <c r="J1124" i="21"/>
  <c r="N1123" i="21"/>
  <c r="O1123" i="21" s="1"/>
  <c r="J1123" i="21"/>
  <c r="N1122" i="21"/>
  <c r="O1122" i="21" s="1"/>
  <c r="J1122" i="21"/>
  <c r="N1121" i="21"/>
  <c r="O1121" i="21" s="1"/>
  <c r="J1121" i="21"/>
  <c r="N1120" i="21"/>
  <c r="O1120" i="21" s="1"/>
  <c r="J1120" i="21"/>
  <c r="N1119" i="21"/>
  <c r="O1119" i="21" s="1"/>
  <c r="J1119" i="21"/>
  <c r="N1118" i="21"/>
  <c r="O1118" i="21" s="1"/>
  <c r="J1118" i="21"/>
  <c r="N1117" i="21"/>
  <c r="O1117" i="21" s="1"/>
  <c r="J1117" i="21"/>
  <c r="N1116" i="21"/>
  <c r="O1116" i="21" s="1"/>
  <c r="J1116" i="21"/>
  <c r="N1115" i="21"/>
  <c r="O1115" i="21" s="1"/>
  <c r="J1115" i="21"/>
  <c r="N1114" i="21"/>
  <c r="O1114" i="21" s="1"/>
  <c r="J1114" i="21"/>
  <c r="N1113" i="21"/>
  <c r="O1113" i="21" s="1"/>
  <c r="J1113" i="21"/>
  <c r="N1112" i="21"/>
  <c r="O1112" i="21" s="1"/>
  <c r="J1112" i="21"/>
  <c r="N1111" i="21"/>
  <c r="O1111" i="21" s="1"/>
  <c r="J1111" i="21"/>
  <c r="N1110" i="21"/>
  <c r="O1110" i="21" s="1"/>
  <c r="J1110" i="21"/>
  <c r="N1109" i="21"/>
  <c r="O1109" i="21" s="1"/>
  <c r="J1109" i="21"/>
  <c r="N1108" i="21"/>
  <c r="O1108" i="21" s="1"/>
  <c r="J1108" i="21"/>
  <c r="N1107" i="21"/>
  <c r="O1107" i="21" s="1"/>
  <c r="J1107" i="21"/>
  <c r="N1106" i="21"/>
  <c r="O1106" i="21" s="1"/>
  <c r="J1106" i="21"/>
  <c r="N1105" i="21"/>
  <c r="O1105" i="21" s="1"/>
  <c r="J1105" i="21"/>
  <c r="N1104" i="21"/>
  <c r="O1104" i="21" s="1"/>
  <c r="J1104" i="21"/>
  <c r="N1103" i="21"/>
  <c r="O1103" i="21" s="1"/>
  <c r="J1103" i="21"/>
  <c r="N1102" i="21"/>
  <c r="O1102" i="21" s="1"/>
  <c r="J1102" i="21"/>
  <c r="N1101" i="21"/>
  <c r="O1101" i="21" s="1"/>
  <c r="J1101" i="21"/>
  <c r="N1100" i="21"/>
  <c r="O1100" i="21" s="1"/>
  <c r="J1100" i="21"/>
  <c r="N1099" i="21"/>
  <c r="O1099" i="21" s="1"/>
  <c r="J1099" i="21"/>
  <c r="N1098" i="21"/>
  <c r="O1098" i="21" s="1"/>
  <c r="J1098" i="21"/>
  <c r="N1097" i="21"/>
  <c r="O1097" i="21" s="1"/>
  <c r="J1097" i="21"/>
  <c r="N1096" i="21"/>
  <c r="O1096" i="21" s="1"/>
  <c r="J1096" i="21"/>
  <c r="N1095" i="21"/>
  <c r="O1095" i="21" s="1"/>
  <c r="J1095" i="21"/>
  <c r="N1094" i="21"/>
  <c r="O1094" i="21" s="1"/>
  <c r="J1094" i="21"/>
  <c r="N1093" i="21"/>
  <c r="O1093" i="21" s="1"/>
  <c r="J1093" i="21"/>
  <c r="N1092" i="21"/>
  <c r="O1092" i="21" s="1"/>
  <c r="J1092" i="21"/>
  <c r="N1091" i="21"/>
  <c r="O1091" i="21" s="1"/>
  <c r="J1091" i="21"/>
  <c r="N1090" i="21"/>
  <c r="O1090" i="21" s="1"/>
  <c r="J1090" i="21"/>
  <c r="N1089" i="21"/>
  <c r="O1089" i="21" s="1"/>
  <c r="J1089" i="21"/>
  <c r="N1088" i="21"/>
  <c r="O1088" i="21" s="1"/>
  <c r="J1088" i="21"/>
  <c r="N1087" i="21"/>
  <c r="O1087" i="21" s="1"/>
  <c r="J1087" i="21"/>
  <c r="N1086" i="21"/>
  <c r="O1086" i="21" s="1"/>
  <c r="J1086" i="21"/>
  <c r="N1085" i="21"/>
  <c r="O1085" i="21" s="1"/>
  <c r="J1085" i="21"/>
  <c r="N1084" i="21"/>
  <c r="O1084" i="21" s="1"/>
  <c r="J1084" i="21"/>
  <c r="N1083" i="21"/>
  <c r="O1083" i="21" s="1"/>
  <c r="J1083" i="21"/>
  <c r="N1082" i="21"/>
  <c r="O1082" i="21" s="1"/>
  <c r="J1082" i="21"/>
  <c r="N1081" i="21"/>
  <c r="O1081" i="21" s="1"/>
  <c r="J1081" i="21"/>
  <c r="N1080" i="21"/>
  <c r="O1080" i="21" s="1"/>
  <c r="J1080" i="21"/>
  <c r="N1079" i="21"/>
  <c r="O1079" i="21" s="1"/>
  <c r="J1079" i="21"/>
  <c r="N1078" i="21"/>
  <c r="O1078" i="21" s="1"/>
  <c r="J1078" i="21"/>
  <c r="N1077" i="21"/>
  <c r="O1077" i="21" s="1"/>
  <c r="J1077" i="21"/>
  <c r="N1076" i="21"/>
  <c r="O1076" i="21" s="1"/>
  <c r="J1076" i="21"/>
  <c r="N1075" i="21"/>
  <c r="O1075" i="21" s="1"/>
  <c r="J1075" i="21"/>
  <c r="N1074" i="21"/>
  <c r="O1074" i="21" s="1"/>
  <c r="J1074" i="21"/>
  <c r="N1073" i="21"/>
  <c r="O1073" i="21" s="1"/>
  <c r="J1073" i="21"/>
  <c r="N1072" i="21"/>
  <c r="O1072" i="21" s="1"/>
  <c r="J1072" i="21"/>
  <c r="N1071" i="21"/>
  <c r="O1071" i="21" s="1"/>
  <c r="J1071" i="21"/>
  <c r="N1070" i="21"/>
  <c r="O1070" i="21" s="1"/>
  <c r="J1070" i="21"/>
  <c r="N1069" i="21"/>
  <c r="O1069" i="21" s="1"/>
  <c r="J1069" i="21"/>
  <c r="N1068" i="21"/>
  <c r="O1068" i="21" s="1"/>
  <c r="J1068" i="21"/>
  <c r="N1067" i="21"/>
  <c r="O1067" i="21" s="1"/>
  <c r="J1067" i="21"/>
  <c r="N1066" i="21"/>
  <c r="O1066" i="21" s="1"/>
  <c r="J1066" i="21"/>
  <c r="N1065" i="21"/>
  <c r="O1065" i="21" s="1"/>
  <c r="J1065" i="21"/>
  <c r="N1064" i="21"/>
  <c r="O1064" i="21" s="1"/>
  <c r="J1064" i="21"/>
  <c r="N1063" i="21"/>
  <c r="O1063" i="21" s="1"/>
  <c r="J1063" i="21"/>
  <c r="N1062" i="21"/>
  <c r="O1062" i="21" s="1"/>
  <c r="J1062" i="21"/>
  <c r="N1061" i="21"/>
  <c r="O1061" i="21" s="1"/>
  <c r="J1061" i="21"/>
  <c r="N1060" i="21"/>
  <c r="O1060" i="21" s="1"/>
  <c r="J1060" i="21"/>
  <c r="N1059" i="21"/>
  <c r="O1059" i="21" s="1"/>
  <c r="J1059" i="21"/>
  <c r="N1058" i="21"/>
  <c r="O1058" i="21" s="1"/>
  <c r="J1058" i="21"/>
  <c r="N1057" i="21"/>
  <c r="O1057" i="21" s="1"/>
  <c r="J1057" i="21"/>
  <c r="N1056" i="21"/>
  <c r="O1056" i="21" s="1"/>
  <c r="J1056" i="21"/>
  <c r="N1055" i="21"/>
  <c r="O1055" i="21" s="1"/>
  <c r="J1055" i="21"/>
  <c r="N1054" i="21"/>
  <c r="O1054" i="21" s="1"/>
  <c r="J1054" i="21"/>
  <c r="N1053" i="21"/>
  <c r="O1053" i="21" s="1"/>
  <c r="J1053" i="21"/>
  <c r="N1052" i="21"/>
  <c r="O1052" i="21" s="1"/>
  <c r="J1052" i="21"/>
  <c r="N1051" i="21"/>
  <c r="O1051" i="21" s="1"/>
  <c r="J1051" i="21"/>
  <c r="N1050" i="21"/>
  <c r="O1050" i="21" s="1"/>
  <c r="J1050" i="21"/>
  <c r="N1049" i="21"/>
  <c r="O1049" i="21" s="1"/>
  <c r="J1049" i="21"/>
  <c r="N1048" i="21"/>
  <c r="O1048" i="21" s="1"/>
  <c r="J1048" i="21"/>
  <c r="N1047" i="21"/>
  <c r="O1047" i="21" s="1"/>
  <c r="J1047" i="21"/>
  <c r="N1046" i="21"/>
  <c r="O1046" i="21" s="1"/>
  <c r="J1046" i="21"/>
  <c r="N1045" i="21"/>
  <c r="O1045" i="21" s="1"/>
  <c r="J1045" i="21"/>
  <c r="N1044" i="21"/>
  <c r="O1044" i="21" s="1"/>
  <c r="J1044" i="21"/>
  <c r="N1043" i="21"/>
  <c r="O1043" i="21" s="1"/>
  <c r="J1043" i="21"/>
  <c r="N1042" i="21"/>
  <c r="O1042" i="21" s="1"/>
  <c r="J1042" i="21"/>
  <c r="N1041" i="21"/>
  <c r="O1041" i="21" s="1"/>
  <c r="J1041" i="21"/>
  <c r="N1040" i="21"/>
  <c r="O1040" i="21" s="1"/>
  <c r="J1040" i="21"/>
  <c r="N1039" i="21"/>
  <c r="O1039" i="21" s="1"/>
  <c r="J1039" i="21"/>
  <c r="N1038" i="21"/>
  <c r="O1038" i="21" s="1"/>
  <c r="J1038" i="21"/>
  <c r="N1037" i="21"/>
  <c r="O1037" i="21" s="1"/>
  <c r="J1037" i="21"/>
  <c r="N1036" i="21"/>
  <c r="O1036" i="21" s="1"/>
  <c r="J1036" i="21"/>
  <c r="N1035" i="21"/>
  <c r="O1035" i="21" s="1"/>
  <c r="J1035" i="21"/>
  <c r="N1034" i="21"/>
  <c r="O1034" i="21" s="1"/>
  <c r="J1034" i="21"/>
  <c r="N1033" i="21"/>
  <c r="O1033" i="21" s="1"/>
  <c r="J1033" i="21"/>
  <c r="N1032" i="21"/>
  <c r="O1032" i="21" s="1"/>
  <c r="J1032" i="21"/>
  <c r="N1031" i="21"/>
  <c r="O1031" i="21" s="1"/>
  <c r="J1031" i="21"/>
  <c r="N1030" i="21"/>
  <c r="O1030" i="21" s="1"/>
  <c r="J1030" i="21"/>
  <c r="N1029" i="21"/>
  <c r="O1029" i="21" s="1"/>
  <c r="J1029" i="21"/>
  <c r="N1028" i="21"/>
  <c r="O1028" i="21" s="1"/>
  <c r="J1028" i="21"/>
  <c r="N1027" i="21"/>
  <c r="O1027" i="21" s="1"/>
  <c r="J1027" i="21"/>
  <c r="N1026" i="21"/>
  <c r="O1026" i="21" s="1"/>
  <c r="J1026" i="21"/>
  <c r="N1025" i="21"/>
  <c r="O1025" i="21" s="1"/>
  <c r="J1025" i="21"/>
  <c r="N1024" i="21"/>
  <c r="O1024" i="21" s="1"/>
  <c r="J1024" i="21"/>
  <c r="N1023" i="21"/>
  <c r="O1023" i="21" s="1"/>
  <c r="J1023" i="21"/>
  <c r="N1022" i="21"/>
  <c r="O1022" i="21" s="1"/>
  <c r="J1022" i="21"/>
  <c r="N1021" i="21"/>
  <c r="O1021" i="21" s="1"/>
  <c r="J1021" i="21"/>
  <c r="N1020" i="21"/>
  <c r="O1020" i="21" s="1"/>
  <c r="J1020" i="21"/>
  <c r="N1019" i="21"/>
  <c r="O1019" i="21" s="1"/>
  <c r="J1019" i="21"/>
  <c r="N1018" i="21"/>
  <c r="O1018" i="21" s="1"/>
  <c r="J1018" i="21"/>
  <c r="N1017" i="21"/>
  <c r="O1017" i="21" s="1"/>
  <c r="J1017" i="21"/>
  <c r="N1016" i="21"/>
  <c r="O1016" i="21" s="1"/>
  <c r="J1016" i="21"/>
  <c r="N1015" i="21"/>
  <c r="O1015" i="21" s="1"/>
  <c r="J1015" i="21"/>
  <c r="N1014" i="21"/>
  <c r="O1014" i="21" s="1"/>
  <c r="J1014" i="21"/>
  <c r="N1013" i="21"/>
  <c r="O1013" i="21" s="1"/>
  <c r="J1013" i="21"/>
  <c r="N1012" i="21"/>
  <c r="O1012" i="21" s="1"/>
  <c r="J1012" i="21"/>
  <c r="N1011" i="21"/>
  <c r="O1011" i="21" s="1"/>
  <c r="J1011" i="21"/>
  <c r="N1010" i="21"/>
  <c r="O1010" i="21" s="1"/>
  <c r="J1010" i="21"/>
  <c r="N1009" i="21"/>
  <c r="O1009" i="21" s="1"/>
  <c r="J1009" i="21"/>
  <c r="N1008" i="21"/>
  <c r="O1008" i="21" s="1"/>
  <c r="J1008" i="21"/>
  <c r="N1007" i="21"/>
  <c r="O1007" i="21" s="1"/>
  <c r="J1007" i="21"/>
  <c r="N1006" i="21"/>
  <c r="O1006" i="21" s="1"/>
  <c r="J1006" i="21"/>
  <c r="N1005" i="21"/>
  <c r="O1005" i="21" s="1"/>
  <c r="J1005" i="21"/>
  <c r="N1004" i="21"/>
  <c r="O1004" i="21" s="1"/>
  <c r="J1004" i="21"/>
  <c r="N1003" i="21"/>
  <c r="O1003" i="21" s="1"/>
  <c r="J1003" i="21"/>
  <c r="N1002" i="21"/>
  <c r="O1002" i="21" s="1"/>
  <c r="J1002" i="21"/>
  <c r="N1001" i="21"/>
  <c r="O1001" i="21" s="1"/>
  <c r="J1001" i="21"/>
  <c r="N1000" i="21"/>
  <c r="O1000" i="21" s="1"/>
  <c r="J1000" i="21"/>
  <c r="N999" i="21"/>
  <c r="O999" i="21" s="1"/>
  <c r="J999" i="21"/>
  <c r="N998" i="21"/>
  <c r="O998" i="21" s="1"/>
  <c r="J998" i="21"/>
  <c r="N997" i="21"/>
  <c r="O997" i="21" s="1"/>
  <c r="J997" i="21"/>
  <c r="N996" i="21"/>
  <c r="O996" i="21" s="1"/>
  <c r="J996" i="21"/>
  <c r="N995" i="21"/>
  <c r="O995" i="21" s="1"/>
  <c r="J995" i="21"/>
  <c r="N994" i="21"/>
  <c r="O994" i="21" s="1"/>
  <c r="J994" i="21"/>
  <c r="N993" i="21"/>
  <c r="O993" i="21" s="1"/>
  <c r="J993" i="21"/>
  <c r="N992" i="21"/>
  <c r="O992" i="21" s="1"/>
  <c r="J992" i="21"/>
  <c r="N991" i="21"/>
  <c r="O991" i="21" s="1"/>
  <c r="J991" i="21"/>
  <c r="N990" i="21"/>
  <c r="O990" i="21" s="1"/>
  <c r="J990" i="21"/>
  <c r="N989" i="21"/>
  <c r="O989" i="21" s="1"/>
  <c r="J989" i="21"/>
  <c r="N988" i="21"/>
  <c r="O988" i="21" s="1"/>
  <c r="J988" i="21"/>
  <c r="N987" i="21"/>
  <c r="O987" i="21" s="1"/>
  <c r="J987" i="21"/>
  <c r="N986" i="21"/>
  <c r="O986" i="21" s="1"/>
  <c r="J986" i="21"/>
  <c r="N985" i="21"/>
  <c r="O985" i="21" s="1"/>
  <c r="J985" i="21"/>
  <c r="N984" i="21"/>
  <c r="O984" i="21" s="1"/>
  <c r="J984" i="21"/>
  <c r="N983" i="21"/>
  <c r="O983" i="21" s="1"/>
  <c r="J983" i="21"/>
  <c r="N982" i="21"/>
  <c r="O982" i="21" s="1"/>
  <c r="J982" i="21"/>
  <c r="N981" i="21"/>
  <c r="O981" i="21" s="1"/>
  <c r="J981" i="21"/>
  <c r="N980" i="21"/>
  <c r="O980" i="21" s="1"/>
  <c r="J980" i="21"/>
  <c r="N979" i="21"/>
  <c r="O979" i="21" s="1"/>
  <c r="J979" i="21"/>
  <c r="N978" i="21"/>
  <c r="O978" i="21" s="1"/>
  <c r="J978" i="21"/>
  <c r="N977" i="21"/>
  <c r="O977" i="21" s="1"/>
  <c r="J977" i="21"/>
  <c r="N976" i="21"/>
  <c r="O976" i="21" s="1"/>
  <c r="J976" i="21"/>
  <c r="N975" i="21"/>
  <c r="O975" i="21" s="1"/>
  <c r="J975" i="21"/>
  <c r="N974" i="21"/>
  <c r="O974" i="21" s="1"/>
  <c r="J974" i="21"/>
  <c r="N973" i="21"/>
  <c r="O973" i="21" s="1"/>
  <c r="J973" i="21"/>
  <c r="N972" i="21"/>
  <c r="O972" i="21" s="1"/>
  <c r="J972" i="21"/>
  <c r="N971" i="21"/>
  <c r="O971" i="21" s="1"/>
  <c r="J971" i="21"/>
  <c r="N970" i="21"/>
  <c r="O970" i="21" s="1"/>
  <c r="J970" i="21"/>
  <c r="N969" i="21"/>
  <c r="O969" i="21" s="1"/>
  <c r="J969" i="21"/>
  <c r="N968" i="21"/>
  <c r="O968" i="21" s="1"/>
  <c r="J968" i="21"/>
  <c r="N967" i="21"/>
  <c r="O967" i="21" s="1"/>
  <c r="J967" i="21"/>
  <c r="N966" i="21"/>
  <c r="O966" i="21" s="1"/>
  <c r="J966" i="21"/>
  <c r="N965" i="21"/>
  <c r="O965" i="21" s="1"/>
  <c r="J965" i="21"/>
  <c r="N964" i="21"/>
  <c r="O964" i="21" s="1"/>
  <c r="J964" i="21"/>
  <c r="N963" i="21"/>
  <c r="O963" i="21" s="1"/>
  <c r="J963" i="21"/>
  <c r="N962" i="21"/>
  <c r="O962" i="21" s="1"/>
  <c r="J962" i="21"/>
  <c r="N961" i="21"/>
  <c r="O961" i="21" s="1"/>
  <c r="J961" i="21"/>
  <c r="N960" i="21"/>
  <c r="O960" i="21" s="1"/>
  <c r="J960" i="21"/>
  <c r="N959" i="21"/>
  <c r="O959" i="21" s="1"/>
  <c r="J959" i="21"/>
  <c r="N958" i="21"/>
  <c r="O958" i="21" s="1"/>
  <c r="J958" i="21"/>
  <c r="N957" i="21"/>
  <c r="O957" i="21" s="1"/>
  <c r="J957" i="21"/>
  <c r="N956" i="21"/>
  <c r="O956" i="21" s="1"/>
  <c r="J956" i="21"/>
  <c r="N955" i="21"/>
  <c r="O955" i="21" s="1"/>
  <c r="J955" i="21"/>
  <c r="N954" i="21"/>
  <c r="O954" i="21" s="1"/>
  <c r="J954" i="21"/>
  <c r="N953" i="21"/>
  <c r="O953" i="21" s="1"/>
  <c r="J953" i="21"/>
  <c r="N952" i="21"/>
  <c r="O952" i="21" s="1"/>
  <c r="J952" i="21"/>
  <c r="N951" i="21"/>
  <c r="O951" i="21" s="1"/>
  <c r="J951" i="21"/>
  <c r="N950" i="21"/>
  <c r="O950" i="21" s="1"/>
  <c r="J950" i="21"/>
  <c r="N949" i="21"/>
  <c r="O949" i="21" s="1"/>
  <c r="J949" i="21"/>
  <c r="N948" i="21"/>
  <c r="O948" i="21" s="1"/>
  <c r="J948" i="21"/>
  <c r="N947" i="21"/>
  <c r="O947" i="21" s="1"/>
  <c r="J947" i="21"/>
  <c r="N946" i="21"/>
  <c r="O946" i="21" s="1"/>
  <c r="J946" i="21"/>
  <c r="N945" i="21"/>
  <c r="O945" i="21" s="1"/>
  <c r="J945" i="21"/>
  <c r="N944" i="21"/>
  <c r="O944" i="21" s="1"/>
  <c r="J944" i="21"/>
  <c r="N943" i="21"/>
  <c r="O943" i="21" s="1"/>
  <c r="J943" i="21"/>
  <c r="N942" i="21"/>
  <c r="O942" i="21" s="1"/>
  <c r="J942" i="21"/>
  <c r="N941" i="21"/>
  <c r="O941" i="21" s="1"/>
  <c r="J941" i="21"/>
  <c r="N940" i="21"/>
  <c r="O940" i="21" s="1"/>
  <c r="J940" i="21"/>
  <c r="N939" i="21"/>
  <c r="O939" i="21" s="1"/>
  <c r="J939" i="21"/>
  <c r="N938" i="21"/>
  <c r="O938" i="21" s="1"/>
  <c r="J938" i="21"/>
  <c r="N937" i="21"/>
  <c r="O937" i="21" s="1"/>
  <c r="J937" i="21"/>
  <c r="N936" i="21"/>
  <c r="O936" i="21" s="1"/>
  <c r="J936" i="21"/>
  <c r="N935" i="21"/>
  <c r="O935" i="21" s="1"/>
  <c r="J935" i="21"/>
  <c r="N934" i="21"/>
  <c r="O934" i="21" s="1"/>
  <c r="J934" i="21"/>
  <c r="N933" i="21"/>
  <c r="O933" i="21" s="1"/>
  <c r="J933" i="21"/>
  <c r="N932" i="21"/>
  <c r="O932" i="21" s="1"/>
  <c r="J932" i="21"/>
  <c r="N931" i="21"/>
  <c r="O931" i="21" s="1"/>
  <c r="J931" i="21"/>
  <c r="N930" i="21"/>
  <c r="O930" i="21" s="1"/>
  <c r="J930" i="21"/>
  <c r="N929" i="21"/>
  <c r="O929" i="21" s="1"/>
  <c r="J929" i="21"/>
  <c r="N928" i="21"/>
  <c r="O928" i="21" s="1"/>
  <c r="J928" i="21"/>
  <c r="N927" i="21"/>
  <c r="O927" i="21" s="1"/>
  <c r="J927" i="21"/>
  <c r="N926" i="21"/>
  <c r="O926" i="21" s="1"/>
  <c r="J926" i="21"/>
  <c r="N925" i="21"/>
  <c r="O925" i="21" s="1"/>
  <c r="J925" i="21"/>
  <c r="N924" i="21"/>
  <c r="O924" i="21" s="1"/>
  <c r="J924" i="21"/>
  <c r="N923" i="21"/>
  <c r="O923" i="21" s="1"/>
  <c r="J923" i="21"/>
  <c r="N922" i="21"/>
  <c r="O922" i="21" s="1"/>
  <c r="J922" i="21"/>
  <c r="N921" i="21"/>
  <c r="O921" i="21" s="1"/>
  <c r="J921" i="21"/>
  <c r="N920" i="21"/>
  <c r="O920" i="21" s="1"/>
  <c r="J920" i="21"/>
  <c r="N919" i="21"/>
  <c r="O919" i="21" s="1"/>
  <c r="J919" i="21"/>
  <c r="N918" i="21"/>
  <c r="O918" i="21" s="1"/>
  <c r="J918" i="21"/>
  <c r="N917" i="21"/>
  <c r="O917" i="21" s="1"/>
  <c r="J917" i="21"/>
  <c r="N916" i="21"/>
  <c r="O916" i="21" s="1"/>
  <c r="J916" i="21"/>
  <c r="N915" i="21"/>
  <c r="O915" i="21" s="1"/>
  <c r="J915" i="21"/>
  <c r="N914" i="21"/>
  <c r="O914" i="21" s="1"/>
  <c r="J914" i="21"/>
  <c r="N913" i="21"/>
  <c r="O913" i="21" s="1"/>
  <c r="J913" i="21"/>
  <c r="N912" i="21"/>
  <c r="O912" i="21" s="1"/>
  <c r="J912" i="21"/>
  <c r="N911" i="21"/>
  <c r="O911" i="21" s="1"/>
  <c r="J911" i="21"/>
  <c r="N910" i="21"/>
  <c r="O910" i="21" s="1"/>
  <c r="J910" i="21"/>
  <c r="N909" i="21"/>
  <c r="O909" i="21" s="1"/>
  <c r="J909" i="21"/>
  <c r="N908" i="21"/>
  <c r="O908" i="21" s="1"/>
  <c r="J908" i="21"/>
  <c r="N907" i="21"/>
  <c r="O907" i="21" s="1"/>
  <c r="J907" i="21"/>
  <c r="N906" i="21"/>
  <c r="O906" i="21" s="1"/>
  <c r="J906" i="21"/>
  <c r="N905" i="21"/>
  <c r="O905" i="21" s="1"/>
  <c r="J905" i="21"/>
  <c r="N904" i="21"/>
  <c r="O904" i="21" s="1"/>
  <c r="J904" i="21"/>
  <c r="N903" i="21"/>
  <c r="O903" i="21" s="1"/>
  <c r="J903" i="21"/>
  <c r="N902" i="21"/>
  <c r="O902" i="21" s="1"/>
  <c r="J902" i="21"/>
  <c r="N901" i="21"/>
  <c r="O901" i="21" s="1"/>
  <c r="J901" i="21"/>
  <c r="N900" i="21"/>
  <c r="O900" i="21" s="1"/>
  <c r="J900" i="21"/>
  <c r="N899" i="21"/>
  <c r="O899" i="21" s="1"/>
  <c r="J899" i="21"/>
  <c r="N898" i="21"/>
  <c r="O898" i="21" s="1"/>
  <c r="J898" i="21"/>
  <c r="N897" i="21"/>
  <c r="O897" i="21" s="1"/>
  <c r="J897" i="21"/>
  <c r="N896" i="21"/>
  <c r="O896" i="21" s="1"/>
  <c r="J896" i="21"/>
  <c r="N895" i="21"/>
  <c r="O895" i="21" s="1"/>
  <c r="J895" i="21"/>
  <c r="N894" i="21"/>
  <c r="O894" i="21" s="1"/>
  <c r="J894" i="21"/>
  <c r="N893" i="21"/>
  <c r="O893" i="21" s="1"/>
  <c r="J893" i="21"/>
  <c r="N892" i="21"/>
  <c r="O892" i="21" s="1"/>
  <c r="J892" i="21"/>
  <c r="N891" i="21"/>
  <c r="O891" i="21" s="1"/>
  <c r="J891" i="21"/>
  <c r="N890" i="21"/>
  <c r="O890" i="21" s="1"/>
  <c r="J890" i="21"/>
  <c r="N889" i="21"/>
  <c r="O889" i="21" s="1"/>
  <c r="J889" i="21"/>
  <c r="N888" i="21"/>
  <c r="O888" i="21" s="1"/>
  <c r="J888" i="21"/>
  <c r="N887" i="21"/>
  <c r="O887" i="21" s="1"/>
  <c r="J887" i="21"/>
  <c r="N886" i="21"/>
  <c r="O886" i="21" s="1"/>
  <c r="J886" i="21"/>
  <c r="N885" i="21"/>
  <c r="O885" i="21" s="1"/>
  <c r="J885" i="21"/>
  <c r="N884" i="21"/>
  <c r="O884" i="21" s="1"/>
  <c r="J884" i="21"/>
  <c r="N883" i="21"/>
  <c r="O883" i="21" s="1"/>
  <c r="J883" i="21"/>
  <c r="N882" i="21"/>
  <c r="O882" i="21" s="1"/>
  <c r="J882" i="21"/>
  <c r="N881" i="21"/>
  <c r="O881" i="21" s="1"/>
  <c r="J881" i="21"/>
  <c r="N880" i="21"/>
  <c r="O880" i="21" s="1"/>
  <c r="J880" i="21"/>
  <c r="N879" i="21"/>
  <c r="O879" i="21" s="1"/>
  <c r="J879" i="21"/>
  <c r="N878" i="21"/>
  <c r="O878" i="21" s="1"/>
  <c r="J878" i="21"/>
  <c r="N877" i="21"/>
  <c r="O877" i="21" s="1"/>
  <c r="J877" i="21"/>
  <c r="N876" i="21"/>
  <c r="O876" i="21" s="1"/>
  <c r="J876" i="21"/>
  <c r="N875" i="21"/>
  <c r="O875" i="21" s="1"/>
  <c r="J875" i="21"/>
  <c r="N874" i="21"/>
  <c r="O874" i="21" s="1"/>
  <c r="J874" i="21"/>
  <c r="N873" i="21"/>
  <c r="O873" i="21" s="1"/>
  <c r="J873" i="21"/>
  <c r="N872" i="21"/>
  <c r="O872" i="21" s="1"/>
  <c r="J872" i="21"/>
  <c r="N871" i="21"/>
  <c r="O871" i="21" s="1"/>
  <c r="J871" i="21"/>
  <c r="N870" i="21"/>
  <c r="O870" i="21" s="1"/>
  <c r="J870" i="21"/>
  <c r="N869" i="21"/>
  <c r="O869" i="21" s="1"/>
  <c r="J869" i="21"/>
  <c r="N868" i="21"/>
  <c r="O868" i="21" s="1"/>
  <c r="J868" i="21"/>
  <c r="N867" i="21"/>
  <c r="O867" i="21" s="1"/>
  <c r="J867" i="21"/>
  <c r="N866" i="21"/>
  <c r="O866" i="21" s="1"/>
  <c r="J866" i="21"/>
  <c r="N865" i="21"/>
  <c r="O865" i="21" s="1"/>
  <c r="J865" i="21"/>
  <c r="N864" i="21"/>
  <c r="O864" i="21" s="1"/>
  <c r="J864" i="21"/>
  <c r="N863" i="21"/>
  <c r="O863" i="21" s="1"/>
  <c r="J863" i="21"/>
  <c r="N862" i="21"/>
  <c r="O862" i="21" s="1"/>
  <c r="J862" i="21"/>
  <c r="N861" i="21"/>
  <c r="O861" i="21" s="1"/>
  <c r="J861" i="21"/>
  <c r="N860" i="21"/>
  <c r="O860" i="21" s="1"/>
  <c r="J860" i="21"/>
  <c r="N859" i="21"/>
  <c r="O859" i="21" s="1"/>
  <c r="J859" i="21"/>
  <c r="N858" i="21"/>
  <c r="O858" i="21" s="1"/>
  <c r="J858" i="21"/>
  <c r="N857" i="21"/>
  <c r="O857" i="21" s="1"/>
  <c r="J857" i="21"/>
  <c r="N856" i="21"/>
  <c r="O856" i="21" s="1"/>
  <c r="J856" i="21"/>
  <c r="N855" i="21"/>
  <c r="O855" i="21" s="1"/>
  <c r="J855" i="21"/>
  <c r="N854" i="21"/>
  <c r="O854" i="21" s="1"/>
  <c r="J854" i="21"/>
  <c r="N853" i="21"/>
  <c r="O853" i="21" s="1"/>
  <c r="J853" i="21"/>
  <c r="N852" i="21"/>
  <c r="O852" i="21" s="1"/>
  <c r="J852" i="21"/>
  <c r="N851" i="21"/>
  <c r="O851" i="21" s="1"/>
  <c r="J851" i="21"/>
  <c r="N850" i="21"/>
  <c r="O850" i="21" s="1"/>
  <c r="J850" i="21"/>
  <c r="N849" i="21"/>
  <c r="O849" i="21" s="1"/>
  <c r="J849" i="21"/>
  <c r="N848" i="21"/>
  <c r="O848" i="21" s="1"/>
  <c r="J848" i="21"/>
  <c r="N847" i="21"/>
  <c r="O847" i="21" s="1"/>
  <c r="J847" i="21"/>
  <c r="N846" i="21"/>
  <c r="O846" i="21" s="1"/>
  <c r="J846" i="21"/>
  <c r="N845" i="21"/>
  <c r="O845" i="21" s="1"/>
  <c r="J845" i="21"/>
  <c r="N844" i="21"/>
  <c r="O844" i="21" s="1"/>
  <c r="J844" i="21"/>
  <c r="N843" i="21"/>
  <c r="O843" i="21" s="1"/>
  <c r="J843" i="21"/>
  <c r="N842" i="21"/>
  <c r="O842" i="21" s="1"/>
  <c r="J842" i="21"/>
  <c r="N841" i="21"/>
  <c r="O841" i="21" s="1"/>
  <c r="J841" i="21"/>
  <c r="N840" i="21"/>
  <c r="O840" i="21" s="1"/>
  <c r="J840" i="21"/>
  <c r="N839" i="21"/>
  <c r="O839" i="21" s="1"/>
  <c r="J839" i="21"/>
  <c r="N838" i="21"/>
  <c r="O838" i="21" s="1"/>
  <c r="J838" i="21"/>
  <c r="N837" i="21"/>
  <c r="O837" i="21" s="1"/>
  <c r="J837" i="21"/>
  <c r="N836" i="21"/>
  <c r="O836" i="21" s="1"/>
  <c r="J836" i="21"/>
  <c r="N835" i="21"/>
  <c r="O835" i="21" s="1"/>
  <c r="J835" i="21"/>
  <c r="N834" i="21"/>
  <c r="O834" i="21" s="1"/>
  <c r="J834" i="21"/>
  <c r="N833" i="21"/>
  <c r="O833" i="21" s="1"/>
  <c r="J833" i="21"/>
  <c r="N832" i="21"/>
  <c r="O832" i="21" s="1"/>
  <c r="J832" i="21"/>
  <c r="N831" i="21"/>
  <c r="O831" i="21" s="1"/>
  <c r="J831" i="21"/>
  <c r="N830" i="21"/>
  <c r="O830" i="21" s="1"/>
  <c r="J830" i="21"/>
  <c r="N829" i="21"/>
  <c r="O829" i="21" s="1"/>
  <c r="J829" i="21"/>
  <c r="N828" i="21"/>
  <c r="O828" i="21" s="1"/>
  <c r="J828" i="21"/>
  <c r="N827" i="21"/>
  <c r="O827" i="21" s="1"/>
  <c r="J827" i="21"/>
  <c r="N826" i="21"/>
  <c r="O826" i="21" s="1"/>
  <c r="J826" i="21"/>
  <c r="N825" i="21"/>
  <c r="O825" i="21" s="1"/>
  <c r="J825" i="21"/>
  <c r="N824" i="21"/>
  <c r="O824" i="21" s="1"/>
  <c r="J824" i="21"/>
  <c r="N823" i="21"/>
  <c r="O823" i="21" s="1"/>
  <c r="J823" i="21"/>
  <c r="N822" i="21"/>
  <c r="O822" i="21" s="1"/>
  <c r="J822" i="21"/>
  <c r="N821" i="21"/>
  <c r="O821" i="21" s="1"/>
  <c r="J821" i="21"/>
  <c r="N820" i="21"/>
  <c r="O820" i="21" s="1"/>
  <c r="J820" i="21"/>
  <c r="N819" i="21"/>
  <c r="O819" i="21" s="1"/>
  <c r="J819" i="21"/>
  <c r="N818" i="21"/>
  <c r="O818" i="21" s="1"/>
  <c r="J818" i="21"/>
  <c r="N817" i="21"/>
  <c r="O817" i="21" s="1"/>
  <c r="J817" i="21"/>
  <c r="N816" i="21"/>
  <c r="O816" i="21" s="1"/>
  <c r="J816" i="21"/>
  <c r="N815" i="21"/>
  <c r="O815" i="21" s="1"/>
  <c r="J815" i="21"/>
  <c r="N814" i="21"/>
  <c r="O814" i="21" s="1"/>
  <c r="J814" i="21"/>
  <c r="N813" i="21"/>
  <c r="O813" i="21" s="1"/>
  <c r="J813" i="21"/>
  <c r="N812" i="21"/>
  <c r="O812" i="21" s="1"/>
  <c r="J812" i="21"/>
  <c r="N811" i="21"/>
  <c r="O811" i="21" s="1"/>
  <c r="J811" i="21"/>
  <c r="N810" i="21"/>
  <c r="O810" i="21" s="1"/>
  <c r="J810" i="21"/>
  <c r="N809" i="21"/>
  <c r="O809" i="21" s="1"/>
  <c r="J809" i="21"/>
  <c r="N808" i="21"/>
  <c r="O808" i="21" s="1"/>
  <c r="J808" i="21"/>
  <c r="N807" i="21"/>
  <c r="O807" i="21" s="1"/>
  <c r="J807" i="21"/>
  <c r="N806" i="21"/>
  <c r="O806" i="21" s="1"/>
  <c r="J806" i="21"/>
  <c r="N805" i="21"/>
  <c r="O805" i="21" s="1"/>
  <c r="J805" i="21"/>
  <c r="N804" i="21"/>
  <c r="O804" i="21" s="1"/>
  <c r="J804" i="21"/>
  <c r="N803" i="21"/>
  <c r="O803" i="21" s="1"/>
  <c r="J803" i="21"/>
  <c r="N802" i="21"/>
  <c r="O802" i="21" s="1"/>
  <c r="J802" i="21"/>
  <c r="N801" i="21"/>
  <c r="O801" i="21" s="1"/>
  <c r="J801" i="21"/>
  <c r="N800" i="21"/>
  <c r="O800" i="21" s="1"/>
  <c r="J800" i="21"/>
  <c r="N799" i="21"/>
  <c r="O799" i="21" s="1"/>
  <c r="J799" i="21"/>
  <c r="N798" i="21"/>
  <c r="O798" i="21" s="1"/>
  <c r="J798" i="21"/>
  <c r="N797" i="21"/>
  <c r="O797" i="21" s="1"/>
  <c r="J797" i="21"/>
  <c r="N796" i="21"/>
  <c r="O796" i="21" s="1"/>
  <c r="J796" i="21"/>
  <c r="N795" i="21"/>
  <c r="O795" i="21" s="1"/>
  <c r="J795" i="21"/>
  <c r="N794" i="21"/>
  <c r="O794" i="21" s="1"/>
  <c r="J794" i="21"/>
  <c r="N793" i="21"/>
  <c r="O793" i="21" s="1"/>
  <c r="J793" i="21"/>
  <c r="N792" i="21"/>
  <c r="O792" i="21" s="1"/>
  <c r="J792" i="21"/>
  <c r="N791" i="21"/>
  <c r="O791" i="21" s="1"/>
  <c r="J791" i="21"/>
  <c r="N790" i="21"/>
  <c r="O790" i="21" s="1"/>
  <c r="J790" i="21"/>
  <c r="N789" i="21"/>
  <c r="O789" i="21" s="1"/>
  <c r="J789" i="21"/>
  <c r="N788" i="21"/>
  <c r="O788" i="21" s="1"/>
  <c r="J788" i="21"/>
  <c r="N787" i="21"/>
  <c r="O787" i="21" s="1"/>
  <c r="J787" i="21"/>
  <c r="N786" i="21"/>
  <c r="O786" i="21" s="1"/>
  <c r="J786" i="21"/>
  <c r="N785" i="21"/>
  <c r="O785" i="21" s="1"/>
  <c r="J785" i="21"/>
  <c r="N784" i="21"/>
  <c r="O784" i="21" s="1"/>
  <c r="J784" i="21"/>
  <c r="N783" i="21"/>
  <c r="O783" i="21" s="1"/>
  <c r="J783" i="21"/>
  <c r="N782" i="21"/>
  <c r="O782" i="21" s="1"/>
  <c r="J782" i="21"/>
  <c r="N781" i="21"/>
  <c r="O781" i="21" s="1"/>
  <c r="J781" i="21"/>
  <c r="N780" i="21"/>
  <c r="O780" i="21" s="1"/>
  <c r="J780" i="21"/>
  <c r="N779" i="21"/>
  <c r="O779" i="21" s="1"/>
  <c r="J779" i="21"/>
  <c r="N778" i="21"/>
  <c r="O778" i="21" s="1"/>
  <c r="J778" i="21"/>
  <c r="N777" i="21"/>
  <c r="O777" i="21" s="1"/>
  <c r="J777" i="21"/>
  <c r="N776" i="21"/>
  <c r="O776" i="21" s="1"/>
  <c r="J776" i="21"/>
  <c r="N775" i="21"/>
  <c r="O775" i="21" s="1"/>
  <c r="J775" i="21"/>
  <c r="N774" i="21"/>
  <c r="O774" i="21" s="1"/>
  <c r="J774" i="21"/>
  <c r="N773" i="21"/>
  <c r="O773" i="21" s="1"/>
  <c r="J773" i="21"/>
  <c r="N772" i="21"/>
  <c r="O772" i="21" s="1"/>
  <c r="J772" i="21"/>
  <c r="N771" i="21"/>
  <c r="O771" i="21" s="1"/>
  <c r="J771" i="21"/>
  <c r="N770" i="21"/>
  <c r="O770" i="21" s="1"/>
  <c r="J770" i="21"/>
  <c r="N769" i="21"/>
  <c r="O769" i="21" s="1"/>
  <c r="J769" i="21"/>
  <c r="N768" i="21"/>
  <c r="O768" i="21" s="1"/>
  <c r="J768" i="21"/>
  <c r="N767" i="21"/>
  <c r="O767" i="21" s="1"/>
  <c r="J767" i="21"/>
  <c r="N766" i="21"/>
  <c r="O766" i="21" s="1"/>
  <c r="J766" i="21"/>
  <c r="N765" i="21"/>
  <c r="O765" i="21" s="1"/>
  <c r="J765" i="21"/>
  <c r="N764" i="21"/>
  <c r="O764" i="21" s="1"/>
  <c r="J764" i="21"/>
  <c r="N763" i="21"/>
  <c r="O763" i="21" s="1"/>
  <c r="J763" i="21"/>
  <c r="N762" i="21"/>
  <c r="O762" i="21" s="1"/>
  <c r="J762" i="21"/>
  <c r="N761" i="21"/>
  <c r="O761" i="21" s="1"/>
  <c r="J761" i="21"/>
  <c r="N760" i="21"/>
  <c r="O760" i="21" s="1"/>
  <c r="J760" i="21"/>
  <c r="N759" i="21"/>
  <c r="O759" i="21" s="1"/>
  <c r="J759" i="21"/>
  <c r="N758" i="21"/>
  <c r="O758" i="21" s="1"/>
  <c r="J758" i="21"/>
  <c r="N757" i="21"/>
  <c r="O757" i="21" s="1"/>
  <c r="J757" i="21"/>
  <c r="N756" i="21"/>
  <c r="O756" i="21" s="1"/>
  <c r="J756" i="21"/>
  <c r="N755" i="21"/>
  <c r="O755" i="21" s="1"/>
  <c r="J755" i="21"/>
  <c r="N754" i="21"/>
  <c r="O754" i="21" s="1"/>
  <c r="J754" i="21"/>
  <c r="N753" i="21"/>
  <c r="O753" i="21" s="1"/>
  <c r="J753" i="21"/>
  <c r="N752" i="21"/>
  <c r="O752" i="21" s="1"/>
  <c r="J752" i="21"/>
  <c r="N751" i="21"/>
  <c r="O751" i="21" s="1"/>
  <c r="J751" i="21"/>
  <c r="N750" i="21"/>
  <c r="O750" i="21" s="1"/>
  <c r="J750" i="21"/>
  <c r="N749" i="21"/>
  <c r="O749" i="21" s="1"/>
  <c r="J749" i="21"/>
  <c r="N748" i="21"/>
  <c r="O748" i="21" s="1"/>
  <c r="J748" i="21"/>
  <c r="N747" i="21"/>
  <c r="O747" i="21" s="1"/>
  <c r="J747" i="21"/>
  <c r="N746" i="21"/>
  <c r="O746" i="21" s="1"/>
  <c r="J746" i="21"/>
  <c r="N745" i="21"/>
  <c r="O745" i="21" s="1"/>
  <c r="J745" i="21"/>
  <c r="N744" i="21"/>
  <c r="O744" i="21" s="1"/>
  <c r="J744" i="21"/>
  <c r="N743" i="21"/>
  <c r="O743" i="21" s="1"/>
  <c r="J743" i="21"/>
  <c r="N742" i="21"/>
  <c r="O742" i="21" s="1"/>
  <c r="J742" i="21"/>
  <c r="N741" i="21"/>
  <c r="O741" i="21" s="1"/>
  <c r="J741" i="21"/>
  <c r="N740" i="21"/>
  <c r="O740" i="21" s="1"/>
  <c r="J740" i="21"/>
  <c r="N739" i="21"/>
  <c r="O739" i="21" s="1"/>
  <c r="J739" i="21"/>
  <c r="N738" i="21"/>
  <c r="O738" i="21" s="1"/>
  <c r="J738" i="21"/>
  <c r="N737" i="21"/>
  <c r="O737" i="21" s="1"/>
  <c r="J737" i="21"/>
  <c r="N736" i="21"/>
  <c r="O736" i="21" s="1"/>
  <c r="J736" i="21"/>
  <c r="N735" i="21"/>
  <c r="O735" i="21" s="1"/>
  <c r="J735" i="21"/>
  <c r="N734" i="21"/>
  <c r="O734" i="21" s="1"/>
  <c r="J734" i="21"/>
  <c r="N733" i="21"/>
  <c r="O733" i="21" s="1"/>
  <c r="J733" i="21"/>
  <c r="N732" i="21"/>
  <c r="O732" i="21" s="1"/>
  <c r="J732" i="21"/>
  <c r="N731" i="21"/>
  <c r="O731" i="21" s="1"/>
  <c r="J731" i="21"/>
  <c r="N730" i="21"/>
  <c r="O730" i="21" s="1"/>
  <c r="J730" i="21"/>
  <c r="N729" i="21"/>
  <c r="O729" i="21" s="1"/>
  <c r="J729" i="21"/>
  <c r="N728" i="21"/>
  <c r="O728" i="21" s="1"/>
  <c r="J728" i="21"/>
  <c r="N727" i="21"/>
  <c r="O727" i="21" s="1"/>
  <c r="J727" i="21"/>
  <c r="N726" i="21"/>
  <c r="O726" i="21" s="1"/>
  <c r="J726" i="21"/>
  <c r="N725" i="21"/>
  <c r="O725" i="21" s="1"/>
  <c r="J725" i="21"/>
  <c r="N724" i="21"/>
  <c r="O724" i="21" s="1"/>
  <c r="J724" i="21"/>
  <c r="N723" i="21"/>
  <c r="O723" i="21" s="1"/>
  <c r="J723" i="21"/>
  <c r="N722" i="21"/>
  <c r="O722" i="21" s="1"/>
  <c r="J722" i="21"/>
  <c r="N721" i="21"/>
  <c r="O721" i="21" s="1"/>
  <c r="J721" i="21"/>
  <c r="N720" i="21"/>
  <c r="O720" i="21" s="1"/>
  <c r="J720" i="21"/>
  <c r="N719" i="21"/>
  <c r="O719" i="21" s="1"/>
  <c r="J719" i="21"/>
  <c r="N718" i="21"/>
  <c r="O718" i="21" s="1"/>
  <c r="J718" i="21"/>
  <c r="N717" i="21"/>
  <c r="O717" i="21" s="1"/>
  <c r="J717" i="21"/>
  <c r="N716" i="21"/>
  <c r="O716" i="21" s="1"/>
  <c r="J716" i="21"/>
  <c r="N715" i="21"/>
  <c r="O715" i="21" s="1"/>
  <c r="J715" i="21"/>
  <c r="N714" i="21"/>
  <c r="O714" i="21" s="1"/>
  <c r="J714" i="21"/>
  <c r="N713" i="21"/>
  <c r="O713" i="21" s="1"/>
  <c r="J713" i="21"/>
  <c r="N712" i="21"/>
  <c r="O712" i="21" s="1"/>
  <c r="J712" i="21"/>
  <c r="N711" i="21"/>
  <c r="O711" i="21" s="1"/>
  <c r="J711" i="21"/>
  <c r="N710" i="21"/>
  <c r="O710" i="21" s="1"/>
  <c r="J710" i="21"/>
  <c r="N709" i="21"/>
  <c r="O709" i="21" s="1"/>
  <c r="J709" i="21"/>
  <c r="N708" i="21"/>
  <c r="O708" i="21" s="1"/>
  <c r="J708" i="21"/>
  <c r="N707" i="21"/>
  <c r="O707" i="21" s="1"/>
  <c r="J707" i="21"/>
  <c r="N706" i="21"/>
  <c r="O706" i="21" s="1"/>
  <c r="J706" i="21"/>
  <c r="N705" i="21"/>
  <c r="O705" i="21" s="1"/>
  <c r="J705" i="21"/>
  <c r="N704" i="21"/>
  <c r="O704" i="21" s="1"/>
  <c r="J704" i="21"/>
  <c r="N703" i="21"/>
  <c r="O703" i="21" s="1"/>
  <c r="J703" i="21"/>
  <c r="N702" i="21"/>
  <c r="O702" i="21" s="1"/>
  <c r="J702" i="21"/>
  <c r="N701" i="21"/>
  <c r="O701" i="21" s="1"/>
  <c r="J701" i="21"/>
  <c r="N700" i="21"/>
  <c r="O700" i="21" s="1"/>
  <c r="J700" i="21"/>
  <c r="N699" i="21"/>
  <c r="O699" i="21" s="1"/>
  <c r="J699" i="21"/>
  <c r="N698" i="21"/>
  <c r="O698" i="21" s="1"/>
  <c r="J698" i="21"/>
  <c r="N697" i="21"/>
  <c r="O697" i="21" s="1"/>
  <c r="J697" i="21"/>
  <c r="N696" i="21"/>
  <c r="O696" i="21" s="1"/>
  <c r="J696" i="21"/>
  <c r="N695" i="21"/>
  <c r="O695" i="21" s="1"/>
  <c r="J695" i="21"/>
  <c r="N694" i="21"/>
  <c r="O694" i="21" s="1"/>
  <c r="J694" i="21"/>
  <c r="N693" i="21"/>
  <c r="O693" i="21" s="1"/>
  <c r="J693" i="21"/>
  <c r="N692" i="21"/>
  <c r="O692" i="21" s="1"/>
  <c r="J692" i="21"/>
  <c r="N691" i="21"/>
  <c r="O691" i="21" s="1"/>
  <c r="J691" i="21"/>
  <c r="N690" i="21"/>
  <c r="O690" i="21" s="1"/>
  <c r="J690" i="21"/>
  <c r="N689" i="21"/>
  <c r="O689" i="21" s="1"/>
  <c r="J689" i="21"/>
  <c r="N688" i="21"/>
  <c r="O688" i="21" s="1"/>
  <c r="J688" i="21"/>
  <c r="N687" i="21"/>
  <c r="O687" i="21" s="1"/>
  <c r="J687" i="21"/>
  <c r="N686" i="21"/>
  <c r="O686" i="21" s="1"/>
  <c r="J686" i="21"/>
  <c r="N685" i="21"/>
  <c r="O685" i="21" s="1"/>
  <c r="J685" i="21"/>
  <c r="N684" i="21"/>
  <c r="O684" i="21" s="1"/>
  <c r="J684" i="21"/>
  <c r="N683" i="21"/>
  <c r="O683" i="21" s="1"/>
  <c r="J683" i="21"/>
  <c r="N682" i="21"/>
  <c r="O682" i="21" s="1"/>
  <c r="J682" i="21"/>
  <c r="N681" i="21"/>
  <c r="O681" i="21" s="1"/>
  <c r="J681" i="21"/>
  <c r="N680" i="21"/>
  <c r="O680" i="21" s="1"/>
  <c r="J680" i="21"/>
  <c r="N679" i="21"/>
  <c r="O679" i="21" s="1"/>
  <c r="J679" i="21"/>
  <c r="N678" i="21"/>
  <c r="O678" i="21" s="1"/>
  <c r="J678" i="21"/>
  <c r="N677" i="21"/>
  <c r="O677" i="21" s="1"/>
  <c r="J677" i="21"/>
  <c r="N676" i="21"/>
  <c r="O676" i="21" s="1"/>
  <c r="J676" i="21"/>
  <c r="N675" i="21"/>
  <c r="O675" i="21" s="1"/>
  <c r="J675" i="21"/>
  <c r="N674" i="21"/>
  <c r="O674" i="21" s="1"/>
  <c r="J674" i="21"/>
  <c r="N673" i="21"/>
  <c r="O673" i="21" s="1"/>
  <c r="J673" i="21"/>
  <c r="N672" i="21"/>
  <c r="O672" i="21" s="1"/>
  <c r="J672" i="21"/>
  <c r="N671" i="21"/>
  <c r="O671" i="21" s="1"/>
  <c r="J671" i="21"/>
  <c r="N670" i="21"/>
  <c r="O670" i="21" s="1"/>
  <c r="J670" i="21"/>
  <c r="N669" i="21"/>
  <c r="O669" i="21" s="1"/>
  <c r="J669" i="21"/>
  <c r="N668" i="21"/>
  <c r="O668" i="21" s="1"/>
  <c r="J668" i="21"/>
  <c r="N667" i="21"/>
  <c r="O667" i="21" s="1"/>
  <c r="J667" i="21"/>
  <c r="N666" i="21"/>
  <c r="O666" i="21" s="1"/>
  <c r="J666" i="21"/>
  <c r="N665" i="21"/>
  <c r="O665" i="21" s="1"/>
  <c r="J665" i="21"/>
  <c r="N664" i="21"/>
  <c r="O664" i="21" s="1"/>
  <c r="J664" i="21"/>
  <c r="N663" i="21"/>
  <c r="O663" i="21" s="1"/>
  <c r="J663" i="21"/>
  <c r="N662" i="21"/>
  <c r="O662" i="21" s="1"/>
  <c r="J662" i="21"/>
  <c r="N661" i="21"/>
  <c r="O661" i="21" s="1"/>
  <c r="J661" i="21"/>
  <c r="N660" i="21"/>
  <c r="O660" i="21" s="1"/>
  <c r="J660" i="21"/>
  <c r="N659" i="21"/>
  <c r="O659" i="21" s="1"/>
  <c r="J659" i="21"/>
  <c r="N658" i="21"/>
  <c r="O658" i="21" s="1"/>
  <c r="J658" i="21"/>
  <c r="N657" i="21"/>
  <c r="O657" i="21" s="1"/>
  <c r="J657" i="21"/>
  <c r="N656" i="21"/>
  <c r="O656" i="21" s="1"/>
  <c r="J656" i="21"/>
  <c r="N655" i="21"/>
  <c r="O655" i="21" s="1"/>
  <c r="J655" i="21"/>
  <c r="N654" i="21"/>
  <c r="O654" i="21" s="1"/>
  <c r="J654" i="21"/>
  <c r="N653" i="21"/>
  <c r="O653" i="21" s="1"/>
  <c r="J653" i="21"/>
  <c r="N652" i="21"/>
  <c r="O652" i="21" s="1"/>
  <c r="J652" i="21"/>
  <c r="N651" i="21"/>
  <c r="O651" i="21" s="1"/>
  <c r="J651" i="21"/>
  <c r="N650" i="21"/>
  <c r="O650" i="21" s="1"/>
  <c r="J650" i="21"/>
  <c r="N649" i="21"/>
  <c r="O649" i="21" s="1"/>
  <c r="J649" i="21"/>
  <c r="N648" i="21"/>
  <c r="O648" i="21" s="1"/>
  <c r="J648" i="21"/>
  <c r="N647" i="21"/>
  <c r="O647" i="21" s="1"/>
  <c r="J647" i="21"/>
  <c r="N646" i="21"/>
  <c r="O646" i="21" s="1"/>
  <c r="J646" i="21"/>
  <c r="N645" i="21"/>
  <c r="O645" i="21" s="1"/>
  <c r="J645" i="21"/>
  <c r="N644" i="21"/>
  <c r="O644" i="21" s="1"/>
  <c r="J644" i="21"/>
  <c r="N643" i="21"/>
  <c r="O643" i="21" s="1"/>
  <c r="J643" i="21"/>
  <c r="N642" i="21"/>
  <c r="O642" i="21" s="1"/>
  <c r="J642" i="21"/>
  <c r="N641" i="21"/>
  <c r="O641" i="21" s="1"/>
  <c r="J641" i="21"/>
  <c r="N640" i="21"/>
  <c r="O640" i="21" s="1"/>
  <c r="J640" i="21"/>
  <c r="N639" i="21"/>
  <c r="O639" i="21" s="1"/>
  <c r="J639" i="21"/>
  <c r="N638" i="21"/>
  <c r="O638" i="21" s="1"/>
  <c r="J638" i="21"/>
  <c r="N637" i="21"/>
  <c r="O637" i="21" s="1"/>
  <c r="J637" i="21"/>
  <c r="N636" i="21"/>
  <c r="O636" i="21" s="1"/>
  <c r="J636" i="21"/>
  <c r="N635" i="21"/>
  <c r="O635" i="21" s="1"/>
  <c r="J635" i="21"/>
  <c r="N634" i="21"/>
  <c r="O634" i="21" s="1"/>
  <c r="J634" i="21"/>
  <c r="N633" i="21"/>
  <c r="O633" i="21" s="1"/>
  <c r="J633" i="21"/>
  <c r="N632" i="21"/>
  <c r="O632" i="21" s="1"/>
  <c r="J632" i="21"/>
  <c r="N631" i="21"/>
  <c r="O631" i="21" s="1"/>
  <c r="J631" i="21"/>
  <c r="N630" i="21"/>
  <c r="O630" i="21" s="1"/>
  <c r="J630" i="21"/>
  <c r="N629" i="21"/>
  <c r="O629" i="21" s="1"/>
  <c r="J629" i="21"/>
  <c r="N628" i="21"/>
  <c r="O628" i="21" s="1"/>
  <c r="J628" i="21"/>
  <c r="N627" i="21"/>
  <c r="O627" i="21" s="1"/>
  <c r="J627" i="21"/>
  <c r="N626" i="21"/>
  <c r="O626" i="21" s="1"/>
  <c r="J626" i="21"/>
  <c r="N625" i="21"/>
  <c r="O625" i="21" s="1"/>
  <c r="J625" i="21"/>
  <c r="N624" i="21"/>
  <c r="O624" i="21" s="1"/>
  <c r="J624" i="21"/>
  <c r="N623" i="21"/>
  <c r="O623" i="21" s="1"/>
  <c r="J623" i="21"/>
  <c r="N622" i="21"/>
  <c r="O622" i="21" s="1"/>
  <c r="J622" i="21"/>
  <c r="N621" i="21"/>
  <c r="O621" i="21" s="1"/>
  <c r="J621" i="21"/>
  <c r="N620" i="21"/>
  <c r="O620" i="21" s="1"/>
  <c r="J620" i="21"/>
  <c r="N619" i="21"/>
  <c r="O619" i="21" s="1"/>
  <c r="J619" i="21"/>
  <c r="N618" i="21"/>
  <c r="O618" i="21" s="1"/>
  <c r="J618" i="21"/>
  <c r="N617" i="21"/>
  <c r="O617" i="21" s="1"/>
  <c r="J617" i="21"/>
  <c r="N616" i="21"/>
  <c r="O616" i="21" s="1"/>
  <c r="J616" i="21"/>
  <c r="N615" i="21"/>
  <c r="O615" i="21" s="1"/>
  <c r="J615" i="21"/>
  <c r="N614" i="21"/>
  <c r="O614" i="21" s="1"/>
  <c r="J614" i="21"/>
  <c r="N613" i="21"/>
  <c r="O613" i="21" s="1"/>
  <c r="J613" i="21"/>
  <c r="N612" i="21"/>
  <c r="O612" i="21" s="1"/>
  <c r="J612" i="21"/>
  <c r="N611" i="21"/>
  <c r="O611" i="21" s="1"/>
  <c r="J611" i="21"/>
  <c r="N610" i="21"/>
  <c r="O610" i="21" s="1"/>
  <c r="J610" i="21"/>
  <c r="N609" i="21"/>
  <c r="O609" i="21" s="1"/>
  <c r="J609" i="21"/>
  <c r="N608" i="21"/>
  <c r="O608" i="21" s="1"/>
  <c r="J608" i="21"/>
  <c r="N607" i="21"/>
  <c r="O607" i="21" s="1"/>
  <c r="J607" i="21"/>
  <c r="N606" i="21"/>
  <c r="O606" i="21" s="1"/>
  <c r="J606" i="21"/>
  <c r="N605" i="21"/>
  <c r="O605" i="21" s="1"/>
  <c r="J605" i="21"/>
  <c r="N604" i="21"/>
  <c r="O604" i="21" s="1"/>
  <c r="J604" i="21"/>
  <c r="N603" i="21"/>
  <c r="O603" i="21" s="1"/>
  <c r="J603" i="21"/>
  <c r="N602" i="21"/>
  <c r="O602" i="21" s="1"/>
  <c r="J602" i="21"/>
  <c r="N601" i="21"/>
  <c r="O601" i="21" s="1"/>
  <c r="J601" i="21"/>
  <c r="N600" i="21"/>
  <c r="O600" i="21" s="1"/>
  <c r="J600" i="21"/>
  <c r="N599" i="21"/>
  <c r="O599" i="21" s="1"/>
  <c r="J599" i="21"/>
  <c r="N598" i="21"/>
  <c r="O598" i="21" s="1"/>
  <c r="J598" i="21"/>
  <c r="N597" i="21"/>
  <c r="O597" i="21" s="1"/>
  <c r="J597" i="21"/>
  <c r="N596" i="21"/>
  <c r="O596" i="21" s="1"/>
  <c r="J596" i="21"/>
  <c r="N595" i="21"/>
  <c r="O595" i="21" s="1"/>
  <c r="J595" i="21"/>
  <c r="N594" i="21"/>
  <c r="O594" i="21" s="1"/>
  <c r="J594" i="21"/>
  <c r="N593" i="21"/>
  <c r="O593" i="21" s="1"/>
  <c r="J593" i="21"/>
  <c r="N592" i="21"/>
  <c r="O592" i="21" s="1"/>
  <c r="J592" i="21"/>
  <c r="N591" i="21"/>
  <c r="O591" i="21" s="1"/>
  <c r="J591" i="21"/>
  <c r="N590" i="21"/>
  <c r="O590" i="21" s="1"/>
  <c r="J590" i="21"/>
  <c r="N589" i="21"/>
  <c r="O589" i="21" s="1"/>
  <c r="J589" i="21"/>
  <c r="N588" i="21"/>
  <c r="O588" i="21" s="1"/>
  <c r="J588" i="21"/>
  <c r="N587" i="21"/>
  <c r="O587" i="21" s="1"/>
  <c r="J587" i="21"/>
  <c r="N586" i="21"/>
  <c r="O586" i="21" s="1"/>
  <c r="J586" i="21"/>
  <c r="N585" i="21"/>
  <c r="O585" i="21" s="1"/>
  <c r="J585" i="21"/>
  <c r="N584" i="21"/>
  <c r="O584" i="21" s="1"/>
  <c r="J584" i="21"/>
  <c r="N583" i="21"/>
  <c r="O583" i="21" s="1"/>
  <c r="J583" i="21"/>
  <c r="N582" i="21"/>
  <c r="O582" i="21" s="1"/>
  <c r="J582" i="21"/>
  <c r="N581" i="21"/>
  <c r="O581" i="21" s="1"/>
  <c r="J581" i="21"/>
  <c r="N580" i="21"/>
  <c r="O580" i="21" s="1"/>
  <c r="J580" i="21"/>
  <c r="N579" i="21"/>
  <c r="O579" i="21" s="1"/>
  <c r="J579" i="21"/>
  <c r="N578" i="21"/>
  <c r="O578" i="21" s="1"/>
  <c r="J578" i="21"/>
  <c r="N577" i="21"/>
  <c r="O577" i="21" s="1"/>
  <c r="J577" i="21"/>
  <c r="N576" i="21"/>
  <c r="O576" i="21" s="1"/>
  <c r="J576" i="21"/>
  <c r="N575" i="21"/>
  <c r="O575" i="21" s="1"/>
  <c r="J575" i="21"/>
  <c r="N574" i="21"/>
  <c r="O574" i="21" s="1"/>
  <c r="J574" i="21"/>
  <c r="N573" i="21"/>
  <c r="O573" i="21" s="1"/>
  <c r="J573" i="21"/>
  <c r="N572" i="21"/>
  <c r="O572" i="21" s="1"/>
  <c r="J572" i="21"/>
  <c r="N571" i="21"/>
  <c r="O571" i="21" s="1"/>
  <c r="J571" i="21"/>
  <c r="N570" i="21"/>
  <c r="O570" i="21" s="1"/>
  <c r="J570" i="21"/>
  <c r="N569" i="21"/>
  <c r="O569" i="21" s="1"/>
  <c r="J569" i="21"/>
  <c r="N568" i="21"/>
  <c r="O568" i="21" s="1"/>
  <c r="J568" i="21"/>
  <c r="N567" i="21"/>
  <c r="O567" i="21" s="1"/>
  <c r="J567" i="21"/>
  <c r="N566" i="21"/>
  <c r="O566" i="21" s="1"/>
  <c r="J566" i="21"/>
  <c r="N565" i="21"/>
  <c r="O565" i="21" s="1"/>
  <c r="J565" i="21"/>
  <c r="N564" i="21"/>
  <c r="O564" i="21" s="1"/>
  <c r="J564" i="21"/>
  <c r="N563" i="21"/>
  <c r="O563" i="21" s="1"/>
  <c r="J563" i="21"/>
  <c r="N562" i="21"/>
  <c r="O562" i="21" s="1"/>
  <c r="J562" i="21"/>
  <c r="N561" i="21"/>
  <c r="O561" i="21" s="1"/>
  <c r="J561" i="21"/>
  <c r="N560" i="21"/>
  <c r="O560" i="21" s="1"/>
  <c r="J560" i="21"/>
  <c r="N559" i="21"/>
  <c r="O559" i="21" s="1"/>
  <c r="J559" i="21"/>
  <c r="N558" i="21"/>
  <c r="O558" i="21" s="1"/>
  <c r="J558" i="21"/>
  <c r="N557" i="21"/>
  <c r="O557" i="21" s="1"/>
  <c r="J557" i="21"/>
  <c r="N556" i="21"/>
  <c r="O556" i="21" s="1"/>
  <c r="J556" i="21"/>
  <c r="N555" i="21"/>
  <c r="O555" i="21" s="1"/>
  <c r="J555" i="21"/>
  <c r="N554" i="21"/>
  <c r="O554" i="21" s="1"/>
  <c r="J554" i="21"/>
  <c r="N553" i="21"/>
  <c r="O553" i="21" s="1"/>
  <c r="J553" i="21"/>
  <c r="N552" i="21"/>
  <c r="O552" i="21" s="1"/>
  <c r="J552" i="21"/>
  <c r="N551" i="21"/>
  <c r="O551" i="21" s="1"/>
  <c r="J551" i="21"/>
  <c r="N550" i="21"/>
  <c r="O550" i="21" s="1"/>
  <c r="J550" i="21"/>
  <c r="N549" i="21"/>
  <c r="O549" i="21" s="1"/>
  <c r="J549" i="21"/>
  <c r="N548" i="21"/>
  <c r="O548" i="21" s="1"/>
  <c r="J548" i="21"/>
  <c r="N547" i="21"/>
  <c r="O547" i="21" s="1"/>
  <c r="J547" i="21"/>
  <c r="N546" i="21"/>
  <c r="O546" i="21" s="1"/>
  <c r="J546" i="21"/>
  <c r="N545" i="21"/>
  <c r="O545" i="21" s="1"/>
  <c r="J545" i="21"/>
  <c r="N544" i="21"/>
  <c r="O544" i="21" s="1"/>
  <c r="J544" i="21"/>
  <c r="N543" i="21"/>
  <c r="O543" i="21" s="1"/>
  <c r="J543" i="21"/>
  <c r="N542" i="21"/>
  <c r="O542" i="21" s="1"/>
  <c r="J542" i="21"/>
  <c r="N541" i="21"/>
  <c r="O541" i="21" s="1"/>
  <c r="J541" i="21"/>
  <c r="N540" i="21"/>
  <c r="O540" i="21" s="1"/>
  <c r="J540" i="21"/>
  <c r="N539" i="21"/>
  <c r="O539" i="21" s="1"/>
  <c r="J539" i="21"/>
  <c r="N538" i="21"/>
  <c r="O538" i="21" s="1"/>
  <c r="J538" i="21"/>
  <c r="N537" i="21"/>
  <c r="O537" i="21" s="1"/>
  <c r="J537" i="21"/>
  <c r="N536" i="21"/>
  <c r="O536" i="21" s="1"/>
  <c r="J536" i="21"/>
  <c r="N535" i="21"/>
  <c r="O535" i="21" s="1"/>
  <c r="J535" i="21"/>
  <c r="N534" i="21"/>
  <c r="O534" i="21" s="1"/>
  <c r="J534" i="21"/>
  <c r="N533" i="21"/>
  <c r="O533" i="21" s="1"/>
  <c r="J533" i="21"/>
  <c r="N532" i="21"/>
  <c r="O532" i="21" s="1"/>
  <c r="J532" i="21"/>
  <c r="N531" i="21"/>
  <c r="O531" i="21" s="1"/>
  <c r="J531" i="21"/>
  <c r="N530" i="21"/>
  <c r="O530" i="21" s="1"/>
  <c r="J530" i="21"/>
  <c r="N529" i="21"/>
  <c r="O529" i="21" s="1"/>
  <c r="J529" i="21"/>
  <c r="N528" i="21"/>
  <c r="O528" i="21" s="1"/>
  <c r="J528" i="21"/>
  <c r="N527" i="21"/>
  <c r="O527" i="21" s="1"/>
  <c r="J527" i="21"/>
  <c r="N526" i="21"/>
  <c r="O526" i="21" s="1"/>
  <c r="J526" i="21"/>
  <c r="N525" i="21"/>
  <c r="O525" i="21" s="1"/>
  <c r="J525" i="21"/>
  <c r="N524" i="21"/>
  <c r="O524" i="21" s="1"/>
  <c r="J524" i="21"/>
  <c r="N523" i="21"/>
  <c r="O523" i="21" s="1"/>
  <c r="J523" i="21"/>
  <c r="N522" i="21"/>
  <c r="O522" i="21" s="1"/>
  <c r="J522" i="21"/>
  <c r="N521" i="21"/>
  <c r="O521" i="21" s="1"/>
  <c r="J521" i="21"/>
  <c r="N520" i="21"/>
  <c r="O520" i="21" s="1"/>
  <c r="J520" i="21"/>
  <c r="N519" i="21"/>
  <c r="O519" i="21" s="1"/>
  <c r="J519" i="21"/>
  <c r="N518" i="21"/>
  <c r="O518" i="21" s="1"/>
  <c r="J518" i="21"/>
  <c r="N517" i="21"/>
  <c r="O517" i="21" s="1"/>
  <c r="J517" i="21"/>
  <c r="N516" i="21"/>
  <c r="O516" i="21" s="1"/>
  <c r="J516" i="21"/>
  <c r="N515" i="21"/>
  <c r="O515" i="21" s="1"/>
  <c r="J515" i="21"/>
  <c r="N514" i="21"/>
  <c r="O514" i="21" s="1"/>
  <c r="J514" i="21"/>
  <c r="N513" i="21"/>
  <c r="O513" i="21" s="1"/>
  <c r="J513" i="21"/>
  <c r="N512" i="21"/>
  <c r="O512" i="21" s="1"/>
  <c r="J512" i="21"/>
  <c r="N511" i="21"/>
  <c r="O511" i="21" s="1"/>
  <c r="J511" i="21"/>
  <c r="N510" i="21"/>
  <c r="O510" i="21" s="1"/>
  <c r="J510" i="21"/>
  <c r="N509" i="21"/>
  <c r="O509" i="21" s="1"/>
  <c r="J509" i="21"/>
  <c r="N508" i="21"/>
  <c r="O508" i="21" s="1"/>
  <c r="J508" i="21"/>
  <c r="N507" i="21"/>
  <c r="O507" i="21" s="1"/>
  <c r="J507" i="21"/>
  <c r="N506" i="21"/>
  <c r="O506" i="21" s="1"/>
  <c r="J506" i="21"/>
  <c r="N505" i="21"/>
  <c r="O505" i="21" s="1"/>
  <c r="J505" i="21"/>
  <c r="N504" i="21"/>
  <c r="O504" i="21" s="1"/>
  <c r="J504" i="21"/>
  <c r="N503" i="21"/>
  <c r="O503" i="21" s="1"/>
  <c r="J503" i="21"/>
  <c r="N502" i="21"/>
  <c r="O502" i="21" s="1"/>
  <c r="J502" i="21"/>
  <c r="N501" i="21"/>
  <c r="O501" i="21" s="1"/>
  <c r="J501" i="21"/>
  <c r="N500" i="21"/>
  <c r="O500" i="21" s="1"/>
  <c r="J500" i="21"/>
  <c r="N499" i="21"/>
  <c r="O499" i="21" s="1"/>
  <c r="J499" i="21"/>
  <c r="N498" i="21"/>
  <c r="O498" i="21" s="1"/>
  <c r="J498" i="21"/>
  <c r="N497" i="21"/>
  <c r="O497" i="21" s="1"/>
  <c r="J497" i="21"/>
  <c r="N496" i="21"/>
  <c r="O496" i="21" s="1"/>
  <c r="J496" i="21"/>
  <c r="N495" i="21"/>
  <c r="O495" i="21" s="1"/>
  <c r="J495" i="21"/>
  <c r="N494" i="21"/>
  <c r="O494" i="21" s="1"/>
  <c r="J494" i="21"/>
  <c r="N493" i="21"/>
  <c r="O493" i="21" s="1"/>
  <c r="J493" i="21"/>
  <c r="N492" i="21"/>
  <c r="O492" i="21" s="1"/>
  <c r="J492" i="21"/>
  <c r="N491" i="21"/>
  <c r="O491" i="21" s="1"/>
  <c r="J491" i="21"/>
  <c r="N490" i="21"/>
  <c r="O490" i="21" s="1"/>
  <c r="J490" i="21"/>
  <c r="N489" i="21"/>
  <c r="O489" i="21" s="1"/>
  <c r="J489" i="21"/>
  <c r="N488" i="21"/>
  <c r="O488" i="21" s="1"/>
  <c r="J488" i="21"/>
  <c r="N487" i="21"/>
  <c r="O487" i="21" s="1"/>
  <c r="J487" i="21"/>
  <c r="N486" i="21"/>
  <c r="O486" i="21" s="1"/>
  <c r="J486" i="21"/>
  <c r="N485" i="21"/>
  <c r="O485" i="21" s="1"/>
  <c r="J485" i="21"/>
  <c r="N484" i="21"/>
  <c r="O484" i="21" s="1"/>
  <c r="J484" i="21"/>
  <c r="N483" i="21"/>
  <c r="O483" i="21" s="1"/>
  <c r="J483" i="21"/>
  <c r="N482" i="21"/>
  <c r="O482" i="21" s="1"/>
  <c r="J482" i="21"/>
  <c r="N481" i="21"/>
  <c r="O481" i="21" s="1"/>
  <c r="J481" i="21"/>
  <c r="N480" i="21"/>
  <c r="O480" i="21" s="1"/>
  <c r="J480" i="21"/>
  <c r="N479" i="21"/>
  <c r="O479" i="21" s="1"/>
  <c r="J479" i="21"/>
  <c r="N478" i="21"/>
  <c r="O478" i="21" s="1"/>
  <c r="J478" i="21"/>
  <c r="N477" i="21"/>
  <c r="O477" i="21" s="1"/>
  <c r="J477" i="21"/>
  <c r="N476" i="21"/>
  <c r="O476" i="21" s="1"/>
  <c r="J476" i="21"/>
  <c r="N475" i="21"/>
  <c r="O475" i="21" s="1"/>
  <c r="J475" i="21"/>
  <c r="N474" i="21"/>
  <c r="O474" i="21" s="1"/>
  <c r="J474" i="21"/>
  <c r="N473" i="21"/>
  <c r="O473" i="21" s="1"/>
  <c r="J473" i="21"/>
  <c r="N472" i="21"/>
  <c r="O472" i="21" s="1"/>
  <c r="J472" i="21"/>
  <c r="N471" i="21"/>
  <c r="O471" i="21" s="1"/>
  <c r="J471" i="21"/>
  <c r="N470" i="21"/>
  <c r="O470" i="21" s="1"/>
  <c r="J470" i="21"/>
  <c r="N469" i="21"/>
  <c r="O469" i="21" s="1"/>
  <c r="J469" i="21"/>
  <c r="N468" i="21"/>
  <c r="O468" i="21" s="1"/>
  <c r="J468" i="21"/>
  <c r="N467" i="21"/>
  <c r="O467" i="21" s="1"/>
  <c r="J467" i="21"/>
  <c r="N466" i="21"/>
  <c r="O466" i="21" s="1"/>
  <c r="J466" i="21"/>
  <c r="N465" i="21"/>
  <c r="O465" i="21" s="1"/>
  <c r="J465" i="21"/>
  <c r="N464" i="21"/>
  <c r="O464" i="21" s="1"/>
  <c r="J464" i="21"/>
  <c r="N463" i="21"/>
  <c r="O463" i="21" s="1"/>
  <c r="J463" i="21"/>
  <c r="N462" i="21"/>
  <c r="O462" i="21" s="1"/>
  <c r="J462" i="21"/>
  <c r="N461" i="21"/>
  <c r="O461" i="21" s="1"/>
  <c r="J461" i="21"/>
  <c r="N460" i="21"/>
  <c r="O460" i="21" s="1"/>
  <c r="J460" i="21"/>
  <c r="N459" i="21"/>
  <c r="O459" i="21" s="1"/>
  <c r="J459" i="21"/>
  <c r="N458" i="21"/>
  <c r="O458" i="21" s="1"/>
  <c r="J458" i="21"/>
  <c r="N457" i="21"/>
  <c r="O457" i="21" s="1"/>
  <c r="J457" i="21"/>
  <c r="N456" i="21"/>
  <c r="O456" i="21" s="1"/>
  <c r="J456" i="21"/>
  <c r="N455" i="21"/>
  <c r="O455" i="21" s="1"/>
  <c r="J455" i="21"/>
  <c r="N454" i="21"/>
  <c r="O454" i="21" s="1"/>
  <c r="J454" i="21"/>
  <c r="N453" i="21"/>
  <c r="O453" i="21" s="1"/>
  <c r="J453" i="21"/>
  <c r="N452" i="21"/>
  <c r="O452" i="21" s="1"/>
  <c r="J452" i="21"/>
  <c r="N451" i="21"/>
  <c r="O451" i="21" s="1"/>
  <c r="J451" i="21"/>
  <c r="N450" i="21"/>
  <c r="O450" i="21" s="1"/>
  <c r="J450" i="21"/>
  <c r="N449" i="21"/>
  <c r="O449" i="21" s="1"/>
  <c r="J449" i="21"/>
  <c r="N448" i="21"/>
  <c r="O448" i="21" s="1"/>
  <c r="J448" i="21"/>
  <c r="N447" i="21"/>
  <c r="O447" i="21" s="1"/>
  <c r="J447" i="21"/>
  <c r="N446" i="21"/>
  <c r="O446" i="21" s="1"/>
  <c r="J446" i="21"/>
  <c r="N445" i="21"/>
  <c r="O445" i="21" s="1"/>
  <c r="J445" i="21"/>
  <c r="N444" i="21"/>
  <c r="O444" i="21" s="1"/>
  <c r="J444" i="21"/>
  <c r="N443" i="21"/>
  <c r="O443" i="21" s="1"/>
  <c r="J443" i="21"/>
  <c r="N442" i="21"/>
  <c r="O442" i="21" s="1"/>
  <c r="J442" i="21"/>
  <c r="N441" i="21"/>
  <c r="O441" i="21" s="1"/>
  <c r="J441" i="21"/>
  <c r="N440" i="21"/>
  <c r="O440" i="21" s="1"/>
  <c r="J440" i="21"/>
  <c r="N439" i="21"/>
  <c r="O439" i="21" s="1"/>
  <c r="J439" i="21"/>
  <c r="N438" i="21"/>
  <c r="O438" i="21" s="1"/>
  <c r="J438" i="21"/>
  <c r="N437" i="21"/>
  <c r="O437" i="21" s="1"/>
  <c r="J437" i="21"/>
  <c r="N436" i="21"/>
  <c r="O436" i="21" s="1"/>
  <c r="J436" i="21"/>
  <c r="N435" i="21"/>
  <c r="O435" i="21" s="1"/>
  <c r="J435" i="21"/>
  <c r="N434" i="21"/>
  <c r="O434" i="21" s="1"/>
  <c r="J434" i="21"/>
  <c r="N433" i="21"/>
  <c r="O433" i="21" s="1"/>
  <c r="J433" i="21"/>
  <c r="N432" i="21"/>
  <c r="O432" i="21" s="1"/>
  <c r="J432" i="21"/>
  <c r="N431" i="21"/>
  <c r="O431" i="21" s="1"/>
  <c r="J431" i="21"/>
  <c r="N430" i="21"/>
  <c r="O430" i="21" s="1"/>
  <c r="J430" i="21"/>
  <c r="N429" i="21"/>
  <c r="O429" i="21" s="1"/>
  <c r="J429" i="21"/>
  <c r="N428" i="21"/>
  <c r="O428" i="21" s="1"/>
  <c r="J428" i="21"/>
  <c r="N427" i="21"/>
  <c r="O427" i="21" s="1"/>
  <c r="J427" i="21"/>
  <c r="N426" i="21"/>
  <c r="O426" i="21" s="1"/>
  <c r="J426" i="21"/>
  <c r="N425" i="21"/>
  <c r="O425" i="21" s="1"/>
  <c r="J425" i="21"/>
  <c r="N424" i="21"/>
  <c r="O424" i="21" s="1"/>
  <c r="J424" i="21"/>
  <c r="N423" i="21"/>
  <c r="O423" i="21" s="1"/>
  <c r="J423" i="21"/>
  <c r="N422" i="21"/>
  <c r="O422" i="21" s="1"/>
  <c r="J422" i="21"/>
  <c r="N421" i="21"/>
  <c r="O421" i="21" s="1"/>
  <c r="J421" i="21"/>
  <c r="N420" i="21"/>
  <c r="O420" i="21" s="1"/>
  <c r="J420" i="21"/>
  <c r="N419" i="21"/>
  <c r="O419" i="21" s="1"/>
  <c r="J419" i="21"/>
  <c r="N418" i="21"/>
  <c r="O418" i="21" s="1"/>
  <c r="J418" i="21"/>
  <c r="N417" i="21"/>
  <c r="O417" i="21" s="1"/>
  <c r="J417" i="21"/>
  <c r="N416" i="21"/>
  <c r="O416" i="21" s="1"/>
  <c r="J416" i="21"/>
  <c r="N415" i="21"/>
  <c r="O415" i="21" s="1"/>
  <c r="J415" i="21"/>
  <c r="N414" i="21"/>
  <c r="O414" i="21" s="1"/>
  <c r="J414" i="21"/>
  <c r="N413" i="21"/>
  <c r="O413" i="21" s="1"/>
  <c r="J413" i="21"/>
  <c r="N412" i="21"/>
  <c r="O412" i="21" s="1"/>
  <c r="J412" i="21"/>
  <c r="N411" i="21"/>
  <c r="O411" i="21" s="1"/>
  <c r="J411" i="21"/>
  <c r="N410" i="21"/>
  <c r="O410" i="21" s="1"/>
  <c r="J410" i="21"/>
  <c r="N409" i="21"/>
  <c r="O409" i="21" s="1"/>
  <c r="J409" i="21"/>
  <c r="N408" i="21"/>
  <c r="O408" i="21" s="1"/>
  <c r="J408" i="21"/>
  <c r="N407" i="21"/>
  <c r="O407" i="21" s="1"/>
  <c r="J407" i="21"/>
  <c r="N406" i="21"/>
  <c r="O406" i="21" s="1"/>
  <c r="J406" i="21"/>
  <c r="N405" i="21"/>
  <c r="O405" i="21" s="1"/>
  <c r="J405" i="21"/>
  <c r="N404" i="21"/>
  <c r="O404" i="21" s="1"/>
  <c r="J404" i="21"/>
  <c r="N403" i="21"/>
  <c r="O403" i="21" s="1"/>
  <c r="J403" i="21"/>
  <c r="N402" i="21"/>
  <c r="O402" i="21" s="1"/>
  <c r="J402" i="21"/>
  <c r="N401" i="21"/>
  <c r="O401" i="21" s="1"/>
  <c r="J401" i="21"/>
  <c r="N400" i="21"/>
  <c r="O400" i="21" s="1"/>
  <c r="J400" i="21"/>
  <c r="N399" i="21"/>
  <c r="O399" i="21" s="1"/>
  <c r="J399" i="21"/>
  <c r="N398" i="21"/>
  <c r="O398" i="21" s="1"/>
  <c r="J398" i="21"/>
  <c r="N397" i="21"/>
  <c r="O397" i="21" s="1"/>
  <c r="J397" i="21"/>
  <c r="N396" i="21"/>
  <c r="O396" i="21" s="1"/>
  <c r="J396" i="21"/>
  <c r="N395" i="21"/>
  <c r="O395" i="21" s="1"/>
  <c r="J395" i="21"/>
  <c r="N394" i="21"/>
  <c r="O394" i="21" s="1"/>
  <c r="J394" i="21"/>
  <c r="N393" i="21"/>
  <c r="O393" i="21" s="1"/>
  <c r="J393" i="21"/>
  <c r="N392" i="21"/>
  <c r="O392" i="21" s="1"/>
  <c r="J392" i="21"/>
  <c r="N391" i="21"/>
  <c r="O391" i="21" s="1"/>
  <c r="J391" i="21"/>
  <c r="N390" i="21"/>
  <c r="O390" i="21" s="1"/>
  <c r="J390" i="21"/>
  <c r="N389" i="21"/>
  <c r="O389" i="21" s="1"/>
  <c r="J389" i="21"/>
  <c r="N388" i="21"/>
  <c r="O388" i="21" s="1"/>
  <c r="J388" i="21"/>
  <c r="N387" i="21"/>
  <c r="O387" i="21" s="1"/>
  <c r="J387" i="21"/>
  <c r="N386" i="21"/>
  <c r="O386" i="21" s="1"/>
  <c r="J386" i="21"/>
  <c r="N385" i="21"/>
  <c r="O385" i="21" s="1"/>
  <c r="J385" i="21"/>
  <c r="N384" i="21"/>
  <c r="O384" i="21" s="1"/>
  <c r="J384" i="21"/>
  <c r="N383" i="21"/>
  <c r="O383" i="21" s="1"/>
  <c r="J383" i="21"/>
  <c r="N382" i="21"/>
  <c r="O382" i="21" s="1"/>
  <c r="J382" i="21"/>
  <c r="N381" i="21"/>
  <c r="O381" i="21" s="1"/>
  <c r="J381" i="21"/>
  <c r="N380" i="21"/>
  <c r="O380" i="21" s="1"/>
  <c r="J380" i="21"/>
  <c r="N379" i="21"/>
  <c r="O379" i="21" s="1"/>
  <c r="J379" i="21"/>
  <c r="N378" i="21"/>
  <c r="O378" i="21" s="1"/>
  <c r="J378" i="21"/>
  <c r="N377" i="21"/>
  <c r="O377" i="21" s="1"/>
  <c r="J377" i="21"/>
  <c r="N376" i="21"/>
  <c r="O376" i="21" s="1"/>
  <c r="J376" i="21"/>
  <c r="N375" i="21"/>
  <c r="O375" i="21" s="1"/>
  <c r="J375" i="21"/>
  <c r="N374" i="21"/>
  <c r="O374" i="21" s="1"/>
  <c r="J374" i="21"/>
  <c r="N373" i="21"/>
  <c r="O373" i="21" s="1"/>
  <c r="J373" i="21"/>
  <c r="N372" i="21"/>
  <c r="O372" i="21" s="1"/>
  <c r="J372" i="21"/>
  <c r="N371" i="21"/>
  <c r="O371" i="21" s="1"/>
  <c r="J371" i="21"/>
  <c r="N370" i="21"/>
  <c r="O370" i="21" s="1"/>
  <c r="J370" i="21"/>
  <c r="N369" i="21"/>
  <c r="O369" i="21" s="1"/>
  <c r="J369" i="21"/>
  <c r="N368" i="21"/>
  <c r="O368" i="21" s="1"/>
  <c r="J368" i="21"/>
  <c r="N367" i="21"/>
  <c r="O367" i="21" s="1"/>
  <c r="J367" i="21"/>
  <c r="N366" i="21"/>
  <c r="O366" i="21" s="1"/>
  <c r="J366" i="21"/>
  <c r="N365" i="21"/>
  <c r="O365" i="21" s="1"/>
  <c r="J365" i="21"/>
  <c r="N364" i="21"/>
  <c r="O364" i="21" s="1"/>
  <c r="J364" i="21"/>
  <c r="N363" i="21"/>
  <c r="O363" i="21" s="1"/>
  <c r="J363" i="21"/>
  <c r="N362" i="21"/>
  <c r="O362" i="21" s="1"/>
  <c r="J362" i="21"/>
  <c r="N361" i="21"/>
  <c r="O361" i="21" s="1"/>
  <c r="J361" i="21"/>
  <c r="N360" i="21"/>
  <c r="O360" i="21" s="1"/>
  <c r="J360" i="21"/>
  <c r="N359" i="21"/>
  <c r="O359" i="21" s="1"/>
  <c r="J359" i="21"/>
  <c r="N358" i="21"/>
  <c r="O358" i="21" s="1"/>
  <c r="J358" i="21"/>
  <c r="N357" i="21"/>
  <c r="O357" i="21" s="1"/>
  <c r="J357" i="21"/>
  <c r="N356" i="21"/>
  <c r="O356" i="21" s="1"/>
  <c r="J356" i="21"/>
  <c r="N355" i="21"/>
  <c r="O355" i="21" s="1"/>
  <c r="J355" i="21"/>
  <c r="N354" i="21"/>
  <c r="O354" i="21" s="1"/>
  <c r="J354" i="21"/>
  <c r="N353" i="21"/>
  <c r="O353" i="21" s="1"/>
  <c r="J353" i="21"/>
  <c r="N352" i="21"/>
  <c r="O352" i="21" s="1"/>
  <c r="J352" i="21"/>
  <c r="N351" i="21"/>
  <c r="O351" i="21" s="1"/>
  <c r="J351" i="21"/>
  <c r="N350" i="21"/>
  <c r="O350" i="21" s="1"/>
  <c r="J350" i="21"/>
  <c r="N349" i="21"/>
  <c r="O349" i="21" s="1"/>
  <c r="J349" i="21"/>
  <c r="N348" i="21"/>
  <c r="O348" i="21" s="1"/>
  <c r="J348" i="21"/>
  <c r="N347" i="21"/>
  <c r="O347" i="21" s="1"/>
  <c r="J347" i="21"/>
  <c r="N346" i="21"/>
  <c r="O346" i="21" s="1"/>
  <c r="J346" i="21"/>
  <c r="N345" i="21"/>
  <c r="O345" i="21" s="1"/>
  <c r="J345" i="21"/>
  <c r="N344" i="21"/>
  <c r="O344" i="21" s="1"/>
  <c r="J344" i="21"/>
  <c r="N343" i="21"/>
  <c r="O343" i="21" s="1"/>
  <c r="J343" i="21"/>
  <c r="N342" i="21"/>
  <c r="O342" i="21" s="1"/>
  <c r="J342" i="21"/>
  <c r="N341" i="21"/>
  <c r="O341" i="21" s="1"/>
  <c r="J341" i="21"/>
  <c r="N340" i="21"/>
  <c r="O340" i="21" s="1"/>
  <c r="J340" i="21"/>
  <c r="N339" i="21"/>
  <c r="O339" i="21" s="1"/>
  <c r="J339" i="21"/>
  <c r="N338" i="21"/>
  <c r="O338" i="21" s="1"/>
  <c r="J338" i="21"/>
  <c r="N337" i="21"/>
  <c r="O337" i="21" s="1"/>
  <c r="J337" i="21"/>
  <c r="N336" i="21"/>
  <c r="O336" i="21" s="1"/>
  <c r="J336" i="21"/>
  <c r="N335" i="21"/>
  <c r="O335" i="21" s="1"/>
  <c r="J335" i="21"/>
  <c r="N334" i="21"/>
  <c r="O334" i="21" s="1"/>
  <c r="J334" i="21"/>
  <c r="N333" i="21"/>
  <c r="O333" i="21" s="1"/>
  <c r="J333" i="21"/>
  <c r="N332" i="21"/>
  <c r="O332" i="21" s="1"/>
  <c r="J332" i="21"/>
  <c r="N331" i="21"/>
  <c r="O331" i="21" s="1"/>
  <c r="J331" i="21"/>
  <c r="N330" i="21"/>
  <c r="O330" i="21" s="1"/>
  <c r="J330" i="21"/>
  <c r="N329" i="21"/>
  <c r="O329" i="21" s="1"/>
  <c r="J329" i="21"/>
  <c r="N328" i="21"/>
  <c r="O328" i="21" s="1"/>
  <c r="J328" i="21"/>
  <c r="N327" i="21"/>
  <c r="O327" i="21" s="1"/>
  <c r="J327" i="21"/>
  <c r="N326" i="21"/>
  <c r="O326" i="21" s="1"/>
  <c r="J326" i="21"/>
  <c r="N325" i="21"/>
  <c r="O325" i="21" s="1"/>
  <c r="J325" i="21"/>
  <c r="N324" i="21"/>
  <c r="O324" i="21" s="1"/>
  <c r="J324" i="21"/>
  <c r="N323" i="21"/>
  <c r="O323" i="21" s="1"/>
  <c r="J323" i="21"/>
  <c r="N322" i="21"/>
  <c r="O322" i="21" s="1"/>
  <c r="J322" i="21"/>
  <c r="N321" i="21"/>
  <c r="O321" i="21" s="1"/>
  <c r="J321" i="21"/>
  <c r="N320" i="21"/>
  <c r="O320" i="21" s="1"/>
  <c r="J320" i="21"/>
  <c r="N319" i="21"/>
  <c r="O319" i="21" s="1"/>
  <c r="J319" i="21"/>
  <c r="N318" i="21"/>
  <c r="O318" i="21" s="1"/>
  <c r="J318" i="21"/>
  <c r="N317" i="21"/>
  <c r="O317" i="21" s="1"/>
  <c r="J317" i="21"/>
  <c r="N316" i="21"/>
  <c r="O316" i="21" s="1"/>
  <c r="J316" i="21"/>
  <c r="N315" i="21"/>
  <c r="O315" i="21" s="1"/>
  <c r="J315" i="21"/>
  <c r="N314" i="21"/>
  <c r="O314" i="21" s="1"/>
  <c r="J314" i="21"/>
  <c r="N313" i="21"/>
  <c r="O313" i="21" s="1"/>
  <c r="J313" i="21"/>
  <c r="N312" i="21"/>
  <c r="O312" i="21" s="1"/>
  <c r="J312" i="21"/>
  <c r="N311" i="21"/>
  <c r="O311" i="21" s="1"/>
  <c r="J311" i="21"/>
  <c r="N310" i="21"/>
  <c r="O310" i="21" s="1"/>
  <c r="J310" i="21"/>
  <c r="N309" i="21"/>
  <c r="O309" i="21" s="1"/>
  <c r="J309" i="21"/>
  <c r="N308" i="21"/>
  <c r="O308" i="21" s="1"/>
  <c r="J308" i="21"/>
  <c r="N307" i="21"/>
  <c r="O307" i="21" s="1"/>
  <c r="J307" i="21"/>
  <c r="N306" i="21"/>
  <c r="O306" i="21" s="1"/>
  <c r="J306" i="21"/>
  <c r="N305" i="21"/>
  <c r="O305" i="21" s="1"/>
  <c r="J305" i="21"/>
  <c r="N304" i="21"/>
  <c r="O304" i="21" s="1"/>
  <c r="J304" i="21"/>
  <c r="N303" i="21"/>
  <c r="O303" i="21" s="1"/>
  <c r="J303" i="21"/>
  <c r="N302" i="21"/>
  <c r="O302" i="21" s="1"/>
  <c r="J302" i="21"/>
  <c r="N301" i="21"/>
  <c r="O301" i="21" s="1"/>
  <c r="J301" i="21"/>
  <c r="N300" i="21"/>
  <c r="O300" i="21" s="1"/>
  <c r="J300" i="21"/>
  <c r="N299" i="21"/>
  <c r="O299" i="21" s="1"/>
  <c r="J299" i="21"/>
  <c r="N298" i="21"/>
  <c r="O298" i="21" s="1"/>
  <c r="J298" i="21"/>
  <c r="N297" i="21"/>
  <c r="O297" i="21" s="1"/>
  <c r="J297" i="21"/>
  <c r="N296" i="21"/>
  <c r="O296" i="21" s="1"/>
  <c r="J296" i="21"/>
  <c r="N295" i="21"/>
  <c r="O295" i="21" s="1"/>
  <c r="J295" i="21"/>
  <c r="N294" i="21"/>
  <c r="O294" i="21" s="1"/>
  <c r="J294" i="21"/>
  <c r="N293" i="21"/>
  <c r="O293" i="21" s="1"/>
  <c r="J293" i="21"/>
  <c r="N292" i="21"/>
  <c r="O292" i="21" s="1"/>
  <c r="J292" i="21"/>
  <c r="N291" i="21"/>
  <c r="O291" i="21" s="1"/>
  <c r="J291" i="21"/>
  <c r="N290" i="21"/>
  <c r="O290" i="21" s="1"/>
  <c r="J290" i="21"/>
  <c r="N289" i="21"/>
  <c r="O289" i="21" s="1"/>
  <c r="J289" i="21"/>
  <c r="N288" i="21"/>
  <c r="O288" i="21" s="1"/>
  <c r="J288" i="21"/>
  <c r="N287" i="21"/>
  <c r="O287" i="21" s="1"/>
  <c r="J287" i="21"/>
  <c r="N286" i="21"/>
  <c r="O286" i="21" s="1"/>
  <c r="J286" i="21"/>
  <c r="N285" i="21"/>
  <c r="O285" i="21" s="1"/>
  <c r="J285" i="21"/>
  <c r="N284" i="21"/>
  <c r="O284" i="21" s="1"/>
  <c r="J284" i="21"/>
  <c r="N283" i="21"/>
  <c r="O283" i="21" s="1"/>
  <c r="J283" i="21"/>
  <c r="N282" i="21"/>
  <c r="O282" i="21" s="1"/>
  <c r="J282" i="21"/>
  <c r="N281" i="21"/>
  <c r="O281" i="21" s="1"/>
  <c r="J281" i="21"/>
  <c r="N280" i="21"/>
  <c r="O280" i="21" s="1"/>
  <c r="J280" i="21"/>
  <c r="N279" i="21"/>
  <c r="O279" i="21" s="1"/>
  <c r="J279" i="21"/>
  <c r="N278" i="21"/>
  <c r="O278" i="21" s="1"/>
  <c r="J278" i="21"/>
  <c r="N277" i="21"/>
  <c r="O277" i="21" s="1"/>
  <c r="J277" i="21"/>
  <c r="N276" i="21"/>
  <c r="O276" i="21" s="1"/>
  <c r="J276" i="21"/>
  <c r="N275" i="21"/>
  <c r="O275" i="21" s="1"/>
  <c r="J275" i="21"/>
  <c r="N274" i="21"/>
  <c r="O274" i="21" s="1"/>
  <c r="J274" i="21"/>
  <c r="N273" i="21"/>
  <c r="O273" i="21" s="1"/>
  <c r="J273" i="21"/>
  <c r="N272" i="21"/>
  <c r="O272" i="21" s="1"/>
  <c r="J272" i="21"/>
  <c r="N271" i="21"/>
  <c r="O271" i="21" s="1"/>
  <c r="J271" i="21"/>
  <c r="N270" i="21"/>
  <c r="O270" i="21" s="1"/>
  <c r="J270" i="21"/>
  <c r="N269" i="21"/>
  <c r="O269" i="21" s="1"/>
  <c r="J269" i="21"/>
  <c r="N268" i="21"/>
  <c r="O268" i="21" s="1"/>
  <c r="J268" i="21"/>
  <c r="N267" i="21"/>
  <c r="O267" i="21" s="1"/>
  <c r="J267" i="21"/>
  <c r="N266" i="21"/>
  <c r="O266" i="21" s="1"/>
  <c r="J266" i="21"/>
  <c r="N265" i="21"/>
  <c r="O265" i="21" s="1"/>
  <c r="J265" i="21"/>
  <c r="N264" i="21"/>
  <c r="O264" i="21" s="1"/>
  <c r="J264" i="21"/>
  <c r="N263" i="21"/>
  <c r="O263" i="21" s="1"/>
  <c r="J263" i="21"/>
  <c r="N262" i="21"/>
  <c r="O262" i="21" s="1"/>
  <c r="J262" i="21"/>
  <c r="N261" i="21"/>
  <c r="O261" i="21" s="1"/>
  <c r="J261" i="21"/>
  <c r="N260" i="21"/>
  <c r="O260" i="21" s="1"/>
  <c r="J260" i="21"/>
  <c r="N259" i="21"/>
  <c r="O259" i="21" s="1"/>
  <c r="J259" i="21"/>
  <c r="N258" i="21"/>
  <c r="O258" i="21" s="1"/>
  <c r="J258" i="21"/>
  <c r="N257" i="21"/>
  <c r="O257" i="21" s="1"/>
  <c r="J257" i="21"/>
  <c r="N256" i="21"/>
  <c r="O256" i="21" s="1"/>
  <c r="J256" i="21"/>
  <c r="N255" i="21"/>
  <c r="O255" i="21" s="1"/>
  <c r="J255" i="21"/>
  <c r="N254" i="21"/>
  <c r="O254" i="21" s="1"/>
  <c r="J254" i="21"/>
  <c r="N253" i="21"/>
  <c r="O253" i="21" s="1"/>
  <c r="J253" i="21"/>
  <c r="N252" i="21"/>
  <c r="O252" i="21" s="1"/>
  <c r="J252" i="21"/>
  <c r="N251" i="21"/>
  <c r="O251" i="21" s="1"/>
  <c r="J251" i="21"/>
  <c r="N250" i="21"/>
  <c r="O250" i="21" s="1"/>
  <c r="J250" i="21"/>
  <c r="N249" i="21"/>
  <c r="O249" i="21" s="1"/>
  <c r="J249" i="21"/>
  <c r="N248" i="21"/>
  <c r="O248" i="21" s="1"/>
  <c r="J248" i="21"/>
  <c r="N247" i="21"/>
  <c r="O247" i="21" s="1"/>
  <c r="J247" i="21"/>
  <c r="N246" i="21"/>
  <c r="O246" i="21" s="1"/>
  <c r="J246" i="21"/>
  <c r="N245" i="21"/>
  <c r="O245" i="21" s="1"/>
  <c r="J245" i="21"/>
  <c r="N244" i="21"/>
  <c r="O244" i="21" s="1"/>
  <c r="J244" i="21"/>
  <c r="N243" i="21"/>
  <c r="O243" i="21" s="1"/>
  <c r="J243" i="21"/>
  <c r="N242" i="21"/>
  <c r="O242" i="21" s="1"/>
  <c r="J242" i="21"/>
  <c r="N241" i="21"/>
  <c r="O241" i="21" s="1"/>
  <c r="J241" i="21"/>
  <c r="N240" i="21"/>
  <c r="O240" i="21" s="1"/>
  <c r="J240" i="21"/>
  <c r="N239" i="21"/>
  <c r="O239" i="21" s="1"/>
  <c r="J239" i="21"/>
  <c r="N238" i="21"/>
  <c r="O238" i="21" s="1"/>
  <c r="J238" i="21"/>
  <c r="N237" i="21"/>
  <c r="O237" i="21" s="1"/>
  <c r="J237" i="21"/>
  <c r="N236" i="21"/>
  <c r="O236" i="21" s="1"/>
  <c r="J236" i="21"/>
  <c r="N235" i="21"/>
  <c r="O235" i="21" s="1"/>
  <c r="J235" i="21"/>
  <c r="N234" i="21"/>
  <c r="O234" i="21" s="1"/>
  <c r="J234" i="21"/>
  <c r="N233" i="21"/>
  <c r="O233" i="21" s="1"/>
  <c r="J233" i="21"/>
  <c r="N232" i="21"/>
  <c r="O232" i="21" s="1"/>
  <c r="J232" i="21"/>
  <c r="N231" i="21"/>
  <c r="O231" i="21" s="1"/>
  <c r="J231" i="21"/>
  <c r="N230" i="21"/>
  <c r="O230" i="21" s="1"/>
  <c r="J230" i="21"/>
  <c r="N229" i="21"/>
  <c r="O229" i="21" s="1"/>
  <c r="J229" i="21"/>
  <c r="N228" i="21"/>
  <c r="O228" i="21" s="1"/>
  <c r="J228" i="21"/>
  <c r="N227" i="21"/>
  <c r="O227" i="21" s="1"/>
  <c r="J227" i="21"/>
  <c r="N226" i="21"/>
  <c r="O226" i="21" s="1"/>
  <c r="J226" i="21"/>
  <c r="N225" i="21"/>
  <c r="O225" i="21" s="1"/>
  <c r="J225" i="21"/>
  <c r="N224" i="21"/>
  <c r="O224" i="21" s="1"/>
  <c r="J224" i="21"/>
  <c r="N223" i="21"/>
  <c r="O223" i="21" s="1"/>
  <c r="J223" i="21"/>
  <c r="N222" i="21"/>
  <c r="O222" i="21" s="1"/>
  <c r="J222" i="21"/>
  <c r="N221" i="21"/>
  <c r="O221" i="21" s="1"/>
  <c r="J221" i="21"/>
  <c r="N220" i="21"/>
  <c r="O220" i="21" s="1"/>
  <c r="J220" i="21"/>
  <c r="N219" i="21"/>
  <c r="O219" i="21" s="1"/>
  <c r="J219" i="21"/>
  <c r="N218" i="21"/>
  <c r="O218" i="21" s="1"/>
  <c r="J218" i="21"/>
  <c r="N217" i="21"/>
  <c r="O217" i="21" s="1"/>
  <c r="J217" i="21"/>
  <c r="N216" i="21"/>
  <c r="O216" i="21" s="1"/>
  <c r="J216" i="21"/>
  <c r="N215" i="21"/>
  <c r="O215" i="21" s="1"/>
  <c r="J215" i="21"/>
  <c r="N214" i="21"/>
  <c r="O214" i="21" s="1"/>
  <c r="J214" i="21"/>
  <c r="N213" i="21"/>
  <c r="O213" i="21" s="1"/>
  <c r="J213" i="21"/>
  <c r="N212" i="21"/>
  <c r="O212" i="21" s="1"/>
  <c r="J212" i="21"/>
  <c r="N211" i="21"/>
  <c r="O211" i="21" s="1"/>
  <c r="J211" i="21"/>
  <c r="N210" i="21"/>
  <c r="O210" i="21" s="1"/>
  <c r="J210" i="21"/>
  <c r="N209" i="21"/>
  <c r="O209" i="21" s="1"/>
  <c r="J209" i="21"/>
  <c r="N208" i="21"/>
  <c r="O208" i="21" s="1"/>
  <c r="J208" i="21"/>
  <c r="N207" i="21"/>
  <c r="O207" i="21" s="1"/>
  <c r="J207" i="21"/>
  <c r="N206" i="21"/>
  <c r="O206" i="21" s="1"/>
  <c r="J206" i="21"/>
  <c r="N205" i="21"/>
  <c r="O205" i="21" s="1"/>
  <c r="J205" i="21"/>
  <c r="N204" i="21"/>
  <c r="O204" i="21" s="1"/>
  <c r="J204" i="21"/>
  <c r="N203" i="21"/>
  <c r="O203" i="21" s="1"/>
  <c r="J203" i="21"/>
  <c r="N202" i="21"/>
  <c r="O202" i="21" s="1"/>
  <c r="J202" i="21"/>
  <c r="N201" i="21"/>
  <c r="O201" i="21" s="1"/>
  <c r="J201" i="21"/>
  <c r="N200" i="21"/>
  <c r="O200" i="21" s="1"/>
  <c r="J200" i="21"/>
  <c r="N199" i="21"/>
  <c r="O199" i="21" s="1"/>
  <c r="J199" i="21"/>
  <c r="N198" i="21"/>
  <c r="O198" i="21" s="1"/>
  <c r="J198" i="21"/>
  <c r="N197" i="21"/>
  <c r="O197" i="21" s="1"/>
  <c r="J197" i="21"/>
  <c r="N196" i="21"/>
  <c r="O196" i="21" s="1"/>
  <c r="J196" i="21"/>
  <c r="N195" i="21"/>
  <c r="O195" i="21" s="1"/>
  <c r="J195" i="21"/>
  <c r="N194" i="21"/>
  <c r="O194" i="21" s="1"/>
  <c r="J194" i="21"/>
  <c r="N193" i="21"/>
  <c r="O193" i="21" s="1"/>
  <c r="J193" i="21"/>
  <c r="N192" i="21"/>
  <c r="O192" i="21" s="1"/>
  <c r="J192" i="21"/>
  <c r="N191" i="21"/>
  <c r="O191" i="21" s="1"/>
  <c r="J191" i="21"/>
  <c r="N190" i="21"/>
  <c r="O190" i="21" s="1"/>
  <c r="J190" i="21"/>
  <c r="N189" i="21"/>
  <c r="O189" i="21" s="1"/>
  <c r="J189" i="21"/>
  <c r="N188" i="21"/>
  <c r="O188" i="21" s="1"/>
  <c r="J188" i="21"/>
  <c r="N187" i="21"/>
  <c r="O187" i="21" s="1"/>
  <c r="J187" i="21"/>
  <c r="N186" i="21"/>
  <c r="O186" i="21" s="1"/>
  <c r="J186" i="21"/>
  <c r="N185" i="21"/>
  <c r="O185" i="21" s="1"/>
  <c r="J185" i="21"/>
  <c r="N184" i="21"/>
  <c r="O184" i="21" s="1"/>
  <c r="J184" i="21"/>
  <c r="N183" i="21"/>
  <c r="O183" i="21" s="1"/>
  <c r="J183" i="21"/>
  <c r="N182" i="21"/>
  <c r="O182" i="21" s="1"/>
  <c r="J182" i="21"/>
  <c r="N181" i="21"/>
  <c r="O181" i="21" s="1"/>
  <c r="J181" i="21"/>
  <c r="N180" i="21"/>
  <c r="O180" i="21" s="1"/>
  <c r="J180" i="21"/>
  <c r="N179" i="21"/>
  <c r="O179" i="21" s="1"/>
  <c r="J179" i="21"/>
  <c r="N178" i="21"/>
  <c r="O178" i="21" s="1"/>
  <c r="J178" i="21"/>
  <c r="N177" i="21"/>
  <c r="O177" i="21" s="1"/>
  <c r="J177" i="21"/>
  <c r="N176" i="21"/>
  <c r="O176" i="21" s="1"/>
  <c r="J176" i="21"/>
  <c r="N175" i="21"/>
  <c r="O175" i="21" s="1"/>
  <c r="J175" i="21"/>
  <c r="N174" i="21"/>
  <c r="O174" i="21" s="1"/>
  <c r="J174" i="21"/>
  <c r="N173" i="21"/>
  <c r="O173" i="21" s="1"/>
  <c r="J173" i="21"/>
  <c r="N172" i="21"/>
  <c r="O172" i="21" s="1"/>
  <c r="J172" i="21"/>
  <c r="N171" i="21"/>
  <c r="O171" i="21" s="1"/>
  <c r="J171" i="21"/>
  <c r="N170" i="21"/>
  <c r="O170" i="21" s="1"/>
  <c r="J170" i="21"/>
  <c r="N169" i="21"/>
  <c r="O169" i="21" s="1"/>
  <c r="J169" i="21"/>
  <c r="N168" i="21"/>
  <c r="O168" i="21" s="1"/>
  <c r="J168" i="21"/>
  <c r="N167" i="21"/>
  <c r="O167" i="21" s="1"/>
  <c r="J167" i="21"/>
  <c r="N166" i="21"/>
  <c r="O166" i="21" s="1"/>
  <c r="J166" i="21"/>
  <c r="N165" i="21"/>
  <c r="O165" i="21" s="1"/>
  <c r="J165" i="21"/>
  <c r="N164" i="21"/>
  <c r="O164" i="21" s="1"/>
  <c r="J164" i="21"/>
  <c r="N163" i="21"/>
  <c r="O163" i="21" s="1"/>
  <c r="J163" i="21"/>
  <c r="N162" i="21"/>
  <c r="O162" i="21" s="1"/>
  <c r="J162" i="21"/>
  <c r="N161" i="21"/>
  <c r="O161" i="21" s="1"/>
  <c r="J161" i="21"/>
  <c r="N160" i="21"/>
  <c r="O160" i="21" s="1"/>
  <c r="J160" i="21"/>
  <c r="N159" i="21"/>
  <c r="O159" i="21" s="1"/>
  <c r="J159" i="21"/>
  <c r="N158" i="21"/>
  <c r="O158" i="21" s="1"/>
  <c r="J158" i="21"/>
  <c r="N157" i="21"/>
  <c r="O157" i="21" s="1"/>
  <c r="J157" i="21"/>
  <c r="N156" i="21"/>
  <c r="O156" i="21" s="1"/>
  <c r="J156" i="21"/>
  <c r="N155" i="21"/>
  <c r="O155" i="21" s="1"/>
  <c r="J155" i="21"/>
  <c r="N154" i="21"/>
  <c r="O154" i="21" s="1"/>
  <c r="J154" i="21"/>
  <c r="N153" i="21"/>
  <c r="O153" i="21" s="1"/>
  <c r="J153" i="21"/>
  <c r="N152" i="21"/>
  <c r="O152" i="21" s="1"/>
  <c r="J152" i="21"/>
  <c r="N151" i="21"/>
  <c r="O151" i="21" s="1"/>
  <c r="J151" i="21"/>
  <c r="N150" i="21"/>
  <c r="O150" i="21" s="1"/>
  <c r="J150" i="21"/>
  <c r="N149" i="21"/>
  <c r="O149" i="21" s="1"/>
  <c r="J149" i="21"/>
  <c r="N148" i="21"/>
  <c r="O148" i="21" s="1"/>
  <c r="J148" i="21"/>
  <c r="N147" i="21"/>
  <c r="O147" i="21" s="1"/>
  <c r="J147" i="21"/>
  <c r="N146" i="21"/>
  <c r="O146" i="21" s="1"/>
  <c r="J146" i="21"/>
  <c r="N145" i="21"/>
  <c r="O145" i="21" s="1"/>
  <c r="J145" i="21"/>
  <c r="N144" i="21"/>
  <c r="O144" i="21" s="1"/>
  <c r="J144" i="21"/>
  <c r="N143" i="21"/>
  <c r="O143" i="21" s="1"/>
  <c r="J143" i="21"/>
  <c r="N142" i="21"/>
  <c r="O142" i="21" s="1"/>
  <c r="J142" i="21"/>
  <c r="N141" i="21"/>
  <c r="O141" i="21" s="1"/>
  <c r="J141" i="21"/>
  <c r="N140" i="21"/>
  <c r="O140" i="21" s="1"/>
  <c r="J140" i="21"/>
  <c r="N139" i="21"/>
  <c r="O139" i="21" s="1"/>
  <c r="J139" i="21"/>
  <c r="N138" i="21"/>
  <c r="O138" i="21" s="1"/>
  <c r="J138" i="21"/>
  <c r="N137" i="21"/>
  <c r="O137" i="21" s="1"/>
  <c r="J137" i="21"/>
  <c r="N136" i="21"/>
  <c r="O136" i="21" s="1"/>
  <c r="J136" i="21"/>
  <c r="N135" i="21"/>
  <c r="O135" i="21" s="1"/>
  <c r="J135" i="21"/>
  <c r="N134" i="21"/>
  <c r="O134" i="21" s="1"/>
  <c r="J134" i="21"/>
  <c r="N133" i="21"/>
  <c r="O133" i="21" s="1"/>
  <c r="J133" i="21"/>
  <c r="N132" i="21"/>
  <c r="O132" i="21" s="1"/>
  <c r="J132" i="21"/>
  <c r="N131" i="21"/>
  <c r="O131" i="21" s="1"/>
  <c r="J131" i="21"/>
  <c r="N130" i="21"/>
  <c r="O130" i="21" s="1"/>
  <c r="J130" i="21"/>
  <c r="N129" i="21"/>
  <c r="O129" i="21" s="1"/>
  <c r="J129" i="21"/>
  <c r="N128" i="21"/>
  <c r="O128" i="21" s="1"/>
  <c r="J128" i="21"/>
  <c r="N127" i="21"/>
  <c r="O127" i="21" s="1"/>
  <c r="J127" i="21"/>
  <c r="N126" i="21"/>
  <c r="O126" i="21" s="1"/>
  <c r="J126" i="21"/>
  <c r="N125" i="21"/>
  <c r="O125" i="21" s="1"/>
  <c r="J125" i="21"/>
  <c r="N124" i="21"/>
  <c r="O124" i="21" s="1"/>
  <c r="J124" i="21"/>
  <c r="N123" i="21"/>
  <c r="O123" i="21" s="1"/>
  <c r="J123" i="21"/>
  <c r="N122" i="21"/>
  <c r="O122" i="21" s="1"/>
  <c r="J122" i="21"/>
  <c r="N121" i="21"/>
  <c r="O121" i="21" s="1"/>
  <c r="J121" i="21"/>
  <c r="N120" i="21"/>
  <c r="O120" i="21" s="1"/>
  <c r="J120" i="21"/>
  <c r="N119" i="21"/>
  <c r="O119" i="21" s="1"/>
  <c r="J119" i="21"/>
  <c r="N118" i="21"/>
  <c r="O118" i="21" s="1"/>
  <c r="J118" i="21"/>
  <c r="N117" i="21"/>
  <c r="O117" i="21" s="1"/>
  <c r="J117" i="21"/>
  <c r="N116" i="21"/>
  <c r="O116" i="21" s="1"/>
  <c r="J116" i="21"/>
  <c r="N115" i="21"/>
  <c r="O115" i="21" s="1"/>
  <c r="J115" i="21"/>
  <c r="N114" i="21"/>
  <c r="O114" i="21" s="1"/>
  <c r="J114" i="21"/>
  <c r="N113" i="21"/>
  <c r="O113" i="21" s="1"/>
  <c r="J113" i="21"/>
  <c r="N112" i="21"/>
  <c r="O112" i="21" s="1"/>
  <c r="J112" i="21"/>
  <c r="N111" i="21"/>
  <c r="O111" i="21" s="1"/>
  <c r="J111" i="21"/>
  <c r="N110" i="21"/>
  <c r="O110" i="21" s="1"/>
  <c r="J110" i="21"/>
  <c r="N109" i="21"/>
  <c r="O109" i="21" s="1"/>
  <c r="J109" i="21"/>
  <c r="N108" i="21"/>
  <c r="O108" i="21" s="1"/>
  <c r="J108" i="21"/>
  <c r="N107" i="21"/>
  <c r="O107" i="21" s="1"/>
  <c r="J107" i="21"/>
  <c r="N106" i="21"/>
  <c r="O106" i="21" s="1"/>
  <c r="J106" i="21"/>
  <c r="N105" i="21"/>
  <c r="O105" i="21" s="1"/>
  <c r="J105" i="21"/>
  <c r="N104" i="21"/>
  <c r="O104" i="21" s="1"/>
  <c r="J104" i="21"/>
  <c r="N103" i="21"/>
  <c r="O103" i="21" s="1"/>
  <c r="J103" i="21"/>
  <c r="N102" i="21"/>
  <c r="O102" i="21" s="1"/>
  <c r="J102" i="21"/>
  <c r="N101" i="21"/>
  <c r="O101" i="21" s="1"/>
  <c r="J101" i="21"/>
  <c r="N100" i="21"/>
  <c r="O100" i="21" s="1"/>
  <c r="J100" i="21"/>
  <c r="N99" i="21"/>
  <c r="O99" i="21" s="1"/>
  <c r="J99" i="21"/>
  <c r="N98" i="21"/>
  <c r="O98" i="21" s="1"/>
  <c r="J98" i="21"/>
  <c r="N97" i="21"/>
  <c r="O97" i="21" s="1"/>
  <c r="J97" i="21"/>
  <c r="N96" i="21"/>
  <c r="O96" i="21" s="1"/>
  <c r="J96" i="21"/>
  <c r="N95" i="21"/>
  <c r="O95" i="21" s="1"/>
  <c r="J95" i="21"/>
  <c r="N94" i="21"/>
  <c r="O94" i="21" s="1"/>
  <c r="J94" i="21"/>
  <c r="N93" i="21"/>
  <c r="O93" i="21" s="1"/>
  <c r="J93" i="21"/>
  <c r="N92" i="21"/>
  <c r="O92" i="21" s="1"/>
  <c r="J92" i="21"/>
  <c r="N91" i="21"/>
  <c r="O91" i="21" s="1"/>
  <c r="J91" i="21"/>
  <c r="N90" i="21"/>
  <c r="O90" i="21" s="1"/>
  <c r="J90" i="21"/>
  <c r="N89" i="21"/>
  <c r="O89" i="21" s="1"/>
  <c r="J89" i="21"/>
  <c r="N88" i="21"/>
  <c r="O88" i="21" s="1"/>
  <c r="J88" i="21"/>
  <c r="N87" i="21"/>
  <c r="O87" i="21" s="1"/>
  <c r="J87" i="21"/>
  <c r="N86" i="21"/>
  <c r="O86" i="21" s="1"/>
  <c r="J86" i="21"/>
  <c r="N85" i="21"/>
  <c r="O85" i="21" s="1"/>
  <c r="J85" i="21"/>
  <c r="N84" i="21"/>
  <c r="O84" i="21" s="1"/>
  <c r="J84" i="21"/>
  <c r="N83" i="21"/>
  <c r="O83" i="21" s="1"/>
  <c r="J83" i="21"/>
  <c r="N82" i="21"/>
  <c r="O82" i="21" s="1"/>
  <c r="J82" i="21"/>
  <c r="N81" i="21"/>
  <c r="O81" i="21" s="1"/>
  <c r="J81" i="21"/>
  <c r="N80" i="21"/>
  <c r="O80" i="21" s="1"/>
  <c r="J80" i="21"/>
  <c r="N79" i="21"/>
  <c r="O79" i="21" s="1"/>
  <c r="J79" i="21"/>
  <c r="N78" i="21"/>
  <c r="O78" i="21" s="1"/>
  <c r="J78" i="21"/>
  <c r="N77" i="21"/>
  <c r="O77" i="21" s="1"/>
  <c r="J77" i="21"/>
  <c r="N76" i="21"/>
  <c r="O76" i="21" s="1"/>
  <c r="J76" i="21"/>
  <c r="N75" i="21"/>
  <c r="O75" i="21" s="1"/>
  <c r="J75" i="21"/>
  <c r="N74" i="21"/>
  <c r="O74" i="21" s="1"/>
  <c r="J74" i="21"/>
  <c r="N73" i="21"/>
  <c r="O73" i="21" s="1"/>
  <c r="J73" i="21"/>
  <c r="N72" i="21"/>
  <c r="O72" i="21" s="1"/>
  <c r="J72" i="21"/>
  <c r="N71" i="21"/>
  <c r="O71" i="21" s="1"/>
  <c r="J71" i="21"/>
  <c r="N70" i="21"/>
  <c r="O70" i="21" s="1"/>
  <c r="J70" i="21"/>
  <c r="N69" i="21"/>
  <c r="O69" i="21" s="1"/>
  <c r="J69" i="21"/>
  <c r="N68" i="21"/>
  <c r="O68" i="21" s="1"/>
  <c r="J68" i="21"/>
  <c r="N67" i="21"/>
  <c r="O67" i="21" s="1"/>
  <c r="J67" i="21"/>
  <c r="N66" i="21"/>
  <c r="O66" i="21" s="1"/>
  <c r="J66" i="21"/>
  <c r="N65" i="21"/>
  <c r="O65" i="21" s="1"/>
  <c r="J65" i="21"/>
  <c r="N64" i="21"/>
  <c r="O64" i="21" s="1"/>
  <c r="J64" i="21"/>
  <c r="N63" i="21"/>
  <c r="O63" i="21" s="1"/>
  <c r="J63" i="21"/>
  <c r="N62" i="21"/>
  <c r="O62" i="21" s="1"/>
  <c r="J62" i="21"/>
  <c r="N61" i="21"/>
  <c r="O61" i="21" s="1"/>
  <c r="J61" i="21"/>
  <c r="N60" i="21"/>
  <c r="O60" i="21" s="1"/>
  <c r="J60" i="21"/>
  <c r="N59" i="21"/>
  <c r="O59" i="21" s="1"/>
  <c r="J59" i="21"/>
  <c r="N58" i="21"/>
  <c r="O58" i="21" s="1"/>
  <c r="J58" i="21"/>
  <c r="N57" i="21"/>
  <c r="O57" i="21" s="1"/>
  <c r="J57" i="21"/>
  <c r="N56" i="21"/>
  <c r="O56" i="21" s="1"/>
  <c r="J56" i="21"/>
  <c r="N55" i="21"/>
  <c r="O55" i="21" s="1"/>
  <c r="J55" i="21"/>
  <c r="N54" i="21"/>
  <c r="O54" i="21" s="1"/>
  <c r="J54" i="21"/>
  <c r="N53" i="21"/>
  <c r="O53" i="21" s="1"/>
  <c r="J53" i="21"/>
  <c r="N52" i="21"/>
  <c r="O52" i="21" s="1"/>
  <c r="J52" i="21"/>
  <c r="N51" i="21"/>
  <c r="O51" i="21" s="1"/>
  <c r="J51" i="21"/>
  <c r="N50" i="21"/>
  <c r="O50" i="21" s="1"/>
  <c r="J50" i="21"/>
  <c r="N49" i="21"/>
  <c r="O49" i="21" s="1"/>
  <c r="J49" i="21"/>
  <c r="N48" i="21"/>
  <c r="O48" i="21" s="1"/>
  <c r="J48" i="21"/>
  <c r="N47" i="21"/>
  <c r="O47" i="21" s="1"/>
  <c r="J47" i="21"/>
  <c r="N46" i="21"/>
  <c r="O46" i="21" s="1"/>
  <c r="J46" i="21"/>
  <c r="N45" i="21"/>
  <c r="O45" i="21" s="1"/>
  <c r="J45" i="21"/>
  <c r="N44" i="21"/>
  <c r="O44" i="21" s="1"/>
  <c r="J44" i="21"/>
  <c r="N43" i="21"/>
  <c r="O43" i="21" s="1"/>
  <c r="J43" i="21"/>
  <c r="N42" i="21"/>
  <c r="O42" i="21" s="1"/>
  <c r="J42" i="21"/>
  <c r="N41" i="21"/>
  <c r="O41" i="21" s="1"/>
  <c r="J41" i="21"/>
  <c r="N40" i="21"/>
  <c r="O40" i="21" s="1"/>
  <c r="J40" i="21"/>
  <c r="N39" i="21"/>
  <c r="O39" i="21" s="1"/>
  <c r="J39" i="21"/>
  <c r="N38" i="21"/>
  <c r="O38" i="21" s="1"/>
  <c r="J38" i="21"/>
  <c r="N37" i="21"/>
  <c r="O37" i="21" s="1"/>
  <c r="J37" i="21"/>
  <c r="N36" i="21"/>
  <c r="O36" i="21" s="1"/>
  <c r="J36" i="21"/>
  <c r="N35" i="21"/>
  <c r="O35" i="21" s="1"/>
  <c r="J35" i="21"/>
  <c r="N34" i="21"/>
  <c r="O34" i="21" s="1"/>
  <c r="J34" i="21"/>
  <c r="N33" i="21"/>
  <c r="O33" i="21" s="1"/>
  <c r="J33" i="21"/>
  <c r="N32" i="21"/>
  <c r="O32" i="21" s="1"/>
  <c r="J32" i="21"/>
  <c r="N31" i="21"/>
  <c r="O31" i="21" s="1"/>
  <c r="J31" i="21"/>
  <c r="N30" i="21"/>
  <c r="O30" i="21" s="1"/>
  <c r="J30" i="21"/>
  <c r="N29" i="21"/>
  <c r="O29" i="21" s="1"/>
  <c r="J29" i="21"/>
  <c r="N28" i="21"/>
  <c r="O28" i="21" s="1"/>
  <c r="J28" i="21"/>
  <c r="N27" i="21"/>
  <c r="O27" i="21" s="1"/>
  <c r="J27" i="21"/>
  <c r="N26" i="21"/>
  <c r="O26" i="21" s="1"/>
  <c r="J26" i="21"/>
  <c r="N25" i="21"/>
  <c r="O25" i="21" s="1"/>
  <c r="J25" i="21"/>
  <c r="N24" i="21"/>
  <c r="O24" i="21" s="1"/>
  <c r="J24" i="21"/>
  <c r="N23" i="21"/>
  <c r="O23" i="21" s="1"/>
  <c r="J23" i="21"/>
  <c r="N22" i="21"/>
  <c r="O22" i="21" s="1"/>
  <c r="J22" i="21"/>
  <c r="N21" i="21"/>
  <c r="O21" i="21" s="1"/>
  <c r="J21" i="21"/>
  <c r="N20" i="21"/>
  <c r="O20" i="21" s="1"/>
  <c r="J20" i="21"/>
  <c r="N19" i="21"/>
  <c r="O19" i="21" s="1"/>
  <c r="J19" i="21"/>
  <c r="N18" i="21"/>
  <c r="O18" i="21" s="1"/>
  <c r="J18" i="21"/>
  <c r="N17" i="21"/>
  <c r="O17" i="21" s="1"/>
  <c r="J17" i="21"/>
  <c r="N16" i="21"/>
  <c r="O16" i="21" s="1"/>
  <c r="J16" i="21"/>
  <c r="N15" i="21"/>
  <c r="O15" i="21" s="1"/>
  <c r="J15" i="21"/>
  <c r="N14" i="21"/>
  <c r="O14" i="21" s="1"/>
  <c r="J14" i="21"/>
  <c r="N13" i="21"/>
  <c r="O13" i="21" s="1"/>
  <c r="J13" i="21"/>
  <c r="N12" i="21"/>
  <c r="O12" i="21" s="1"/>
  <c r="J12" i="21"/>
  <c r="N11" i="21"/>
  <c r="O11" i="21" s="1"/>
  <c r="J11" i="21"/>
  <c r="N10" i="21"/>
  <c r="O10" i="21" s="1"/>
  <c r="J10" i="21"/>
  <c r="N9" i="21"/>
  <c r="O9" i="21" s="1"/>
  <c r="J9" i="21"/>
  <c r="N8" i="21"/>
  <c r="O8" i="21" s="1"/>
  <c r="J8" i="21"/>
  <c r="M5" i="21"/>
  <c r="L5" i="21"/>
  <c r="K5" i="21"/>
  <c r="I5" i="21"/>
  <c r="H5" i="21"/>
  <c r="N5" i="21" s="1"/>
  <c r="M4" i="21"/>
  <c r="L4" i="21"/>
  <c r="K4" i="21"/>
  <c r="I4" i="21"/>
  <c r="H4" i="21"/>
  <c r="S11" i="2"/>
  <c r="C39" i="20"/>
  <c r="H39" i="20" s="1"/>
  <c r="C40" i="20"/>
  <c r="E40" i="20" s="1"/>
  <c r="C41" i="20"/>
  <c r="F41" i="20" s="1"/>
  <c r="C26" i="20"/>
  <c r="C27" i="20"/>
  <c r="C28" i="20"/>
  <c r="H28" i="20" s="1"/>
  <c r="C29" i="20"/>
  <c r="C30" i="20"/>
  <c r="E30" i="20" s="1"/>
  <c r="C31" i="20"/>
  <c r="H31" i="20" s="1"/>
  <c r="C32" i="20"/>
  <c r="D32" i="20" s="1"/>
  <c r="C33" i="20"/>
  <c r="G33" i="20" s="1"/>
  <c r="C34" i="20"/>
  <c r="C35" i="20"/>
  <c r="F35" i="20" s="1"/>
  <c r="C36" i="20"/>
  <c r="F36" i="20" s="1"/>
  <c r="G37" i="20"/>
  <c r="C38" i="20"/>
  <c r="E38" i="20" s="1"/>
  <c r="C7" i="20"/>
  <c r="F7" i="20" s="1"/>
  <c r="C8" i="20"/>
  <c r="C9" i="20"/>
  <c r="C10" i="20"/>
  <c r="C11" i="20"/>
  <c r="C12" i="20"/>
  <c r="C13" i="20"/>
  <c r="C14" i="20"/>
  <c r="E14" i="20" s="1"/>
  <c r="C15" i="20"/>
  <c r="D15" i="20" s="1"/>
  <c r="C16" i="20"/>
  <c r="C17" i="20"/>
  <c r="C18" i="20"/>
  <c r="F18" i="20" s="1"/>
  <c r="C19" i="20"/>
  <c r="D19" i="20" s="1"/>
  <c r="C21" i="20"/>
  <c r="D21" i="20" s="1"/>
  <c r="C22" i="20"/>
  <c r="D22" i="20" s="1"/>
  <c r="C23" i="20"/>
  <c r="C24" i="20"/>
  <c r="F24" i="20" s="1"/>
  <c r="C25" i="20"/>
  <c r="H25" i="20" s="1"/>
  <c r="C6" i="20"/>
  <c r="G3" i="20"/>
  <c r="H3" i="20"/>
  <c r="C174" i="3"/>
  <c r="G174" i="3" s="1"/>
  <c r="C173" i="3"/>
  <c r="E173" i="3" s="1"/>
  <c r="C172" i="3"/>
  <c r="G172" i="3" s="1"/>
  <c r="C171" i="3"/>
  <c r="G171" i="3" s="1"/>
  <c r="C170" i="3"/>
  <c r="E170" i="3" s="1"/>
  <c r="C169" i="3"/>
  <c r="G169" i="3" s="1"/>
  <c r="C168" i="3"/>
  <c r="F168" i="3" s="1"/>
  <c r="C167" i="3"/>
  <c r="G167" i="3" s="1"/>
  <c r="C166" i="3"/>
  <c r="G166" i="3" s="1"/>
  <c r="C165" i="3"/>
  <c r="F165" i="3" s="1"/>
  <c r="C164" i="3"/>
  <c r="G164" i="3" s="1"/>
  <c r="C163" i="3"/>
  <c r="G163" i="3" s="1"/>
  <c r="C162" i="3"/>
  <c r="D162" i="3" s="1"/>
  <c r="C161" i="3"/>
  <c r="G161" i="3" s="1"/>
  <c r="C160" i="3"/>
  <c r="G160" i="3" s="1"/>
  <c r="C159" i="3"/>
  <c r="D159" i="3" s="1"/>
  <c r="C158" i="3"/>
  <c r="D158" i="3" s="1"/>
  <c r="C157" i="3"/>
  <c r="G157" i="3" s="1"/>
  <c r="C156" i="3"/>
  <c r="E156" i="3" s="1"/>
  <c r="C155" i="3"/>
  <c r="G155" i="3" s="1"/>
  <c r="C154" i="3"/>
  <c r="G154" i="3" s="1"/>
  <c r="C153" i="3"/>
  <c r="D153" i="3" s="1"/>
  <c r="C152" i="3"/>
  <c r="G152" i="3" s="1"/>
  <c r="C151" i="3"/>
  <c r="F151" i="3" s="1"/>
  <c r="C150" i="3"/>
  <c r="D150" i="3" s="1"/>
  <c r="C149" i="3"/>
  <c r="F149" i="3" s="1"/>
  <c r="C148" i="3"/>
  <c r="E148" i="3" s="1"/>
  <c r="C147" i="3"/>
  <c r="E147" i="3" s="1"/>
  <c r="C146" i="3"/>
  <c r="G146" i="3" s="1"/>
  <c r="C145" i="3"/>
  <c r="D145" i="3" s="1"/>
  <c r="C144" i="3"/>
  <c r="E144" i="3" s="1"/>
  <c r="C143" i="3"/>
  <c r="G143" i="3" s="1"/>
  <c r="C142" i="3"/>
  <c r="D142" i="3" s="1"/>
  <c r="C141" i="3"/>
  <c r="D141" i="3" s="1"/>
  <c r="C140" i="3"/>
  <c r="D140" i="3" s="1"/>
  <c r="C139" i="3"/>
  <c r="E139" i="3" s="1"/>
  <c r="C138" i="3"/>
  <c r="E138" i="3" s="1"/>
  <c r="C137" i="3"/>
  <c r="G137" i="3" s="1"/>
  <c r="C136" i="3"/>
  <c r="D136" i="3" s="1"/>
  <c r="C135" i="3"/>
  <c r="D135" i="3" s="1"/>
  <c r="C134" i="3"/>
  <c r="D134" i="3" s="1"/>
  <c r="C133" i="3"/>
  <c r="G133" i="3" s="1"/>
  <c r="C132" i="3"/>
  <c r="G132" i="3" s="1"/>
  <c r="C131" i="3"/>
  <c r="F131" i="3" s="1"/>
  <c r="C130" i="3"/>
  <c r="D130" i="3" s="1"/>
  <c r="C129" i="3"/>
  <c r="G129" i="3" s="1"/>
  <c r="C128" i="3"/>
  <c r="F128" i="3" s="1"/>
  <c r="C127" i="3"/>
  <c r="E127" i="3" s="1"/>
  <c r="C126" i="3"/>
  <c r="G126" i="3" s="1"/>
  <c r="C125" i="3"/>
  <c r="E125" i="3" s="1"/>
  <c r="C124" i="3"/>
  <c r="F124" i="3" s="1"/>
  <c r="C123" i="3"/>
  <c r="F123" i="3" s="1"/>
  <c r="C122" i="3"/>
  <c r="G122" i="3" s="1"/>
  <c r="C121" i="3"/>
  <c r="F121" i="3" s="1"/>
  <c r="C120" i="3"/>
  <c r="G120" i="3" s="1"/>
  <c r="C119" i="3"/>
  <c r="D119" i="3" s="1"/>
  <c r="C118" i="3"/>
  <c r="D118" i="3" s="1"/>
  <c r="C117" i="3"/>
  <c r="D117" i="3" s="1"/>
  <c r="C116" i="3"/>
  <c r="G116" i="3" s="1"/>
  <c r="C115" i="3"/>
  <c r="G115" i="3" s="1"/>
  <c r="C114" i="3"/>
  <c r="E114" i="3" s="1"/>
  <c r="C113" i="3"/>
  <c r="D113" i="3" s="1"/>
  <c r="C112" i="3"/>
  <c r="F112" i="3" s="1"/>
  <c r="C111" i="3"/>
  <c r="C110" i="3"/>
  <c r="G110" i="3" s="1"/>
  <c r="C109" i="3"/>
  <c r="E109" i="3" s="1"/>
  <c r="C108" i="3"/>
  <c r="F108" i="3" s="1"/>
  <c r="C107" i="3"/>
  <c r="G107" i="3" s="1"/>
  <c r="C106" i="3"/>
  <c r="C105" i="3"/>
  <c r="G105" i="3" s="1"/>
  <c r="C104" i="3"/>
  <c r="D104" i="3" s="1"/>
  <c r="C103" i="3"/>
  <c r="E103" i="3" s="1"/>
  <c r="C102" i="3"/>
  <c r="G102" i="3" s="1"/>
  <c r="C101" i="3"/>
  <c r="F101" i="3" s="1"/>
  <c r="C100" i="3"/>
  <c r="D100" i="3" s="1"/>
  <c r="C99" i="3"/>
  <c r="G99" i="3" s="1"/>
  <c r="C98" i="3"/>
  <c r="G98" i="3" s="1"/>
  <c r="C97" i="3"/>
  <c r="G97" i="3" s="1"/>
  <c r="C96" i="3"/>
  <c r="G96" i="3" s="1"/>
  <c r="C95" i="3"/>
  <c r="E95" i="3" s="1"/>
  <c r="C94" i="3"/>
  <c r="F94" i="3" s="1"/>
  <c r="C93" i="3"/>
  <c r="G93" i="3" s="1"/>
  <c r="C92" i="3"/>
  <c r="G92" i="3" s="1"/>
  <c r="C91" i="3"/>
  <c r="E91" i="3" s="1"/>
  <c r="C90" i="3"/>
  <c r="D90" i="3" s="1"/>
  <c r="C89" i="3"/>
  <c r="E89" i="3" s="1"/>
  <c r="C88" i="3"/>
  <c r="E88" i="3" s="1"/>
  <c r="C87" i="3"/>
  <c r="E87" i="3" s="1"/>
  <c r="C86" i="3"/>
  <c r="G86" i="3" s="1"/>
  <c r="C85" i="3"/>
  <c r="G85" i="3" s="1"/>
  <c r="D84" i="3"/>
  <c r="C83" i="3"/>
  <c r="E83" i="3" s="1"/>
  <c r="C82" i="3"/>
  <c r="G82" i="3" s="1"/>
  <c r="C81" i="3"/>
  <c r="G81" i="3" s="1"/>
  <c r="G52" i="3"/>
  <c r="D51" i="3"/>
  <c r="E47" i="3"/>
  <c r="E43" i="3"/>
  <c r="D39" i="3"/>
  <c r="C5" i="3"/>
  <c r="O5" i="3"/>
  <c r="D47" i="3"/>
  <c r="E36" i="3"/>
  <c r="D35" i="3"/>
  <c r="E35" i="3"/>
  <c r="E50" i="3"/>
  <c r="F50" i="3"/>
  <c r="G23" i="3"/>
  <c r="D43" i="3"/>
  <c r="D45" i="3"/>
  <c r="G35" i="3"/>
  <c r="E48" i="3"/>
  <c r="D38" i="3"/>
  <c r="F46" i="3"/>
  <c r="D23" i="3"/>
  <c r="D36" i="3"/>
  <c r="G38" i="3"/>
  <c r="E39" i="3"/>
  <c r="F42" i="3"/>
  <c r="D50" i="3"/>
  <c r="G42" i="3"/>
  <c r="E23" i="3"/>
  <c r="D24" i="3"/>
  <c r="D34" i="3"/>
  <c r="E38" i="3"/>
  <c r="D40" i="3"/>
  <c r="G48" i="3"/>
  <c r="D52" i="3"/>
  <c r="E24" i="3"/>
  <c r="E34" i="3"/>
  <c r="E40" i="3"/>
  <c r="D42" i="3"/>
  <c r="E52" i="3"/>
  <c r="F52" i="3"/>
  <c r="D37" i="3"/>
  <c r="D46" i="3"/>
  <c r="E46" i="3"/>
  <c r="G51" i="3"/>
  <c r="F51" i="3"/>
  <c r="D48" i="3"/>
  <c r="E51" i="3"/>
  <c r="F35" i="3"/>
  <c r="F23" i="3"/>
  <c r="D9" i="3" l="1"/>
  <c r="E9" i="3"/>
  <c r="F9" i="3"/>
  <c r="G9" i="3"/>
  <c r="R11" i="2"/>
  <c r="G106" i="3"/>
  <c r="E12" i="20"/>
  <c r="E60" i="20"/>
  <c r="S32" i="2"/>
  <c r="R32" i="2"/>
  <c r="E20" i="3"/>
  <c r="E11" i="3"/>
  <c r="F31" i="3"/>
  <c r="F12" i="3"/>
  <c r="D30" i="3"/>
  <c r="E12" i="3"/>
  <c r="G12" i="3"/>
  <c r="E67" i="3"/>
  <c r="G28" i="3"/>
  <c r="D59" i="3"/>
  <c r="D75" i="3"/>
  <c r="F59" i="3"/>
  <c r="E75" i="3"/>
  <c r="G59" i="3"/>
  <c r="F75" i="3"/>
  <c r="H75" i="3" s="1"/>
  <c r="E76" i="3"/>
  <c r="D60" i="3"/>
  <c r="F60" i="3"/>
  <c r="G21" i="3"/>
  <c r="F21" i="3"/>
  <c r="F173" i="3"/>
  <c r="E56" i="3"/>
  <c r="D64" i="3"/>
  <c r="G27" i="3"/>
  <c r="E157" i="3"/>
  <c r="G78" i="3"/>
  <c r="F78" i="3"/>
  <c r="F70" i="3"/>
  <c r="H70" i="3" s="1"/>
  <c r="E54" i="3"/>
  <c r="E15" i="3"/>
  <c r="D31" i="3"/>
  <c r="F68" i="3"/>
  <c r="H68" i="3" s="1"/>
  <c r="D70" i="3"/>
  <c r="G173" i="3"/>
  <c r="G141" i="3"/>
  <c r="D173" i="3"/>
  <c r="F157" i="3"/>
  <c r="H157" i="3" s="1"/>
  <c r="G149" i="3"/>
  <c r="H149" i="3" s="1"/>
  <c r="E6" i="3"/>
  <c r="F109" i="3"/>
  <c r="F117" i="3"/>
  <c r="E62" i="3"/>
  <c r="D62" i="3"/>
  <c r="F62" i="3"/>
  <c r="H62" i="3" s="1"/>
  <c r="G19" i="3"/>
  <c r="H19" i="3" s="1"/>
  <c r="E149" i="3"/>
  <c r="D125" i="3"/>
  <c r="G109" i="3"/>
  <c r="E141" i="3"/>
  <c r="F16" i="3"/>
  <c r="D163" i="3"/>
  <c r="D109" i="3"/>
  <c r="G117" i="3"/>
  <c r="G125" i="3"/>
  <c r="F125" i="3"/>
  <c r="D101" i="3"/>
  <c r="E101" i="3"/>
  <c r="G101" i="3"/>
  <c r="H101" i="3" s="1"/>
  <c r="G136" i="3"/>
  <c r="E165" i="3"/>
  <c r="G165" i="3"/>
  <c r="H165" i="3" s="1"/>
  <c r="G76" i="3"/>
  <c r="F76" i="3"/>
  <c r="G72" i="3"/>
  <c r="D72" i="3"/>
  <c r="F72" i="3"/>
  <c r="F27" i="3"/>
  <c r="F163" i="3"/>
  <c r="H163" i="3" s="1"/>
  <c r="E171" i="3"/>
  <c r="D171" i="3"/>
  <c r="D157" i="3"/>
  <c r="D78" i="3"/>
  <c r="E70" i="3"/>
  <c r="D68" i="3"/>
  <c r="E64" i="3"/>
  <c r="D56" i="3"/>
  <c r="D149" i="3"/>
  <c r="F141" i="3"/>
  <c r="D85" i="3"/>
  <c r="F56" i="3"/>
  <c r="H56" i="3" s="1"/>
  <c r="E27" i="3"/>
  <c r="D165" i="3"/>
  <c r="F133" i="3"/>
  <c r="H133" i="3" s="1"/>
  <c r="E80" i="3"/>
  <c r="E60" i="3"/>
  <c r="E133" i="3"/>
  <c r="D80" i="3"/>
  <c r="E68" i="3"/>
  <c r="D133" i="3"/>
  <c r="G31" i="3"/>
  <c r="G60" i="3"/>
  <c r="D126" i="3"/>
  <c r="F79" i="3"/>
  <c r="H79" i="3" s="1"/>
  <c r="E163" i="3"/>
  <c r="D91" i="3"/>
  <c r="D83" i="3"/>
  <c r="D139" i="3"/>
  <c r="D123" i="3"/>
  <c r="D115" i="3"/>
  <c r="F107" i="3"/>
  <c r="H107" i="3" s="1"/>
  <c r="F115" i="3"/>
  <c r="H115" i="3" s="1"/>
  <c r="D131" i="3"/>
  <c r="G123" i="3"/>
  <c r="H123" i="3" s="1"/>
  <c r="E123" i="3"/>
  <c r="D147" i="3"/>
  <c r="F171" i="3"/>
  <c r="H171" i="3" s="1"/>
  <c r="G147" i="3"/>
  <c r="F155" i="3"/>
  <c r="H155" i="3" s="1"/>
  <c r="G131" i="3"/>
  <c r="H131" i="3" s="1"/>
  <c r="E146" i="3"/>
  <c r="G130" i="3"/>
  <c r="E160" i="3"/>
  <c r="D120" i="3"/>
  <c r="D112" i="3"/>
  <c r="F152" i="3"/>
  <c r="H152" i="3" s="1"/>
  <c r="F160" i="3"/>
  <c r="H160" i="3" s="1"/>
  <c r="E120" i="3"/>
  <c r="D144" i="3"/>
  <c r="E112" i="3"/>
  <c r="D168" i="3"/>
  <c r="D160" i="3"/>
  <c r="F144" i="3"/>
  <c r="D172" i="3"/>
  <c r="E140" i="3"/>
  <c r="F132" i="3"/>
  <c r="H132" i="3" s="1"/>
  <c r="F140" i="3"/>
  <c r="F164" i="3"/>
  <c r="H164" i="3" s="1"/>
  <c r="G84" i="3"/>
  <c r="G140" i="3"/>
  <c r="D132" i="3"/>
  <c r="F172" i="3"/>
  <c r="H172" i="3" s="1"/>
  <c r="E164" i="3"/>
  <c r="E172" i="3"/>
  <c r="D156" i="3"/>
  <c r="D107" i="3"/>
  <c r="G91" i="3"/>
  <c r="F6" i="3"/>
  <c r="H6" i="3" s="1"/>
  <c r="E115" i="3"/>
  <c r="E131" i="3"/>
  <c r="D32" i="3"/>
  <c r="G83" i="3"/>
  <c r="E22" i="3"/>
  <c r="F162" i="3"/>
  <c r="G22" i="3"/>
  <c r="E155" i="3"/>
  <c r="E107" i="3"/>
  <c r="D155" i="3"/>
  <c r="D6" i="3"/>
  <c r="F138" i="3"/>
  <c r="D154" i="3"/>
  <c r="D61" i="3"/>
  <c r="F147" i="3"/>
  <c r="F22" i="3"/>
  <c r="D138" i="3"/>
  <c r="G139" i="3"/>
  <c r="F139" i="3"/>
  <c r="G170" i="3"/>
  <c r="D18" i="3"/>
  <c r="E28" i="3"/>
  <c r="D10" i="3"/>
  <c r="E124" i="3"/>
  <c r="E117" i="3"/>
  <c r="D164" i="3"/>
  <c r="E84" i="3"/>
  <c r="G148" i="3"/>
  <c r="F174" i="3"/>
  <c r="H174" i="3" s="1"/>
  <c r="G66" i="3"/>
  <c r="D19" i="3"/>
  <c r="D166" i="3"/>
  <c r="G58" i="3"/>
  <c r="E19" i="3"/>
  <c r="D74" i="3"/>
  <c r="E58" i="3"/>
  <c r="F74" i="3"/>
  <c r="H74" i="3" s="1"/>
  <c r="E66" i="3"/>
  <c r="F58" i="3"/>
  <c r="E74" i="3"/>
  <c r="D86" i="3"/>
  <c r="F66" i="3"/>
  <c r="F134" i="3"/>
  <c r="E166" i="3"/>
  <c r="G150" i="3"/>
  <c r="E126" i="3"/>
  <c r="E118" i="3"/>
  <c r="F158" i="3"/>
  <c r="F126" i="3"/>
  <c r="H126" i="3" s="1"/>
  <c r="F118" i="3"/>
  <c r="D102" i="3"/>
  <c r="F166" i="3"/>
  <c r="H166" i="3" s="1"/>
  <c r="E174" i="3"/>
  <c r="D174" i="3"/>
  <c r="G118" i="3"/>
  <c r="E110" i="3"/>
  <c r="G134" i="3"/>
  <c r="D110" i="3"/>
  <c r="E134" i="3"/>
  <c r="G94" i="3"/>
  <c r="H94" i="3" s="1"/>
  <c r="D94" i="3"/>
  <c r="F110" i="3"/>
  <c r="H110" i="3" s="1"/>
  <c r="E94" i="3"/>
  <c r="F102" i="3"/>
  <c r="H102" i="3" s="1"/>
  <c r="E102" i="3"/>
  <c r="G142" i="3"/>
  <c r="G104" i="3"/>
  <c r="E108" i="3"/>
  <c r="E136" i="3"/>
  <c r="F92" i="3"/>
  <c r="H92" i="3" s="1"/>
  <c r="E132" i="3"/>
  <c r="E152" i="3"/>
  <c r="E96" i="3"/>
  <c r="D116" i="3"/>
  <c r="G112" i="3"/>
  <c r="H112" i="3" s="1"/>
  <c r="F84" i="3"/>
  <c r="D152" i="3"/>
  <c r="D124" i="3"/>
  <c r="G156" i="3"/>
  <c r="E168" i="3"/>
  <c r="G108" i="3"/>
  <c r="H108" i="3" s="1"/>
  <c r="F156" i="3"/>
  <c r="D108" i="3"/>
  <c r="D96" i="3"/>
  <c r="G144" i="3"/>
  <c r="F116" i="3"/>
  <c r="H116" i="3" s="1"/>
  <c r="F148" i="3"/>
  <c r="D148" i="3"/>
  <c r="F119" i="3"/>
  <c r="F95" i="3"/>
  <c r="F64" i="3"/>
  <c r="H64" i="3" s="1"/>
  <c r="G95" i="3"/>
  <c r="E151" i="3"/>
  <c r="G80" i="3"/>
  <c r="H80" i="3" s="1"/>
  <c r="E79" i="3"/>
  <c r="E8" i="3"/>
  <c r="E63" i="3"/>
  <c r="G16" i="3"/>
  <c r="E129" i="3"/>
  <c r="G71" i="3"/>
  <c r="F71" i="3"/>
  <c r="F63" i="3"/>
  <c r="E169" i="3"/>
  <c r="G63" i="3"/>
  <c r="E55" i="3"/>
  <c r="D16" i="3"/>
  <c r="E71" i="3"/>
  <c r="G121" i="3"/>
  <c r="H121" i="3" s="1"/>
  <c r="G128" i="3"/>
  <c r="H128" i="3" s="1"/>
  <c r="G168" i="3"/>
  <c r="H168" i="3" s="1"/>
  <c r="D79" i="3"/>
  <c r="G55" i="3"/>
  <c r="F55" i="3"/>
  <c r="F120" i="3"/>
  <c r="H120" i="3" s="1"/>
  <c r="E116" i="3"/>
  <c r="G124" i="3"/>
  <c r="H124" i="3" s="1"/>
  <c r="E143" i="3"/>
  <c r="D127" i="3"/>
  <c r="D95" i="3"/>
  <c r="E119" i="3"/>
  <c r="D167" i="3"/>
  <c r="G135" i="3"/>
  <c r="G127" i="3"/>
  <c r="D143" i="3"/>
  <c r="D103" i="3"/>
  <c r="F87" i="3"/>
  <c r="F167" i="3"/>
  <c r="H167" i="3" s="1"/>
  <c r="E135" i="3"/>
  <c r="G87" i="3"/>
  <c r="D87" i="3"/>
  <c r="F135" i="3"/>
  <c r="F127" i="3"/>
  <c r="G103" i="3"/>
  <c r="G159" i="3"/>
  <c r="D151" i="3"/>
  <c r="G119" i="3"/>
  <c r="F143" i="3"/>
  <c r="H143" i="3" s="1"/>
  <c r="F136" i="3"/>
  <c r="E167" i="3"/>
  <c r="E159" i="3"/>
  <c r="F159" i="3"/>
  <c r="F122" i="3"/>
  <c r="H122" i="3" s="1"/>
  <c r="F83" i="3"/>
  <c r="G37" i="23"/>
  <c r="H21" i="23" s="1"/>
  <c r="F37" i="23"/>
  <c r="G21" i="23" s="1"/>
  <c r="L21" i="23" s="1"/>
  <c r="E33" i="3"/>
  <c r="E128" i="3"/>
  <c r="Q38" i="3"/>
  <c r="G54" i="3"/>
  <c r="H54" i="3" s="1"/>
  <c r="D54" i="3"/>
  <c r="Q41" i="3"/>
  <c r="R38" i="3"/>
  <c r="Q31" i="3"/>
  <c r="E122" i="3"/>
  <c r="E7" i="3"/>
  <c r="F37" i="3"/>
  <c r="D11" i="3"/>
  <c r="D121" i="3"/>
  <c r="E113" i="3"/>
  <c r="E161" i="3"/>
  <c r="D169" i="3"/>
  <c r="F73" i="3"/>
  <c r="F161" i="3"/>
  <c r="H161" i="3" s="1"/>
  <c r="D129" i="3"/>
  <c r="D161" i="3"/>
  <c r="F49" i="3"/>
  <c r="H49" i="3" s="1"/>
  <c r="D97" i="3"/>
  <c r="D33" i="3"/>
  <c r="E145" i="3"/>
  <c r="D137" i="3"/>
  <c r="F169" i="3"/>
  <c r="H169" i="3" s="1"/>
  <c r="E121" i="3"/>
  <c r="F105" i="3"/>
  <c r="H105" i="3" s="1"/>
  <c r="E105" i="3"/>
  <c r="E153" i="3"/>
  <c r="D105" i="3"/>
  <c r="F137" i="3"/>
  <c r="H137" i="3" s="1"/>
  <c r="E97" i="3"/>
  <c r="G153" i="3"/>
  <c r="F129" i="3"/>
  <c r="H129" i="3" s="1"/>
  <c r="G145" i="3"/>
  <c r="F113" i="3"/>
  <c r="E137" i="3"/>
  <c r="G113" i="3"/>
  <c r="F145" i="3"/>
  <c r="F153" i="3"/>
  <c r="R41" i="3"/>
  <c r="D128" i="3"/>
  <c r="E44" i="3"/>
  <c r="S41" i="3"/>
  <c r="G36" i="3"/>
  <c r="T41" i="3"/>
  <c r="E17" i="3"/>
  <c r="E14" i="3"/>
  <c r="G36" i="23"/>
  <c r="D146" i="3"/>
  <c r="E90" i="3"/>
  <c r="F90" i="3"/>
  <c r="D106" i="3"/>
  <c r="E162" i="3"/>
  <c r="D114" i="3"/>
  <c r="D122" i="3"/>
  <c r="G162" i="3"/>
  <c r="F36" i="23"/>
  <c r="G90" i="3"/>
  <c r="D98" i="3"/>
  <c r="E106" i="3"/>
  <c r="F154" i="3"/>
  <c r="H154" i="3" s="1"/>
  <c r="E98" i="3"/>
  <c r="F106" i="3"/>
  <c r="G114" i="3"/>
  <c r="F114" i="3"/>
  <c r="F146" i="3"/>
  <c r="H146" i="3" s="1"/>
  <c r="E154" i="3"/>
  <c r="D170" i="3"/>
  <c r="F130" i="3"/>
  <c r="F98" i="3"/>
  <c r="H98" i="3" s="1"/>
  <c r="E130" i="3"/>
  <c r="G138" i="3"/>
  <c r="F170" i="3"/>
  <c r="G151" i="3"/>
  <c r="H151" i="3" s="1"/>
  <c r="R12" i="3"/>
  <c r="R2" i="3" s="1"/>
  <c r="G29" i="23"/>
  <c r="U5" i="3"/>
  <c r="G111" i="3"/>
  <c r="D111" i="3"/>
  <c r="F111" i="3"/>
  <c r="E111" i="3"/>
  <c r="E142" i="3"/>
  <c r="F142" i="3"/>
  <c r="F150" i="3"/>
  <c r="E150" i="3"/>
  <c r="G158" i="3"/>
  <c r="E158" i="3"/>
  <c r="E17" i="20"/>
  <c r="H17" i="20"/>
  <c r="F29" i="23"/>
  <c r="D38" i="20"/>
  <c r="F27" i="20"/>
  <c r="G38" i="23"/>
  <c r="F38" i="23"/>
  <c r="D5" i="3"/>
  <c r="R31" i="3"/>
  <c r="T31" i="3"/>
  <c r="D20" i="3"/>
  <c r="D25" i="20"/>
  <c r="F38" i="20"/>
  <c r="H21" i="20"/>
  <c r="G21" i="20"/>
  <c r="E21" i="20"/>
  <c r="E18" i="20"/>
  <c r="F21" i="20"/>
  <c r="H30" i="20"/>
  <c r="H24" i="20"/>
  <c r="D11" i="20"/>
  <c r="S31" i="3"/>
  <c r="E37" i="3"/>
  <c r="Q8" i="3"/>
  <c r="Q1" i="3" s="1"/>
  <c r="D23" i="20"/>
  <c r="F23" i="20"/>
  <c r="D16" i="20"/>
  <c r="E16" i="20"/>
  <c r="F16" i="20"/>
  <c r="D9" i="20"/>
  <c r="E20" i="20"/>
  <c r="H20" i="20"/>
  <c r="F86" i="3"/>
  <c r="H86" i="3" s="1"/>
  <c r="E86" i="3"/>
  <c r="F9" i="20"/>
  <c r="F6" i="20"/>
  <c r="D6" i="20"/>
  <c r="D20" i="20"/>
  <c r="E37" i="20"/>
  <c r="H37" i="20"/>
  <c r="I37" i="20" s="1"/>
  <c r="J37" i="20" s="1"/>
  <c r="F37" i="20"/>
  <c r="E29" i="20"/>
  <c r="G20" i="20"/>
  <c r="F20" i="20"/>
  <c r="H26" i="20"/>
  <c r="E26" i="20"/>
  <c r="G26" i="20"/>
  <c r="F26" i="20"/>
  <c r="N4" i="21"/>
  <c r="O4" i="21" s="1"/>
  <c r="O3" i="21" s="1"/>
  <c r="E25" i="20"/>
  <c r="F25" i="20"/>
  <c r="J5" i="21"/>
  <c r="Q34" i="3"/>
  <c r="E21" i="3"/>
  <c r="E13" i="3"/>
  <c r="R34" i="3"/>
  <c r="D25" i="3"/>
  <c r="F69" i="3"/>
  <c r="F103" i="3"/>
  <c r="E99" i="3"/>
  <c r="G73" i="3"/>
  <c r="G53" i="3"/>
  <c r="H53" i="3" s="1"/>
  <c r="D65" i="3"/>
  <c r="F65" i="3"/>
  <c r="D92" i="3"/>
  <c r="D53" i="3"/>
  <c r="E49" i="3"/>
  <c r="D49" i="3"/>
  <c r="G25" i="3"/>
  <c r="E85" i="3"/>
  <c r="G45" i="3"/>
  <c r="H45" i="3" s="1"/>
  <c r="E81" i="3"/>
  <c r="F96" i="3"/>
  <c r="H96" i="3" s="1"/>
  <c r="D88" i="3"/>
  <c r="E41" i="3"/>
  <c r="E61" i="3"/>
  <c r="D81" i="3"/>
  <c r="F25" i="3"/>
  <c r="F17" i="3"/>
  <c r="F29" i="3"/>
  <c r="D99" i="3"/>
  <c r="F61" i="3"/>
  <c r="H61" i="3" s="1"/>
  <c r="G65" i="3"/>
  <c r="E92" i="3"/>
  <c r="E53" i="3"/>
  <c r="F85" i="3"/>
  <c r="H85" i="3" s="1"/>
  <c r="F81" i="3"/>
  <c r="H81" i="3" s="1"/>
  <c r="F99" i="3"/>
  <c r="H99" i="3" s="1"/>
  <c r="G88" i="3"/>
  <c r="F88" i="3"/>
  <c r="D77" i="3"/>
  <c r="E57" i="3"/>
  <c r="G17" i="20"/>
  <c r="E24" i="20"/>
  <c r="F22" i="20"/>
  <c r="E27" i="20"/>
  <c r="F93" i="3"/>
  <c r="H93" i="3" s="1"/>
  <c r="G100" i="3"/>
  <c r="E82" i="3"/>
  <c r="G89" i="3"/>
  <c r="G29" i="3"/>
  <c r="E5" i="3"/>
  <c r="G69" i="3"/>
  <c r="E29" i="3"/>
  <c r="G57" i="3"/>
  <c r="H57" i="3" s="1"/>
  <c r="L57" i="3" s="1"/>
  <c r="D21" i="3"/>
  <c r="E73" i="3"/>
  <c r="F77" i="3"/>
  <c r="G22" i="20"/>
  <c r="D41" i="20"/>
  <c r="H32" i="20"/>
  <c r="E104" i="3"/>
  <c r="E93" i="3"/>
  <c r="F82" i="3"/>
  <c r="H82" i="3" s="1"/>
  <c r="G41" i="3"/>
  <c r="F100" i="3"/>
  <c r="D82" i="3"/>
  <c r="F89" i="3"/>
  <c r="G37" i="3"/>
  <c r="D93" i="3"/>
  <c r="D69" i="3"/>
  <c r="D57" i="3"/>
  <c r="G77" i="3"/>
  <c r="F11" i="20"/>
  <c r="G25" i="20"/>
  <c r="I25" i="20" s="1"/>
  <c r="J25" i="20" s="1"/>
  <c r="H18" i="20"/>
  <c r="G40" i="20"/>
  <c r="E31" i="20"/>
  <c r="D89" i="3"/>
  <c r="F104" i="3"/>
  <c r="E45" i="3"/>
  <c r="F97" i="3"/>
  <c r="H97" i="3" s="1"/>
  <c r="E100" i="3"/>
  <c r="F91" i="3"/>
  <c r="G24" i="20"/>
  <c r="F19" i="20"/>
  <c r="H14" i="20"/>
  <c r="F40" i="20"/>
  <c r="F28" i="20"/>
  <c r="H40" i="20"/>
  <c r="D27" i="20"/>
  <c r="G39" i="3"/>
  <c r="H33" i="23"/>
  <c r="H37" i="23"/>
  <c r="D13" i="3"/>
  <c r="H39" i="23"/>
  <c r="T8" i="3"/>
  <c r="T2" i="3" s="1"/>
  <c r="S8" i="3"/>
  <c r="F8" i="20"/>
  <c r="D7" i="20"/>
  <c r="F39" i="20"/>
  <c r="E39" i="20"/>
  <c r="G39" i="20"/>
  <c r="I39" i="20" s="1"/>
  <c r="J39" i="20" s="1"/>
  <c r="D39" i="20"/>
  <c r="D12" i="20"/>
  <c r="F12" i="20"/>
  <c r="F3" i="20"/>
  <c r="E34" i="20"/>
  <c r="G34" i="20"/>
  <c r="D34" i="20"/>
  <c r="F34" i="20"/>
  <c r="D33" i="20"/>
  <c r="F33" i="20"/>
  <c r="F17" i="20"/>
  <c r="H36" i="20"/>
  <c r="J4" i="21"/>
  <c r="G10" i="20"/>
  <c r="F10" i="20"/>
  <c r="H19" i="20"/>
  <c r="G30" i="20"/>
  <c r="F32" i="20"/>
  <c r="H38" i="20"/>
  <c r="G38" i="20"/>
  <c r="D37" i="20"/>
  <c r="E22" i="20"/>
  <c r="H35" i="20"/>
  <c r="G36" i="20"/>
  <c r="D35" i="20"/>
  <c r="D29" i="20"/>
  <c r="F29" i="20"/>
  <c r="F30" i="20"/>
  <c r="G32" i="20"/>
  <c r="H52" i="3"/>
  <c r="H38" i="3"/>
  <c r="L38" i="3" s="1"/>
  <c r="H29" i="23"/>
  <c r="H44" i="23"/>
  <c r="S38" i="3"/>
  <c r="H28" i="23"/>
  <c r="F67" i="3"/>
  <c r="S12" i="3"/>
  <c r="U12" i="3" s="1"/>
  <c r="F18" i="3"/>
  <c r="E26" i="3"/>
  <c r="F41" i="3"/>
  <c r="G34" i="3"/>
  <c r="I18" i="23"/>
  <c r="H45" i="23"/>
  <c r="H22" i="20"/>
  <c r="D24" i="20"/>
  <c r="G41" i="20"/>
  <c r="G19" i="20"/>
  <c r="E19" i="20"/>
  <c r="D13" i="20"/>
  <c r="D8" i="20"/>
  <c r="G35" i="20"/>
  <c r="E35" i="20"/>
  <c r="G31" i="20"/>
  <c r="I31" i="20" s="1"/>
  <c r="J31" i="20" s="1"/>
  <c r="G13" i="20"/>
  <c r="H16" i="20"/>
  <c r="G16" i="20"/>
  <c r="E13" i="20"/>
  <c r="E32" i="20"/>
  <c r="H41" i="20"/>
  <c r="D17" i="20"/>
  <c r="D28" i="20"/>
  <c r="G28" i="20"/>
  <c r="I28" i="20" s="1"/>
  <c r="J28" i="20" s="1"/>
  <c r="E28" i="20"/>
  <c r="H15" i="20"/>
  <c r="E15" i="20"/>
  <c r="F15" i="20"/>
  <c r="F13" i="20"/>
  <c r="D31" i="20"/>
  <c r="G15" i="20"/>
  <c r="E41" i="20"/>
  <c r="F31" i="20"/>
  <c r="D36" i="20"/>
  <c r="E36" i="20"/>
  <c r="G18" i="20"/>
  <c r="F14" i="20"/>
  <c r="H33" i="20"/>
  <c r="I33" i="20" s="1"/>
  <c r="J33" i="20" s="1"/>
  <c r="H34" i="20"/>
  <c r="D30" i="20"/>
  <c r="D18" i="20"/>
  <c r="D14" i="20"/>
  <c r="D10" i="20"/>
  <c r="G14" i="20"/>
  <c r="E33" i="20"/>
  <c r="G45" i="23"/>
  <c r="H9" i="23" s="1"/>
  <c r="H46" i="23"/>
  <c r="B21" i="23"/>
  <c r="B18" i="23"/>
  <c r="U7" i="3"/>
  <c r="C6" i="15"/>
  <c r="H34" i="23"/>
  <c r="C21" i="23"/>
  <c r="C18" i="23"/>
  <c r="G18" i="23"/>
  <c r="L18" i="23" s="1"/>
  <c r="H18" i="23"/>
  <c r="S4" i="2"/>
  <c r="H48" i="3"/>
  <c r="U33" i="3"/>
  <c r="H42" i="3"/>
  <c r="H47" i="23"/>
  <c r="U6" i="3"/>
  <c r="H36" i="23"/>
  <c r="H32" i="23"/>
  <c r="H38" i="23"/>
  <c r="H35" i="23"/>
  <c r="H31" i="23"/>
  <c r="H41" i="23"/>
  <c r="H43" i="23"/>
  <c r="U32" i="3"/>
  <c r="H42" i="23"/>
  <c r="I9" i="23"/>
  <c r="I12" i="23"/>
  <c r="U14" i="3"/>
  <c r="U11" i="3"/>
  <c r="U10" i="3"/>
  <c r="I21" i="23"/>
  <c r="U51" i="3"/>
  <c r="U45" i="3"/>
  <c r="U44" i="3"/>
  <c r="U42" i="3"/>
  <c r="U40" i="3"/>
  <c r="U39" i="3"/>
  <c r="U36" i="3"/>
  <c r="U35" i="3"/>
  <c r="U23" i="3"/>
  <c r="H30" i="23"/>
  <c r="H40" i="23"/>
  <c r="F45" i="23"/>
  <c r="G9" i="23" s="1"/>
  <c r="L9" i="23" s="1"/>
  <c r="G31" i="23"/>
  <c r="G28" i="23"/>
  <c r="C9" i="23"/>
  <c r="F31" i="23"/>
  <c r="G35" i="23"/>
  <c r="I6" i="23"/>
  <c r="B6" i="23"/>
  <c r="B12" i="23"/>
  <c r="B15" i="23"/>
  <c r="H15" i="23"/>
  <c r="C6" i="23"/>
  <c r="F28" i="23"/>
  <c r="F35" i="23"/>
  <c r="R2" i="2"/>
  <c r="T4" i="2" s="1"/>
  <c r="U18" i="3"/>
  <c r="U15" i="3"/>
  <c r="U9" i="3"/>
  <c r="H51" i="3"/>
  <c r="U27" i="3"/>
  <c r="U24" i="3"/>
  <c r="U22" i="3"/>
  <c r="U21" i="3"/>
  <c r="U55" i="3"/>
  <c r="U53" i="3"/>
  <c r="U52" i="3"/>
  <c r="U47" i="3"/>
  <c r="U37" i="3"/>
  <c r="H23" i="3"/>
  <c r="H35" i="3"/>
  <c r="U19" i="3"/>
  <c r="U17" i="3"/>
  <c r="U16" i="3"/>
  <c r="U13" i="3"/>
  <c r="B9" i="23"/>
  <c r="C12" i="23"/>
  <c r="G15" i="23"/>
  <c r="L15" i="23" s="1"/>
  <c r="U26" i="3"/>
  <c r="U25" i="3"/>
  <c r="U54" i="3"/>
  <c r="U50" i="3"/>
  <c r="U49" i="3"/>
  <c r="U48" i="3"/>
  <c r="U46" i="3"/>
  <c r="U43" i="3"/>
  <c r="C15" i="23"/>
  <c r="I15" i="23"/>
  <c r="U20" i="3"/>
  <c r="U29" i="3"/>
  <c r="U28" i="3"/>
  <c r="H106" i="3" l="1"/>
  <c r="I106" i="3" s="1"/>
  <c r="J106" i="3" s="1"/>
  <c r="H9" i="3"/>
  <c r="E3" i="3"/>
  <c r="H70" i="20"/>
  <c r="E70" i="20"/>
  <c r="E23" i="20"/>
  <c r="H69" i="20"/>
  <c r="E69" i="20"/>
  <c r="E64" i="20"/>
  <c r="H12" i="3"/>
  <c r="L12" i="3" s="1"/>
  <c r="S33" i="2"/>
  <c r="R33" i="2"/>
  <c r="H31" i="3"/>
  <c r="L31" i="3" s="1"/>
  <c r="H59" i="3"/>
  <c r="I59" i="3" s="1"/>
  <c r="J59" i="3" s="1"/>
  <c r="J3" i="23"/>
  <c r="H21" i="3"/>
  <c r="H173" i="3"/>
  <c r="I173" i="3" s="1"/>
  <c r="J173" i="3" s="1"/>
  <c r="H27" i="3"/>
  <c r="L27" i="3" s="1"/>
  <c r="H78" i="3"/>
  <c r="I78" i="3" s="1"/>
  <c r="J78" i="3" s="1"/>
  <c r="H141" i="3"/>
  <c r="I141" i="3" s="1"/>
  <c r="J141" i="3" s="1"/>
  <c r="G12" i="23"/>
  <c r="L12" i="23" s="1"/>
  <c r="H136" i="3"/>
  <c r="I16" i="20"/>
  <c r="J16" i="20" s="1"/>
  <c r="H109" i="3"/>
  <c r="L109" i="3" s="1"/>
  <c r="H117" i="3"/>
  <c r="L117" i="3" s="1"/>
  <c r="H60" i="3"/>
  <c r="L60" i="3" s="1"/>
  <c r="H12" i="23"/>
  <c r="F12" i="23" s="1"/>
  <c r="H16" i="3"/>
  <c r="I16" i="3" s="1"/>
  <c r="J16" i="3" s="1"/>
  <c r="H125" i="3"/>
  <c r="L125" i="3" s="1"/>
  <c r="I99" i="3"/>
  <c r="J99" i="3" s="1"/>
  <c r="L99" i="3"/>
  <c r="I96" i="3"/>
  <c r="J96" i="3" s="1"/>
  <c r="L96" i="3"/>
  <c r="I53" i="3"/>
  <c r="J53" i="3" s="1"/>
  <c r="L53" i="3"/>
  <c r="I151" i="3"/>
  <c r="J151" i="3" s="1"/>
  <c r="L151" i="3"/>
  <c r="I98" i="3"/>
  <c r="J98" i="3" s="1"/>
  <c r="L98" i="3"/>
  <c r="I146" i="3"/>
  <c r="J146" i="3" s="1"/>
  <c r="L146" i="3"/>
  <c r="I116" i="3"/>
  <c r="J116" i="3" s="1"/>
  <c r="L116" i="3"/>
  <c r="I6" i="3"/>
  <c r="J6" i="3" s="1"/>
  <c r="L6" i="3"/>
  <c r="I160" i="3"/>
  <c r="J160" i="3" s="1"/>
  <c r="L160" i="3"/>
  <c r="I131" i="3"/>
  <c r="J131" i="3" s="1"/>
  <c r="L131" i="3"/>
  <c r="I115" i="3"/>
  <c r="J115" i="3" s="1"/>
  <c r="L115" i="3"/>
  <c r="I133" i="3"/>
  <c r="J133" i="3" s="1"/>
  <c r="L133" i="3"/>
  <c r="I23" i="3"/>
  <c r="J23" i="3" s="1"/>
  <c r="L23" i="3"/>
  <c r="I42" i="3"/>
  <c r="J42" i="3" s="1"/>
  <c r="L42" i="3"/>
  <c r="I68" i="3"/>
  <c r="J68" i="3" s="1"/>
  <c r="L68" i="3"/>
  <c r="I62" i="3"/>
  <c r="J62" i="3" s="1"/>
  <c r="L62" i="3"/>
  <c r="I81" i="3"/>
  <c r="J81" i="3" s="1"/>
  <c r="L81" i="3"/>
  <c r="I154" i="3"/>
  <c r="J154" i="3" s="1"/>
  <c r="L154" i="3"/>
  <c r="I169" i="3"/>
  <c r="J169" i="3" s="1"/>
  <c r="L169" i="3"/>
  <c r="I161" i="3"/>
  <c r="J161" i="3" s="1"/>
  <c r="L161" i="3"/>
  <c r="I122" i="3"/>
  <c r="J122" i="3" s="1"/>
  <c r="L122" i="3"/>
  <c r="I167" i="3"/>
  <c r="J167" i="3" s="1"/>
  <c r="L167" i="3"/>
  <c r="I124" i="3"/>
  <c r="J124" i="3" s="1"/>
  <c r="L124" i="3"/>
  <c r="I64" i="3"/>
  <c r="J64" i="3" s="1"/>
  <c r="L64" i="3"/>
  <c r="I108" i="3"/>
  <c r="J108" i="3" s="1"/>
  <c r="L108" i="3"/>
  <c r="I102" i="3"/>
  <c r="J102" i="3" s="1"/>
  <c r="L102" i="3"/>
  <c r="I94" i="3"/>
  <c r="J94" i="3" s="1"/>
  <c r="L94" i="3"/>
  <c r="I126" i="3"/>
  <c r="J126" i="3" s="1"/>
  <c r="L126" i="3"/>
  <c r="I74" i="3"/>
  <c r="J74" i="3" s="1"/>
  <c r="L74" i="3"/>
  <c r="I174" i="3"/>
  <c r="J174" i="3" s="1"/>
  <c r="L174" i="3"/>
  <c r="I132" i="3"/>
  <c r="J132" i="3" s="1"/>
  <c r="L132" i="3"/>
  <c r="I152" i="3"/>
  <c r="J152" i="3" s="1"/>
  <c r="L152" i="3"/>
  <c r="I155" i="3"/>
  <c r="J155" i="3" s="1"/>
  <c r="L155" i="3"/>
  <c r="I107" i="3"/>
  <c r="J107" i="3" s="1"/>
  <c r="L107" i="3"/>
  <c r="I79" i="3"/>
  <c r="J79" i="3" s="1"/>
  <c r="L79" i="3"/>
  <c r="I97" i="3"/>
  <c r="J97" i="3" s="1"/>
  <c r="L97" i="3"/>
  <c r="I85" i="3"/>
  <c r="J85" i="3" s="1"/>
  <c r="L85" i="3"/>
  <c r="I61" i="3"/>
  <c r="J61" i="3" s="1"/>
  <c r="L61" i="3"/>
  <c r="I86" i="3"/>
  <c r="J86" i="3" s="1"/>
  <c r="L86" i="3"/>
  <c r="I137" i="3"/>
  <c r="J137" i="3" s="1"/>
  <c r="L137" i="3"/>
  <c r="I49" i="3"/>
  <c r="J49" i="3" s="1"/>
  <c r="L49" i="3"/>
  <c r="I54" i="3"/>
  <c r="J54" i="3" s="1"/>
  <c r="L54" i="3"/>
  <c r="I143" i="3"/>
  <c r="J143" i="3" s="1"/>
  <c r="L143" i="3"/>
  <c r="I128" i="3"/>
  <c r="J128" i="3" s="1"/>
  <c r="L128" i="3"/>
  <c r="I80" i="3"/>
  <c r="J80" i="3" s="1"/>
  <c r="L80" i="3"/>
  <c r="I92" i="3"/>
  <c r="J92" i="3" s="1"/>
  <c r="L92" i="3"/>
  <c r="I166" i="3"/>
  <c r="J166" i="3" s="1"/>
  <c r="L166" i="3"/>
  <c r="I172" i="3"/>
  <c r="J172" i="3" s="1"/>
  <c r="L172" i="3"/>
  <c r="I123" i="3"/>
  <c r="J123" i="3" s="1"/>
  <c r="L123" i="3"/>
  <c r="I101" i="3"/>
  <c r="J101" i="3" s="1"/>
  <c r="L101" i="3"/>
  <c r="I48" i="3"/>
  <c r="J48" i="3" s="1"/>
  <c r="L48" i="3"/>
  <c r="I75" i="3"/>
  <c r="J75" i="3" s="1"/>
  <c r="L75" i="3"/>
  <c r="I35" i="3"/>
  <c r="J35" i="3" s="1"/>
  <c r="L35" i="3"/>
  <c r="I149" i="3"/>
  <c r="J149" i="3" s="1"/>
  <c r="L149" i="3"/>
  <c r="I19" i="3"/>
  <c r="J19" i="3" s="1"/>
  <c r="L19" i="3"/>
  <c r="I52" i="3"/>
  <c r="J52" i="3" s="1"/>
  <c r="L52" i="3"/>
  <c r="I157" i="3"/>
  <c r="J157" i="3" s="1"/>
  <c r="L157" i="3"/>
  <c r="I51" i="3"/>
  <c r="J51" i="3" s="1"/>
  <c r="L51" i="3"/>
  <c r="I70" i="3"/>
  <c r="J70" i="3" s="1"/>
  <c r="L70" i="3"/>
  <c r="I82" i="3"/>
  <c r="J82" i="3" s="1"/>
  <c r="L82" i="3"/>
  <c r="I93" i="3"/>
  <c r="J93" i="3" s="1"/>
  <c r="L93" i="3"/>
  <c r="I45" i="3"/>
  <c r="J45" i="3" s="1"/>
  <c r="L45" i="3"/>
  <c r="I129" i="3"/>
  <c r="J129" i="3" s="1"/>
  <c r="L129" i="3"/>
  <c r="I105" i="3"/>
  <c r="J105" i="3" s="1"/>
  <c r="L105" i="3"/>
  <c r="I120" i="3"/>
  <c r="J120" i="3" s="1"/>
  <c r="L120" i="3"/>
  <c r="I168" i="3"/>
  <c r="J168" i="3" s="1"/>
  <c r="L168" i="3"/>
  <c r="I121" i="3"/>
  <c r="J121" i="3" s="1"/>
  <c r="L121" i="3"/>
  <c r="I112" i="3"/>
  <c r="J112" i="3" s="1"/>
  <c r="L112" i="3"/>
  <c r="I110" i="3"/>
  <c r="J110" i="3" s="1"/>
  <c r="L110" i="3"/>
  <c r="I164" i="3"/>
  <c r="J164" i="3" s="1"/>
  <c r="L164" i="3"/>
  <c r="I171" i="3"/>
  <c r="J171" i="3" s="1"/>
  <c r="L171" i="3"/>
  <c r="I56" i="3"/>
  <c r="J56" i="3" s="1"/>
  <c r="L56" i="3"/>
  <c r="I163" i="3"/>
  <c r="J163" i="3" s="1"/>
  <c r="L163" i="3"/>
  <c r="I165" i="3"/>
  <c r="J165" i="3" s="1"/>
  <c r="L165" i="3"/>
  <c r="I57" i="3"/>
  <c r="J57" i="3" s="1"/>
  <c r="I38" i="3"/>
  <c r="J38" i="3" s="1"/>
  <c r="H72" i="3"/>
  <c r="H76" i="3"/>
  <c r="H147" i="3"/>
  <c r="H130" i="3"/>
  <c r="H91" i="3"/>
  <c r="H144" i="3"/>
  <c r="H95" i="3"/>
  <c r="H138" i="3"/>
  <c r="H84" i="3"/>
  <c r="H66" i="3"/>
  <c r="H22" i="3"/>
  <c r="H134" i="3"/>
  <c r="H142" i="3"/>
  <c r="H139" i="3"/>
  <c r="H63" i="3"/>
  <c r="H127" i="3"/>
  <c r="H150" i="3"/>
  <c r="H140" i="3"/>
  <c r="H58" i="3"/>
  <c r="H83" i="3"/>
  <c r="H170" i="3"/>
  <c r="H162" i="3"/>
  <c r="E11" i="20"/>
  <c r="H148" i="3"/>
  <c r="G11" i="20"/>
  <c r="E10" i="20"/>
  <c r="H118" i="3"/>
  <c r="H9" i="20"/>
  <c r="E8" i="20"/>
  <c r="H8" i="20"/>
  <c r="H87" i="3"/>
  <c r="H158" i="3"/>
  <c r="H103" i="3"/>
  <c r="H119" i="3"/>
  <c r="H156" i="3"/>
  <c r="H55" i="3"/>
  <c r="H104" i="3"/>
  <c r="E9" i="20"/>
  <c r="G32" i="23"/>
  <c r="E7" i="20"/>
  <c r="H135" i="3"/>
  <c r="H71" i="3"/>
  <c r="G70" i="20"/>
  <c r="E6" i="20"/>
  <c r="F32" i="23"/>
  <c r="G6" i="23" s="1"/>
  <c r="L6" i="23" s="1"/>
  <c r="H159" i="3"/>
  <c r="I17" i="20"/>
  <c r="J17" i="20" s="1"/>
  <c r="I21" i="20"/>
  <c r="J21" i="20" s="1"/>
  <c r="H13" i="20"/>
  <c r="I13" i="20" s="1"/>
  <c r="J13" i="20" s="1"/>
  <c r="I24" i="20"/>
  <c r="J24" i="20" s="1"/>
  <c r="I18" i="20"/>
  <c r="J18" i="20" s="1"/>
  <c r="I22" i="20"/>
  <c r="J22" i="20" s="1"/>
  <c r="I30" i="20"/>
  <c r="J30" i="20" s="1"/>
  <c r="H73" i="3"/>
  <c r="F10" i="3"/>
  <c r="F33" i="3"/>
  <c r="H33" i="3" s="1"/>
  <c r="T38" i="3"/>
  <c r="U38" i="3" s="1"/>
  <c r="F24" i="3"/>
  <c r="F32" i="3"/>
  <c r="F40" i="3"/>
  <c r="G47" i="3"/>
  <c r="G43" i="3"/>
  <c r="F28" i="3"/>
  <c r="H28" i="3" s="1"/>
  <c r="L28" i="3" s="1"/>
  <c r="G40" i="3"/>
  <c r="G46" i="3"/>
  <c r="H46" i="3" s="1"/>
  <c r="F43" i="3"/>
  <c r="G24" i="3"/>
  <c r="G30" i="3"/>
  <c r="H90" i="3"/>
  <c r="F20" i="3"/>
  <c r="F5" i="3"/>
  <c r="S34" i="3"/>
  <c r="G8" i="3"/>
  <c r="H153" i="3"/>
  <c r="H113" i="3"/>
  <c r="H37" i="3"/>
  <c r="I26" i="20"/>
  <c r="J26" i="20" s="1"/>
  <c r="U41" i="3"/>
  <c r="F21" i="23"/>
  <c r="H145" i="3"/>
  <c r="G44" i="3"/>
  <c r="G18" i="3"/>
  <c r="H18" i="3" s="1"/>
  <c r="F47" i="3"/>
  <c r="G10" i="3"/>
  <c r="F44" i="3"/>
  <c r="H114" i="3"/>
  <c r="F14" i="3"/>
  <c r="G17" i="3"/>
  <c r="H17" i="3" s="1"/>
  <c r="F26" i="3"/>
  <c r="G15" i="3"/>
  <c r="G26" i="3"/>
  <c r="G14" i="3"/>
  <c r="F15" i="3"/>
  <c r="H111" i="3"/>
  <c r="U31" i="3"/>
  <c r="I32" i="20"/>
  <c r="J32" i="20" s="1"/>
  <c r="I35" i="20"/>
  <c r="J35" i="20" s="1"/>
  <c r="H10" i="20"/>
  <c r="I10" i="20" s="1"/>
  <c r="J10" i="20" s="1"/>
  <c r="H11" i="20"/>
  <c r="I14" i="20"/>
  <c r="J14" i="20" s="1"/>
  <c r="F7" i="3"/>
  <c r="T34" i="3"/>
  <c r="F11" i="3"/>
  <c r="Q2" i="3"/>
  <c r="I40" i="20"/>
  <c r="J40" i="20" s="1"/>
  <c r="I34" i="20"/>
  <c r="J34" i="20" s="1"/>
  <c r="I19" i="20"/>
  <c r="J19" i="20" s="1"/>
  <c r="G32" i="3"/>
  <c r="F30" i="3"/>
  <c r="G20" i="3"/>
  <c r="H100" i="3"/>
  <c r="G5" i="3"/>
  <c r="G8" i="20"/>
  <c r="H88" i="3"/>
  <c r="H25" i="3"/>
  <c r="F8" i="3"/>
  <c r="H29" i="3"/>
  <c r="L29" i="3" s="1"/>
  <c r="H89" i="3"/>
  <c r="H77" i="3"/>
  <c r="H69" i="3"/>
  <c r="I20" i="20"/>
  <c r="J20" i="20" s="1"/>
  <c r="G67" i="3"/>
  <c r="H67" i="3" s="1"/>
  <c r="G50" i="3"/>
  <c r="H50" i="3" s="1"/>
  <c r="F39" i="3"/>
  <c r="H39" i="3" s="1"/>
  <c r="F36" i="3"/>
  <c r="H36" i="3" s="1"/>
  <c r="H6" i="20"/>
  <c r="H65" i="3"/>
  <c r="D3" i="3"/>
  <c r="H41" i="3"/>
  <c r="E3" i="18"/>
  <c r="D3" i="18"/>
  <c r="I41" i="20"/>
  <c r="J41" i="20" s="1"/>
  <c r="I36" i="20"/>
  <c r="J36" i="20" s="1"/>
  <c r="U8" i="3"/>
  <c r="S2" i="3"/>
  <c r="U2" i="3" s="1"/>
  <c r="I38" i="20"/>
  <c r="J38" i="20" s="1"/>
  <c r="F34" i="3"/>
  <c r="H34" i="3" s="1"/>
  <c r="F18" i="23"/>
  <c r="D18" i="23"/>
  <c r="D12" i="23"/>
  <c r="D9" i="23"/>
  <c r="I3" i="23"/>
  <c r="D21" i="23"/>
  <c r="G7" i="3"/>
  <c r="D15" i="23"/>
  <c r="F13" i="3"/>
  <c r="G11" i="3"/>
  <c r="H60" i="20"/>
  <c r="G60" i="20"/>
  <c r="E3" i="20"/>
  <c r="H27" i="20"/>
  <c r="G27" i="20"/>
  <c r="I15" i="20"/>
  <c r="J15" i="20" s="1"/>
  <c r="H29" i="20"/>
  <c r="G29" i="20"/>
  <c r="H23" i="20"/>
  <c r="F15" i="23"/>
  <c r="B3" i="23"/>
  <c r="C3" i="23"/>
  <c r="D6" i="23"/>
  <c r="F9" i="23"/>
  <c r="I136" i="3" l="1"/>
  <c r="J136" i="3" s="1"/>
  <c r="L136" i="3"/>
  <c r="L106" i="3"/>
  <c r="G69" i="20"/>
  <c r="I69" i="20" s="1"/>
  <c r="J69" i="20" s="1"/>
  <c r="I70" i="20"/>
  <c r="J70" i="20" s="1"/>
  <c r="I60" i="20"/>
  <c r="J60" i="20" s="1"/>
  <c r="G64" i="20"/>
  <c r="G12" i="20"/>
  <c r="H64" i="20"/>
  <c r="H12" i="20"/>
  <c r="I29" i="20"/>
  <c r="J29" i="20" s="1"/>
  <c r="I27" i="20"/>
  <c r="J27" i="20" s="1"/>
  <c r="G23" i="20"/>
  <c r="I23" i="20" s="1"/>
  <c r="J23" i="20" s="1"/>
  <c r="H6" i="23"/>
  <c r="F6" i="23" s="1"/>
  <c r="I12" i="3"/>
  <c r="J12" i="3" s="1"/>
  <c r="S34" i="2"/>
  <c r="S36" i="2" s="1"/>
  <c r="R34" i="2"/>
  <c r="R36" i="2" s="1"/>
  <c r="I31" i="3"/>
  <c r="J31" i="3" s="1"/>
  <c r="L59" i="3"/>
  <c r="L173" i="3"/>
  <c r="I27" i="3"/>
  <c r="J27" i="3" s="1"/>
  <c r="L78" i="3"/>
  <c r="L141" i="3"/>
  <c r="I109" i="3"/>
  <c r="J109" i="3" s="1"/>
  <c r="I117" i="3"/>
  <c r="J117" i="3" s="1"/>
  <c r="I60" i="3"/>
  <c r="J60" i="3" s="1"/>
  <c r="L16" i="3"/>
  <c r="I125" i="3"/>
  <c r="J125" i="3" s="1"/>
  <c r="I39" i="3"/>
  <c r="J39" i="3" s="1"/>
  <c r="L39" i="3"/>
  <c r="I69" i="3"/>
  <c r="J69" i="3" s="1"/>
  <c r="L69" i="3"/>
  <c r="I9" i="3"/>
  <c r="J9" i="3" s="1"/>
  <c r="L9" i="3"/>
  <c r="I41" i="3"/>
  <c r="J41" i="3" s="1"/>
  <c r="L41" i="3"/>
  <c r="I65" i="3"/>
  <c r="J65" i="3" s="1"/>
  <c r="L65" i="3"/>
  <c r="I50" i="3"/>
  <c r="J50" i="3" s="1"/>
  <c r="L50" i="3"/>
  <c r="I77" i="3"/>
  <c r="J77" i="3" s="1"/>
  <c r="L77" i="3"/>
  <c r="I25" i="3"/>
  <c r="J25" i="3" s="1"/>
  <c r="L25" i="3"/>
  <c r="I100" i="3"/>
  <c r="J100" i="3" s="1"/>
  <c r="L100" i="3"/>
  <c r="I114" i="3"/>
  <c r="J114" i="3" s="1"/>
  <c r="L114" i="3"/>
  <c r="I145" i="3"/>
  <c r="J145" i="3" s="1"/>
  <c r="L145" i="3"/>
  <c r="I113" i="3"/>
  <c r="J113" i="3" s="1"/>
  <c r="L113" i="3"/>
  <c r="I33" i="3"/>
  <c r="J33" i="3" s="1"/>
  <c r="L33" i="3"/>
  <c r="I135" i="3"/>
  <c r="J135" i="3" s="1"/>
  <c r="L135" i="3"/>
  <c r="I104" i="3"/>
  <c r="J104" i="3" s="1"/>
  <c r="L104" i="3"/>
  <c r="I103" i="3"/>
  <c r="J103" i="3" s="1"/>
  <c r="L103" i="3"/>
  <c r="I162" i="3"/>
  <c r="J162" i="3" s="1"/>
  <c r="L162" i="3"/>
  <c r="I127" i="3"/>
  <c r="J127" i="3" s="1"/>
  <c r="L127" i="3"/>
  <c r="I134" i="3"/>
  <c r="J134" i="3" s="1"/>
  <c r="L134" i="3"/>
  <c r="I66" i="3"/>
  <c r="J66" i="3" s="1"/>
  <c r="L66" i="3"/>
  <c r="I144" i="3"/>
  <c r="J144" i="3" s="1"/>
  <c r="L144" i="3"/>
  <c r="I76" i="3"/>
  <c r="J76" i="3" s="1"/>
  <c r="L76" i="3"/>
  <c r="I34" i="3"/>
  <c r="J34" i="3" s="1"/>
  <c r="L34" i="3"/>
  <c r="I67" i="3"/>
  <c r="J67" i="3" s="1"/>
  <c r="L67" i="3"/>
  <c r="I29" i="3"/>
  <c r="J29" i="3" s="1"/>
  <c r="I88" i="3"/>
  <c r="J88" i="3" s="1"/>
  <c r="L88" i="3"/>
  <c r="I17" i="3"/>
  <c r="J17" i="3" s="1"/>
  <c r="L17" i="3"/>
  <c r="I153" i="3"/>
  <c r="J153" i="3" s="1"/>
  <c r="L153" i="3"/>
  <c r="I55" i="3"/>
  <c r="J55" i="3" s="1"/>
  <c r="L55" i="3"/>
  <c r="I158" i="3"/>
  <c r="J158" i="3" s="1"/>
  <c r="L158" i="3"/>
  <c r="I170" i="3"/>
  <c r="J170" i="3" s="1"/>
  <c r="L170" i="3"/>
  <c r="I140" i="3"/>
  <c r="J140" i="3" s="1"/>
  <c r="L140" i="3"/>
  <c r="I63" i="3"/>
  <c r="J63" i="3" s="1"/>
  <c r="L63" i="3"/>
  <c r="I84" i="3"/>
  <c r="J84" i="3" s="1"/>
  <c r="L84" i="3"/>
  <c r="I91" i="3"/>
  <c r="J91" i="3" s="1"/>
  <c r="L91" i="3"/>
  <c r="I72" i="3"/>
  <c r="J72" i="3" s="1"/>
  <c r="L72" i="3"/>
  <c r="I36" i="3"/>
  <c r="J36" i="3" s="1"/>
  <c r="L36" i="3"/>
  <c r="I89" i="3"/>
  <c r="J89" i="3" s="1"/>
  <c r="L89" i="3"/>
  <c r="I111" i="3"/>
  <c r="J111" i="3" s="1"/>
  <c r="L111" i="3"/>
  <c r="I18" i="3"/>
  <c r="J18" i="3" s="1"/>
  <c r="L18" i="3"/>
  <c r="I156" i="3"/>
  <c r="J156" i="3" s="1"/>
  <c r="L156" i="3"/>
  <c r="I148" i="3"/>
  <c r="J148" i="3" s="1"/>
  <c r="L148" i="3"/>
  <c r="I83" i="3"/>
  <c r="J83" i="3" s="1"/>
  <c r="L83" i="3"/>
  <c r="I150" i="3"/>
  <c r="J150" i="3" s="1"/>
  <c r="L150" i="3"/>
  <c r="I139" i="3"/>
  <c r="J139" i="3" s="1"/>
  <c r="L139" i="3"/>
  <c r="I138" i="3"/>
  <c r="J138" i="3" s="1"/>
  <c r="L138" i="3"/>
  <c r="I130" i="3"/>
  <c r="J130" i="3" s="1"/>
  <c r="L130" i="3"/>
  <c r="I37" i="3"/>
  <c r="J37" i="3" s="1"/>
  <c r="L37" i="3"/>
  <c r="I90" i="3"/>
  <c r="J90" i="3" s="1"/>
  <c r="L90" i="3"/>
  <c r="I46" i="3"/>
  <c r="J46" i="3" s="1"/>
  <c r="L46" i="3"/>
  <c r="I73" i="3"/>
  <c r="J73" i="3" s="1"/>
  <c r="L73" i="3"/>
  <c r="I159" i="3"/>
  <c r="J159" i="3" s="1"/>
  <c r="L159" i="3"/>
  <c r="I71" i="3"/>
  <c r="J71" i="3" s="1"/>
  <c r="L71" i="3"/>
  <c r="I119" i="3"/>
  <c r="J119" i="3" s="1"/>
  <c r="L119" i="3"/>
  <c r="I87" i="3"/>
  <c r="J87" i="3" s="1"/>
  <c r="L87" i="3"/>
  <c r="I118" i="3"/>
  <c r="J118" i="3" s="1"/>
  <c r="L118" i="3"/>
  <c r="I58" i="3"/>
  <c r="J58" i="3" s="1"/>
  <c r="L58" i="3"/>
  <c r="I142" i="3"/>
  <c r="J142" i="3" s="1"/>
  <c r="L142" i="3"/>
  <c r="I22" i="3"/>
  <c r="J22" i="3" s="1"/>
  <c r="L22" i="3"/>
  <c r="I95" i="3"/>
  <c r="J95" i="3" s="1"/>
  <c r="L95" i="3"/>
  <c r="I147" i="3"/>
  <c r="J147" i="3" s="1"/>
  <c r="L147" i="3"/>
  <c r="I28" i="3"/>
  <c r="J28" i="3" s="1"/>
  <c r="I8" i="20"/>
  <c r="J8" i="20" s="1"/>
  <c r="I11" i="20"/>
  <c r="J11" i="20" s="1"/>
  <c r="G9" i="20"/>
  <c r="I9" i="20" s="1"/>
  <c r="J9" i="20" s="1"/>
  <c r="H40" i="3"/>
  <c r="H7" i="20"/>
  <c r="G7" i="20"/>
  <c r="G6" i="20"/>
  <c r="I6" i="20" s="1"/>
  <c r="J6" i="20" s="1"/>
  <c r="H8" i="3"/>
  <c r="H10" i="3"/>
  <c r="L10" i="3" s="1"/>
  <c r="H24" i="3"/>
  <c r="H32" i="3"/>
  <c r="L32" i="3" s="1"/>
  <c r="H47" i="3"/>
  <c r="H30" i="3"/>
  <c r="H43" i="3"/>
  <c r="H20" i="3"/>
  <c r="L20" i="3" s="1"/>
  <c r="U34" i="3"/>
  <c r="H5" i="3"/>
  <c r="H44" i="3"/>
  <c r="L44" i="3" s="1"/>
  <c r="H15" i="3"/>
  <c r="H14" i="3"/>
  <c r="H26" i="3"/>
  <c r="H7" i="3"/>
  <c r="L7" i="3" s="1"/>
  <c r="D3" i="23"/>
  <c r="F3" i="18"/>
  <c r="G3" i="3"/>
  <c r="H11" i="3"/>
  <c r="L11" i="3" s="1"/>
  <c r="G3" i="18"/>
  <c r="H13" i="3"/>
  <c r="F3" i="3"/>
  <c r="I3" i="20"/>
  <c r="G3" i="23"/>
  <c r="L30" i="3" l="1"/>
  <c r="I30" i="3"/>
  <c r="J30" i="3" s="1"/>
  <c r="I12" i="20"/>
  <c r="J12" i="20" s="1"/>
  <c r="I64" i="20"/>
  <c r="J64" i="20" s="1"/>
  <c r="L13" i="3"/>
  <c r="H3" i="23"/>
  <c r="F3" i="23" s="1"/>
  <c r="T36" i="2"/>
  <c r="H3" i="3"/>
  <c r="I14" i="3"/>
  <c r="J14" i="3" s="1"/>
  <c r="L14" i="3"/>
  <c r="I47" i="3"/>
  <c r="J47" i="3" s="1"/>
  <c r="L47" i="3"/>
  <c r="I15" i="3"/>
  <c r="J15" i="3" s="1"/>
  <c r="L15" i="3"/>
  <c r="I24" i="3"/>
  <c r="J24" i="3" s="1"/>
  <c r="L24" i="3"/>
  <c r="I8" i="3"/>
  <c r="J8" i="3" s="1"/>
  <c r="L8" i="3"/>
  <c r="I40" i="3"/>
  <c r="J40" i="3" s="1"/>
  <c r="L40" i="3"/>
  <c r="I26" i="3"/>
  <c r="J26" i="3" s="1"/>
  <c r="L26" i="3"/>
  <c r="I5" i="3"/>
  <c r="J5" i="3" s="1"/>
  <c r="L5" i="3"/>
  <c r="I43" i="3"/>
  <c r="J43" i="3" s="1"/>
  <c r="L43" i="3"/>
  <c r="I11" i="3"/>
  <c r="J11" i="3" s="1"/>
  <c r="I44" i="3"/>
  <c r="J44" i="3" s="1"/>
  <c r="I20" i="3"/>
  <c r="J20" i="3" s="1"/>
  <c r="I10" i="3"/>
  <c r="J10" i="3" s="1"/>
  <c r="I13" i="3"/>
  <c r="J13" i="3" s="1"/>
  <c r="I7" i="3"/>
  <c r="J7" i="3" s="1"/>
  <c r="I21" i="3"/>
  <c r="J21" i="3" s="1"/>
  <c r="I32" i="3"/>
  <c r="J32" i="3" s="1"/>
  <c r="I7" i="20"/>
  <c r="J7" i="20" s="1"/>
  <c r="H3" i="18"/>
  <c r="L3" i="23"/>
  <c r="E3" i="23"/>
  <c r="H1" i="2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P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Ngày bắt đầu</t>
        </r>
      </text>
    </comment>
    <comment ref="Q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Ngày kết thúc</t>
        </r>
      </text>
    </comment>
    <comment ref="N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Tra theo khoảng thời gian</t>
        </r>
      </text>
    </comment>
    <comment ref="N3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Tra theo khoảng thời gian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NGOCND</author>
    <author>Nam Le</author>
    <author>HUONG</author>
  </authors>
  <commentList>
    <comment ref="AA3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NGOCND:</t>
        </r>
        <r>
          <rPr>
            <sz val="9"/>
            <color indexed="81"/>
            <rFont val="Tahoma"/>
            <family val="2"/>
          </rPr>
          <t xml:space="preserve">
Chuyển BIDV APPE</t>
        </r>
      </text>
    </comment>
    <comment ref="AA51" authorId="1" shapeId="0" xr:uid="{00000000-0006-0000-0300-000002000000}">
      <text>
        <r>
          <rPr>
            <b/>
            <sz val="9"/>
            <color indexed="81"/>
            <rFont val="Tahoma"/>
            <charset val="1"/>
          </rPr>
          <t>Nam Le:</t>
        </r>
        <r>
          <rPr>
            <sz val="9"/>
            <color indexed="81"/>
            <rFont val="Tahoma"/>
            <charset val="1"/>
          </rPr>
          <t xml:space="preserve">
lê văn dat</t>
        </r>
      </text>
    </comment>
    <comment ref="Y173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NGOCND:</t>
        </r>
        <r>
          <rPr>
            <sz val="9"/>
            <color indexed="81"/>
            <rFont val="Tahoma"/>
            <family val="2"/>
          </rPr>
          <t xml:space="preserve">
Nhà nghỉ + tiền ăn 3 ngày Yên Bái</t>
        </r>
      </text>
    </comment>
    <comment ref="Y481" authorId="2" shapeId="0" xr:uid="{00000000-0006-0000-0300-000004000000}">
      <text>
        <r>
          <rPr>
            <b/>
            <sz val="9"/>
            <color indexed="81"/>
            <rFont val="Tahoma"/>
            <family val="2"/>
          </rPr>
          <t>1 con dái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Nam Le</author>
  </authors>
  <commentList>
    <comment ref="R23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chuyển appe ac</t>
        </r>
      </text>
    </comment>
    <comment ref="R38" authorId="1" shapeId="0" xr:uid="{00000000-0006-0000-0600-000002000000}">
      <text>
        <r>
          <rPr>
            <b/>
            <sz val="9"/>
            <color indexed="81"/>
            <rFont val="Tahoma"/>
            <family val="2"/>
          </rPr>
          <t>Nam Le:</t>
        </r>
        <r>
          <rPr>
            <sz val="9"/>
            <color indexed="81"/>
            <rFont val="Tahoma"/>
            <family val="2"/>
          </rPr>
          <t xml:space="preserve">
appe ac</t>
        </r>
      </text>
    </comment>
    <comment ref="R49" authorId="1" shapeId="0" xr:uid="{00000000-0006-0000-0600-000003000000}">
      <text>
        <r>
          <rPr>
            <b/>
            <sz val="9"/>
            <color indexed="81"/>
            <rFont val="Tahoma"/>
            <family val="2"/>
          </rPr>
          <t>Nam Le:</t>
        </r>
        <r>
          <rPr>
            <sz val="9"/>
            <color indexed="81"/>
            <rFont val="Tahoma"/>
            <family val="2"/>
          </rPr>
          <t xml:space="preserve">
appe ac</t>
        </r>
      </text>
    </comment>
    <comment ref="R55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appe ac</t>
        </r>
      </text>
    </comment>
    <comment ref="P65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chả lại tiền cọc 5/3</t>
        </r>
      </text>
    </comment>
  </commentList>
</comments>
</file>

<file path=xl/sharedStrings.xml><?xml version="1.0" encoding="utf-8"?>
<sst xmlns="http://schemas.openxmlformats.org/spreadsheetml/2006/main" count="419" uniqueCount="176">
  <si>
    <t>Tên khách hàng</t>
  </si>
  <si>
    <t>Địa chỉ</t>
  </si>
  <si>
    <t>STT</t>
  </si>
  <si>
    <t>Ngày</t>
  </si>
  <si>
    <t>Khách hàng</t>
  </si>
  <si>
    <t xml:space="preserve">Đia chỉ </t>
  </si>
  <si>
    <t>Số con</t>
  </si>
  <si>
    <t>TLTB (Kg/con)</t>
  </si>
  <si>
    <t>Trọng lượng (kg)</t>
  </si>
  <si>
    <t>Thu tiền mặt</t>
  </si>
  <si>
    <t>Còn nợ</t>
  </si>
  <si>
    <t>Ghi chú</t>
  </si>
  <si>
    <t>Dư</t>
  </si>
  <si>
    <t>Tiền hàng</t>
  </si>
  <si>
    <t>Đã thu</t>
  </si>
  <si>
    <t>Còn dư</t>
  </si>
  <si>
    <t>TỔNG</t>
  </si>
  <si>
    <t>THEO DÕI KINH DOANH LỢN</t>
  </si>
  <si>
    <t>Thực tế</t>
  </si>
  <si>
    <t>Tổng đã trả</t>
  </si>
  <si>
    <t>CHỈ NHẬP CỘT BÔI VÀNG</t>
  </si>
  <si>
    <t>Tổng số con</t>
  </si>
  <si>
    <t>Tổng Kg</t>
  </si>
  <si>
    <t>Chuyển khoản cá nhân</t>
  </si>
  <si>
    <t>Chuyển khoản công ty</t>
  </si>
  <si>
    <t>Trại</t>
  </si>
  <si>
    <t>Phú Xuyên</t>
  </si>
  <si>
    <t>TÊN TRẠI</t>
  </si>
  <si>
    <t>Vĩnh Phúc Thịt</t>
  </si>
  <si>
    <t>Vĩnh Phúc Nái</t>
  </si>
  <si>
    <t>Bắc Giang Thịt</t>
  </si>
  <si>
    <t>Bắc Giang Nái</t>
  </si>
  <si>
    <t>Phú Thọ</t>
  </si>
  <si>
    <t>Lục Ngạn</t>
  </si>
  <si>
    <t>Tổng</t>
  </si>
  <si>
    <t>Tên trại</t>
  </si>
  <si>
    <t>Khách hàng
(Nhập cột này)</t>
  </si>
  <si>
    <t>Khách chuyển về công ty</t>
  </si>
  <si>
    <t>Thu tiền từ khách</t>
  </si>
  <si>
    <t>Phú Thọ 2</t>
  </si>
  <si>
    <t>Trọng Iượng TB</t>
  </si>
  <si>
    <t>Phân loại</t>
  </si>
  <si>
    <t>CÔNG TY TNHH RTD BẮC GIANG</t>
  </si>
  <si>
    <t>Đồng Chòi, Xã Long Sơn, Huyện Sơn Động, Tỉnh Bắc Giang, Việt Nam</t>
  </si>
  <si>
    <t/>
  </si>
  <si>
    <t>SỔ CHI TIẾT CÔNG NỢ: TÀI KHOẢN 13611, KHÁCH HÀNG NV0002 - TRẦN LÂM ANH</t>
  </si>
  <si>
    <t>Diễn giải</t>
  </si>
  <si>
    <t>Phát sinh có</t>
  </si>
  <si>
    <t>nút lọc</t>
  </si>
  <si>
    <t>Ctrl+Shift+L</t>
  </si>
  <si>
    <t>Giá nhập</t>
  </si>
  <si>
    <t>Giá bán</t>
  </si>
  <si>
    <t>Doanh thu</t>
  </si>
  <si>
    <t xml:space="preserve">Giá bán Hậu bị </t>
  </si>
  <si>
    <t>Giá nhập hậu bị</t>
  </si>
  <si>
    <t>Công nợ cty</t>
  </si>
  <si>
    <t>Tổng công nợ cty</t>
  </si>
  <si>
    <t>Tổng doanh thu bán</t>
  </si>
  <si>
    <t>Giá TB công nợ</t>
  </si>
  <si>
    <t>Giá bán TB</t>
  </si>
  <si>
    <t>Tổng tiền Lâm Anh bắn về Cty</t>
  </si>
  <si>
    <t>Check theo
 thời gian</t>
  </si>
  <si>
    <t>nguyễn văn tân</t>
  </si>
  <si>
    <t>Trại trống 4</t>
  </si>
  <si>
    <t>Yên Bái</t>
  </si>
  <si>
    <t>KHÁCH HÀNG LỢN THỊT</t>
  </si>
  <si>
    <t>KHÁCH HÀNG LỢN CON</t>
  </si>
  <si>
    <t>BÁN HEO CON</t>
  </si>
  <si>
    <t>Ngày bắt</t>
  </si>
  <si>
    <t>Tổng kg</t>
  </si>
  <si>
    <t>Trọng lượng TB</t>
  </si>
  <si>
    <t>Giá/con</t>
  </si>
  <si>
    <t>Chuyển khoản</t>
  </si>
  <si>
    <t>Thành tiền theo con</t>
  </si>
  <si>
    <t>Tổng kg vượt</t>
  </si>
  <si>
    <t>Thành tiền cân vượt</t>
  </si>
  <si>
    <t>Giá vượt</t>
  </si>
  <si>
    <t>Tổng tiền hàng</t>
  </si>
  <si>
    <t>Tổng nợ</t>
  </si>
  <si>
    <t>Tổng dư</t>
  </si>
  <si>
    <t>THEO DÕI TỔNG</t>
  </si>
  <si>
    <t>Tổng doanh thu</t>
  </si>
  <si>
    <t>Khách bắn về công ty</t>
  </si>
  <si>
    <t>Tồn nợ của khách</t>
  </si>
  <si>
    <t>Tổng khách đã trả</t>
  </si>
  <si>
    <t>Khách trả Lâm Anh</t>
  </si>
  <si>
    <t>Tổng tiền khách đã trả (Bao gồm cả khách bắn về cty)</t>
  </si>
  <si>
    <t>Nguyễn Văn Tân</t>
  </si>
  <si>
    <t>Nam còi</t>
  </si>
  <si>
    <t>Nguyễn Văn Tuy</t>
  </si>
  <si>
    <t>Khổng Văn Sơn</t>
  </si>
  <si>
    <t>Khách</t>
  </si>
  <si>
    <t>Tiền đã trả</t>
  </si>
  <si>
    <t>Giang Tam Đảo</t>
  </si>
  <si>
    <t>Thành lợn loại</t>
  </si>
  <si>
    <t xml:space="preserve">  </t>
  </si>
  <si>
    <t>Hân QN</t>
  </si>
  <si>
    <t>Thu Hà</t>
  </si>
  <si>
    <t>Vĩnh Phúc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</si>
  <si>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</si>
  <si>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Tiger Thái Nguyên(Đồng Hỷ)</t>
  </si>
  <si>
    <t>Tiger Thái Nguyên</t>
  </si>
  <si>
    <t>Tiger Phú Thọ 3 (Thanh Sơn)</t>
  </si>
  <si>
    <t>Tiger Thanh Hóa</t>
  </si>
  <si>
    <t>Lục Nam</t>
  </si>
  <si>
    <t>NHẬP BÁN LỢN HÀNG NGÀY</t>
  </si>
  <si>
    <t>TỔNG THÁNG</t>
  </si>
  <si>
    <t>Số KG</t>
  </si>
  <si>
    <t>Kg TB</t>
  </si>
  <si>
    <t>Thành tiền</t>
  </si>
  <si>
    <t>Tổng đã trả công ty</t>
  </si>
  <si>
    <t>Ghí chú</t>
  </si>
  <si>
    <t>TỔNG NGÀY</t>
  </si>
  <si>
    <t>Tên Trại</t>
  </si>
  <si>
    <t>Khách Hàng</t>
  </si>
  <si>
    <t>Đã trả</t>
  </si>
  <si>
    <t>RTD</t>
  </si>
  <si>
    <t>THANH HÓA</t>
  </si>
  <si>
    <t>Dũng nái Hải Dương</t>
  </si>
  <si>
    <t>Tiềm kỹ sư</t>
  </si>
  <si>
    <t>Thái Bình</t>
  </si>
  <si>
    <t>Nguyễn Xuân Hiên</t>
  </si>
  <si>
    <t>Tiger</t>
  </si>
  <si>
    <t>AVAC</t>
  </si>
  <si>
    <t>-</t>
  </si>
  <si>
    <t>TAM DƯƠNG</t>
  </si>
  <si>
    <t>APPE</t>
  </si>
  <si>
    <t>Nhóm trại</t>
  </si>
  <si>
    <t>Thanh Hóa Nái</t>
  </si>
  <si>
    <t>Thanh Hóa Thịt</t>
  </si>
  <si>
    <t>Nái APPE AC</t>
  </si>
  <si>
    <t>Ninh Bình</t>
  </si>
  <si>
    <t>Chương Mỹ</t>
  </si>
  <si>
    <t>Thanh Hóa</t>
  </si>
  <si>
    <t>Tam Dương</t>
  </si>
  <si>
    <t>TỔNG CÁC TRẠI</t>
  </si>
  <si>
    <t>Tiền đã chuyển về công ty</t>
  </si>
  <si>
    <t>Trại trống 1</t>
  </si>
  <si>
    <t>Trại trống 2</t>
  </si>
  <si>
    <t>Trại trống 3</t>
  </si>
  <si>
    <t>Trại trống 5</t>
  </si>
  <si>
    <t>Công nợ tháng cũ</t>
  </si>
  <si>
    <t>Dư nợ mới</t>
  </si>
  <si>
    <t>TIGER</t>
  </si>
  <si>
    <t>Nguyễn Xuân Thắng</t>
  </si>
  <si>
    <t>Trần Quốc Toản</t>
  </si>
  <si>
    <t>Nguyễn Văn Tập</t>
  </si>
  <si>
    <t>công ty cổ phần tập đoàn mind group</t>
  </si>
  <si>
    <t>Nguyễn Văn Thành</t>
  </si>
  <si>
    <t>thái nguyên</t>
  </si>
  <si>
    <t>Nợ</t>
  </si>
  <si>
    <t>Lộc bắc ninh</t>
  </si>
  <si>
    <t>Hải Ba Vì</t>
  </si>
  <si>
    <t>nguyễn hữu viết</t>
  </si>
  <si>
    <t xml:space="preserve"> </t>
  </si>
  <si>
    <t>x</t>
  </si>
  <si>
    <t>Thiếu 18/9/2024</t>
  </si>
  <si>
    <t>18/8</t>
  </si>
  <si>
    <t>17/8 ??</t>
  </si>
  <si>
    <t>1.5tr thừa 16-17 +
 0.5tr thừa 18-19</t>
  </si>
  <si>
    <t>Thiếu 29/7</t>
  </si>
  <si>
    <t>17 +20/8</t>
  </si>
  <si>
    <t>Thiếu 1/9</t>
  </si>
  <si>
    <t>Kiểm tra tiền ck công ty 8/9</t>
  </si>
  <si>
    <t>Kiểm tra thanh toán 1/9</t>
  </si>
  <si>
    <t>978.8tr tiền hàng 8/9
+ 172.2tr thiếu 10/9</t>
  </si>
  <si>
    <t>20/9</t>
  </si>
  <si>
    <t>16+18+19/8
+ 3/10</t>
  </si>
  <si>
    <t>Nguyễn văn tuy</t>
  </si>
  <si>
    <t>Thiếu 2/10</t>
  </si>
  <si>
    <t>08/10</t>
  </si>
  <si>
    <t>quảng ninh</t>
  </si>
  <si>
    <t>3 máu</t>
  </si>
  <si>
    <t>2 máu</t>
  </si>
  <si>
    <t>bắc giang</t>
  </si>
  <si>
    <t>nguyễn văn tuy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</si>
</sst>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-* #,##0.0_-;\-* #,##0.0_-;_-* &quot;-&quot;??_-;_-@_-"/>
    <numFmt numFmtId="167" formatCode="dd/mm/yyyy;@"/>
    <numFmt numFmtId="168" formatCode="_(* #,##0_);_(* \(#,##0\);_(* &quot;-&quot;??_);_(@_)"/>
    <numFmt numFmtId="169" formatCode="0.0"/>
    <numFmt numFmtId="170" formatCode="###,###,###,###,###"/>
    <numFmt numFmtId="171" formatCode="[$-1010000]d/m/yyyy;@"/>
    <numFmt numFmtId="172" formatCode="_(* #,##0.0_);_(* \(#,##0.0\);_(* &quot;-&quot;??_);_(@_)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b/>
      <sz val="10"/>
      <name val="Arial"/>
      <family val="2"/>
    </font>
    <font>
      <sz val="12"/>
      <name val="Times New Roman"/>
      <family val="1"/>
    </font>
    <font>
      <b/>
      <sz val="16"/>
      <color theme="1"/>
      <name val="Arial"/>
      <family val="2"/>
    </font>
    <font>
      <b/>
      <sz val="9"/>
      <color indexed="81"/>
      <name val="Tahoma"/>
      <family val="2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sz val="14"/>
      <color theme="0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rgb="FFFF0000"/>
      <name val="Arial"/>
      <family val="2"/>
    </font>
    <font>
      <sz val="12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FF"/>
      </right>
      <top/>
      <bottom style="medium">
        <color indexed="64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25">
    <xf numFmtId="0" fontId="0" fillId="0" borderId="0"/>
    <xf numFmtId="43" fontId="1" fillId="0" borderId="0" applyFont="0" applyFill="0" applyBorder="0" applyAlignment="0" applyProtection="0"/>
    <xf numFmtId="0" fontId="12" fillId="0" borderId="0">
      <alignment vertical="top"/>
    </xf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3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3" fillId="2" borderId="6" xfId="0" applyNumberFormat="1" applyFont="1" applyFill="1" applyBorder="1"/>
    <xf numFmtId="165" fontId="3" fillId="2" borderId="8" xfId="0" applyNumberFormat="1" applyFont="1" applyFill="1" applyBorder="1"/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165" fontId="0" fillId="0" borderId="0" xfId="1" applyNumberFormat="1" applyFont="1" applyProtection="1">
      <protection locked="0"/>
    </xf>
    <xf numFmtId="0" fontId="7" fillId="3" borderId="6" xfId="0" applyFont="1" applyFill="1" applyBorder="1" applyAlignment="1">
      <alignment horizontal="center" vertical="center" wrapText="1"/>
    </xf>
    <xf numFmtId="169" fontId="0" fillId="0" borderId="0" xfId="0" applyNumberFormat="1" applyProtection="1">
      <protection locked="0"/>
    </xf>
    <xf numFmtId="169" fontId="0" fillId="0" borderId="0" xfId="1" applyNumberFormat="1" applyFont="1" applyProtection="1">
      <protection locked="0"/>
    </xf>
    <xf numFmtId="0" fontId="2" fillId="0" borderId="2" xfId="0" applyFont="1" applyBorder="1"/>
    <xf numFmtId="165" fontId="0" fillId="0" borderId="2" xfId="1" applyNumberFormat="1" applyFont="1" applyBorder="1"/>
    <xf numFmtId="165" fontId="0" fillId="0" borderId="22" xfId="1" applyNumberFormat="1" applyFont="1" applyBorder="1"/>
    <xf numFmtId="165" fontId="0" fillId="0" borderId="2" xfId="0" applyNumberFormat="1" applyBorder="1"/>
    <xf numFmtId="0" fontId="13" fillId="0" borderId="0" xfId="2" applyFont="1" applyAlignment="1">
      <alignment horizontal="left" vertical="top"/>
    </xf>
    <xf numFmtId="0" fontId="12" fillId="0" borderId="0" xfId="2">
      <alignment vertical="top"/>
    </xf>
    <xf numFmtId="0" fontId="14" fillId="0" borderId="0" xfId="2" applyFont="1" applyAlignment="1">
      <alignment horizontal="left" vertical="top"/>
    </xf>
    <xf numFmtId="49" fontId="15" fillId="0" borderId="1" xfId="2" applyNumberFormat="1" applyFont="1" applyBorder="1" applyAlignment="1">
      <alignment horizontal="left" vertical="top"/>
    </xf>
    <xf numFmtId="170" fontId="15" fillId="0" borderId="1" xfId="2" applyNumberFormat="1" applyFont="1" applyBorder="1">
      <alignment vertical="top"/>
    </xf>
    <xf numFmtId="0" fontId="12" fillId="0" borderId="1" xfId="2" applyBorder="1">
      <alignment vertical="top"/>
    </xf>
    <xf numFmtId="165" fontId="15" fillId="0" borderId="1" xfId="1" applyNumberFormat="1" applyFont="1" applyFill="1" applyBorder="1" applyAlignment="1">
      <alignment vertical="top"/>
    </xf>
    <xf numFmtId="0" fontId="0" fillId="0" borderId="0" xfId="0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16" xfId="2" applyBorder="1">
      <alignment vertical="top"/>
    </xf>
    <xf numFmtId="167" fontId="15" fillId="0" borderId="15" xfId="2" applyNumberFormat="1" applyFont="1" applyBorder="1" applyAlignment="1">
      <alignment horizontal="center" vertical="top"/>
    </xf>
    <xf numFmtId="0" fontId="12" fillId="0" borderId="27" xfId="2" applyBorder="1">
      <alignment vertical="top"/>
    </xf>
    <xf numFmtId="165" fontId="12" fillId="0" borderId="0" xfId="1" applyNumberFormat="1" applyFont="1" applyFill="1" applyBorder="1" applyAlignment="1">
      <alignment vertical="top"/>
    </xf>
    <xf numFmtId="167" fontId="15" fillId="0" borderId="10" xfId="2" applyNumberFormat="1" applyFont="1" applyBorder="1" applyAlignment="1">
      <alignment horizontal="center" vertical="top"/>
    </xf>
    <xf numFmtId="0" fontId="13" fillId="0" borderId="6" xfId="2" applyFont="1" applyBorder="1" applyAlignment="1">
      <alignment horizontal="center" vertical="center"/>
    </xf>
    <xf numFmtId="0" fontId="13" fillId="0" borderId="7" xfId="2" applyFont="1" applyBorder="1" applyAlignment="1">
      <alignment horizontal="center" vertical="center"/>
    </xf>
    <xf numFmtId="43" fontId="12" fillId="0" borderId="0" xfId="1" applyFont="1" applyAlignment="1">
      <alignment vertical="top"/>
    </xf>
    <xf numFmtId="0" fontId="18" fillId="12" borderId="1" xfId="0" applyFont="1" applyFill="1" applyBorder="1"/>
    <xf numFmtId="165" fontId="19" fillId="12" borderId="1" xfId="1" applyNumberFormat="1" applyFont="1" applyFill="1" applyBorder="1"/>
    <xf numFmtId="165" fontId="21" fillId="0" borderId="28" xfId="1" applyNumberFormat="1" applyFont="1" applyFill="1" applyBorder="1" applyAlignment="1" applyProtection="1">
      <alignment horizontal="center" vertical="center"/>
    </xf>
    <xf numFmtId="1" fontId="21" fillId="0" borderId="28" xfId="1" applyNumberFormat="1" applyFont="1" applyFill="1" applyBorder="1" applyAlignment="1" applyProtection="1">
      <alignment horizontal="center" vertical="center"/>
    </xf>
    <xf numFmtId="168" fontId="21" fillId="0" borderId="28" xfId="1" applyNumberFormat="1" applyFont="1" applyFill="1" applyBorder="1" applyAlignment="1" applyProtection="1">
      <alignment horizontal="center" vertical="center"/>
    </xf>
    <xf numFmtId="165" fontId="22" fillId="3" borderId="28" xfId="1" applyNumberFormat="1" applyFont="1" applyFill="1" applyBorder="1" applyAlignment="1" applyProtection="1">
      <alignment horizontal="center" vertical="center"/>
    </xf>
    <xf numFmtId="165" fontId="0" fillId="0" borderId="1" xfId="1" applyNumberFormat="1" applyFont="1" applyFill="1" applyBorder="1"/>
    <xf numFmtId="165" fontId="0" fillId="0" borderId="9" xfId="1" applyNumberFormat="1" applyFont="1" applyFill="1" applyBorder="1"/>
    <xf numFmtId="0" fontId="2" fillId="0" borderId="20" xfId="0" applyFont="1" applyBorder="1"/>
    <xf numFmtId="165" fontId="0" fillId="0" borderId="20" xfId="1" applyNumberFormat="1" applyFont="1" applyFill="1" applyBorder="1"/>
    <xf numFmtId="165" fontId="0" fillId="0" borderId="26" xfId="1" applyNumberFormat="1" applyFont="1" applyFill="1" applyBorder="1"/>
    <xf numFmtId="14" fontId="0" fillId="8" borderId="0" xfId="0" applyNumberFormat="1" applyFill="1" applyAlignment="1">
      <alignment horizontal="center" vertical="center"/>
    </xf>
    <xf numFmtId="14" fontId="0" fillId="8" borderId="0" xfId="0" applyNumberFormat="1" applyFill="1" applyAlignment="1">
      <alignment horizontal="center" vertical="center" wrapText="1"/>
    </xf>
    <xf numFmtId="0" fontId="0" fillId="8" borderId="0" xfId="0" applyFill="1"/>
    <xf numFmtId="165" fontId="0" fillId="0" borderId="0" xfId="1" applyNumberFormat="1" applyFont="1" applyAlignment="1" applyProtection="1">
      <alignment vertical="center"/>
    </xf>
    <xf numFmtId="165" fontId="0" fillId="15" borderId="0" xfId="1" applyNumberFormat="1" applyFont="1" applyFill="1" applyProtection="1">
      <protection locked="0"/>
    </xf>
    <xf numFmtId="0" fontId="2" fillId="0" borderId="0" xfId="0" applyFont="1"/>
    <xf numFmtId="165" fontId="0" fillId="0" borderId="0" xfId="1" applyNumberFormat="1" applyFont="1" applyFill="1" applyBorder="1"/>
    <xf numFmtId="165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2" fillId="1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9" fillId="0" borderId="0" xfId="0" applyFont="1"/>
    <xf numFmtId="0" fontId="26" fillId="0" borderId="0" xfId="0" applyFont="1"/>
    <xf numFmtId="165" fontId="27" fillId="0" borderId="1" xfId="1" applyNumberFormat="1" applyFont="1" applyBorder="1" applyAlignment="1">
      <alignment horizontal="center" vertical="center"/>
    </xf>
    <xf numFmtId="165" fontId="27" fillId="19" borderId="1" xfId="1" applyNumberFormat="1" applyFont="1" applyFill="1" applyBorder="1" applyAlignment="1">
      <alignment horizontal="center" vertical="center"/>
    </xf>
    <xf numFmtId="165" fontId="27" fillId="17" borderId="1" xfId="1" applyNumberFormat="1" applyFont="1" applyFill="1" applyBorder="1" applyAlignment="1">
      <alignment horizontal="center" vertical="center"/>
    </xf>
    <xf numFmtId="165" fontId="27" fillId="20" borderId="1" xfId="1" applyNumberFormat="1" applyFont="1" applyFill="1" applyBorder="1" applyAlignment="1">
      <alignment horizontal="center" vertical="center"/>
    </xf>
    <xf numFmtId="165" fontId="27" fillId="3" borderId="1" xfId="1" applyNumberFormat="1" applyFont="1" applyFill="1" applyBorder="1" applyAlignment="1">
      <alignment horizontal="center" vertical="center"/>
    </xf>
    <xf numFmtId="165" fontId="27" fillId="11" borderId="1" xfId="1" applyNumberFormat="1" applyFont="1" applyFill="1" applyBorder="1" applyAlignment="1">
      <alignment horizontal="center" vertical="center"/>
    </xf>
    <xf numFmtId="165" fontId="9" fillId="0" borderId="1" xfId="1" applyNumberFormat="1" applyFont="1" applyBorder="1"/>
    <xf numFmtId="165" fontId="9" fillId="10" borderId="1" xfId="1" applyNumberFormat="1" applyFont="1" applyFill="1" applyBorder="1"/>
    <xf numFmtId="43" fontId="9" fillId="9" borderId="1" xfId="1" applyFont="1" applyFill="1" applyBorder="1"/>
    <xf numFmtId="165" fontId="9" fillId="9" borderId="1" xfId="1" applyNumberFormat="1" applyFont="1" applyFill="1" applyBorder="1"/>
    <xf numFmtId="167" fontId="9" fillId="0" borderId="1" xfId="0" applyNumberFormat="1" applyFont="1" applyBorder="1"/>
    <xf numFmtId="0" fontId="9" fillId="0" borderId="1" xfId="0" applyFont="1" applyBorder="1"/>
    <xf numFmtId="0" fontId="9" fillId="10" borderId="1" xfId="0" applyFont="1" applyFill="1" applyBorder="1"/>
    <xf numFmtId="167" fontId="9" fillId="0" borderId="0" xfId="0" applyNumberFormat="1" applyFont="1"/>
    <xf numFmtId="165" fontId="9" fillId="0" borderId="0" xfId="1" applyNumberFormat="1" applyFont="1"/>
    <xf numFmtId="0" fontId="28" fillId="0" borderId="1" xfId="0" applyFont="1" applyBorder="1" applyAlignment="1">
      <alignment horizontal="center" vertical="center"/>
    </xf>
    <xf numFmtId="0" fontId="28" fillId="15" borderId="1" xfId="0" applyFont="1" applyFill="1" applyBorder="1" applyAlignment="1">
      <alignment horizontal="center" vertical="center"/>
    </xf>
    <xf numFmtId="0" fontId="28" fillId="11" borderId="1" xfId="0" applyFont="1" applyFill="1" applyBorder="1" applyAlignment="1">
      <alignment horizontal="center" vertical="center"/>
    </xf>
    <xf numFmtId="0" fontId="28" fillId="21" borderId="1" xfId="0" applyFont="1" applyFill="1" applyBorder="1" applyAlignment="1">
      <alignment horizontal="center" vertical="center"/>
    </xf>
    <xf numFmtId="0" fontId="28" fillId="9" borderId="1" xfId="0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horizontal="center" vertical="center"/>
    </xf>
    <xf numFmtId="0" fontId="29" fillId="0" borderId="1" xfId="0" applyFont="1" applyBorder="1"/>
    <xf numFmtId="165" fontId="29" fillId="0" borderId="1" xfId="1" applyNumberFormat="1" applyFont="1" applyBorder="1"/>
    <xf numFmtId="165" fontId="29" fillId="0" borderId="1" xfId="0" applyNumberFormat="1" applyFont="1" applyBorder="1"/>
    <xf numFmtId="165" fontId="27" fillId="2" borderId="1" xfId="1" applyNumberFormat="1" applyFont="1" applyFill="1" applyBorder="1" applyAlignment="1">
      <alignment horizontal="center" vertical="center"/>
    </xf>
    <xf numFmtId="165" fontId="9" fillId="2" borderId="1" xfId="1" applyNumberFormat="1" applyFont="1" applyFill="1" applyBorder="1"/>
    <xf numFmtId="0" fontId="30" fillId="0" borderId="0" xfId="0" applyFont="1"/>
    <xf numFmtId="0" fontId="10" fillId="3" borderId="1" xfId="0" applyFont="1" applyFill="1" applyBorder="1" applyAlignment="1">
      <alignment horizontal="center" vertical="center"/>
    </xf>
    <xf numFmtId="165" fontId="32" fillId="0" borderId="1" xfId="1" applyNumberFormat="1" applyFont="1" applyBorder="1" applyAlignment="1">
      <alignment vertical="center"/>
    </xf>
    <xf numFmtId="165" fontId="33" fillId="3" borderId="1" xfId="1" applyNumberFormat="1" applyFont="1" applyFill="1" applyBorder="1" applyAlignment="1">
      <alignment vertical="center"/>
    </xf>
    <xf numFmtId="165" fontId="26" fillId="0" borderId="0" xfId="0" applyNumberFormat="1" applyFont="1"/>
    <xf numFmtId="0" fontId="11" fillId="8" borderId="28" xfId="0" applyFont="1" applyFill="1" applyBorder="1" applyAlignment="1">
      <alignment horizontal="center" vertical="center" wrapText="1"/>
    </xf>
    <xf numFmtId="0" fontId="11" fillId="10" borderId="28" xfId="0" applyFont="1" applyFill="1" applyBorder="1" applyAlignment="1">
      <alignment horizontal="center" vertical="center"/>
    </xf>
    <xf numFmtId="0" fontId="11" fillId="8" borderId="28" xfId="0" applyFont="1" applyFill="1" applyBorder="1" applyAlignment="1">
      <alignment horizontal="center" vertical="center"/>
    </xf>
    <xf numFmtId="0" fontId="11" fillId="7" borderId="28" xfId="0" applyFont="1" applyFill="1" applyBorder="1" applyAlignment="1">
      <alignment horizontal="center" vertical="center"/>
    </xf>
    <xf numFmtId="0" fontId="11" fillId="16" borderId="28" xfId="0" applyFont="1" applyFill="1" applyBorder="1" applyAlignment="1">
      <alignment horizontal="center" vertical="center"/>
    </xf>
    <xf numFmtId="165" fontId="21" fillId="22" borderId="28" xfId="1" applyNumberFormat="1" applyFont="1" applyFill="1" applyBorder="1" applyAlignment="1" applyProtection="1">
      <alignment horizontal="center" vertical="center"/>
    </xf>
    <xf numFmtId="0" fontId="31" fillId="16" borderId="1" xfId="0" applyFont="1" applyFill="1" applyBorder="1" applyAlignment="1">
      <alignment horizontal="center" vertical="center"/>
    </xf>
    <xf numFmtId="0" fontId="31" fillId="23" borderId="1" xfId="0" applyFont="1" applyFill="1" applyBorder="1" applyAlignment="1">
      <alignment horizontal="center" vertical="center"/>
    </xf>
    <xf numFmtId="0" fontId="11" fillId="16" borderId="28" xfId="0" applyFont="1" applyFill="1" applyBorder="1" applyAlignment="1">
      <alignment horizontal="center" vertical="center" wrapText="1"/>
    </xf>
    <xf numFmtId="0" fontId="31" fillId="21" borderId="1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14" fontId="0" fillId="0" borderId="0" xfId="0" applyNumberFormat="1"/>
    <xf numFmtId="14" fontId="34" fillId="0" borderId="1" xfId="0" applyNumberFormat="1" applyFont="1" applyBorder="1"/>
    <xf numFmtId="165" fontId="34" fillId="0" borderId="1" xfId="1" applyNumberFormat="1" applyFont="1" applyBorder="1"/>
    <xf numFmtId="165" fontId="36" fillId="0" borderId="1" xfId="0" applyNumberFormat="1" applyFont="1" applyBorder="1" applyAlignment="1">
      <alignment horizontal="center" vertical="center"/>
    </xf>
    <xf numFmtId="0" fontId="36" fillId="24" borderId="1" xfId="0" applyFont="1" applyFill="1" applyBorder="1" applyAlignment="1">
      <alignment horizontal="center" vertical="center"/>
    </xf>
    <xf numFmtId="0" fontId="20" fillId="0" borderId="0" xfId="0" applyFont="1"/>
    <xf numFmtId="165" fontId="34" fillId="2" borderId="1" xfId="1" applyNumberFormat="1" applyFont="1" applyFill="1" applyBorder="1"/>
    <xf numFmtId="0" fontId="14" fillId="0" borderId="0" xfId="2" applyFont="1">
      <alignment vertical="top"/>
    </xf>
    <xf numFmtId="0" fontId="32" fillId="0" borderId="0" xfId="0" applyFont="1" applyProtection="1">
      <protection locked="0"/>
    </xf>
    <xf numFmtId="171" fontId="32" fillId="0" borderId="0" xfId="0" applyNumberFormat="1" applyFont="1" applyProtection="1">
      <protection locked="0"/>
    </xf>
    <xf numFmtId="168" fontId="32" fillId="0" borderId="0" xfId="4" applyNumberFormat="1" applyFont="1" applyProtection="1">
      <protection locked="0"/>
    </xf>
    <xf numFmtId="0" fontId="37" fillId="16" borderId="12" xfId="0" applyFont="1" applyFill="1" applyBorder="1" applyAlignment="1" applyProtection="1">
      <alignment horizontal="center" vertical="center" wrapText="1"/>
      <protection locked="0"/>
    </xf>
    <xf numFmtId="0" fontId="37" fillId="11" borderId="12" xfId="0" applyFont="1" applyFill="1" applyBorder="1" applyAlignment="1" applyProtection="1">
      <alignment horizontal="center" vertical="center" wrapText="1"/>
      <protection locked="0"/>
    </xf>
    <xf numFmtId="0" fontId="37" fillId="25" borderId="19" xfId="0" applyFont="1" applyFill="1" applyBorder="1" applyAlignment="1" applyProtection="1">
      <alignment horizontal="center" vertical="center" wrapText="1"/>
      <protection locked="0"/>
    </xf>
    <xf numFmtId="0" fontId="37" fillId="22" borderId="23" xfId="0" applyFont="1" applyFill="1" applyBorder="1" applyAlignment="1" applyProtection="1">
      <alignment horizontal="center" vertical="center" wrapText="1"/>
      <protection locked="0"/>
    </xf>
    <xf numFmtId="0" fontId="37" fillId="18" borderId="12" xfId="0" applyFont="1" applyFill="1" applyBorder="1" applyAlignment="1" applyProtection="1">
      <alignment horizontal="center" vertical="center" wrapText="1"/>
      <protection locked="0"/>
    </xf>
    <xf numFmtId="0" fontId="37" fillId="18" borderId="19" xfId="0" applyFont="1" applyFill="1" applyBorder="1" applyAlignment="1" applyProtection="1">
      <alignment horizontal="center" vertical="center" wrapText="1"/>
      <protection locked="0"/>
    </xf>
    <xf numFmtId="0" fontId="37" fillId="2" borderId="19" xfId="0" applyFont="1" applyFill="1" applyBorder="1" applyAlignment="1" applyProtection="1">
      <alignment horizontal="center" vertical="center" wrapText="1"/>
      <protection locked="0"/>
    </xf>
    <xf numFmtId="0" fontId="37" fillId="0" borderId="13" xfId="0" applyFont="1" applyBorder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wrapText="1"/>
      <protection locked="0"/>
    </xf>
    <xf numFmtId="168" fontId="32" fillId="0" borderId="14" xfId="0" applyNumberFormat="1" applyFont="1" applyBorder="1" applyAlignment="1">
      <alignment horizontal="center" vertical="center"/>
    </xf>
    <xf numFmtId="168" fontId="32" fillId="0" borderId="14" xfId="4" applyNumberFormat="1" applyFont="1" applyBorder="1" applyAlignment="1" applyProtection="1">
      <alignment horizontal="center" vertical="center"/>
    </xf>
    <xf numFmtId="0" fontId="32" fillId="0" borderId="35" xfId="0" applyFont="1" applyBorder="1" applyProtection="1">
      <protection locked="0"/>
    </xf>
    <xf numFmtId="171" fontId="37" fillId="2" borderId="37" xfId="0" applyNumberFormat="1" applyFont="1" applyFill="1" applyBorder="1" applyAlignment="1" applyProtection="1">
      <alignment horizontal="center" vertical="center"/>
      <protection locked="0"/>
    </xf>
    <xf numFmtId="172" fontId="32" fillId="0" borderId="14" xfId="4" applyNumberFormat="1" applyFont="1" applyBorder="1" applyAlignment="1" applyProtection="1">
      <alignment horizontal="center" vertical="center"/>
    </xf>
    <xf numFmtId="0" fontId="32" fillId="0" borderId="35" xfId="0" applyFont="1" applyBorder="1" applyAlignment="1" applyProtection="1">
      <alignment horizontal="center" vertical="center"/>
      <protection locked="0"/>
    </xf>
    <xf numFmtId="0" fontId="37" fillId="15" borderId="1" xfId="0" applyFont="1" applyFill="1" applyBorder="1" applyAlignment="1" applyProtection="1">
      <alignment horizontal="center" vertical="center" wrapText="1"/>
      <protection locked="0"/>
    </xf>
    <xf numFmtId="0" fontId="37" fillId="7" borderId="1" xfId="0" applyFont="1" applyFill="1" applyBorder="1" applyAlignment="1" applyProtection="1">
      <alignment horizontal="center" vertical="center" wrapText="1"/>
      <protection locked="0"/>
    </xf>
    <xf numFmtId="0" fontId="37" fillId="27" borderId="1" xfId="0" applyFont="1" applyFill="1" applyBorder="1" applyAlignment="1" applyProtection="1">
      <alignment horizontal="center" vertical="center" wrapText="1"/>
      <protection locked="0"/>
    </xf>
    <xf numFmtId="0" fontId="37" fillId="28" borderId="1" xfId="0" applyFont="1" applyFill="1" applyBorder="1" applyAlignment="1" applyProtection="1">
      <alignment horizontal="center" vertical="center" wrapText="1"/>
      <protection locked="0"/>
    </xf>
    <xf numFmtId="0" fontId="37" fillId="3" borderId="1" xfId="0" applyFont="1" applyFill="1" applyBorder="1" applyAlignment="1" applyProtection="1">
      <alignment horizontal="center" vertical="center" wrapText="1"/>
      <protection locked="0"/>
    </xf>
    <xf numFmtId="0" fontId="37" fillId="16" borderId="1" xfId="0" applyFont="1" applyFill="1" applyBorder="1" applyAlignment="1" applyProtection="1">
      <alignment horizontal="center" vertical="center" wrapText="1"/>
      <protection locked="0"/>
    </xf>
    <xf numFmtId="0" fontId="37" fillId="11" borderId="1" xfId="0" applyFont="1" applyFill="1" applyBorder="1" applyAlignment="1" applyProtection="1">
      <alignment horizontal="center" vertical="center" wrapText="1"/>
      <protection locked="0"/>
    </xf>
    <xf numFmtId="0" fontId="37" fillId="22" borderId="1" xfId="0" applyFont="1" applyFill="1" applyBorder="1" applyAlignment="1" applyProtection="1">
      <alignment horizontal="center" vertical="center" wrapText="1"/>
      <protection locked="0"/>
    </xf>
    <xf numFmtId="0" fontId="37" fillId="18" borderId="1" xfId="0" applyFont="1" applyFill="1" applyBorder="1" applyAlignment="1" applyProtection="1">
      <alignment horizontal="center" vertical="center" wrapText="1"/>
      <protection locked="0"/>
    </xf>
    <xf numFmtId="0" fontId="37" fillId="0" borderId="1" xfId="0" applyFont="1" applyBorder="1" applyAlignment="1" applyProtection="1">
      <alignment horizontal="center" vertical="center" wrapText="1"/>
      <protection locked="0"/>
    </xf>
    <xf numFmtId="0" fontId="32" fillId="0" borderId="1" xfId="0" applyFont="1" applyBorder="1" applyProtection="1">
      <protection locked="0"/>
    </xf>
    <xf numFmtId="171" fontId="32" fillId="0" borderId="1" xfId="0" applyNumberFormat="1" applyFont="1" applyBorder="1" applyProtection="1">
      <protection locked="0"/>
    </xf>
    <xf numFmtId="0" fontId="32" fillId="0" borderId="1" xfId="0" applyFont="1" applyBorder="1"/>
    <xf numFmtId="168" fontId="32" fillId="0" borderId="1" xfId="4" applyNumberFormat="1" applyFont="1" applyBorder="1" applyProtection="1">
      <protection locked="0"/>
    </xf>
    <xf numFmtId="172" fontId="32" fillId="0" borderId="1" xfId="4" applyNumberFormat="1" applyFont="1" applyBorder="1" applyProtection="1">
      <protection locked="0"/>
    </xf>
    <xf numFmtId="172" fontId="32" fillId="0" borderId="1" xfId="4" applyNumberFormat="1" applyFont="1" applyBorder="1" applyProtection="1"/>
    <xf numFmtId="168" fontId="32" fillId="0" borderId="1" xfId="4" applyNumberFormat="1" applyFont="1" applyBorder="1" applyProtection="1"/>
    <xf numFmtId="165" fontId="32" fillId="0" borderId="1" xfId="1" applyNumberFormat="1" applyFont="1" applyBorder="1" applyProtection="1">
      <protection locked="0"/>
    </xf>
    <xf numFmtId="172" fontId="32" fillId="0" borderId="0" xfId="4" applyNumberFormat="1" applyFont="1" applyProtection="1">
      <protection locked="0"/>
    </xf>
    <xf numFmtId="165" fontId="0" fillId="0" borderId="2" xfId="0" applyNumberFormat="1" applyBorder="1" applyAlignment="1">
      <alignment wrapText="1"/>
    </xf>
    <xf numFmtId="0" fontId="0" fillId="0" borderId="0" xfId="0" applyAlignment="1" applyProtection="1">
      <alignment horizontal="left"/>
      <protection locked="0"/>
    </xf>
    <xf numFmtId="0" fontId="11" fillId="0" borderId="28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/>
    </xf>
    <xf numFmtId="165" fontId="21" fillId="8" borderId="28" xfId="1" applyNumberFormat="1" applyFont="1" applyFill="1" applyBorder="1" applyAlignment="1" applyProtection="1">
      <alignment horizontal="center" vertical="center"/>
    </xf>
    <xf numFmtId="0" fontId="13" fillId="0" borderId="0" xfId="2" applyFont="1" applyAlignment="1">
      <alignment horizontal="center" vertical="center"/>
    </xf>
    <xf numFmtId="49" fontId="13" fillId="0" borderId="0" xfId="2" applyNumberFormat="1" applyFont="1" applyAlignment="1">
      <alignment horizontal="left" vertical="top"/>
    </xf>
    <xf numFmtId="170" fontId="13" fillId="0" borderId="0" xfId="2" applyNumberFormat="1" applyFont="1" applyAlignment="1">
      <alignment horizontal="center" vertical="center"/>
    </xf>
    <xf numFmtId="170" fontId="13" fillId="0" borderId="0" xfId="2" applyNumberFormat="1" applyFont="1" applyAlignment="1">
      <alignment horizontal="center" vertical="top"/>
    </xf>
    <xf numFmtId="0" fontId="12" fillId="0" borderId="9" xfId="2" applyBorder="1">
      <alignment vertical="top"/>
    </xf>
    <xf numFmtId="0" fontId="13" fillId="0" borderId="8" xfId="2" applyFont="1" applyBorder="1" applyAlignment="1">
      <alignment horizontal="center" vertical="center"/>
    </xf>
    <xf numFmtId="165" fontId="19" fillId="12" borderId="1" xfId="0" applyNumberFormat="1" applyFont="1" applyFill="1" applyBorder="1"/>
    <xf numFmtId="0" fontId="2" fillId="0" borderId="12" xfId="0" applyFont="1" applyBorder="1"/>
    <xf numFmtId="165" fontId="0" fillId="0" borderId="12" xfId="1" applyNumberFormat="1" applyFont="1" applyFill="1" applyBorder="1"/>
    <xf numFmtId="165" fontId="0" fillId="0" borderId="19" xfId="1" applyNumberFormat="1" applyFont="1" applyFill="1" applyBorder="1"/>
    <xf numFmtId="165" fontId="0" fillId="0" borderId="13" xfId="0" applyNumberFormat="1" applyBorder="1"/>
    <xf numFmtId="165" fontId="0" fillId="0" borderId="16" xfId="0" applyNumberFormat="1" applyBorder="1"/>
    <xf numFmtId="165" fontId="0" fillId="0" borderId="25" xfId="0" applyNumberFormat="1" applyBorder="1"/>
    <xf numFmtId="0" fontId="2" fillId="0" borderId="17" xfId="0" applyFont="1" applyBorder="1"/>
    <xf numFmtId="165" fontId="0" fillId="0" borderId="17" xfId="1" applyNumberFormat="1" applyFont="1" applyFill="1" applyBorder="1"/>
    <xf numFmtId="165" fontId="0" fillId="0" borderId="38" xfId="1" applyNumberFormat="1" applyFont="1" applyFill="1" applyBorder="1"/>
    <xf numFmtId="165" fontId="0" fillId="0" borderId="18" xfId="0" applyNumberFormat="1" applyBorder="1"/>
    <xf numFmtId="0" fontId="5" fillId="18" borderId="40" xfId="0" applyFont="1" applyFill="1" applyBorder="1" applyAlignment="1" applyProtection="1">
      <alignment horizontal="center" vertical="center"/>
      <protection locked="0"/>
    </xf>
    <xf numFmtId="0" fontId="5" fillId="2" borderId="40" xfId="0" applyFont="1" applyFill="1" applyBorder="1" applyAlignment="1" applyProtection="1">
      <alignment horizontal="center" vertical="center"/>
      <protection locked="0"/>
    </xf>
    <xf numFmtId="0" fontId="5" fillId="17" borderId="40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5" fillId="15" borderId="40" xfId="0" applyFont="1" applyFill="1" applyBorder="1" applyAlignment="1">
      <alignment horizontal="center" vertical="center"/>
    </xf>
    <xf numFmtId="0" fontId="5" fillId="10" borderId="40" xfId="0" applyFont="1" applyFill="1" applyBorder="1" applyAlignment="1">
      <alignment horizontal="center" vertical="center"/>
    </xf>
    <xf numFmtId="0" fontId="0" fillId="0" borderId="40" xfId="0" applyBorder="1"/>
    <xf numFmtId="165" fontId="0" fillId="0" borderId="40" xfId="1" applyNumberFormat="1" applyFont="1" applyBorder="1" applyAlignment="1" applyProtection="1"/>
    <xf numFmtId="165" fontId="0" fillId="0" borderId="40" xfId="1" applyNumberFormat="1" applyFont="1" applyBorder="1" applyProtection="1">
      <protection locked="0"/>
    </xf>
    <xf numFmtId="0" fontId="38" fillId="2" borderId="0" xfId="0" applyFont="1" applyFill="1" applyAlignment="1">
      <alignment horizontal="center" vertical="center"/>
    </xf>
    <xf numFmtId="0" fontId="13" fillId="0" borderId="40" xfId="2" applyFont="1" applyBorder="1" applyAlignment="1">
      <alignment horizontal="center" vertical="center"/>
    </xf>
    <xf numFmtId="165" fontId="13" fillId="0" borderId="40" xfId="1" applyNumberFormat="1" applyFont="1" applyBorder="1" applyAlignment="1">
      <alignment horizontal="left" vertical="top"/>
    </xf>
    <xf numFmtId="49" fontId="13" fillId="0" borderId="40" xfId="2" applyNumberFormat="1" applyFont="1" applyBorder="1" applyAlignment="1">
      <alignment horizontal="left" vertical="top"/>
    </xf>
    <xf numFmtId="0" fontId="12" fillId="0" borderId="40" xfId="2" applyBorder="1">
      <alignment vertical="top"/>
    </xf>
    <xf numFmtId="49" fontId="13" fillId="2" borderId="40" xfId="2" applyNumberFormat="1" applyFont="1" applyFill="1" applyBorder="1" applyAlignment="1">
      <alignment horizontal="left" vertical="top"/>
    </xf>
    <xf numFmtId="0" fontId="11" fillId="16" borderId="41" xfId="0" applyFont="1" applyFill="1" applyBorder="1" applyAlignment="1">
      <alignment horizontal="center" vertical="center"/>
    </xf>
    <xf numFmtId="165" fontId="22" fillId="3" borderId="41" xfId="1" applyNumberFormat="1" applyFont="1" applyFill="1" applyBorder="1" applyAlignment="1" applyProtection="1">
      <alignment horizontal="center" vertical="center"/>
    </xf>
    <xf numFmtId="0" fontId="8" fillId="14" borderId="40" xfId="0" applyFont="1" applyFill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165" fontId="8" fillId="14" borderId="40" xfId="1" applyNumberFormat="1" applyFont="1" applyFill="1" applyBorder="1"/>
    <xf numFmtId="165" fontId="8" fillId="0" borderId="40" xfId="0" applyNumberFormat="1" applyFont="1" applyBorder="1"/>
    <xf numFmtId="0" fontId="8" fillId="0" borderId="0" xfId="0" applyFont="1"/>
    <xf numFmtId="0" fontId="8" fillId="0" borderId="40" xfId="0" applyFont="1" applyBorder="1"/>
    <xf numFmtId="0" fontId="8" fillId="11" borderId="40" xfId="0" applyFont="1" applyFill="1" applyBorder="1" applyAlignment="1">
      <alignment horizontal="center" vertical="center"/>
    </xf>
    <xf numFmtId="0" fontId="0" fillId="0" borderId="40" xfId="0" applyBorder="1" applyProtection="1"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/>
    <xf numFmtId="169" fontId="4" fillId="0" borderId="0" xfId="0" applyNumberFormat="1" applyFont="1" applyProtection="1">
      <protection locked="0"/>
    </xf>
    <xf numFmtId="0" fontId="24" fillId="0" borderId="0" xfId="0" applyFont="1" applyProtection="1">
      <protection locked="0"/>
    </xf>
    <xf numFmtId="0" fontId="4" fillId="0" borderId="0" xfId="0" applyFont="1" applyAlignment="1" applyProtection="1">
      <alignment horizontal="left"/>
      <protection locked="0"/>
    </xf>
    <xf numFmtId="0" fontId="2" fillId="2" borderId="40" xfId="0" applyFont="1" applyFill="1" applyBorder="1" applyAlignment="1" applyProtection="1">
      <alignment horizontal="center" vertical="center"/>
      <protection locked="0"/>
    </xf>
    <xf numFmtId="0" fontId="2" fillId="0" borderId="40" xfId="0" applyFont="1" applyBorder="1" applyAlignment="1" applyProtection="1">
      <alignment horizontal="center" vertical="center"/>
      <protection locked="0"/>
    </xf>
    <xf numFmtId="0" fontId="7" fillId="3" borderId="4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169" fontId="2" fillId="2" borderId="40" xfId="0" applyNumberFormat="1" applyFont="1" applyFill="1" applyBorder="1" applyAlignment="1" applyProtection="1">
      <alignment horizontal="center" vertical="center" wrapText="1"/>
      <protection locked="0"/>
    </xf>
    <xf numFmtId="0" fontId="2" fillId="14" borderId="40" xfId="0" applyFont="1" applyFill="1" applyBorder="1" applyAlignment="1" applyProtection="1">
      <alignment horizontal="center" vertical="center" wrapText="1"/>
      <protection locked="0"/>
    </xf>
    <xf numFmtId="0" fontId="2" fillId="2" borderId="40" xfId="0" applyFont="1" applyFill="1" applyBorder="1" applyAlignment="1" applyProtection="1">
      <alignment horizontal="center" vertical="center" wrapText="1"/>
      <protection locked="0"/>
    </xf>
    <xf numFmtId="0" fontId="2" fillId="5" borderId="40" xfId="0" applyFont="1" applyFill="1" applyBorder="1" applyAlignment="1">
      <alignment horizontal="center" vertical="center"/>
    </xf>
    <xf numFmtId="0" fontId="2" fillId="4" borderId="40" xfId="0" applyFont="1" applyFill="1" applyBorder="1" applyAlignment="1">
      <alignment horizontal="center" vertical="center"/>
    </xf>
    <xf numFmtId="0" fontId="2" fillId="0" borderId="40" xfId="0" applyFont="1" applyBorder="1" applyAlignment="1" applyProtection="1">
      <alignment horizontal="left" vertical="center"/>
      <protection locked="0"/>
    </xf>
    <xf numFmtId="0" fontId="0" fillId="0" borderId="40" xfId="0" applyBorder="1" applyAlignment="1" applyProtection="1">
      <alignment horizontal="center" vertical="center"/>
      <protection locked="0"/>
    </xf>
    <xf numFmtId="14" fontId="0" fillId="0" borderId="40" xfId="0" applyNumberFormat="1" applyBorder="1" applyAlignment="1" applyProtection="1">
      <alignment horizontal="center" vertical="center"/>
      <protection locked="0"/>
    </xf>
    <xf numFmtId="0" fontId="0" fillId="0" borderId="40" xfId="0" applyBorder="1" applyAlignment="1">
      <alignment horizontal="center" vertical="center"/>
    </xf>
    <xf numFmtId="165" fontId="2" fillId="0" borderId="40" xfId="1" applyNumberFormat="1" applyFont="1" applyBorder="1" applyAlignment="1" applyProtection="1">
      <alignment vertical="center"/>
      <protection locked="0"/>
    </xf>
    <xf numFmtId="165" fontId="2" fillId="0" borderId="40" xfId="1" applyNumberFormat="1" applyFont="1" applyBorder="1" applyAlignment="1" applyProtection="1">
      <alignment horizontal="center" vertical="center"/>
    </xf>
    <xf numFmtId="165" fontId="2" fillId="6" borderId="40" xfId="1" applyNumberFormat="1" applyFont="1" applyFill="1" applyBorder="1" applyProtection="1">
      <protection locked="0"/>
    </xf>
    <xf numFmtId="165" fontId="2" fillId="15" borderId="40" xfId="1" applyNumberFormat="1" applyFont="1" applyFill="1" applyBorder="1" applyProtection="1">
      <protection locked="0"/>
    </xf>
    <xf numFmtId="165" fontId="2" fillId="9" borderId="40" xfId="1" applyNumberFormat="1" applyFont="1" applyFill="1" applyBorder="1" applyAlignment="1" applyProtection="1">
      <alignment horizontal="center" vertical="center"/>
    </xf>
    <xf numFmtId="165" fontId="6" fillId="6" borderId="40" xfId="1" applyNumberFormat="1" applyFont="1" applyFill="1" applyBorder="1" applyAlignment="1" applyProtection="1">
      <alignment horizontal="center" vertical="center"/>
      <protection locked="0"/>
    </xf>
    <xf numFmtId="165" fontId="6" fillId="15" borderId="40" xfId="1" applyNumberFormat="1" applyFont="1" applyFill="1" applyBorder="1" applyAlignment="1" applyProtection="1">
      <alignment horizontal="center" vertical="center"/>
      <protection locked="0"/>
    </xf>
    <xf numFmtId="165" fontId="6" fillId="7" borderId="40" xfId="1" applyNumberFormat="1" applyFont="1" applyFill="1" applyBorder="1" applyAlignment="1" applyProtection="1">
      <alignment horizontal="center" vertical="center"/>
    </xf>
    <xf numFmtId="165" fontId="2" fillId="0" borderId="40" xfId="1" applyNumberFormat="1" applyFont="1" applyBorder="1" applyProtection="1">
      <protection locked="0"/>
    </xf>
    <xf numFmtId="165" fontId="2" fillId="0" borderId="40" xfId="0" applyNumberFormat="1" applyFont="1" applyBorder="1" applyAlignment="1">
      <alignment horizontal="center" vertical="center"/>
    </xf>
    <xf numFmtId="0" fontId="0" fillId="0" borderId="40" xfId="0" applyBorder="1" applyAlignment="1" applyProtection="1">
      <alignment horizontal="left"/>
      <protection locked="0"/>
    </xf>
    <xf numFmtId="0" fontId="11" fillId="12" borderId="28" xfId="0" applyFont="1" applyFill="1" applyBorder="1" applyAlignment="1">
      <alignment horizontal="center" vertical="center"/>
    </xf>
    <xf numFmtId="165" fontId="21" fillId="12" borderId="28" xfId="1" applyNumberFormat="1" applyFont="1" applyFill="1" applyBorder="1" applyAlignment="1" applyProtection="1">
      <alignment horizontal="center" vertical="center"/>
    </xf>
    <xf numFmtId="0" fontId="0" fillId="12" borderId="0" xfId="0" applyFill="1"/>
    <xf numFmtId="0" fontId="39" fillId="0" borderId="0" xfId="0" applyFont="1" applyAlignment="1">
      <alignment horizontal="center" vertical="center"/>
    </xf>
    <xf numFmtId="165" fontId="0" fillId="13" borderId="40" xfId="1" applyNumberFormat="1" applyFont="1" applyFill="1" applyBorder="1" applyAlignment="1" applyProtection="1"/>
    <xf numFmtId="165" fontId="0" fillId="12" borderId="40" xfId="1" applyNumberFormat="1" applyFont="1" applyFill="1" applyBorder="1" applyAlignment="1" applyProtection="1"/>
    <xf numFmtId="165" fontId="0" fillId="24" borderId="40" xfId="1" applyNumberFormat="1" applyFont="1" applyFill="1" applyBorder="1" applyAlignment="1" applyProtection="1"/>
    <xf numFmtId="166" fontId="0" fillId="29" borderId="40" xfId="1" applyNumberFormat="1" applyFont="1" applyFill="1" applyBorder="1" applyProtection="1">
      <protection locked="0"/>
    </xf>
    <xf numFmtId="165" fontId="0" fillId="0" borderId="2" xfId="1" applyNumberFormat="1" applyFont="1" applyFill="1" applyBorder="1"/>
    <xf numFmtId="165" fontId="3" fillId="2" borderId="0" xfId="0" applyNumberFormat="1" applyFont="1" applyFill="1"/>
    <xf numFmtId="0" fontId="20" fillId="0" borderId="0" xfId="0" applyFont="1" applyProtection="1">
      <protection locked="0"/>
    </xf>
    <xf numFmtId="0" fontId="2" fillId="0" borderId="1" xfId="0" quotePrefix="1" applyFont="1" applyBorder="1"/>
    <xf numFmtId="0" fontId="2" fillId="0" borderId="42" xfId="0" applyFont="1" applyBorder="1" applyAlignment="1">
      <alignment horizontal="center" vertical="center"/>
    </xf>
    <xf numFmtId="165" fontId="0" fillId="0" borderId="0" xfId="0" applyNumberFormat="1" applyProtection="1">
      <protection locked="0"/>
    </xf>
    <xf numFmtId="165" fontId="0" fillId="0" borderId="0" xfId="1" applyNumberFormat="1" applyFont="1"/>
    <xf numFmtId="167" fontId="0" fillId="0" borderId="0" xfId="0" applyNumberFormat="1" applyAlignment="1" applyProtection="1">
      <alignment horizontal="center" vertical="center"/>
      <protection locked="0"/>
    </xf>
    <xf numFmtId="167" fontId="4" fillId="0" borderId="0" xfId="0" applyNumberFormat="1" applyFont="1" applyAlignment="1" applyProtection="1">
      <alignment horizontal="center" vertical="center"/>
      <protection locked="0"/>
    </xf>
    <xf numFmtId="167" fontId="2" fillId="2" borderId="40" xfId="0" applyNumberFormat="1" applyFont="1" applyFill="1" applyBorder="1" applyAlignment="1" applyProtection="1">
      <alignment horizontal="center" vertical="center"/>
      <protection locked="0"/>
    </xf>
    <xf numFmtId="167" fontId="0" fillId="0" borderId="40" xfId="0" applyNumberFormat="1" applyBorder="1" applyAlignment="1" applyProtection="1">
      <alignment horizontal="center" vertical="center"/>
      <protection locked="0"/>
    </xf>
    <xf numFmtId="165" fontId="12" fillId="0" borderId="0" xfId="2" applyNumberFormat="1">
      <alignment vertical="top"/>
    </xf>
    <xf numFmtId="165" fontId="0" fillId="0" borderId="1" xfId="0" applyNumberFormat="1" applyBorder="1"/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0" fontId="0" fillId="0" borderId="43" xfId="0" applyBorder="1" applyAlignment="1">
      <alignment horizontal="center" vertical="center"/>
    </xf>
    <xf numFmtId="0" fontId="12" fillId="0" borderId="31" xfId="2" applyBorder="1">
      <alignment vertical="top"/>
    </xf>
    <xf numFmtId="0" fontId="2" fillId="0" borderId="42" xfId="0" applyFont="1" applyBorder="1"/>
    <xf numFmtId="165" fontId="20" fillId="0" borderId="0" xfId="0" applyNumberFormat="1" applyFont="1" applyProtection="1">
      <protection locked="0"/>
    </xf>
    <xf numFmtId="165" fontId="0" fillId="0" borderId="31" xfId="1" applyNumberFormat="1" applyFont="1" applyBorder="1"/>
    <xf numFmtId="165" fontId="0" fillId="0" borderId="0" xfId="1" applyNumberFormat="1" applyFont="1" applyBorder="1"/>
    <xf numFmtId="165" fontId="3" fillId="30" borderId="0" xfId="0" applyNumberFormat="1" applyFont="1" applyFill="1"/>
    <xf numFmtId="0" fontId="0" fillId="0" borderId="0" xfId="0" quotePrefix="1" applyProtection="1">
      <protection locked="0"/>
    </xf>
    <xf numFmtId="165" fontId="40" fillId="0" borderId="0" xfId="1" applyNumberFormat="1" applyFont="1" applyBorder="1"/>
    <xf numFmtId="0" fontId="40" fillId="0" borderId="0" xfId="0" applyFont="1" applyProtection="1">
      <protection locked="0"/>
    </xf>
    <xf numFmtId="165" fontId="0" fillId="0" borderId="0" xfId="1" quotePrefix="1" applyNumberFormat="1" applyFont="1" applyBorder="1" applyAlignment="1">
      <alignment wrapText="1"/>
    </xf>
    <xf numFmtId="0" fontId="0" fillId="0" borderId="0" xfId="0" applyAlignment="1" applyProtection="1">
      <alignment wrapText="1"/>
      <protection locked="0"/>
    </xf>
    <xf numFmtId="0" fontId="2" fillId="2" borderId="2" xfId="0" applyFont="1" applyFill="1" applyBorder="1"/>
    <xf numFmtId="165" fontId="41" fillId="0" borderId="1" xfId="1" applyNumberFormat="1" applyFont="1" applyBorder="1"/>
    <xf numFmtId="0" fontId="0" fillId="0" borderId="0" xfId="0" quotePrefix="1" applyAlignment="1" applyProtection="1">
      <alignment wrapText="1"/>
      <protection locked="0"/>
    </xf>
    <xf numFmtId="165" fontId="42" fillId="0" borderId="1" xfId="1" applyNumberFormat="1" applyFont="1" applyBorder="1"/>
    <xf numFmtId="0" fontId="43" fillId="0" borderId="0" xfId="0" applyFont="1"/>
    <xf numFmtId="165" fontId="0" fillId="0" borderId="22" xfId="1" quotePrefix="1" applyNumberFormat="1" applyFont="1" applyBorder="1"/>
    <xf numFmtId="165" fontId="12" fillId="0" borderId="0" xfId="1" applyNumberFormat="1" applyFont="1" applyAlignment="1">
      <alignment vertical="top"/>
    </xf>
    <xf numFmtId="165" fontId="44" fillId="0" borderId="0" xfId="1" applyNumberFormat="1" applyFont="1"/>
    <xf numFmtId="165" fontId="6" fillId="2" borderId="40" xfId="1" applyNumberFormat="1" applyFont="1" applyFill="1" applyBorder="1" applyProtection="1">
      <protection locked="0"/>
    </xf>
    <xf numFmtId="164" fontId="2" fillId="6" borderId="40" xfId="1" applyNumberFormat="1" applyFont="1" applyFill="1" applyBorder="1" applyProtection="1">
      <protection locked="0"/>
    </xf>
    <xf numFmtId="0" fontId="2" fillId="0" borderId="1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7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18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 applyProtection="1">
      <alignment horizontal="center" vertical="center"/>
      <protection locked="0"/>
    </xf>
    <xf numFmtId="0" fontId="18" fillId="12" borderId="1" xfId="0" applyFont="1" applyFill="1" applyBorder="1" applyAlignment="1">
      <alignment horizontal="center" vertical="center"/>
    </xf>
    <xf numFmtId="0" fontId="30" fillId="0" borderId="0" xfId="0" applyFont="1" applyAlignment="1" applyProtection="1">
      <alignment horizontal="center"/>
      <protection locked="0"/>
    </xf>
    <xf numFmtId="0" fontId="37" fillId="15" borderId="32" xfId="0" applyFont="1" applyFill="1" applyBorder="1" applyAlignment="1" applyProtection="1">
      <alignment horizontal="center" vertical="center"/>
      <protection locked="0"/>
    </xf>
    <xf numFmtId="0" fontId="37" fillId="15" borderId="33" xfId="0" applyFont="1" applyFill="1" applyBorder="1" applyAlignment="1" applyProtection="1">
      <alignment horizontal="center" vertical="center"/>
      <protection locked="0"/>
    </xf>
    <xf numFmtId="0" fontId="37" fillId="15" borderId="34" xfId="0" applyFont="1" applyFill="1" applyBorder="1" applyAlignment="1" applyProtection="1">
      <alignment horizontal="center" vertical="center"/>
      <protection locked="0"/>
    </xf>
    <xf numFmtId="0" fontId="37" fillId="15" borderId="14" xfId="0" applyFont="1" applyFill="1" applyBorder="1" applyAlignment="1" applyProtection="1">
      <alignment horizontal="center" vertical="center"/>
      <protection locked="0"/>
    </xf>
    <xf numFmtId="0" fontId="37" fillId="15" borderId="0" xfId="0" applyFont="1" applyFill="1" applyAlignment="1" applyProtection="1">
      <alignment horizontal="center" vertical="center"/>
      <protection locked="0"/>
    </xf>
    <xf numFmtId="0" fontId="32" fillId="26" borderId="34" xfId="0" applyFont="1" applyFill="1" applyBorder="1" applyAlignment="1" applyProtection="1">
      <alignment horizontal="center" vertical="center"/>
      <protection locked="0"/>
    </xf>
    <xf numFmtId="0" fontId="32" fillId="26" borderId="14" xfId="0" applyFont="1" applyFill="1" applyBorder="1" applyAlignment="1" applyProtection="1">
      <alignment horizontal="center" vertical="center"/>
      <protection locked="0"/>
    </xf>
    <xf numFmtId="0" fontId="32" fillId="26" borderId="36" xfId="0" applyFont="1" applyFill="1" applyBorder="1" applyAlignment="1" applyProtection="1">
      <alignment horizontal="center" vertical="center"/>
      <protection locked="0"/>
    </xf>
    <xf numFmtId="0" fontId="0" fillId="22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35" fillId="0" borderId="26" xfId="0" applyFont="1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0" fontId="35" fillId="0" borderId="22" xfId="0" applyFont="1" applyBorder="1" applyAlignment="1">
      <alignment horizontal="center" vertical="center" wrapText="1"/>
    </xf>
    <xf numFmtId="0" fontId="16" fillId="22" borderId="26" xfId="0" applyFont="1" applyFill="1" applyBorder="1" applyAlignment="1">
      <alignment horizontal="center" vertical="center"/>
    </xf>
    <xf numFmtId="0" fontId="16" fillId="22" borderId="29" xfId="0" applyFont="1" applyFill="1" applyBorder="1" applyAlignment="1">
      <alignment horizontal="center" vertical="center"/>
    </xf>
    <xf numFmtId="0" fontId="16" fillId="22" borderId="24" xfId="0" applyFont="1" applyFill="1" applyBorder="1" applyAlignment="1">
      <alignment horizontal="center" vertical="center"/>
    </xf>
    <xf numFmtId="0" fontId="16" fillId="22" borderId="22" xfId="0" applyFont="1" applyFill="1" applyBorder="1" applyAlignment="1">
      <alignment horizontal="center" vertical="center"/>
    </xf>
    <xf numFmtId="0" fontId="16" fillId="22" borderId="3" xfId="0" applyFont="1" applyFill="1" applyBorder="1" applyAlignment="1">
      <alignment horizontal="center" vertical="center"/>
    </xf>
    <xf numFmtId="0" fontId="16" fillId="22" borderId="30" xfId="0" applyFont="1" applyFill="1" applyBorder="1" applyAlignment="1">
      <alignment horizontal="center" vertical="center"/>
    </xf>
  </cellXfs>
  <cellStyles count="25">
    <cellStyle name="Comma" xfId="1" builtinId="3"/>
    <cellStyle name="Comma 2" xfId="3" xr:uid="{00000000-0005-0000-0000-000001000000}"/>
    <cellStyle name="Comma 2 2" xfId="4" xr:uid="{00000000-0005-0000-0000-000002000000}"/>
    <cellStyle name="Comma 2 2 2" xfId="7" xr:uid="{00000000-0005-0000-0000-000003000000}"/>
    <cellStyle name="Comma 2 2 2 2" xfId="12" xr:uid="{00000000-0005-0000-0000-000004000000}"/>
    <cellStyle name="Comma 2 2 2 2 2" xfId="23" xr:uid="{00000000-0005-0000-0000-000005000000}"/>
    <cellStyle name="Comma 2 2 2 3" xfId="18" xr:uid="{00000000-0005-0000-0000-000006000000}"/>
    <cellStyle name="Comma 2 3" xfId="6" xr:uid="{00000000-0005-0000-0000-000007000000}"/>
    <cellStyle name="Comma 2 3 2" xfId="11" xr:uid="{00000000-0005-0000-0000-000008000000}"/>
    <cellStyle name="Comma 2 3 2 2" xfId="22" xr:uid="{00000000-0005-0000-0000-000009000000}"/>
    <cellStyle name="Comma 2 3 3" xfId="17" xr:uid="{00000000-0005-0000-0000-00000A000000}"/>
    <cellStyle name="Comma 2 4" xfId="9" xr:uid="{00000000-0005-0000-0000-00000B000000}"/>
    <cellStyle name="Comma 2 4 2" xfId="20" xr:uid="{00000000-0005-0000-0000-00000C000000}"/>
    <cellStyle name="Comma 2 5" xfId="15" xr:uid="{00000000-0005-0000-0000-00000D000000}"/>
    <cellStyle name="Comma 3" xfId="5" xr:uid="{00000000-0005-0000-0000-00000E000000}"/>
    <cellStyle name="Comma 3 2" xfId="10" xr:uid="{00000000-0005-0000-0000-00000F000000}"/>
    <cellStyle name="Comma 3 2 2" xfId="21" xr:uid="{00000000-0005-0000-0000-000010000000}"/>
    <cellStyle name="Comma 3 3" xfId="16" xr:uid="{00000000-0005-0000-0000-000011000000}"/>
    <cellStyle name="Comma 4" xfId="8" xr:uid="{00000000-0005-0000-0000-000012000000}"/>
    <cellStyle name="Comma 4 2" xfId="19" xr:uid="{00000000-0005-0000-0000-000013000000}"/>
    <cellStyle name="Comma 5" xfId="13" xr:uid="{00000000-0005-0000-0000-000014000000}"/>
    <cellStyle name="Comma 5 2" xfId="24" xr:uid="{00000000-0005-0000-0000-000015000000}"/>
    <cellStyle name="Comma 6" xfId="14" xr:uid="{00000000-0005-0000-0000-000016000000}"/>
    <cellStyle name="Normal" xfId="0" builtinId="0"/>
    <cellStyle name="Normal 2" xfId="2" xr:uid="{00000000-0005-0000-0000-000018000000}"/>
  </cellStyles>
  <dxfs count="12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6" tint="-0.24994659260841701"/>
        </patternFill>
      </fill>
    </dxf>
    <dxf>
      <font>
        <color rgb="FF0061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6" tint="-0.24994659260841701"/>
        </patternFill>
      </fill>
    </dxf>
    <dxf>
      <font>
        <color rgb="FF9C0006"/>
      </font>
      <fill>
        <patternFill>
          <bgColor theme="6" tint="-0.24994659260841701"/>
        </patternFill>
      </fill>
    </dxf>
    <dxf>
      <font>
        <color rgb="FF0061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6" tint="-0.24994659260841701"/>
        </patternFill>
      </fill>
    </dxf>
    <dxf>
      <font>
        <color rgb="FF0061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6" tint="-0.24994659260841701"/>
        </patternFill>
      </fill>
    </dxf>
    <dxf>
      <font>
        <color rgb="FF0061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6" tint="-0.24994659260841701"/>
        </patternFill>
      </fill>
    </dxf>
    <dxf>
      <font>
        <color rgb="FF0061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6" tint="-0.24994659260841701"/>
        </patternFill>
      </fill>
    </dxf>
    <dxf>
      <font>
        <color rgb="FF0061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6" tint="-0.24994659260841701"/>
        </patternFill>
      </fill>
    </dxf>
    <dxf>
      <font>
        <color rgb="FF0061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6" tint="-0.24994659260841701"/>
        </patternFill>
      </fill>
    </dxf>
    <dxf>
      <font>
        <color rgb="FF0061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6" tint="-0.24994659260841701"/>
        </patternFill>
      </fill>
    </dxf>
    <dxf>
      <font>
        <color rgb="FF0061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6" tint="-0.24994659260841701"/>
        </patternFill>
      </fill>
    </dxf>
    <dxf>
      <font>
        <color rgb="FF0061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6" tint="-0.24994659260841701"/>
        </patternFill>
      </fill>
    </dxf>
    <dxf>
      <font>
        <color rgb="FF0061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theme="2" tint="-9.9948118533890809E-2"/>
        </patternFill>
      </fill>
    </dxf>
    <dxf>
      <font>
        <color rgb="FF9C0006"/>
      </font>
      <fill>
        <patternFill>
          <bgColor theme="2" tint="-0.24994659260841701"/>
        </patternFill>
      </fill>
    </dxf>
    <dxf>
      <font>
        <color rgb="FF9C0006"/>
      </font>
      <fill>
        <patternFill>
          <bgColor theme="0" tint="-0.499984740745262"/>
        </patternFill>
      </fill>
    </dxf>
    <dxf>
      <font>
        <color rgb="FF9C0006"/>
      </font>
      <fill>
        <patternFill>
          <bgColor theme="3" tint="0.59996337778862885"/>
        </patternFill>
      </fill>
    </dxf>
    <dxf>
      <font>
        <color rgb="FF9C0006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92D050"/>
        </patternFill>
      </fill>
    </dxf>
    <dxf>
      <font>
        <color rgb="FF9C0006"/>
      </font>
      <fill>
        <patternFill>
          <bgColor theme="6" tint="-0.24994659260841701"/>
        </patternFill>
      </fill>
    </dxf>
    <dxf>
      <font>
        <color rgb="FF0061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6" tint="-0.24994659260841701"/>
        </patternFill>
      </fill>
    </dxf>
    <dxf>
      <font>
        <color rgb="FF0061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6" tint="-0.24994659260841701"/>
        </patternFill>
      </fill>
    </dxf>
    <dxf>
      <font>
        <color rgb="FF0061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2" tint="-9.9948118533890809E-2"/>
        </patternFill>
      </fill>
    </dxf>
    <dxf>
      <font>
        <color rgb="FF9C0006"/>
      </font>
      <fill>
        <patternFill>
          <bgColor theme="2" tint="-0.24994659260841701"/>
        </patternFill>
      </fill>
    </dxf>
    <dxf>
      <font>
        <color rgb="FF9C0006"/>
      </font>
      <fill>
        <patternFill>
          <bgColor theme="0" tint="-0.499984740745262"/>
        </patternFill>
      </fill>
    </dxf>
    <dxf>
      <font>
        <color rgb="FF9C0006"/>
      </font>
      <fill>
        <patternFill>
          <bgColor theme="3" tint="0.59996337778862885"/>
        </patternFill>
      </fill>
    </dxf>
    <dxf>
      <font>
        <color rgb="FF9C0006"/>
      </font>
      <fill>
        <patternFill>
          <bgColor theme="3" tint="0.39994506668294322"/>
        </patternFill>
      </fill>
    </dxf>
    <dxf>
      <font>
        <color rgb="FF9C0006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8" tint="-0.2499465926084170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-0.24994659260841701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1"/>
      </font>
      <fill>
        <patternFill>
          <bgColor theme="8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-0.24994659260841701"/>
        </patternFill>
      </fill>
    </dxf>
    <dxf>
      <fill>
        <patternFill>
          <bgColor theme="8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theme="8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9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3333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FF"/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Admin\Documents\Zalo%20Received%20Files\B&#193;N%20H&#192;NG%20TH&#193;NG%200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zoomScale="85" zoomScaleNormal="85" workbookViewId="0">
      <selection activeCell="G32" sqref="G32"/>
    </sheetView>
  </sheetViews>
  <sheetFormatPr defaultRowHeight="14.4" x14ac:dyDescent="0.3"/>
  <cols>
    <col min="1" max="1" width="14.6640625" bestFit="1" customWidth="1"/>
    <col min="2" max="2" width="16.109375" customWidth="1"/>
    <col min="3" max="3" width="25.5546875" customWidth="1"/>
    <col min="4" max="4" width="17.88671875" bestFit="1" customWidth="1"/>
    <col min="5" max="5" width="17.33203125" bestFit="1" customWidth="1"/>
    <col min="6" max="6" width="16" bestFit="1" customWidth="1"/>
    <col min="7" max="7" width="22.6640625" customWidth="1"/>
    <col min="8" max="8" width="22.5546875" customWidth="1"/>
    <col min="9" max="9" width="24.6640625" bestFit="1" customWidth="1"/>
    <col min="10" max="10" width="31.88671875" bestFit="1" customWidth="1"/>
    <col min="11" max="11" width="21.109375" bestFit="1" customWidth="1"/>
    <col min="12" max="12" width="20.5546875" customWidth="1"/>
  </cols>
  <sheetData>
    <row r="1" spans="1:12" x14ac:dyDescent="0.3">
      <c r="H1" s="59">
        <f>+H3-G3</f>
        <v>1527250000</v>
      </c>
    </row>
    <row r="2" spans="1:12" ht="41.4" x14ac:dyDescent="0.3">
      <c r="A2" s="186" t="s">
        <v>135</v>
      </c>
      <c r="B2" s="99" t="s">
        <v>21</v>
      </c>
      <c r="C2" s="100" t="s">
        <v>22</v>
      </c>
      <c r="D2" s="101" t="s">
        <v>40</v>
      </c>
      <c r="E2" s="102" t="s">
        <v>58</v>
      </c>
      <c r="F2" s="101" t="s">
        <v>59</v>
      </c>
      <c r="G2" s="103" t="s">
        <v>56</v>
      </c>
      <c r="H2" s="100" t="s">
        <v>57</v>
      </c>
      <c r="I2" s="107" t="s">
        <v>86</v>
      </c>
      <c r="J2" s="192" t="s">
        <v>60</v>
      </c>
      <c r="K2" s="194" t="s">
        <v>141</v>
      </c>
      <c r="L2" s="200" t="s">
        <v>142</v>
      </c>
    </row>
    <row r="3" spans="1:12" ht="21" x14ac:dyDescent="0.35">
      <c r="B3" s="43">
        <f>+B6+B9+B12+B15+B18+B21</f>
        <v>755</v>
      </c>
      <c r="C3" s="43">
        <f>+C6+C9+C12+C15+C18+C21</f>
        <v>35505</v>
      </c>
      <c r="D3" s="44">
        <f>IFERROR(C3/B3,"-")</f>
        <v>47.026490066225165</v>
      </c>
      <c r="E3" s="45">
        <f>IFERROR(+G3/C3,"-")</f>
        <v>38698.774820447827</v>
      </c>
      <c r="F3" s="43">
        <f>IFERROR(+H3/C3,"-")</f>
        <v>81713.843120687234</v>
      </c>
      <c r="G3" s="46">
        <f>+G6+G9+G12+G15+G18+G21</f>
        <v>1374000000</v>
      </c>
      <c r="H3" s="104">
        <f>+H6+H9+H12+H15+H18+H21</f>
        <v>2901250000</v>
      </c>
      <c r="I3" s="159">
        <f>+I6+I9+I12+I15+I18+I21</f>
        <v>10500000</v>
      </c>
      <c r="J3" s="193">
        <f>+'MAIL CÔNG NỢ'!C6</f>
        <v>0</v>
      </c>
      <c r="K3" s="196">
        <f>+'MAIL CÔNG NỢ'!D6</f>
        <v>0</v>
      </c>
      <c r="L3" s="197">
        <f>+J3-K3-G3</f>
        <v>-1374000000</v>
      </c>
    </row>
    <row r="4" spans="1:12" ht="18" x14ac:dyDescent="0.35">
      <c r="K4" s="198"/>
      <c r="L4" s="198"/>
    </row>
    <row r="5" spans="1:12" ht="41.4" x14ac:dyDescent="0.35">
      <c r="A5" s="235" t="s">
        <v>116</v>
      </c>
      <c r="B5" s="157" t="s">
        <v>21</v>
      </c>
      <c r="C5" s="232" t="s">
        <v>22</v>
      </c>
      <c r="D5" s="158" t="s">
        <v>40</v>
      </c>
      <c r="E5" s="158" t="s">
        <v>58</v>
      </c>
      <c r="F5" s="158" t="s">
        <v>59</v>
      </c>
      <c r="G5" s="158" t="s">
        <v>56</v>
      </c>
      <c r="H5" s="158" t="s">
        <v>57</v>
      </c>
      <c r="I5" s="157" t="s">
        <v>86</v>
      </c>
      <c r="J5" s="195" t="s">
        <v>60</v>
      </c>
      <c r="K5" s="199"/>
      <c r="L5" s="199"/>
    </row>
    <row r="6" spans="1:12" ht="21" x14ac:dyDescent="0.35">
      <c r="B6" s="43">
        <f>+SUMIFS($D$28:$D$107,$C$28:$C$107,$A5)</f>
        <v>605</v>
      </c>
      <c r="C6" s="233">
        <f>+SUMIFS($E$28:$E$107,$C$28:$C$107,$A5)</f>
        <v>17505</v>
      </c>
      <c r="D6" s="44">
        <f>IFERROR(C6/B6,"-")</f>
        <v>28.93388429752066</v>
      </c>
      <c r="E6" s="45" t="s">
        <v>124</v>
      </c>
      <c r="F6" s="43">
        <f>IFERROR(+H6/C6,"-")</f>
        <v>110211.36818051986</v>
      </c>
      <c r="G6" s="46">
        <f>+SUMIFS($F$28:$F$107,$C$28:$C$107,$A5)</f>
        <v>1374000000</v>
      </c>
      <c r="H6" s="104">
        <f>+SUMIFS($G$28:$G$107,$C$28:$C$107,$A5)</f>
        <v>1929250000</v>
      </c>
      <c r="I6" s="43">
        <f>+SUMIFS($I$28:$I$107,$C$28:$C$107,$A5)+SUMIFS($J$28:$J$107,$C$28:$C$107,$A5)</f>
        <v>10500000</v>
      </c>
      <c r="J6" s="193">
        <f>+SUMIFS('MAIL CÔNG NỢ'!$D:$D,'MAIL CÔNG NỢ'!$F:$F,'BÁO CÁO MỚI'!$A5)</f>
        <v>0</v>
      </c>
      <c r="K6" s="196">
        <f>+SUMIFS('MAIL CÔNG NỢ'!$D$8:$D$13,'MAIL CÔNG NỢ'!$B$8:$B$13,'BÁO CÁO MỚI'!A5)</f>
        <v>0</v>
      </c>
      <c r="L6" s="197">
        <f>+J6-K6-G6</f>
        <v>-1374000000</v>
      </c>
    </row>
    <row r="7" spans="1:12" ht="18" x14ac:dyDescent="0.35">
      <c r="C7" s="234"/>
      <c r="K7" s="198"/>
      <c r="L7" s="198"/>
    </row>
    <row r="8" spans="1:12" ht="41.4" x14ac:dyDescent="0.35">
      <c r="A8" s="235" t="s">
        <v>125</v>
      </c>
      <c r="B8" s="157" t="s">
        <v>21</v>
      </c>
      <c r="C8" s="232" t="s">
        <v>22</v>
      </c>
      <c r="D8" s="158" t="s">
        <v>40</v>
      </c>
      <c r="E8" s="158" t="s">
        <v>58</v>
      </c>
      <c r="F8" s="158" t="s">
        <v>59</v>
      </c>
      <c r="G8" s="158" t="s">
        <v>56</v>
      </c>
      <c r="H8" s="158" t="s">
        <v>57</v>
      </c>
      <c r="I8" s="157" t="s">
        <v>86</v>
      </c>
      <c r="J8" s="195" t="s">
        <v>60</v>
      </c>
      <c r="K8" s="199"/>
      <c r="L8" s="199"/>
    </row>
    <row r="9" spans="1:12" ht="21" x14ac:dyDescent="0.35">
      <c r="B9" s="43">
        <f>+SUMIFS($D$28:$D$107,$C$28:$C$107,$A8)</f>
        <v>0</v>
      </c>
      <c r="C9" s="233">
        <f>+SUMIFS($E$28:$E$107,$C$28:$C$107,$A8)</f>
        <v>0</v>
      </c>
      <c r="D9" s="44" t="str">
        <f>IFERROR(C9/B9,"-")</f>
        <v>-</v>
      </c>
      <c r="E9" s="45" t="s">
        <v>124</v>
      </c>
      <c r="F9" s="43" t="str">
        <f>IFERROR(+H9/C9,"-")</f>
        <v>-</v>
      </c>
      <c r="G9" s="46">
        <f>+SUMIFS($F$28:$F$107,$C$28:$C$107,$A8)</f>
        <v>0</v>
      </c>
      <c r="H9" s="104">
        <f>+SUMIFS($G$28:$G$107,$C$28:$C$107,$A8)</f>
        <v>0</v>
      </c>
      <c r="I9" s="43">
        <f>+SUMIFS($I$28:$I$107,$C$28:$C$107,$A8)+SUMIFS($J$28:$J$107,$C$28:$C$107,$A8)</f>
        <v>0</v>
      </c>
      <c r="J9" s="193">
        <f>+SUMIFS('MAIL CÔNG NỢ'!$D:$D,'MAIL CÔNG NỢ'!$F:$F,'BÁO CÁO MỚI'!$A8)</f>
        <v>0</v>
      </c>
      <c r="K9" s="196">
        <f>+SUMIFS('MAIL CÔNG NỢ'!$D$8:$D$13,'MAIL CÔNG NỢ'!$B$8:$B$13,'BÁO CÁO MỚI'!A8)</f>
        <v>0</v>
      </c>
      <c r="L9" s="197">
        <f>+J9-K9-G9</f>
        <v>0</v>
      </c>
    </row>
    <row r="10" spans="1:12" ht="18" x14ac:dyDescent="0.35">
      <c r="C10" s="234"/>
      <c r="K10" s="198"/>
      <c r="L10" s="198"/>
    </row>
    <row r="11" spans="1:12" ht="41.4" x14ac:dyDescent="0.35">
      <c r="A11" s="235" t="s">
        <v>143</v>
      </c>
      <c r="B11" s="157" t="s">
        <v>21</v>
      </c>
      <c r="C11" s="232" t="s">
        <v>22</v>
      </c>
      <c r="D11" s="158" t="s">
        <v>40</v>
      </c>
      <c r="E11" s="158" t="s">
        <v>58</v>
      </c>
      <c r="F11" s="158" t="s">
        <v>59</v>
      </c>
      <c r="G11" s="158" t="s">
        <v>56</v>
      </c>
      <c r="H11" s="158" t="s">
        <v>57</v>
      </c>
      <c r="I11" s="157" t="s">
        <v>86</v>
      </c>
      <c r="J11" s="195" t="s">
        <v>60</v>
      </c>
      <c r="K11" s="199"/>
      <c r="L11" s="199"/>
    </row>
    <row r="12" spans="1:12" ht="21" x14ac:dyDescent="0.35">
      <c r="B12" s="43">
        <f>+SUMIFS($D$28:$D$107,$C$28:$C$107,$A11)</f>
        <v>150</v>
      </c>
      <c r="C12" s="233">
        <f>+SUMIFS($E$28:$E$107,$C$28:$C$107,$A11)</f>
        <v>18000</v>
      </c>
      <c r="D12" s="44">
        <f>IFERROR(C12/B12,"-")</f>
        <v>120</v>
      </c>
      <c r="E12" s="45" t="s">
        <v>124</v>
      </c>
      <c r="F12" s="43">
        <f>IFERROR(+H12/C12,"-")</f>
        <v>54000</v>
      </c>
      <c r="G12" s="46">
        <f>+SUMIFS($F$28:$F$107,$C$28:$C$107,$A11)</f>
        <v>0</v>
      </c>
      <c r="H12" s="104">
        <f>+SUMIFS($G$28:$G$107,$C$28:$C$107,$A11)</f>
        <v>972000000</v>
      </c>
      <c r="I12" s="43">
        <f>+SUMIFS($I$28:$I$107,$C$28:$C$107,$A11)+SUMIFS($J$28:$J$107,$C$28:$C$107,$A11)</f>
        <v>0</v>
      </c>
      <c r="J12" s="193">
        <f>+SUMIFS('MAIL CÔNG NỢ'!$D:$D,'MAIL CÔNG NỢ'!$F:$F,'BÁO CÁO MỚI'!$A11)</f>
        <v>0</v>
      </c>
      <c r="K12" s="196">
        <f>+SUMIFS('MAIL CÔNG NỢ'!$D$8:$D$13,'MAIL CÔNG NỢ'!$B$8:$B$13,'BÁO CÁO MỚI'!A11)</f>
        <v>0</v>
      </c>
      <c r="L12" s="197">
        <f>+J12-K12-G12</f>
        <v>0</v>
      </c>
    </row>
    <row r="13" spans="1:12" ht="18" x14ac:dyDescent="0.35">
      <c r="C13" s="234"/>
      <c r="K13" s="198"/>
      <c r="L13" s="198"/>
    </row>
    <row r="14" spans="1:12" ht="41.4" x14ac:dyDescent="0.35">
      <c r="A14" s="235" t="s">
        <v>117</v>
      </c>
      <c r="B14" s="157" t="s">
        <v>21</v>
      </c>
      <c r="C14" s="232" t="s">
        <v>22</v>
      </c>
      <c r="D14" s="158" t="s">
        <v>40</v>
      </c>
      <c r="E14" s="158" t="s">
        <v>58</v>
      </c>
      <c r="F14" s="158" t="s">
        <v>59</v>
      </c>
      <c r="G14" s="158" t="s">
        <v>56</v>
      </c>
      <c r="H14" s="158" t="s">
        <v>57</v>
      </c>
      <c r="I14" s="157" t="s">
        <v>86</v>
      </c>
      <c r="J14" s="195" t="s">
        <v>60</v>
      </c>
      <c r="K14" s="199"/>
      <c r="L14" s="199"/>
    </row>
    <row r="15" spans="1:12" ht="21" x14ac:dyDescent="0.35">
      <c r="B15" s="43">
        <f>+SUMIFS($D$28:$D$107,$C$28:$C$107,$A14)</f>
        <v>0</v>
      </c>
      <c r="C15" s="233">
        <f>+SUMIFS($E$28:$E$107,$C$28:$C$107,$A14)</f>
        <v>0</v>
      </c>
      <c r="D15" s="44" t="str">
        <f>IFERROR(C15/B15,"-")</f>
        <v>-</v>
      </c>
      <c r="E15" s="45" t="s">
        <v>124</v>
      </c>
      <c r="F15" s="43" t="str">
        <f>IFERROR(+H15/C15,"-")</f>
        <v>-</v>
      </c>
      <c r="G15" s="46">
        <f>+SUMIFS($F$28:$F$107,$C$28:$C$107,$A14)</f>
        <v>0</v>
      </c>
      <c r="H15" s="104">
        <f>+SUMIFS($G$28:$G$107,$C$28:$C$107,$A14)</f>
        <v>0</v>
      </c>
      <c r="I15" s="43">
        <f>+SUMIFS($I$28:$I$107,$C$28:$C$107,$A14)+SUMIFS($J$28:$J$107,$C$28:$C$107,$A14)</f>
        <v>0</v>
      </c>
      <c r="J15" s="193">
        <f>+SUMIFS('MAIL CÔNG NỢ'!$D:$D,'MAIL CÔNG NỢ'!$F:$F,'BÁO CÁO MỚI'!$A14)</f>
        <v>0</v>
      </c>
      <c r="K15" s="196">
        <f>+SUMIFS('MAIL CÔNG NỢ'!$D$8:$D$13,'MAIL CÔNG NỢ'!$B$8:$B$13,'BÁO CÁO MỚI'!A14)</f>
        <v>0</v>
      </c>
      <c r="L15" s="197">
        <f>+J15-K15-G15</f>
        <v>0</v>
      </c>
    </row>
    <row r="16" spans="1:12" ht="18" x14ac:dyDescent="0.35">
      <c r="C16" s="234"/>
      <c r="K16" s="198"/>
      <c r="L16" s="198"/>
    </row>
    <row r="17" spans="1:12" ht="41.4" x14ac:dyDescent="0.35">
      <c r="A17" s="235" t="s">
        <v>126</v>
      </c>
      <c r="B17" s="157" t="s">
        <v>21</v>
      </c>
      <c r="C17" s="232" t="s">
        <v>22</v>
      </c>
      <c r="D17" s="158" t="s">
        <v>40</v>
      </c>
      <c r="E17" s="158" t="s">
        <v>58</v>
      </c>
      <c r="F17" s="158" t="s">
        <v>59</v>
      </c>
      <c r="G17" s="158" t="s">
        <v>56</v>
      </c>
      <c r="H17" s="158" t="s">
        <v>57</v>
      </c>
      <c r="I17" s="157" t="s">
        <v>86</v>
      </c>
      <c r="J17" s="195" t="s">
        <v>60</v>
      </c>
      <c r="K17" s="199"/>
      <c r="L17" s="199"/>
    </row>
    <row r="18" spans="1:12" ht="21" x14ac:dyDescent="0.35">
      <c r="B18" s="43">
        <f>+SUMIFS($D$28:$D$107,$C$28:$C$107,$A17)</f>
        <v>0</v>
      </c>
      <c r="C18" s="43">
        <f>+SUMIFS($E$28:$E$107,$C$28:$C$107,$A17)</f>
        <v>0</v>
      </c>
      <c r="D18" s="44" t="str">
        <f>IFERROR(C18/B18,"-")</f>
        <v>-</v>
      </c>
      <c r="E18" s="45" t="s">
        <v>124</v>
      </c>
      <c r="F18" s="43" t="str">
        <f>IFERROR(+H18/C18,"-")</f>
        <v>-</v>
      </c>
      <c r="G18" s="46">
        <f>+SUMIFS($F$28:$F$107,$C$28:$C$107,$A17)</f>
        <v>0</v>
      </c>
      <c r="H18" s="104">
        <f>+SUMIFS($G$28:$G$107,$C$28:$C$107,$A17)</f>
        <v>0</v>
      </c>
      <c r="I18" s="43">
        <f>+SUMIFS($I$28:$I$107,$C$28:$C$107,$A17)+SUMIFS($J$28:$J$107,$C$28:$C$107,$A17)</f>
        <v>0</v>
      </c>
      <c r="J18" s="193">
        <f>+SUMIFS('MAIL CÔNG NỢ'!$D:$D,'MAIL CÔNG NỢ'!$F:$F,'BÁO CÁO MỚI'!$A17)</f>
        <v>0</v>
      </c>
      <c r="K18" s="196">
        <f>+SUMIFS('MAIL CÔNG NỢ'!$D$8:$D$13,'MAIL CÔNG NỢ'!$B$8:$B$13,'BÁO CÁO MỚI'!A17)</f>
        <v>0</v>
      </c>
      <c r="L18" s="197">
        <f>+J18-K18-G18</f>
        <v>0</v>
      </c>
    </row>
    <row r="20" spans="1:12" ht="41.4" x14ac:dyDescent="0.35">
      <c r="A20" s="235" t="s">
        <v>123</v>
      </c>
      <c r="B20" s="157" t="s">
        <v>21</v>
      </c>
      <c r="C20" s="232" t="s">
        <v>22</v>
      </c>
      <c r="D20" s="158" t="s">
        <v>40</v>
      </c>
      <c r="E20" s="158" t="s">
        <v>58</v>
      </c>
      <c r="F20" s="158" t="s">
        <v>59</v>
      </c>
      <c r="G20" s="158" t="s">
        <v>56</v>
      </c>
      <c r="H20" s="158" t="s">
        <v>57</v>
      </c>
      <c r="I20" s="157" t="s">
        <v>86</v>
      </c>
      <c r="J20" s="195" t="s">
        <v>60</v>
      </c>
      <c r="K20" s="199"/>
      <c r="L20" s="199"/>
    </row>
    <row r="21" spans="1:12" ht="21" x14ac:dyDescent="0.35">
      <c r="B21" s="43">
        <f>+SUMIFS($D$28:$D$107,$C$28:$C$107,$A20)</f>
        <v>0</v>
      </c>
      <c r="C21" s="43">
        <f>+SUMIFS($E$28:$E$107,$C$28:$C$107,$A20)</f>
        <v>0</v>
      </c>
      <c r="D21" s="44" t="str">
        <f>IFERROR(C21/B21,"-")</f>
        <v>-</v>
      </c>
      <c r="E21" s="45" t="s">
        <v>124</v>
      </c>
      <c r="F21" s="43" t="str">
        <f>IFERROR(+H21/C21,"-")</f>
        <v>-</v>
      </c>
      <c r="G21" s="46">
        <f>+SUMIFS($F$28:$F$107,$C$28:$C$107,$A20)</f>
        <v>0</v>
      </c>
      <c r="H21" s="104">
        <f>+SUMIFS($G$28:$G$107,$C$28:$C$107,$A20)</f>
        <v>0</v>
      </c>
      <c r="I21" s="43">
        <f>+SUMIFS($I$28:$I$107,$C$28:$C$107,$A20)+SUMIFS($J$28:$J$107,$C$28:$C$107,$A20)</f>
        <v>0</v>
      </c>
      <c r="J21" s="193">
        <f>+SUMIFS('MAIL CÔNG NỢ'!$D:$D,'MAIL CÔNG NỢ'!$F:$F,'BÁO CÁO MỚI'!$A20)</f>
        <v>0</v>
      </c>
      <c r="K21" s="196">
        <f>+SUMIFS('MAIL CÔNG NỢ'!$D$8:$D$13,'MAIL CÔNG NỢ'!$B$8:$B$13,'BÁO CÁO MỚI'!A20)</f>
        <v>0</v>
      </c>
      <c r="L21" s="197">
        <f>+J21-K21-G21</f>
        <v>0</v>
      </c>
    </row>
    <row r="27" spans="1:12" x14ac:dyDescent="0.3">
      <c r="B27" s="177" t="s">
        <v>25</v>
      </c>
      <c r="C27" s="178" t="s">
        <v>127</v>
      </c>
      <c r="D27" s="179" t="s">
        <v>21</v>
      </c>
      <c r="E27" s="180" t="s">
        <v>22</v>
      </c>
      <c r="F27" s="181" t="s">
        <v>56</v>
      </c>
      <c r="G27" s="182" t="s">
        <v>57</v>
      </c>
      <c r="H27" s="180" t="s">
        <v>40</v>
      </c>
      <c r="I27" s="180" t="s">
        <v>37</v>
      </c>
      <c r="J27" s="180" t="s">
        <v>38</v>
      </c>
    </row>
    <row r="28" spans="1:12" x14ac:dyDescent="0.3">
      <c r="B28" s="183" t="s">
        <v>28</v>
      </c>
      <c r="C28" s="183" t="str">
        <f>+VLOOKUP(B28,Data!F:G,2,0)</f>
        <v>RTD</v>
      </c>
      <c r="D28" s="238">
        <f>+SUMIFS('Heo thịt_Nhập dữ liệu hàng ngày'!$P:$P,'Heo thịt_Nhập dữ liệu hàng ngày'!$L:$L,$B28)+SUMIFS('Heo con_Nhập dữ liệu'!$G:$G,'Heo con_Nhập dữ liệu'!$D:$D,'BÁO CÁO MỚI'!$B28)</f>
        <v>0</v>
      </c>
      <c r="E28" s="184">
        <f>+SUMIFS('Heo thịt_Nhập dữ liệu hàng ngày'!$Q:$Q,'Heo thịt_Nhập dữ liệu hàng ngày'!$L:$L,$B28)+SUMIFS('Heo con_Nhập dữ liệu'!$H:$H,'Heo con_Nhập dữ liệu'!$D:$D,'BÁO CÁO MỚI'!$B28)</f>
        <v>0</v>
      </c>
      <c r="F28" s="236">
        <f>+SUMIFS('Heo thịt_Nhập dữ liệu hàng ngày'!$X:$X,'Heo thịt_Nhập dữ liệu hàng ngày'!$L:$L,$B28)+SUMIFS('Heo con_Nhập dữ liệu'!$O:$O,'Heo con_Nhập dữ liệu'!$D:$D,'BÁO CÁO MỚI'!$B28)</f>
        <v>0</v>
      </c>
      <c r="G28" s="237">
        <f>+SUMIFS('Heo thịt_Nhập dữ liệu hàng ngày'!$U:$U,'Heo thịt_Nhập dữ liệu hàng ngày'!$L:$L,$B28)+SUMIFS('Heo con_Nhập dữ liệu'!$O:$O,'Heo con_Nhập dữ liệu'!$D:$D,'BÁO CÁO MỚI'!$B28)</f>
        <v>0</v>
      </c>
      <c r="H28" s="239" t="str">
        <f>IFERROR(E28/D28,"-")</f>
        <v>-</v>
      </c>
      <c r="I28" s="184">
        <f>+SUMIFS('Heo thịt_Nhập dữ liệu hàng ngày'!$AA:$AA,'Heo thịt_Nhập dữ liệu hàng ngày'!$L:$L,$B28)+SUMIFS('Heo con_Nhập dữ liệu'!$R:$R,'Heo con_Nhập dữ liệu'!$D:$D,'BÁO CÁO MỚI'!$B28)</f>
        <v>0</v>
      </c>
      <c r="J28" s="185">
        <f>+SUMIFS('Heo thịt_Nhập dữ liệu hàng ngày'!$Y:$Y,'Heo thịt_Nhập dữ liệu hàng ngày'!$L:$L,$B28)+SUMIFS('Heo thịt_Nhập dữ liệu hàng ngày'!$Z:$Z,'Heo thịt_Nhập dữ liệu hàng ngày'!$L:$L,$B28)+SUMIFS('Heo con_Nhập dữ liệu'!$P:$P,'Heo con_Nhập dữ liệu'!$D:$D,'BÁO CÁO MỚI'!$B28)+SUMIFS('Heo con_Nhập dữ liệu'!$Q:$Q,'Heo con_Nhập dữ liệu'!$D:$D,'BÁO CÁO MỚI'!$B28)</f>
        <v>0</v>
      </c>
    </row>
    <row r="29" spans="1:12" x14ac:dyDescent="0.3">
      <c r="B29" s="183" t="s">
        <v>29</v>
      </c>
      <c r="C29" s="183" t="str">
        <f>+VLOOKUP(B29,Data!F:G,2,0)</f>
        <v>RTD</v>
      </c>
      <c r="D29" s="238">
        <f>+SUMIFS('Heo thịt_Nhập dữ liệu hàng ngày'!$P:$P,'Heo thịt_Nhập dữ liệu hàng ngày'!$L:$L,$B29)+SUMIFS('Heo con_Nhập dữ liệu'!$G:$G,'Heo con_Nhập dữ liệu'!$D:$D,'BÁO CÁO MỚI'!$B29)</f>
        <v>0</v>
      </c>
      <c r="E29" s="184">
        <f>+SUMIFS('Heo thịt_Nhập dữ liệu hàng ngày'!$Q:$Q,'Heo thịt_Nhập dữ liệu hàng ngày'!$L:$L,$B29)+SUMIFS('Heo con_Nhập dữ liệu'!$H:$H,'Heo con_Nhập dữ liệu'!$D:$D,'BÁO CÁO MỚI'!$B29)</f>
        <v>0</v>
      </c>
      <c r="F29" s="236">
        <f>+SUMIFS('Heo thịt_Nhập dữ liệu hàng ngày'!$X:$X,'Heo thịt_Nhập dữ liệu hàng ngày'!$L:$L,$B29)+SUMIFS('Heo con_Nhập dữ liệu'!$O:$O,'Heo con_Nhập dữ liệu'!$D:$D,'BÁO CÁO MỚI'!$B29)</f>
        <v>0</v>
      </c>
      <c r="G29" s="237">
        <f>+SUMIFS('Heo thịt_Nhập dữ liệu hàng ngày'!$U:$U,'Heo thịt_Nhập dữ liệu hàng ngày'!$L:$L,$B29)+SUMIFS('Heo con_Nhập dữ liệu'!$O:$O,'Heo con_Nhập dữ liệu'!$D:$D,'BÁO CÁO MỚI'!$B29)</f>
        <v>0</v>
      </c>
      <c r="H29" s="239" t="str">
        <f>IFERROR(E29/D29,"-")</f>
        <v>-</v>
      </c>
      <c r="I29" s="184">
        <f>+SUMIFS('Heo thịt_Nhập dữ liệu hàng ngày'!$AA:$AA,'Heo thịt_Nhập dữ liệu hàng ngày'!$L:$L,$B29)+SUMIFS('Heo con_Nhập dữ liệu'!$R:$R,'Heo con_Nhập dữ liệu'!$D:$D,'BÁO CÁO MỚI'!$B29)</f>
        <v>0</v>
      </c>
      <c r="J29" s="185">
        <f>+SUMIFS('Heo thịt_Nhập dữ liệu hàng ngày'!$Y:$Y,'Heo thịt_Nhập dữ liệu hàng ngày'!$L:$L,$B29)+SUMIFS('Heo thịt_Nhập dữ liệu hàng ngày'!$Z:$Z,'Heo thịt_Nhập dữ liệu hàng ngày'!$L:$L,$B29)+SUMIFS('Heo con_Nhập dữ liệu'!$P:$P,'Heo con_Nhập dữ liệu'!$D:$D,'BÁO CÁO MỚI'!$B29)+SUMIFS('Heo con_Nhập dữ liệu'!$Q:$Q,'Heo con_Nhập dữ liệu'!$D:$D,'BÁO CÁO MỚI'!$B29)</f>
        <v>0</v>
      </c>
    </row>
    <row r="30" spans="1:12" x14ac:dyDescent="0.3">
      <c r="B30" s="183" t="s">
        <v>26</v>
      </c>
      <c r="C30" s="183" t="str">
        <f>+VLOOKUP(B30,Data!F:G,2,0)</f>
        <v>RTD</v>
      </c>
      <c r="D30" s="238">
        <f>+SUMIFS('Heo thịt_Nhập dữ liệu hàng ngày'!$P:$P,'Heo thịt_Nhập dữ liệu hàng ngày'!$L:$L,$B30)+SUMIFS('Heo con_Nhập dữ liệu'!$G:$G,'Heo con_Nhập dữ liệu'!$D:$D,'BÁO CÁO MỚI'!$B30)</f>
        <v>0</v>
      </c>
      <c r="E30" s="184">
        <f>+SUMIFS('Heo thịt_Nhập dữ liệu hàng ngày'!$Q:$Q,'Heo thịt_Nhập dữ liệu hàng ngày'!$L:$L,$B30)+SUMIFS('Heo con_Nhập dữ liệu'!$H:$H,'Heo con_Nhập dữ liệu'!$D:$D,'BÁO CÁO MỚI'!$B30)</f>
        <v>0</v>
      </c>
      <c r="F30" s="236">
        <f>+SUMIFS('Heo thịt_Nhập dữ liệu hàng ngày'!$X:$X,'Heo thịt_Nhập dữ liệu hàng ngày'!$L:$L,$B30)+SUMIFS('Heo con_Nhập dữ liệu'!$O:$O,'Heo con_Nhập dữ liệu'!$D:$D,'BÁO CÁO MỚI'!$B30)</f>
        <v>0</v>
      </c>
      <c r="G30" s="237">
        <f>+SUMIFS('Heo thịt_Nhập dữ liệu hàng ngày'!$U:$U,'Heo thịt_Nhập dữ liệu hàng ngày'!$L:$L,$B30)+SUMIFS('Heo con_Nhập dữ liệu'!$O:$O,'Heo con_Nhập dữ liệu'!$D:$D,'BÁO CÁO MỚI'!$B30)</f>
        <v>0</v>
      </c>
      <c r="H30" s="239" t="str">
        <f>IFERROR(E30/D30,"-")</f>
        <v>-</v>
      </c>
      <c r="I30" s="184">
        <f>+SUMIFS('Heo thịt_Nhập dữ liệu hàng ngày'!$AA:$AA,'Heo thịt_Nhập dữ liệu hàng ngày'!$L:$L,$B30)+SUMIFS('Heo con_Nhập dữ liệu'!$R:$R,'Heo con_Nhập dữ liệu'!$D:$D,'BÁO CÁO MỚI'!$B30)</f>
        <v>0</v>
      </c>
      <c r="J30" s="185">
        <f>+SUMIFS('Heo thịt_Nhập dữ liệu hàng ngày'!$Y:$Y,'Heo thịt_Nhập dữ liệu hàng ngày'!$L:$L,$B30)+SUMIFS('Heo thịt_Nhập dữ liệu hàng ngày'!$Z:$Z,'Heo thịt_Nhập dữ liệu hàng ngày'!$L:$L,$B30)+SUMIFS('Heo con_Nhập dữ liệu'!$P:$P,'Heo con_Nhập dữ liệu'!$D:$D,'BÁO CÁO MỚI'!$B30)+SUMIFS('Heo con_Nhập dữ liệu'!$Q:$Q,'Heo con_Nhập dữ liệu'!$D:$D,'BÁO CÁO MỚI'!$B30)</f>
        <v>0</v>
      </c>
    </row>
    <row r="31" spans="1:12" x14ac:dyDescent="0.3">
      <c r="B31" s="183" t="s">
        <v>30</v>
      </c>
      <c r="C31" s="183" t="str">
        <f>+VLOOKUP(B31,Data!F:G,2,0)</f>
        <v>RTD</v>
      </c>
      <c r="D31" s="238">
        <f>+SUMIFS('Heo thịt_Nhập dữ liệu hàng ngày'!$P:$P,'Heo thịt_Nhập dữ liệu hàng ngày'!$L:$L,$B31)+SUMIFS('Heo con_Nhập dữ liệu'!$G:$G,'Heo con_Nhập dữ liệu'!$D:$D,'BÁO CÁO MỚI'!$B31)</f>
        <v>105</v>
      </c>
      <c r="E31" s="184">
        <f>+SUMIFS('Heo thịt_Nhập dữ liệu hàng ngày'!$Q:$Q,'Heo thịt_Nhập dữ liệu hàng ngày'!$L:$L,$B31)+SUMIFS('Heo con_Nhập dữ liệu'!$H:$H,'Heo con_Nhập dữ liệu'!$D:$D,'BÁO CÁO MỚI'!$B31)</f>
        <v>10505</v>
      </c>
      <c r="F31" s="236">
        <f>+SUMIFS('Heo thịt_Nhập dữ liệu hàng ngày'!$X:$X,'Heo thịt_Nhập dữ liệu hàng ngày'!$L:$L,$B31)+SUMIFS('Heo con_Nhập dữ liệu'!$O:$O,'Heo con_Nhập dữ liệu'!$D:$D,'BÁO CÁO MỚI'!$B31)</f>
        <v>0</v>
      </c>
      <c r="G31" s="237">
        <f>+SUMIFS('Heo thịt_Nhập dữ liệu hàng ngày'!$U:$U,'Heo thịt_Nhập dữ liệu hàng ngày'!$L:$L,$B31)+SUMIFS('Heo con_Nhập dữ liệu'!$O:$O,'Heo con_Nhập dữ liệu'!$D:$D,'BÁO CÁO MỚI'!$B31)</f>
        <v>555250000</v>
      </c>
      <c r="H31" s="239">
        <f>IFERROR(E31/D31,"-")</f>
        <v>100.04761904761905</v>
      </c>
      <c r="I31" s="184">
        <f>+SUMIFS('Heo thịt_Nhập dữ liệu hàng ngày'!$AA:$AA,'Heo thịt_Nhập dữ liệu hàng ngày'!$L:$L,$B31)+SUMIFS('Heo con_Nhập dữ liệu'!$R:$R,'Heo con_Nhập dữ liệu'!$D:$D,'BÁO CÁO MỚI'!$B31)</f>
        <v>0</v>
      </c>
      <c r="J31" s="185">
        <f>+SUMIFS('Heo thịt_Nhập dữ liệu hàng ngày'!$Y:$Y,'Heo thịt_Nhập dữ liệu hàng ngày'!$L:$L,$B31)+SUMIFS('Heo thịt_Nhập dữ liệu hàng ngày'!$Z:$Z,'Heo thịt_Nhập dữ liệu hàng ngày'!$L:$L,$B31)+SUMIFS('Heo con_Nhập dữ liệu'!$P:$P,'Heo con_Nhập dữ liệu'!$D:$D,'BÁO CÁO MỚI'!$B31)+SUMIFS('Heo con_Nhập dữ liệu'!$Q:$Q,'Heo con_Nhập dữ liệu'!$D:$D,'BÁO CÁO MỚI'!$B31)</f>
        <v>10000000</v>
      </c>
    </row>
    <row r="32" spans="1:12" x14ac:dyDescent="0.3">
      <c r="B32" s="183" t="s">
        <v>31</v>
      </c>
      <c r="C32" s="183" t="str">
        <f>+VLOOKUP(B32,Data!F:G,2,0)</f>
        <v>RTD</v>
      </c>
      <c r="D32" s="238">
        <f>+SUMIFS('Heo thịt_Nhập dữ liệu hàng ngày'!$P:$P,'Heo thịt_Nhập dữ liệu hàng ngày'!$L:$L,$B32)+SUMIFS('Heo con_Nhập dữ liệu'!$G:$G,'Heo con_Nhập dữ liệu'!$D:$D,'BÁO CÁO MỚI'!$B32)</f>
        <v>500</v>
      </c>
      <c r="E32" s="184">
        <f>+SUMIFS('Heo thịt_Nhập dữ liệu hàng ngày'!$Q:$Q,'Heo thịt_Nhập dữ liệu hàng ngày'!$L:$L,$B32)+SUMIFS('Heo con_Nhập dữ liệu'!$H:$H,'Heo con_Nhập dữ liệu'!$D:$D,'BÁO CÁO MỚI'!$B32)</f>
        <v>7000</v>
      </c>
      <c r="F32" s="236">
        <f>+SUMIFS('Heo thịt_Nhập dữ liệu hàng ngày'!$X:$X,'Heo thịt_Nhập dữ liệu hàng ngày'!$L:$L,$B32)+SUMIFS('Heo con_Nhập dữ liệu'!$O:$O,'Heo con_Nhập dữ liệu'!$D:$D,'BÁO CÁO MỚI'!$B32)</f>
        <v>1374000000</v>
      </c>
      <c r="G32" s="237">
        <f>+SUMIFS('Heo thịt_Nhập dữ liệu hàng ngày'!$U:$U,'Heo thịt_Nhập dữ liệu hàng ngày'!$L:$L,$B32)+SUMIFS('Heo con_Nhập dữ liệu'!$O:$O,'Heo con_Nhập dữ liệu'!$D:$D,'BÁO CÁO MỚI'!$B32)</f>
        <v>1374000000</v>
      </c>
      <c r="H32" s="239">
        <f>IFERROR(E32/D32,"-")</f>
        <v>14</v>
      </c>
      <c r="I32" s="184">
        <f>+SUMIFS('Heo thịt_Nhập dữ liệu hàng ngày'!$AA:$AA,'Heo thịt_Nhập dữ liệu hàng ngày'!$L:$L,$B32)+SUMIFS('Heo con_Nhập dữ liệu'!$R:$R,'Heo con_Nhập dữ liệu'!$D:$D,'BÁO CÁO MỚI'!$B32)</f>
        <v>0</v>
      </c>
      <c r="J32" s="185">
        <f>+SUMIFS('Heo thịt_Nhập dữ liệu hàng ngày'!$Y:$Y,'Heo thịt_Nhập dữ liệu hàng ngày'!$L:$L,$B32)+SUMIFS('Heo thịt_Nhập dữ liệu hàng ngày'!$Z:$Z,'Heo thịt_Nhập dữ liệu hàng ngày'!$L:$L,$B32)+SUMIFS('Heo con_Nhập dữ liệu'!$P:$P,'Heo con_Nhập dữ liệu'!$D:$D,'BÁO CÁO MỚI'!$B32)+SUMIFS('Heo con_Nhập dữ liệu'!$Q:$Q,'Heo con_Nhập dữ liệu'!$D:$D,'BÁO CÁO MỚI'!$B32)</f>
        <v>500000</v>
      </c>
    </row>
    <row r="33" spans="2:10" x14ac:dyDescent="0.3">
      <c r="B33" s="183" t="s">
        <v>32</v>
      </c>
      <c r="C33" s="183" t="str">
        <f>+VLOOKUP(B33,Data!F:G,2,0)</f>
        <v>Tiger</v>
      </c>
      <c r="D33" s="238">
        <f>+SUMIFS('Heo thịt_Nhập dữ liệu hàng ngày'!$P:$P,'Heo thịt_Nhập dữ liệu hàng ngày'!$L:$L,$B33)+SUMIFS('Heo con_Nhập dữ liệu'!$G:$G,'Heo con_Nhập dữ liệu'!$D:$D,'BÁO CÁO MỚI'!$B33)</f>
        <v>0</v>
      </c>
      <c r="E33" s="184">
        <f>+SUMIFS('Heo thịt_Nhập dữ liệu hàng ngày'!$Q:$Q,'Heo thịt_Nhập dữ liệu hàng ngày'!$L:$L,$B33)+SUMIFS('Heo con_Nhập dữ liệu'!$H:$H,'Heo con_Nhập dữ liệu'!$D:$D,'BÁO CÁO MỚI'!$B33)</f>
        <v>0</v>
      </c>
      <c r="F33" s="236">
        <f>+SUMIFS('Heo thịt_Nhập dữ liệu hàng ngày'!$X:$X,'Heo thịt_Nhập dữ liệu hàng ngày'!$L:$L,$B33)+SUMIFS('Heo con_Nhập dữ liệu'!$O:$O,'Heo con_Nhập dữ liệu'!$D:$D,'BÁO CÁO MỚI'!$B33)</f>
        <v>0</v>
      </c>
      <c r="G33" s="237">
        <f>+SUMIFS('Heo thịt_Nhập dữ liệu hàng ngày'!$U:$U,'Heo thịt_Nhập dữ liệu hàng ngày'!$L:$L,$B33)+SUMIFS('Heo con_Nhập dữ liệu'!$O:$O,'Heo con_Nhập dữ liệu'!$D:$D,'BÁO CÁO MỚI'!$B33)</f>
        <v>0</v>
      </c>
      <c r="H33" s="239" t="str">
        <f t="shared" ref="H33:H47" si="0">IFERROR(E33/D33,"-")</f>
        <v>-</v>
      </c>
      <c r="I33" s="184">
        <f>+SUMIFS('Heo thịt_Nhập dữ liệu hàng ngày'!$AA:$AA,'Heo thịt_Nhập dữ liệu hàng ngày'!$L:$L,$B33)+SUMIFS('Heo con_Nhập dữ liệu'!$R:$R,'Heo con_Nhập dữ liệu'!$D:$D,'BÁO CÁO MỚI'!$B33)</f>
        <v>0</v>
      </c>
      <c r="J33" s="185">
        <f>+SUMIFS('Heo thịt_Nhập dữ liệu hàng ngày'!$Y:$Y,'Heo thịt_Nhập dữ liệu hàng ngày'!$L:$L,$B33)+SUMIFS('Heo thịt_Nhập dữ liệu hàng ngày'!$Z:$Z,'Heo thịt_Nhập dữ liệu hàng ngày'!$L:$L,$B33)+SUMIFS('Heo con_Nhập dữ liệu'!$P:$P,'Heo con_Nhập dữ liệu'!$D:$D,'BÁO CÁO MỚI'!$B33)+SUMIFS('Heo con_Nhập dữ liệu'!$Q:$Q,'Heo con_Nhập dữ liệu'!$D:$D,'BÁO CÁO MỚI'!$B33)</f>
        <v>0</v>
      </c>
    </row>
    <row r="34" spans="2:10" x14ac:dyDescent="0.3">
      <c r="B34" s="183" t="s">
        <v>39</v>
      </c>
      <c r="C34" s="183" t="str">
        <f>+VLOOKUP(B34,Data!F:G,2,0)</f>
        <v>RTD</v>
      </c>
      <c r="D34" s="238">
        <f>+SUMIFS('Heo thịt_Nhập dữ liệu hàng ngày'!$P:$P,'Heo thịt_Nhập dữ liệu hàng ngày'!$L:$L,$B34)+SUMIFS('Heo con_Nhập dữ liệu'!$G:$G,'Heo con_Nhập dữ liệu'!$D:$D,'BÁO CÁO MỚI'!$B34)</f>
        <v>0</v>
      </c>
      <c r="E34" s="184">
        <f>+SUMIFS('Heo thịt_Nhập dữ liệu hàng ngày'!$Q:$Q,'Heo thịt_Nhập dữ liệu hàng ngày'!$L:$L,$B34)+SUMIFS('Heo con_Nhập dữ liệu'!$H:$H,'Heo con_Nhập dữ liệu'!$D:$D,'BÁO CÁO MỚI'!$B34)</f>
        <v>0</v>
      </c>
      <c r="F34" s="236">
        <f>+SUMIFS('Heo thịt_Nhập dữ liệu hàng ngày'!$X:$X,'Heo thịt_Nhập dữ liệu hàng ngày'!$L:$L,$B34)+SUMIFS('Heo con_Nhập dữ liệu'!$O:$O,'Heo con_Nhập dữ liệu'!$D:$D,'BÁO CÁO MỚI'!$B34)</f>
        <v>0</v>
      </c>
      <c r="G34" s="237">
        <f>+SUMIFS('Heo thịt_Nhập dữ liệu hàng ngày'!$U:$U,'Heo thịt_Nhập dữ liệu hàng ngày'!$L:$L,$B34)+SUMIFS('Heo con_Nhập dữ liệu'!$O:$O,'Heo con_Nhập dữ liệu'!$D:$D,'BÁO CÁO MỚI'!$B34)</f>
        <v>0</v>
      </c>
      <c r="H34" s="239" t="str">
        <f t="shared" si="0"/>
        <v>-</v>
      </c>
      <c r="I34" s="184">
        <f>+SUMIFS('Heo thịt_Nhập dữ liệu hàng ngày'!$AA:$AA,'Heo thịt_Nhập dữ liệu hàng ngày'!$L:$L,$B34)+SUMIFS('Heo con_Nhập dữ liệu'!$R:$R,'Heo con_Nhập dữ liệu'!$D:$D,'BÁO CÁO MỚI'!$B34)</f>
        <v>0</v>
      </c>
      <c r="J34" s="185">
        <f>+SUMIFS('Heo thịt_Nhập dữ liệu hàng ngày'!$Y:$Y,'Heo thịt_Nhập dữ liệu hàng ngày'!$L:$L,$B34)+SUMIFS('Heo thịt_Nhập dữ liệu hàng ngày'!$Z:$Z,'Heo thịt_Nhập dữ liệu hàng ngày'!$L:$L,$B34)+SUMIFS('Heo con_Nhập dữ liệu'!$P:$P,'Heo con_Nhập dữ liệu'!$D:$D,'BÁO CÁO MỚI'!$B34)+SUMIFS('Heo con_Nhập dữ liệu'!$Q:$Q,'Heo con_Nhập dữ liệu'!$D:$D,'BÁO CÁO MỚI'!$B34)</f>
        <v>0</v>
      </c>
    </row>
    <row r="35" spans="2:10" x14ac:dyDescent="0.3">
      <c r="B35" s="183" t="s">
        <v>64</v>
      </c>
      <c r="C35" s="183" t="str">
        <f>+VLOOKUP(B35,Data!F:G,2,0)</f>
        <v>Tiger</v>
      </c>
      <c r="D35" s="238">
        <f>+SUMIFS('Heo thịt_Nhập dữ liệu hàng ngày'!$P:$P,'Heo thịt_Nhập dữ liệu hàng ngày'!$L:$L,$B35)+SUMIFS('Heo con_Nhập dữ liệu'!$G:$G,'Heo con_Nhập dữ liệu'!$D:$D,'BÁO CÁO MỚI'!$B35)</f>
        <v>150</v>
      </c>
      <c r="E35" s="184">
        <f>+SUMIFS('Heo thịt_Nhập dữ liệu hàng ngày'!$Q:$Q,'Heo thịt_Nhập dữ liệu hàng ngày'!$L:$L,$B35)+SUMIFS('Heo con_Nhập dữ liệu'!$H:$H,'Heo con_Nhập dữ liệu'!$D:$D,'BÁO CÁO MỚI'!$B35)</f>
        <v>18000</v>
      </c>
      <c r="F35" s="236">
        <f>+SUMIFS('Heo thịt_Nhập dữ liệu hàng ngày'!$X:$X,'Heo thịt_Nhập dữ liệu hàng ngày'!$L:$L,$B35)+SUMIFS('Heo con_Nhập dữ liệu'!$O:$O,'Heo con_Nhập dữ liệu'!$D:$D,'BÁO CÁO MỚI'!$B35)</f>
        <v>0</v>
      </c>
      <c r="G35" s="237">
        <f>+SUMIFS('Heo thịt_Nhập dữ liệu hàng ngày'!$U:$U,'Heo thịt_Nhập dữ liệu hàng ngày'!$L:$L,$B35)+SUMIFS('Heo con_Nhập dữ liệu'!$O:$O,'Heo con_Nhập dữ liệu'!$D:$D,'BÁO CÁO MỚI'!$B35)</f>
        <v>972000000</v>
      </c>
      <c r="H35" s="239">
        <f t="shared" si="0"/>
        <v>120</v>
      </c>
      <c r="I35" s="184">
        <f>+SUMIFS('Heo thịt_Nhập dữ liệu hàng ngày'!$AA:$AA,'Heo thịt_Nhập dữ liệu hàng ngày'!$L:$L,$B35)+SUMIFS('Heo con_Nhập dữ liệu'!$R:$R,'Heo con_Nhập dữ liệu'!$D:$D,'BÁO CÁO MỚI'!$B35)</f>
        <v>0</v>
      </c>
      <c r="J35" s="185">
        <f>+SUMIFS('Heo thịt_Nhập dữ liệu hàng ngày'!$Y:$Y,'Heo thịt_Nhập dữ liệu hàng ngày'!$L:$L,$B35)+SUMIFS('Heo thịt_Nhập dữ liệu hàng ngày'!$Z:$Z,'Heo thịt_Nhập dữ liệu hàng ngày'!$L:$L,$B35)+SUMIFS('Heo con_Nhập dữ liệu'!$P:$P,'Heo con_Nhập dữ liệu'!$D:$D,'BÁO CÁO MỚI'!$B35)+SUMIFS('Heo con_Nhập dữ liệu'!$Q:$Q,'Heo con_Nhập dữ liệu'!$D:$D,'BÁO CÁO MỚI'!$B35)</f>
        <v>0</v>
      </c>
    </row>
    <row r="36" spans="2:10" x14ac:dyDescent="0.3">
      <c r="B36" s="183" t="s">
        <v>104</v>
      </c>
      <c r="C36" s="183" t="str">
        <f>+VLOOKUP(B36,Data!F:G,2,0)</f>
        <v>Tiger</v>
      </c>
      <c r="D36" s="238">
        <f>+SUMIFS('Heo thịt_Nhập dữ liệu hàng ngày'!$P:$P,'Heo thịt_Nhập dữ liệu hàng ngày'!$L:$L,$B36)+SUMIFS('Heo con_Nhập dữ liệu'!$G:$G,'Heo con_Nhập dữ liệu'!$D:$D,'BÁO CÁO MỚI'!$B36)</f>
        <v>0</v>
      </c>
      <c r="E36" s="184">
        <f>+SUMIFS('Heo thịt_Nhập dữ liệu hàng ngày'!$Q:$Q,'Heo thịt_Nhập dữ liệu hàng ngày'!$L:$L,$B36)+SUMIFS('Heo con_Nhập dữ liệu'!$H:$H,'Heo con_Nhập dữ liệu'!$D:$D,'BÁO CÁO MỚI'!$B36)</f>
        <v>0</v>
      </c>
      <c r="F36" s="236">
        <f>+SUMIFS('Heo thịt_Nhập dữ liệu hàng ngày'!$X:$X,'Heo thịt_Nhập dữ liệu hàng ngày'!$L:$L,$B36)+SUMIFS('Heo con_Nhập dữ liệu'!$O:$O,'Heo con_Nhập dữ liệu'!$D:$D,'BÁO CÁO MỚI'!$B36)</f>
        <v>0</v>
      </c>
      <c r="G36" s="237">
        <f>+SUMIFS('Heo thịt_Nhập dữ liệu hàng ngày'!$U:$U,'Heo thịt_Nhập dữ liệu hàng ngày'!$L:$L,$B36)+SUMIFS('Heo con_Nhập dữ liệu'!$O:$O,'Heo con_Nhập dữ liệu'!$D:$D,'BÁO CÁO MỚI'!$B36)</f>
        <v>0</v>
      </c>
      <c r="H36" s="239" t="str">
        <f t="shared" si="0"/>
        <v>-</v>
      </c>
      <c r="I36" s="184">
        <f>+SUMIFS('Heo thịt_Nhập dữ liệu hàng ngày'!$AA:$AA,'Heo thịt_Nhập dữ liệu hàng ngày'!$L:$L,$B36)+SUMIFS('Heo con_Nhập dữ liệu'!$R:$R,'Heo con_Nhập dữ liệu'!$D:$D,'BÁO CÁO MỚI'!$B36)</f>
        <v>0</v>
      </c>
      <c r="J36" s="185">
        <f>+SUMIFS('Heo thịt_Nhập dữ liệu hàng ngày'!$Y:$Y,'Heo thịt_Nhập dữ liệu hàng ngày'!$L:$L,$B36)+SUMIFS('Heo thịt_Nhập dữ liệu hàng ngày'!$Z:$Z,'Heo thịt_Nhập dữ liệu hàng ngày'!$L:$L,$B36)+SUMIFS('Heo con_Nhập dữ liệu'!$P:$P,'Heo con_Nhập dữ liệu'!$D:$D,'BÁO CÁO MỚI'!$B36)+SUMIFS('Heo con_Nhập dữ liệu'!$Q:$Q,'Heo con_Nhập dữ liệu'!$D:$D,'BÁO CÁO MỚI'!$B36)</f>
        <v>0</v>
      </c>
    </row>
    <row r="37" spans="2:10" x14ac:dyDescent="0.3">
      <c r="B37" s="183" t="s">
        <v>33</v>
      </c>
      <c r="C37" s="183" t="str">
        <f>+VLOOKUP(B37,Data!F:G,2,0)</f>
        <v>RTD</v>
      </c>
      <c r="D37" s="238">
        <f>+SUMIFS('Heo thịt_Nhập dữ liệu hàng ngày'!$P:$P,'Heo thịt_Nhập dữ liệu hàng ngày'!$L:$L,$B37)+SUMIFS('Heo con_Nhập dữ liệu'!$G:$G,'Heo con_Nhập dữ liệu'!$D:$D,'BÁO CÁO MỚI'!$B37)</f>
        <v>0</v>
      </c>
      <c r="E37" s="184">
        <f>+SUMIFS('Heo thịt_Nhập dữ liệu hàng ngày'!$Q:$Q,'Heo thịt_Nhập dữ liệu hàng ngày'!$L:$L,$B37)+SUMIFS('Heo con_Nhập dữ liệu'!$H:$H,'Heo con_Nhập dữ liệu'!$D:$D,'BÁO CÁO MỚI'!$B37)</f>
        <v>0</v>
      </c>
      <c r="F37" s="236">
        <f>+SUMIFS('Heo thịt_Nhập dữ liệu hàng ngày'!$X:$X,'Heo thịt_Nhập dữ liệu hàng ngày'!$L:$L,$B37)+SUMIFS('Heo con_Nhập dữ liệu'!$O:$O,'Heo con_Nhập dữ liệu'!$D:$D,'BÁO CÁO MỚI'!$B37)</f>
        <v>0</v>
      </c>
      <c r="G37" s="237">
        <f>+SUMIFS('Heo thịt_Nhập dữ liệu hàng ngày'!$U:$U,'Heo thịt_Nhập dữ liệu hàng ngày'!$L:$L,$B37)+SUMIFS('Heo con_Nhập dữ liệu'!$O:$O,'Heo con_Nhập dữ liệu'!$D:$D,'BÁO CÁO MỚI'!$B37)</f>
        <v>0</v>
      </c>
      <c r="H37" s="239" t="str">
        <f t="shared" si="0"/>
        <v>-</v>
      </c>
      <c r="I37" s="184">
        <f>+SUMIFS('Heo thịt_Nhập dữ liệu hàng ngày'!$AA:$AA,'Heo thịt_Nhập dữ liệu hàng ngày'!$L:$L,$B37)+SUMIFS('Heo con_Nhập dữ liệu'!$R:$R,'Heo con_Nhập dữ liệu'!$D:$D,'BÁO CÁO MỚI'!$B37)</f>
        <v>0</v>
      </c>
      <c r="J37" s="185">
        <f>+SUMIFS('Heo thịt_Nhập dữ liệu hàng ngày'!$Y:$Y,'Heo thịt_Nhập dữ liệu hàng ngày'!$L:$L,$B37)+SUMIFS('Heo thịt_Nhập dữ liệu hàng ngày'!$Z:$Z,'Heo thịt_Nhập dữ liệu hàng ngày'!$L:$L,$B37)+SUMIFS('Heo con_Nhập dữ liệu'!$P:$P,'Heo con_Nhập dữ liệu'!$D:$D,'BÁO CÁO MỚI'!$B37)+SUMIFS('Heo con_Nhập dữ liệu'!$Q:$Q,'Heo con_Nhập dữ liệu'!$D:$D,'BÁO CÁO MỚI'!$B37)</f>
        <v>0</v>
      </c>
    </row>
    <row r="38" spans="2:10" x14ac:dyDescent="0.3">
      <c r="B38" s="183" t="s">
        <v>101</v>
      </c>
      <c r="C38" s="183" t="str">
        <f>+VLOOKUP(B38,Data!F:G,2,0)</f>
        <v>Tiger</v>
      </c>
      <c r="D38" s="238">
        <f>+SUMIFS('Heo thịt_Nhập dữ liệu hàng ngày'!$P:$P,'Heo thịt_Nhập dữ liệu hàng ngày'!$L:$L,$B38)+SUMIFS('Heo con_Nhập dữ liệu'!$G:$G,'Heo con_Nhập dữ liệu'!$D:$D,'BÁO CÁO MỚI'!$B38)</f>
        <v>0</v>
      </c>
      <c r="E38" s="184">
        <f>+SUMIFS('Heo thịt_Nhập dữ liệu hàng ngày'!$Q:$Q,'Heo thịt_Nhập dữ liệu hàng ngày'!$L:$L,$B38)+SUMIFS('Heo con_Nhập dữ liệu'!$H:$H,'Heo con_Nhập dữ liệu'!$D:$D,'BÁO CÁO MỚI'!$B38)</f>
        <v>0</v>
      </c>
      <c r="F38" s="236">
        <f>+SUMIFS('Heo thịt_Nhập dữ liệu hàng ngày'!$X:$X,'Heo thịt_Nhập dữ liệu hàng ngày'!$L:$L,$B38)+SUMIFS('Heo con_Nhập dữ liệu'!$O:$O,'Heo con_Nhập dữ liệu'!$D:$D,'BÁO CÁO MỚI'!$B38)</f>
        <v>0</v>
      </c>
      <c r="G38" s="237">
        <f>+SUMIFS('Heo thịt_Nhập dữ liệu hàng ngày'!$U:$U,'Heo thịt_Nhập dữ liệu hàng ngày'!$L:$L,$B38)+SUMIFS('Heo con_Nhập dữ liệu'!$O:$O,'Heo con_Nhập dữ liệu'!$D:$D,'BÁO CÁO MỚI'!$B38)</f>
        <v>0</v>
      </c>
      <c r="H38" s="239" t="str">
        <f t="shared" si="0"/>
        <v>-</v>
      </c>
      <c r="I38" s="184">
        <f>+SUMIFS('Heo thịt_Nhập dữ liệu hàng ngày'!$AA:$AA,'Heo thịt_Nhập dữ liệu hàng ngày'!$L:$L,$B38)+SUMIFS('Heo con_Nhập dữ liệu'!$R:$R,'Heo con_Nhập dữ liệu'!$D:$D,'BÁO CÁO MỚI'!$B38)</f>
        <v>0</v>
      </c>
      <c r="J38" s="185">
        <f>+SUMIFS('Heo thịt_Nhập dữ liệu hàng ngày'!$Y:$Y,'Heo thịt_Nhập dữ liệu hàng ngày'!$L:$L,$B38)+SUMIFS('Heo thịt_Nhập dữ liệu hàng ngày'!$Z:$Z,'Heo thịt_Nhập dữ liệu hàng ngày'!$L:$L,$B38)+SUMIFS('Heo con_Nhập dữ liệu'!$P:$P,'Heo con_Nhập dữ liệu'!$D:$D,'BÁO CÁO MỚI'!$B38)+SUMIFS('Heo con_Nhập dữ liệu'!$Q:$Q,'Heo con_Nhập dữ liệu'!$D:$D,'BÁO CÁO MỚI'!$B38)</f>
        <v>0</v>
      </c>
    </row>
    <row r="39" spans="2:10" x14ac:dyDescent="0.3">
      <c r="B39" s="183" t="s">
        <v>102</v>
      </c>
      <c r="C39" s="183" t="str">
        <f>+VLOOKUP(B39,Data!F:G,2,0)</f>
        <v>Tiger</v>
      </c>
      <c r="D39" s="238">
        <f>+SUMIFS('Heo thịt_Nhập dữ liệu hàng ngày'!$P:$P,'Heo thịt_Nhập dữ liệu hàng ngày'!$L:$L,$B39)+SUMIFS('Heo con_Nhập dữ liệu'!$G:$G,'Heo con_Nhập dữ liệu'!$D:$D,'BÁO CÁO MỚI'!$B39)</f>
        <v>0</v>
      </c>
      <c r="E39" s="184">
        <f>+SUMIFS('Heo thịt_Nhập dữ liệu hàng ngày'!$Q:$Q,'Heo thịt_Nhập dữ liệu hàng ngày'!$L:$L,$B39)+SUMIFS('Heo con_Nhập dữ liệu'!$H:$H,'Heo con_Nhập dữ liệu'!$D:$D,'BÁO CÁO MỚI'!$B39)</f>
        <v>0</v>
      </c>
      <c r="F39" s="236">
        <f>+SUMIFS('Heo thịt_Nhập dữ liệu hàng ngày'!$X:$X,'Heo thịt_Nhập dữ liệu hàng ngày'!$L:$L,$B39)+SUMIFS('Heo con_Nhập dữ liệu'!$O:$O,'Heo con_Nhập dữ liệu'!$D:$D,'BÁO CÁO MỚI'!$B39)</f>
        <v>0</v>
      </c>
      <c r="G39" s="237">
        <f>+SUMIFS('Heo thịt_Nhập dữ liệu hàng ngày'!$U:$U,'Heo thịt_Nhập dữ liệu hàng ngày'!$L:$L,$B39)+SUMIFS('Heo con_Nhập dữ liệu'!$O:$O,'Heo con_Nhập dữ liệu'!$D:$D,'BÁO CÁO MỚI'!$B39)</f>
        <v>0</v>
      </c>
      <c r="H39" s="239" t="str">
        <f t="shared" si="0"/>
        <v>-</v>
      </c>
      <c r="I39" s="184">
        <f>+SUMIFS('Heo thịt_Nhập dữ liệu hàng ngày'!$AA:$AA,'Heo thịt_Nhập dữ liệu hàng ngày'!$L:$L,$B39)+SUMIFS('Heo con_Nhập dữ liệu'!$R:$R,'Heo con_Nhập dữ liệu'!$D:$D,'BÁO CÁO MỚI'!$B39)</f>
        <v>0</v>
      </c>
      <c r="J39" s="185">
        <f>+SUMIFS('Heo thịt_Nhập dữ liệu hàng ngày'!$Y:$Y,'Heo thịt_Nhập dữ liệu hàng ngày'!$L:$L,$B39)+SUMIFS('Heo thịt_Nhập dữ liệu hàng ngày'!$Z:$Z,'Heo thịt_Nhập dữ liệu hàng ngày'!$L:$L,$B39)+SUMIFS('Heo con_Nhập dữ liệu'!$P:$P,'Heo con_Nhập dữ liệu'!$D:$D,'BÁO CÁO MỚI'!$B39)+SUMIFS('Heo con_Nhập dữ liệu'!$Q:$Q,'Heo con_Nhập dữ liệu'!$D:$D,'BÁO CÁO MỚI'!$B39)</f>
        <v>0</v>
      </c>
    </row>
    <row r="40" spans="2:10" x14ac:dyDescent="0.3">
      <c r="B40" s="183" t="s">
        <v>100</v>
      </c>
      <c r="C40" s="183" t="str">
        <f>+VLOOKUP(B40,Data!F:G,2,0)</f>
        <v>Tiger</v>
      </c>
      <c r="D40" s="238">
        <f>+SUMIFS('Heo thịt_Nhập dữ liệu hàng ngày'!$P:$P,'Heo thịt_Nhập dữ liệu hàng ngày'!$L:$L,$B40)+SUMIFS('Heo con_Nhập dữ liệu'!$G:$G,'Heo con_Nhập dữ liệu'!$D:$D,'BÁO CÁO MỚI'!$B40)</f>
        <v>0</v>
      </c>
      <c r="E40" s="184">
        <f>+SUMIFS('Heo thịt_Nhập dữ liệu hàng ngày'!$Q:$Q,'Heo thịt_Nhập dữ liệu hàng ngày'!$L:$L,$B40)+SUMIFS('Heo con_Nhập dữ liệu'!$H:$H,'Heo con_Nhập dữ liệu'!$D:$D,'BÁO CÁO MỚI'!$B40)</f>
        <v>0</v>
      </c>
      <c r="F40" s="236">
        <f>+SUMIFS('Heo thịt_Nhập dữ liệu hàng ngày'!$X:$X,'Heo thịt_Nhập dữ liệu hàng ngày'!$L:$L,$B40)+SUMIFS('Heo con_Nhập dữ liệu'!$O:$O,'Heo con_Nhập dữ liệu'!$D:$D,'BÁO CÁO MỚI'!$B40)</f>
        <v>0</v>
      </c>
      <c r="G40" s="237">
        <f>+SUMIFS('Heo thịt_Nhập dữ liệu hàng ngày'!$U:$U,'Heo thịt_Nhập dữ liệu hàng ngày'!$L:$L,$B40)+SUMIFS('Heo con_Nhập dữ liệu'!$O:$O,'Heo con_Nhập dữ liệu'!$D:$D,'BÁO CÁO MỚI'!$B40)</f>
        <v>0</v>
      </c>
      <c r="H40" s="239" t="str">
        <f t="shared" si="0"/>
        <v>-</v>
      </c>
      <c r="I40" s="184">
        <f>+SUMIFS('Heo thịt_Nhập dữ liệu hàng ngày'!$AA:$AA,'Heo thịt_Nhập dữ liệu hàng ngày'!$L:$L,$B40)+SUMIFS('Heo con_Nhập dữ liệu'!$R:$R,'Heo con_Nhập dữ liệu'!$D:$D,'BÁO CÁO MỚI'!$B40)</f>
        <v>0</v>
      </c>
      <c r="J40" s="185">
        <f>+SUMIFS('Heo thịt_Nhập dữ liệu hàng ngày'!$Y:$Y,'Heo thịt_Nhập dữ liệu hàng ngày'!$L:$L,$B40)+SUMIFS('Heo thịt_Nhập dữ liệu hàng ngày'!$Z:$Z,'Heo thịt_Nhập dữ liệu hàng ngày'!$L:$L,$B40)+SUMIFS('Heo con_Nhập dữ liệu'!$P:$P,'Heo con_Nhập dữ liệu'!$D:$D,'BÁO CÁO MỚI'!$B40)+SUMIFS('Heo con_Nhập dữ liệu'!$Q:$Q,'Heo con_Nhập dữ liệu'!$D:$D,'BÁO CÁO MỚI'!$B40)</f>
        <v>0</v>
      </c>
    </row>
    <row r="41" spans="2:10" x14ac:dyDescent="0.3">
      <c r="B41" s="183" t="s">
        <v>103</v>
      </c>
      <c r="C41" s="183" t="str">
        <f>+VLOOKUP(B41,Data!F:G,2,0)</f>
        <v>Tiger</v>
      </c>
      <c r="D41" s="238">
        <f>+SUMIFS('Heo thịt_Nhập dữ liệu hàng ngày'!$P:$P,'Heo thịt_Nhập dữ liệu hàng ngày'!$L:$L,$B41)+SUMIFS('Heo con_Nhập dữ liệu'!$G:$G,'Heo con_Nhập dữ liệu'!$D:$D,'BÁO CÁO MỚI'!$B41)</f>
        <v>0</v>
      </c>
      <c r="E41" s="184">
        <f>+SUMIFS('Heo thịt_Nhập dữ liệu hàng ngày'!$Q:$Q,'Heo thịt_Nhập dữ liệu hàng ngày'!$L:$L,$B41)+SUMIFS('Heo con_Nhập dữ liệu'!$H:$H,'Heo con_Nhập dữ liệu'!$D:$D,'BÁO CÁO MỚI'!$B41)</f>
        <v>0</v>
      </c>
      <c r="F41" s="236">
        <f>+SUMIFS('Heo thịt_Nhập dữ liệu hàng ngày'!$X:$X,'Heo thịt_Nhập dữ liệu hàng ngày'!$L:$L,$B41)+SUMIFS('Heo con_Nhập dữ liệu'!$O:$O,'Heo con_Nhập dữ liệu'!$D:$D,'BÁO CÁO MỚI'!$B41)</f>
        <v>0</v>
      </c>
      <c r="G41" s="237">
        <f>+SUMIFS('Heo thịt_Nhập dữ liệu hàng ngày'!$U:$U,'Heo thịt_Nhập dữ liệu hàng ngày'!$L:$L,$B41)+SUMIFS('Heo con_Nhập dữ liệu'!$O:$O,'Heo con_Nhập dữ liệu'!$D:$D,'BÁO CÁO MỚI'!$B41)</f>
        <v>0</v>
      </c>
      <c r="H41" s="239" t="str">
        <f t="shared" si="0"/>
        <v>-</v>
      </c>
      <c r="I41" s="184">
        <f>+SUMIFS('Heo thịt_Nhập dữ liệu hàng ngày'!$AA:$AA,'Heo thịt_Nhập dữ liệu hàng ngày'!$L:$L,$B41)+SUMIFS('Heo con_Nhập dữ liệu'!$R:$R,'Heo con_Nhập dữ liệu'!$D:$D,'BÁO CÁO MỚI'!$B41)</f>
        <v>0</v>
      </c>
      <c r="J41" s="185">
        <f>+SUMIFS('Heo thịt_Nhập dữ liệu hàng ngày'!$Y:$Y,'Heo thịt_Nhập dữ liệu hàng ngày'!$L:$L,$B41)+SUMIFS('Heo thịt_Nhập dữ liệu hàng ngày'!$Z:$Z,'Heo thịt_Nhập dữ liệu hàng ngày'!$L:$L,$B41)+SUMIFS('Heo con_Nhập dữ liệu'!$P:$P,'Heo con_Nhập dữ liệu'!$D:$D,'BÁO CÁO MỚI'!$B41)+SUMIFS('Heo con_Nhập dữ liệu'!$Q:$Q,'Heo con_Nhập dữ liệu'!$D:$D,'BÁO CÁO MỚI'!$B41)</f>
        <v>0</v>
      </c>
    </row>
    <row r="42" spans="2:10" x14ac:dyDescent="0.3">
      <c r="B42" s="183" t="s">
        <v>128</v>
      </c>
      <c r="C42" s="183" t="str">
        <f>+VLOOKUP(B42,Data!F:G,2,0)</f>
        <v>Thanh Hóa</v>
      </c>
      <c r="D42" s="238">
        <f>+SUMIFS('Heo thịt_Nhập dữ liệu hàng ngày'!$P:$P,'Heo thịt_Nhập dữ liệu hàng ngày'!$L:$L,$B42)+SUMIFS('Heo con_Nhập dữ liệu'!$G:$G,'Heo con_Nhập dữ liệu'!$D:$D,'BÁO CÁO MỚI'!$B42)</f>
        <v>0</v>
      </c>
      <c r="E42" s="184">
        <f>+SUMIFS('Heo thịt_Nhập dữ liệu hàng ngày'!$Q:$Q,'Heo thịt_Nhập dữ liệu hàng ngày'!$L:$L,$B42)+SUMIFS('Heo con_Nhập dữ liệu'!$H:$H,'Heo con_Nhập dữ liệu'!$D:$D,'BÁO CÁO MỚI'!$B42)</f>
        <v>0</v>
      </c>
      <c r="F42" s="236">
        <f>+SUMIFS('Heo thịt_Nhập dữ liệu hàng ngày'!$X:$X,'Heo thịt_Nhập dữ liệu hàng ngày'!$L:$L,$B42)+SUMIFS('Heo con_Nhập dữ liệu'!$O:$O,'Heo con_Nhập dữ liệu'!$D:$D,'BÁO CÁO MỚI'!$B42)</f>
        <v>0</v>
      </c>
      <c r="G42" s="237">
        <f>+SUMIFS('Heo thịt_Nhập dữ liệu hàng ngày'!$U:$U,'Heo thịt_Nhập dữ liệu hàng ngày'!$L:$L,$B42)+SUMIFS('Heo con_Nhập dữ liệu'!$O:$O,'Heo con_Nhập dữ liệu'!$D:$D,'BÁO CÁO MỚI'!$B42)</f>
        <v>0</v>
      </c>
      <c r="H42" s="239" t="str">
        <f t="shared" si="0"/>
        <v>-</v>
      </c>
      <c r="I42" s="184">
        <f>+SUMIFS('Heo thịt_Nhập dữ liệu hàng ngày'!$AA:$AA,'Heo thịt_Nhập dữ liệu hàng ngày'!$L:$L,$B42)+SUMIFS('Heo con_Nhập dữ liệu'!$R:$R,'Heo con_Nhập dữ liệu'!$D:$D,'BÁO CÁO MỚI'!$B42)</f>
        <v>0</v>
      </c>
      <c r="J42" s="185">
        <f>+SUMIFS('Heo thịt_Nhập dữ liệu hàng ngày'!$Y:$Y,'Heo thịt_Nhập dữ liệu hàng ngày'!$L:$L,$B42)+SUMIFS('Heo thịt_Nhập dữ liệu hàng ngày'!$Z:$Z,'Heo thịt_Nhập dữ liệu hàng ngày'!$L:$L,$B42)+SUMIFS('Heo con_Nhập dữ liệu'!$P:$P,'Heo con_Nhập dữ liệu'!$D:$D,'BÁO CÁO MỚI'!$B42)+SUMIFS('Heo con_Nhập dữ liệu'!$Q:$Q,'Heo con_Nhập dữ liệu'!$D:$D,'BÁO CÁO MỚI'!$B42)</f>
        <v>0</v>
      </c>
    </row>
    <row r="43" spans="2:10" x14ac:dyDescent="0.3">
      <c r="B43" s="183" t="s">
        <v>129</v>
      </c>
      <c r="C43" s="183" t="str">
        <f>+VLOOKUP(B43,Data!F:G,2,0)</f>
        <v>Thanh Hóa</v>
      </c>
      <c r="D43" s="238">
        <f>+SUMIFS('Heo thịt_Nhập dữ liệu hàng ngày'!$P:$P,'Heo thịt_Nhập dữ liệu hàng ngày'!$L:$L,$B43)+SUMIFS('Heo con_Nhập dữ liệu'!$G:$G,'Heo con_Nhập dữ liệu'!$D:$D,'BÁO CÁO MỚI'!$B43)</f>
        <v>0</v>
      </c>
      <c r="E43" s="184">
        <f>+SUMIFS('Heo thịt_Nhập dữ liệu hàng ngày'!$Q:$Q,'Heo thịt_Nhập dữ liệu hàng ngày'!$L:$L,$B43)+SUMIFS('Heo con_Nhập dữ liệu'!$H:$H,'Heo con_Nhập dữ liệu'!$D:$D,'BÁO CÁO MỚI'!$B43)</f>
        <v>0</v>
      </c>
      <c r="F43" s="236">
        <f>+SUMIFS('Heo thịt_Nhập dữ liệu hàng ngày'!$X:$X,'Heo thịt_Nhập dữ liệu hàng ngày'!$L:$L,$B43)+SUMIFS('Heo con_Nhập dữ liệu'!$O:$O,'Heo con_Nhập dữ liệu'!$D:$D,'BÁO CÁO MỚI'!$B43)</f>
        <v>0</v>
      </c>
      <c r="G43" s="237">
        <f>+SUMIFS('Heo thịt_Nhập dữ liệu hàng ngày'!$U:$U,'Heo thịt_Nhập dữ liệu hàng ngày'!$L:$L,$B43)+SUMIFS('Heo con_Nhập dữ liệu'!$O:$O,'Heo con_Nhập dữ liệu'!$D:$D,'BÁO CÁO MỚI'!$B43)</f>
        <v>0</v>
      </c>
      <c r="H43" s="239" t="str">
        <f t="shared" si="0"/>
        <v>-</v>
      </c>
      <c r="I43" s="184">
        <f>+SUMIFS('Heo thịt_Nhập dữ liệu hàng ngày'!$AA:$AA,'Heo thịt_Nhập dữ liệu hàng ngày'!$L:$L,$B43)+SUMIFS('Heo con_Nhập dữ liệu'!$R:$R,'Heo con_Nhập dữ liệu'!$D:$D,'BÁO CÁO MỚI'!$B43)</f>
        <v>0</v>
      </c>
      <c r="J43" s="185">
        <f>+SUMIFS('Heo thịt_Nhập dữ liệu hàng ngày'!$Y:$Y,'Heo thịt_Nhập dữ liệu hàng ngày'!$L:$L,$B43)+SUMIFS('Heo thịt_Nhập dữ liệu hàng ngày'!$Z:$Z,'Heo thịt_Nhập dữ liệu hàng ngày'!$L:$L,$B43)+SUMIFS('Heo con_Nhập dữ liệu'!$P:$P,'Heo con_Nhập dữ liệu'!$D:$D,'BÁO CÁO MỚI'!$B43)+SUMIFS('Heo con_Nhập dữ liệu'!$Q:$Q,'Heo con_Nhập dữ liệu'!$D:$D,'BÁO CÁO MỚI'!$B43)</f>
        <v>0</v>
      </c>
    </row>
    <row r="44" spans="2:10" x14ac:dyDescent="0.3">
      <c r="B44" s="183" t="s">
        <v>130</v>
      </c>
      <c r="C44" s="183" t="str">
        <f>+VLOOKUP(B44,Data!F:G,2,0)</f>
        <v>APPE</v>
      </c>
      <c r="D44" s="238">
        <f>+SUMIFS('Heo thịt_Nhập dữ liệu hàng ngày'!$P:$P,'Heo thịt_Nhập dữ liệu hàng ngày'!$L:$L,$B44)+SUMIFS('Heo con_Nhập dữ liệu'!$G:$G,'Heo con_Nhập dữ liệu'!$D:$D,'BÁO CÁO MỚI'!$B44)</f>
        <v>0</v>
      </c>
      <c r="E44" s="184">
        <f>+SUMIFS('Heo thịt_Nhập dữ liệu hàng ngày'!$Q:$Q,'Heo thịt_Nhập dữ liệu hàng ngày'!$L:$L,$B44)+SUMIFS('Heo con_Nhập dữ liệu'!$H:$H,'Heo con_Nhập dữ liệu'!$D:$D,'BÁO CÁO MỚI'!$B44)</f>
        <v>0</v>
      </c>
      <c r="F44" s="236">
        <f>+SUMIFS('Heo thịt_Nhập dữ liệu hàng ngày'!$X:$X,'Heo thịt_Nhập dữ liệu hàng ngày'!$L:$L,$B44)+SUMIFS('Heo con_Nhập dữ liệu'!$O:$O,'Heo con_Nhập dữ liệu'!$D:$D,'BÁO CÁO MỚI'!$B44)</f>
        <v>0</v>
      </c>
      <c r="G44" s="237">
        <f>+SUMIFS('Heo thịt_Nhập dữ liệu hàng ngày'!$U:$U,'Heo thịt_Nhập dữ liệu hàng ngày'!$L:$L,$B44)+SUMIFS('Heo con_Nhập dữ liệu'!$O:$O,'Heo con_Nhập dữ liệu'!$D:$D,'BÁO CÁO MỚI'!$B44)</f>
        <v>0</v>
      </c>
      <c r="H44" s="239" t="str">
        <f t="shared" si="0"/>
        <v>-</v>
      </c>
      <c r="I44" s="184">
        <f>+SUMIFS('Heo thịt_Nhập dữ liệu hàng ngày'!$AA:$AA,'Heo thịt_Nhập dữ liệu hàng ngày'!$L:$L,$B44)+SUMIFS('Heo con_Nhập dữ liệu'!$R:$R,'Heo con_Nhập dữ liệu'!$D:$D,'BÁO CÁO MỚI'!$B44)</f>
        <v>0</v>
      </c>
      <c r="J44" s="185">
        <f>+SUMIFS('Heo thịt_Nhập dữ liệu hàng ngày'!$Y:$Y,'Heo thịt_Nhập dữ liệu hàng ngày'!$L:$L,$B44)+SUMIFS('Heo thịt_Nhập dữ liệu hàng ngày'!$Z:$Z,'Heo thịt_Nhập dữ liệu hàng ngày'!$L:$L,$B44)+SUMIFS('Heo con_Nhập dữ liệu'!$P:$P,'Heo con_Nhập dữ liệu'!$D:$D,'BÁO CÁO MỚI'!$B44)+SUMIFS('Heo con_Nhập dữ liệu'!$Q:$Q,'Heo con_Nhập dữ liệu'!$D:$D,'BÁO CÁO MỚI'!$B44)</f>
        <v>0</v>
      </c>
    </row>
    <row r="45" spans="2:10" x14ac:dyDescent="0.3">
      <c r="B45" s="183" t="s">
        <v>131</v>
      </c>
      <c r="C45" s="183" t="str">
        <f>+VLOOKUP(B45,Data!F:G,2,0)</f>
        <v>Tam Dương</v>
      </c>
      <c r="D45" s="238">
        <f>+SUMIFS('Heo thịt_Nhập dữ liệu hàng ngày'!$P:$P,'Heo thịt_Nhập dữ liệu hàng ngày'!$L:$L,$B45)+SUMIFS('Heo con_Nhập dữ liệu'!$G:$G,'Heo con_Nhập dữ liệu'!$D:$D,'BÁO CÁO MỚI'!$B45)</f>
        <v>0</v>
      </c>
      <c r="E45" s="184">
        <f>+SUMIFS('Heo thịt_Nhập dữ liệu hàng ngày'!$Q:$Q,'Heo thịt_Nhập dữ liệu hàng ngày'!$L:$L,$B45)+SUMIFS('Heo con_Nhập dữ liệu'!$H:$H,'Heo con_Nhập dữ liệu'!$D:$D,'BÁO CÁO MỚI'!$B45)</f>
        <v>0</v>
      </c>
      <c r="F45" s="236">
        <f>+SUMIFS('Heo thịt_Nhập dữ liệu hàng ngày'!$X:$X,'Heo thịt_Nhập dữ liệu hàng ngày'!$L:$L,$B45)+SUMIFS('Heo con_Nhập dữ liệu'!$O:$O,'Heo con_Nhập dữ liệu'!$D:$D,'BÁO CÁO MỚI'!$B45)</f>
        <v>0</v>
      </c>
      <c r="G45" s="237">
        <f>+SUMIFS('Heo thịt_Nhập dữ liệu hàng ngày'!$U:$U,'Heo thịt_Nhập dữ liệu hàng ngày'!$L:$L,$B45)+SUMIFS('Heo con_Nhập dữ liệu'!$O:$O,'Heo con_Nhập dữ liệu'!$D:$D,'BÁO CÁO MỚI'!$B45)</f>
        <v>0</v>
      </c>
      <c r="H45" s="239" t="str">
        <f t="shared" si="0"/>
        <v>-</v>
      </c>
      <c r="I45" s="184">
        <f>+SUMIFS('Heo thịt_Nhập dữ liệu hàng ngày'!$AA:$AA,'Heo thịt_Nhập dữ liệu hàng ngày'!$L:$L,$B45)+SUMIFS('Heo con_Nhập dữ liệu'!$R:$R,'Heo con_Nhập dữ liệu'!$D:$D,'BÁO CÁO MỚI'!$B45)</f>
        <v>0</v>
      </c>
      <c r="J45" s="185">
        <f>+SUMIFS('Heo thịt_Nhập dữ liệu hàng ngày'!$Y:$Y,'Heo thịt_Nhập dữ liệu hàng ngày'!$L:$L,$B45)+SUMIFS('Heo thịt_Nhập dữ liệu hàng ngày'!$Z:$Z,'Heo thịt_Nhập dữ liệu hàng ngày'!$L:$L,$B45)+SUMIFS('Heo con_Nhập dữ liệu'!$P:$P,'Heo con_Nhập dữ liệu'!$D:$D,'BÁO CÁO MỚI'!$B45)+SUMIFS('Heo con_Nhập dữ liệu'!$Q:$Q,'Heo con_Nhập dữ liệu'!$D:$D,'BÁO CÁO MỚI'!$B45)</f>
        <v>0</v>
      </c>
    </row>
    <row r="46" spans="2:10" x14ac:dyDescent="0.3">
      <c r="B46" s="183" t="s">
        <v>132</v>
      </c>
      <c r="C46" s="183" t="str">
        <f>+VLOOKUP(B46,Data!F:G,2,0)</f>
        <v>Tam Dương</v>
      </c>
      <c r="D46" s="238">
        <f>+SUMIFS('Heo thịt_Nhập dữ liệu hàng ngày'!$P:$P,'Heo thịt_Nhập dữ liệu hàng ngày'!$L:$L,$B46)+SUMIFS('Heo con_Nhập dữ liệu'!$G:$G,'Heo con_Nhập dữ liệu'!$D:$D,'BÁO CÁO MỚI'!$B46)</f>
        <v>0</v>
      </c>
      <c r="E46" s="184">
        <f>+SUMIFS('Heo thịt_Nhập dữ liệu hàng ngày'!$Q:$Q,'Heo thịt_Nhập dữ liệu hàng ngày'!$L:$L,$B46)+SUMIFS('Heo con_Nhập dữ liệu'!$H:$H,'Heo con_Nhập dữ liệu'!$D:$D,'BÁO CÁO MỚI'!$B46)</f>
        <v>0</v>
      </c>
      <c r="F46" s="236">
        <f>+SUMIFS('Heo thịt_Nhập dữ liệu hàng ngày'!$X:$X,'Heo thịt_Nhập dữ liệu hàng ngày'!$L:$L,$B46)+SUMIFS('Heo con_Nhập dữ liệu'!$O:$O,'Heo con_Nhập dữ liệu'!$D:$D,'BÁO CÁO MỚI'!$B46)</f>
        <v>0</v>
      </c>
      <c r="G46" s="237">
        <f>+SUMIFS('Heo thịt_Nhập dữ liệu hàng ngày'!$U:$U,'Heo thịt_Nhập dữ liệu hàng ngày'!$L:$L,$B46)+SUMIFS('Heo con_Nhập dữ liệu'!$O:$O,'Heo con_Nhập dữ liệu'!$D:$D,'BÁO CÁO MỚI'!$B46)</f>
        <v>0</v>
      </c>
      <c r="H46" s="239" t="str">
        <f t="shared" si="0"/>
        <v>-</v>
      </c>
      <c r="I46" s="184">
        <f>+SUMIFS('Heo thịt_Nhập dữ liệu hàng ngày'!$AA:$AA,'Heo thịt_Nhập dữ liệu hàng ngày'!$L:$L,$B46)+SUMIFS('Heo con_Nhập dữ liệu'!$R:$R,'Heo con_Nhập dữ liệu'!$D:$D,'BÁO CÁO MỚI'!$B46)</f>
        <v>0</v>
      </c>
      <c r="J46" s="185">
        <f>+SUMIFS('Heo thịt_Nhập dữ liệu hàng ngày'!$Y:$Y,'Heo thịt_Nhập dữ liệu hàng ngày'!$L:$L,$B46)+SUMIFS('Heo thịt_Nhập dữ liệu hàng ngày'!$Z:$Z,'Heo thịt_Nhập dữ liệu hàng ngày'!$L:$L,$B46)+SUMIFS('Heo con_Nhập dữ liệu'!$P:$P,'Heo con_Nhập dữ liệu'!$D:$D,'BÁO CÁO MỚI'!$B46)+SUMIFS('Heo con_Nhập dữ liệu'!$Q:$Q,'Heo con_Nhập dữ liệu'!$D:$D,'BÁO CÁO MỚI'!$B46)</f>
        <v>0</v>
      </c>
    </row>
    <row r="47" spans="2:10" x14ac:dyDescent="0.3">
      <c r="B47" s="183" t="s">
        <v>120</v>
      </c>
      <c r="C47" s="183" t="str">
        <f>+VLOOKUP(B47,Data!F:G,2,0)</f>
        <v>Tam Dương</v>
      </c>
      <c r="D47" s="238">
        <f>+SUMIFS('Heo thịt_Nhập dữ liệu hàng ngày'!$P:$P,'Heo thịt_Nhập dữ liệu hàng ngày'!$L:$L,$B47)+SUMIFS('Heo con_Nhập dữ liệu'!$G:$G,'Heo con_Nhập dữ liệu'!$D:$D,'BÁO CÁO MỚI'!$B47)</f>
        <v>0</v>
      </c>
      <c r="E47" s="184">
        <f>+SUMIFS('Heo thịt_Nhập dữ liệu hàng ngày'!$Q:$Q,'Heo thịt_Nhập dữ liệu hàng ngày'!$L:$L,$B47)+SUMIFS('Heo con_Nhập dữ liệu'!$H:$H,'Heo con_Nhập dữ liệu'!$D:$D,'BÁO CÁO MỚI'!$B47)</f>
        <v>0</v>
      </c>
      <c r="F47" s="236">
        <f>+SUMIFS('Heo thịt_Nhập dữ liệu hàng ngày'!$X:$X,'Heo thịt_Nhập dữ liệu hàng ngày'!$L:$L,$B47)+SUMIFS('Heo con_Nhập dữ liệu'!$O:$O,'Heo con_Nhập dữ liệu'!$D:$D,'BÁO CÁO MỚI'!$B47)</f>
        <v>0</v>
      </c>
      <c r="G47" s="237">
        <f>+SUMIFS('Heo thịt_Nhập dữ liệu hàng ngày'!$U:$U,'Heo thịt_Nhập dữ liệu hàng ngày'!$L:$L,$B47)+SUMIFS('Heo con_Nhập dữ liệu'!$O:$O,'Heo con_Nhập dữ liệu'!$D:$D,'BÁO CÁO MỚI'!$B47)</f>
        <v>0</v>
      </c>
      <c r="H47" s="239" t="str">
        <f t="shared" si="0"/>
        <v>-</v>
      </c>
      <c r="I47" s="184">
        <f>+SUMIFS('Heo thịt_Nhập dữ liệu hàng ngày'!$AA:$AA,'Heo thịt_Nhập dữ liệu hàng ngày'!$L:$L,$B47)+SUMIFS('Heo con_Nhập dữ liệu'!$R:$R,'Heo con_Nhập dữ liệu'!$D:$D,'BÁO CÁO MỚI'!$B47)</f>
        <v>0</v>
      </c>
      <c r="J47" s="185">
        <f>+SUMIFS('Heo thịt_Nhập dữ liệu hàng ngày'!$Y:$Y,'Heo thịt_Nhập dữ liệu hàng ngày'!$L:$L,$B47)+SUMIFS('Heo thịt_Nhập dữ liệu hàng ngày'!$Z:$Z,'Heo thịt_Nhập dữ liệu hàng ngày'!$L:$L,$B47)+SUMIFS('Heo con_Nhập dữ liệu'!$P:$P,'Heo con_Nhập dữ liệu'!$D:$D,'BÁO CÁO MỚI'!$B47)+SUMIFS('Heo con_Nhập dữ liệu'!$Q:$Q,'Heo con_Nhập dữ liệu'!$D:$D,'BÁO CÁO MỚI'!$B47)</f>
        <v>0</v>
      </c>
    </row>
  </sheetData>
  <conditionalFormatting sqref="J28:J47">
    <cfRule type="cellIs" dxfId="126" priority="3" operator="lessThan">
      <formula>-1</formula>
    </cfRule>
    <cfRule type="cellIs" dxfId="125" priority="4" operator="greaterThan">
      <formula>0</formula>
    </cfRule>
  </conditionalFormatting>
  <conditionalFormatting sqref="L3:L18">
    <cfRule type="cellIs" dxfId="124" priority="5" operator="lessThan">
      <formula>-1</formula>
    </cfRule>
    <cfRule type="cellIs" dxfId="123" priority="6" operator="greaterThan">
      <formula>0</formula>
    </cfRule>
  </conditionalFormatting>
  <conditionalFormatting sqref="L20:L21">
    <cfRule type="cellIs" dxfId="122" priority="1" operator="lessThan">
      <formula>-1</formula>
    </cfRule>
    <cfRule type="cellIs" dxfId="121" priority="2" operator="greaterThan">
      <formula>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0000000}">
          <x14:formula1>
            <xm:f>Data!$F$4:$F$17</xm:f>
          </x14:formula1>
          <xm:sqref>B27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FFFF00"/>
  </sheetPr>
  <dimension ref="B1:V366"/>
  <sheetViews>
    <sheetView workbookViewId="0">
      <pane ySplit="4" topLeftCell="A5" activePane="bottomLeft" state="frozen"/>
      <selection pane="bottomLeft" activeCell="C23" sqref="C23"/>
    </sheetView>
  </sheetViews>
  <sheetFormatPr defaultRowHeight="14.4" x14ac:dyDescent="0.3"/>
  <cols>
    <col min="1" max="1" width="1.88671875" customWidth="1"/>
    <col min="2" max="2" width="4.109375" style="29" customWidth="1"/>
    <col min="3" max="3" width="23.44140625" style="11" customWidth="1"/>
    <col min="4" max="5" width="21.109375" style="11" bestFit="1" customWidth="1"/>
    <col min="6" max="7" width="20.5546875" style="11" customWidth="1"/>
    <col min="8" max="8" width="22" style="11" customWidth="1"/>
    <col min="9" max="9" width="14.33203125" style="11" hidden="1" customWidth="1"/>
    <col min="10" max="10" width="6" style="11" hidden="1" customWidth="1"/>
    <col min="11" max="11" width="25" style="11" customWidth="1"/>
    <col min="12" max="12" width="7.5546875" style="242" customWidth="1"/>
    <col min="13" max="13" width="8.88671875" style="62"/>
    <col min="14" max="14" width="16.6640625" style="63" customWidth="1"/>
    <col min="15" max="15" width="27.5546875" style="62" customWidth="1"/>
    <col min="16" max="16" width="27.5546875" customWidth="1"/>
    <col min="17" max="17" width="22.33203125" customWidth="1"/>
    <col min="18" max="18" width="20.88671875" customWidth="1"/>
    <col min="19" max="19" width="24.5546875" style="59" customWidth="1"/>
    <col min="20" max="20" width="20.33203125" customWidth="1"/>
    <col min="21" max="21" width="25" style="59" customWidth="1"/>
  </cols>
  <sheetData>
    <row r="1" spans="2:21" ht="15" thickBot="1" x14ac:dyDescent="0.35">
      <c r="H1" s="245"/>
      <c r="M1"/>
      <c r="N1"/>
      <c r="O1"/>
      <c r="Q1" s="59">
        <f>+Q8-R8</f>
        <v>0</v>
      </c>
      <c r="S1"/>
      <c r="U1"/>
    </row>
    <row r="2" spans="2:21" ht="24" thickBot="1" x14ac:dyDescent="0.5">
      <c r="M2" s="287" t="s">
        <v>16</v>
      </c>
      <c r="N2" s="288"/>
      <c r="O2" s="288"/>
      <c r="P2" s="289"/>
      <c r="Q2" s="4">
        <f>SUM(Q5:Q29)</f>
        <v>0</v>
      </c>
      <c r="R2" s="4">
        <f>SUM(R5:R29)</f>
        <v>0</v>
      </c>
      <c r="S2" s="4">
        <f>SUM(S5:S29)</f>
        <v>0</v>
      </c>
      <c r="T2" s="5">
        <f>SUM(T5:T29)</f>
        <v>0</v>
      </c>
      <c r="U2" s="5">
        <f>+T2-S2</f>
        <v>0</v>
      </c>
    </row>
    <row r="3" spans="2:21" ht="30" customHeight="1" thickBot="1" x14ac:dyDescent="0.5">
      <c r="B3" s="287" t="s">
        <v>16</v>
      </c>
      <c r="C3" s="288"/>
      <c r="D3" s="4">
        <f>SUM(D5:D600)</f>
        <v>1527250000</v>
      </c>
      <c r="E3" s="4">
        <f>SUM(E5:E600)</f>
        <v>10000000</v>
      </c>
      <c r="F3" s="4">
        <f>SUM(F5:F64)</f>
        <v>1517250000</v>
      </c>
      <c r="G3" s="4">
        <f>SUM(G5:G64)</f>
        <v>0</v>
      </c>
      <c r="H3" s="4">
        <f>SUBTOTAL(9,H5:H600)</f>
        <v>-972000000</v>
      </c>
      <c r="I3" s="241"/>
      <c r="J3" s="241"/>
      <c r="K3" s="262"/>
      <c r="M3" s="6" t="s">
        <v>2</v>
      </c>
      <c r="N3" s="15" t="s">
        <v>36</v>
      </c>
      <c r="O3" s="7" t="s">
        <v>1</v>
      </c>
      <c r="P3" s="7" t="s">
        <v>35</v>
      </c>
      <c r="Q3" s="7" t="s">
        <v>13</v>
      </c>
      <c r="R3" s="7" t="s">
        <v>14</v>
      </c>
      <c r="S3" s="7" t="s">
        <v>10</v>
      </c>
      <c r="T3" s="8" t="s">
        <v>15</v>
      </c>
      <c r="U3" s="9" t="s">
        <v>18</v>
      </c>
    </row>
    <row r="4" spans="2:21" ht="30" customHeight="1" thickBot="1" x14ac:dyDescent="0.35">
      <c r="B4" s="6" t="s">
        <v>2</v>
      </c>
      <c r="C4" s="7" t="s">
        <v>4</v>
      </c>
      <c r="D4" s="7" t="s">
        <v>13</v>
      </c>
      <c r="E4" s="7" t="s">
        <v>14</v>
      </c>
      <c r="F4" s="7" t="s">
        <v>10</v>
      </c>
      <c r="G4" s="8" t="s">
        <v>15</v>
      </c>
      <c r="H4" s="9" t="s">
        <v>18</v>
      </c>
      <c r="I4" s="60"/>
      <c r="J4" s="60"/>
      <c r="K4" s="60"/>
      <c r="M4" s="54"/>
      <c r="N4" s="53" t="s">
        <v>61</v>
      </c>
      <c r="O4"/>
      <c r="P4" s="52">
        <v>44774</v>
      </c>
      <c r="Q4" s="52">
        <v>44804</v>
      </c>
      <c r="S4"/>
      <c r="U4"/>
    </row>
    <row r="5" spans="2:21" x14ac:dyDescent="0.3">
      <c r="B5" s="31">
        <v>1</v>
      </c>
      <c r="C5" s="18">
        <f>IFERROR(Data!C4,"")</f>
        <v>0</v>
      </c>
      <c r="D5" s="19">
        <f>SUMIFS('Heo thịt_Nhập dữ liệu hàng ngày'!$U:$U,'Heo thịt_Nhập dữ liệu hàng ngày'!$M:$M,'Theo dõi khách hàng heo thịt'!C5)</f>
        <v>0</v>
      </c>
      <c r="E5" s="19">
        <f>SUMIFS('Heo thịt_Nhập dữ liệu hàng ngày'!$AB:$AB,'Heo thịt_Nhập dữ liệu hàng ngày'!$M:$M,'Theo dõi khách hàng heo thịt'!C5)</f>
        <v>0</v>
      </c>
      <c r="F5" s="19">
        <f>SUMIFS('Heo thịt_Nhập dữ liệu hàng ngày'!$AC:$AC,'Heo thịt_Nhập dữ liệu hàng ngày'!$M:$M,'Theo dõi khách hàng heo thịt'!C5)</f>
        <v>0</v>
      </c>
      <c r="G5" s="20">
        <f>SUMIFS('Heo thịt_Nhập dữ liệu hàng ngày'!$AD:$AD,'Heo thịt_Nhập dữ liệu hàng ngày'!$M:$M,'Theo dõi khách hàng heo thịt'!C5)</f>
        <v>0</v>
      </c>
      <c r="H5" s="21">
        <f>+G5-F5</f>
        <v>0</v>
      </c>
      <c r="I5" s="59">
        <f>+ABS(H5)</f>
        <v>0</v>
      </c>
      <c r="J5" t="str">
        <f>+IF(I5&gt;500000,"check","-")</f>
        <v>-</v>
      </c>
      <c r="K5" s="273" t="s">
        <v>166</v>
      </c>
      <c r="L5" s="242">
        <f t="shared" ref="L5:L20" si="0">+H5*(-1)</f>
        <v>0</v>
      </c>
      <c r="M5" s="290">
        <v>1</v>
      </c>
      <c r="N5" s="291" t="s">
        <v>90</v>
      </c>
      <c r="O5" s="292" t="str">
        <f>IFERROR(+VLOOKUP(N5,Data!C:D,2,0),"-")</f>
        <v>-</v>
      </c>
      <c r="P5" s="41" t="s">
        <v>28</v>
      </c>
      <c r="Q5" s="42">
        <f>IFERROR(SUMIFS('Heo thịt_Nhập dữ liệu hàng ngày'!$U:$U,'Heo thịt_Nhập dữ liệu hàng ngày'!$K:$K,"&gt;="&amp;$P$4,'Heo thịt_Nhập dữ liệu hàng ngày'!$K:$K,"&lt;="&amp;'Theo dõi khách hàng heo thịt'!$Q$4,'Heo thịt_Nhập dữ liệu hàng ngày'!$L:$L,'Theo dõi khách hàng heo thịt'!P5,'Heo thịt_Nhập dữ liệu hàng ngày'!$M:$M,'Theo dõi khách hàng heo thịt'!$N$5),"-")</f>
        <v>0</v>
      </c>
      <c r="R5" s="42">
        <f>IFERROR(SUMIFS('Heo thịt_Nhập dữ liệu hàng ngày'!$AB:$AB,'Heo thịt_Nhập dữ liệu hàng ngày'!$K:$K,"&gt;="&amp;$P$4,'Heo thịt_Nhập dữ liệu hàng ngày'!$K:$K,"&lt;="&amp;'Theo dõi khách hàng heo thịt'!$Q$4,'Heo thịt_Nhập dữ liệu hàng ngày'!$L:$L,'Theo dõi khách hàng heo thịt'!P5,'Heo thịt_Nhập dữ liệu hàng ngày'!$M:$M,'Theo dõi khách hàng heo thịt'!$N$5),"-")</f>
        <v>0</v>
      </c>
      <c r="S5" s="42">
        <f>IFERROR(SUMIFS('Heo thịt_Nhập dữ liệu hàng ngày'!$AC:$AC,'Heo thịt_Nhập dữ liệu hàng ngày'!$K:$K,"&gt;="&amp;$P$4,'Heo thịt_Nhập dữ liệu hàng ngày'!$K:$K,"&lt;="&amp;'Theo dõi khách hàng heo thịt'!$Q$4,'Heo thịt_Nhập dữ liệu hàng ngày'!$L:$L,'Theo dõi khách hàng heo thịt'!P5,'Heo thịt_Nhập dữ liệu hàng ngày'!$M:$M,'Theo dõi khách hàng heo thịt'!$N$5),"-")</f>
        <v>0</v>
      </c>
      <c r="T5" s="42">
        <f>IFERROR(SUMIFS('Heo thịt_Nhập dữ liệu hàng ngày'!$AD:$AD,'Heo thịt_Nhập dữ liệu hàng ngày'!$K:$K,"&gt;="&amp;$P$4,'Heo thịt_Nhập dữ liệu hàng ngày'!$K:$K,"&lt;="&amp;'Theo dõi khách hàng heo thịt'!$Q$4,'Heo thịt_Nhập dữ liệu hàng ngày'!$L:$L,'Theo dõi khách hàng heo thịt'!P5,'Heo thịt_Nhập dữ liệu hàng ngày'!$M:$M,'Theo dõi khách hàng heo thịt'!$N$5),"-")</f>
        <v>0</v>
      </c>
      <c r="U5" s="166">
        <f>IFERROR(+T5-S5,"-")</f>
        <v>0</v>
      </c>
    </row>
    <row r="6" spans="2:21" hidden="1" x14ac:dyDescent="0.3">
      <c r="B6" s="32">
        <v>2</v>
      </c>
      <c r="C6" s="18" t="str">
        <f>IFERROR(Data!C5,"")</f>
        <v>nguyễn hữu viết</v>
      </c>
      <c r="D6" s="19">
        <f>SUMIFS('Heo thịt_Nhập dữ liệu hàng ngày'!$U:$U,'Heo thịt_Nhập dữ liệu hàng ngày'!$M:$M,'Theo dõi khách hàng heo thịt'!C6)</f>
        <v>555250000</v>
      </c>
      <c r="E6" s="19">
        <f>SUMIFS('Heo thịt_Nhập dữ liệu hàng ngày'!$AB:$AB,'Heo thịt_Nhập dữ liệu hàng ngày'!$M:$M,'Theo dõi khách hàng heo thịt'!C6)</f>
        <v>10000000</v>
      </c>
      <c r="F6" s="19">
        <f>SUMIFS('Heo thịt_Nhập dữ liệu hàng ngày'!$AC:$AC,'Heo thịt_Nhập dữ liệu hàng ngày'!$M:$M,'Theo dõi khách hàng heo thịt'!C6)</f>
        <v>545250000</v>
      </c>
      <c r="G6" s="20">
        <f>SUMIFS('Heo thịt_Nhập dữ liệu hàng ngày'!$AD:$AD,'Heo thịt_Nhập dữ liệu hàng ngày'!$M:$M,'Theo dõi khách hàng heo thịt'!C6)</f>
        <v>0</v>
      </c>
      <c r="H6" s="21">
        <f t="shared" ref="H6:H13" si="1">+G6-F6</f>
        <v>-545250000</v>
      </c>
      <c r="I6" s="59">
        <f t="shared" ref="I6:I69" si="2">+ABS(H6)</f>
        <v>545250000</v>
      </c>
      <c r="J6" t="str">
        <f t="shared" ref="J6:J69" si="3">+IF(I6&gt;500000,"check","-")</f>
        <v>check</v>
      </c>
      <c r="K6" s="260">
        <v>0</v>
      </c>
      <c r="L6" s="242">
        <f t="shared" si="0"/>
        <v>545250000</v>
      </c>
      <c r="M6" s="290"/>
      <c r="N6" s="291"/>
      <c r="O6" s="292"/>
      <c r="P6" s="41" t="s">
        <v>29</v>
      </c>
      <c r="Q6" s="42">
        <f>IFERROR(SUMIFS('Heo thịt_Nhập dữ liệu hàng ngày'!$U:$U,'Heo thịt_Nhập dữ liệu hàng ngày'!$K:$K,"&gt;="&amp;$P$4,'Heo thịt_Nhập dữ liệu hàng ngày'!$K:$K,"&lt;="&amp;'Theo dõi khách hàng heo thịt'!$Q$4,'Heo thịt_Nhập dữ liệu hàng ngày'!$L:$L,'Theo dõi khách hàng heo thịt'!P6,'Heo thịt_Nhập dữ liệu hàng ngày'!$M:$M,'Theo dõi khách hàng heo thịt'!$N$5),"-")</f>
        <v>0</v>
      </c>
      <c r="R6" s="42">
        <f>IFERROR(SUMIFS('Heo thịt_Nhập dữ liệu hàng ngày'!$AB:$AB,'Heo thịt_Nhập dữ liệu hàng ngày'!$K:$K,"&gt;="&amp;$P$4,'Heo thịt_Nhập dữ liệu hàng ngày'!$K:$K,"&lt;="&amp;'Theo dõi khách hàng heo thịt'!$Q$4,'Heo thịt_Nhập dữ liệu hàng ngày'!$L:$L,'Theo dõi khách hàng heo thịt'!P6,'Heo thịt_Nhập dữ liệu hàng ngày'!$M:$M,'Theo dõi khách hàng heo thịt'!$N$5),"-")</f>
        <v>0</v>
      </c>
      <c r="S6" s="42">
        <f>IFERROR(SUMIFS('Heo thịt_Nhập dữ liệu hàng ngày'!$AC:$AC,'Heo thịt_Nhập dữ liệu hàng ngày'!$K:$K,"&gt;="&amp;$P$4,'Heo thịt_Nhập dữ liệu hàng ngày'!$K:$K,"&lt;="&amp;'Theo dõi khách hàng heo thịt'!$Q$4,'Heo thịt_Nhập dữ liệu hàng ngày'!$L:$L,'Theo dõi khách hàng heo thịt'!P6,'Heo thịt_Nhập dữ liệu hàng ngày'!$M:$M,'Theo dõi khách hàng heo thịt'!$N$5),"-")</f>
        <v>0</v>
      </c>
      <c r="T6" s="42">
        <f>IFERROR(SUMIFS('Heo thịt_Nhập dữ liệu hàng ngày'!$AD:$AD,'Heo thịt_Nhập dữ liệu hàng ngày'!$K:$K,"&gt;="&amp;$P$4,'Heo thịt_Nhập dữ liệu hàng ngày'!$K:$K,"&lt;="&amp;'Theo dõi khách hàng heo thịt'!$Q$4,'Heo thịt_Nhập dữ liệu hàng ngày'!$L:$L,'Theo dõi khách hàng heo thịt'!P6,'Heo thịt_Nhập dữ liệu hàng ngày'!$M:$M,'Theo dõi khách hàng heo thịt'!$N$5),"-")</f>
        <v>0</v>
      </c>
      <c r="U6" s="166">
        <f t="shared" ref="U6:U29" si="4">IFERROR(+T6-S6,"-")</f>
        <v>0</v>
      </c>
    </row>
    <row r="7" spans="2:21" x14ac:dyDescent="0.3">
      <c r="B7" s="31">
        <v>3</v>
      </c>
      <c r="C7" s="18">
        <f>IFERROR(Data!C6,"")</f>
        <v>0</v>
      </c>
      <c r="D7" s="19">
        <f>SUMIFS('Heo thịt_Nhập dữ liệu hàng ngày'!$U:$U,'Heo thịt_Nhập dữ liệu hàng ngày'!$M:$M,'Theo dõi khách hàng heo thịt'!C7)</f>
        <v>0</v>
      </c>
      <c r="E7" s="19">
        <f>SUMIFS('Heo thịt_Nhập dữ liệu hàng ngày'!$AB:$AB,'Heo thịt_Nhập dữ liệu hàng ngày'!$M:$M,'Theo dõi khách hàng heo thịt'!C7)</f>
        <v>0</v>
      </c>
      <c r="F7" s="19">
        <f>SUMIFS('Heo thịt_Nhập dữ liệu hàng ngày'!$AC:$AC,'Heo thịt_Nhập dữ liệu hàng ngày'!$M:$M,'Theo dõi khách hàng heo thịt'!C7)</f>
        <v>0</v>
      </c>
      <c r="G7" s="20">
        <f>SUMIFS('Heo thịt_Nhập dữ liệu hàng ngày'!$AD:$AD,'Heo thịt_Nhập dữ liệu hàng ngày'!$M:$M,'Theo dõi khách hàng heo thịt'!C7)</f>
        <v>0</v>
      </c>
      <c r="H7" s="21">
        <f t="shared" si="1"/>
        <v>0</v>
      </c>
      <c r="I7" s="59">
        <f t="shared" si="2"/>
        <v>0</v>
      </c>
      <c r="J7" t="str">
        <f t="shared" si="3"/>
        <v>-</v>
      </c>
      <c r="K7" s="261" t="s">
        <v>155</v>
      </c>
      <c r="L7" s="242">
        <f t="shared" si="0"/>
        <v>0</v>
      </c>
      <c r="M7" s="290"/>
      <c r="N7" s="291"/>
      <c r="O7" s="292"/>
      <c r="P7" s="41" t="s">
        <v>26</v>
      </c>
      <c r="Q7" s="42">
        <f>IFERROR(SUMIFS('Heo thịt_Nhập dữ liệu hàng ngày'!$U:$U,'Heo thịt_Nhập dữ liệu hàng ngày'!$K:$K,"&gt;="&amp;$P$4,'Heo thịt_Nhập dữ liệu hàng ngày'!$K:$K,"&lt;="&amp;'Theo dõi khách hàng heo thịt'!$Q$4,'Heo thịt_Nhập dữ liệu hàng ngày'!$L:$L,'Theo dõi khách hàng heo thịt'!P7,'Heo thịt_Nhập dữ liệu hàng ngày'!$M:$M,'Theo dõi khách hàng heo thịt'!$N$5),"-")</f>
        <v>0</v>
      </c>
      <c r="R7" s="42">
        <f>IFERROR(SUMIFS('Heo thịt_Nhập dữ liệu hàng ngày'!$AB:$AB,'Heo thịt_Nhập dữ liệu hàng ngày'!$K:$K,"&gt;="&amp;$P$4,'Heo thịt_Nhập dữ liệu hàng ngày'!$K:$K,"&lt;="&amp;'Theo dõi khách hàng heo thịt'!$Q$4,'Heo thịt_Nhập dữ liệu hàng ngày'!$L:$L,'Theo dõi khách hàng heo thịt'!P7,'Heo thịt_Nhập dữ liệu hàng ngày'!$M:$M,'Theo dõi khách hàng heo thịt'!$N$5),"-")</f>
        <v>0</v>
      </c>
      <c r="S7" s="42">
        <f>IFERROR(SUMIFS('Heo thịt_Nhập dữ liệu hàng ngày'!$AC:$AC,'Heo thịt_Nhập dữ liệu hàng ngày'!$K:$K,"&gt;="&amp;$P$4,'Heo thịt_Nhập dữ liệu hàng ngày'!$K:$K,"&lt;="&amp;'Theo dõi khách hàng heo thịt'!$Q$4,'Heo thịt_Nhập dữ liệu hàng ngày'!$L:$L,'Theo dõi khách hàng heo thịt'!P7,'Heo thịt_Nhập dữ liệu hàng ngày'!$M:$M,'Theo dõi khách hàng heo thịt'!$N$5),"-")</f>
        <v>0</v>
      </c>
      <c r="T7" s="42">
        <f>IFERROR(SUMIFS('Heo thịt_Nhập dữ liệu hàng ngày'!$AD:$AD,'Heo thịt_Nhập dữ liệu hàng ngày'!$K:$K,"&gt;="&amp;$P$4,'Heo thịt_Nhập dữ liệu hàng ngày'!$K:$K,"&lt;="&amp;'Theo dõi khách hàng heo thịt'!$Q$4,'Heo thịt_Nhập dữ liệu hàng ngày'!$L:$L,'Theo dõi khách hàng heo thịt'!P7,'Heo thịt_Nhập dữ liệu hàng ngày'!$M:$M,'Theo dõi khách hàng heo thịt'!$N$5),"-")</f>
        <v>0</v>
      </c>
      <c r="U7" s="166">
        <f t="shared" si="4"/>
        <v>0</v>
      </c>
    </row>
    <row r="8" spans="2:21" x14ac:dyDescent="0.3">
      <c r="B8" s="32">
        <v>4</v>
      </c>
      <c r="C8" s="18" t="str">
        <f>IFERROR(Data!C7,"")</f>
        <v>nguyễn văn tân</v>
      </c>
      <c r="D8" s="19">
        <f>SUMIFS('Heo thịt_Nhập dữ liệu hàng ngày'!$U:$U,'Heo thịt_Nhập dữ liệu hàng ngày'!$M:$M,'Theo dõi khách hàng heo thịt'!C8)</f>
        <v>972000000</v>
      </c>
      <c r="E8" s="19">
        <f>SUMIFS('Heo thịt_Nhập dữ liệu hàng ngày'!$AB:$AB,'Heo thịt_Nhập dữ liệu hàng ngày'!$M:$M,'Theo dõi khách hàng heo thịt'!C8)</f>
        <v>0</v>
      </c>
      <c r="F8" s="19">
        <f>SUMIFS('Heo thịt_Nhập dữ liệu hàng ngày'!$AC:$AC,'Heo thịt_Nhập dữ liệu hàng ngày'!$M:$M,'Theo dõi khách hàng heo thịt'!C8)</f>
        <v>972000000</v>
      </c>
      <c r="G8" s="20">
        <f>SUMIFS('Heo thịt_Nhập dữ liệu hàng ngày'!$AD:$AD,'Heo thịt_Nhập dữ liệu hàng ngày'!$M:$M,'Theo dõi khách hàng heo thịt'!C8)</f>
        <v>0</v>
      </c>
      <c r="H8" s="21">
        <f t="shared" si="1"/>
        <v>-972000000</v>
      </c>
      <c r="I8" s="59">
        <f t="shared" si="2"/>
        <v>972000000</v>
      </c>
      <c r="J8" t="str">
        <f t="shared" si="3"/>
        <v>check</v>
      </c>
      <c r="K8" s="266" t="s">
        <v>169</v>
      </c>
      <c r="L8" s="242">
        <f t="shared" si="0"/>
        <v>972000000</v>
      </c>
      <c r="M8" s="290"/>
      <c r="N8" s="291"/>
      <c r="O8" s="292"/>
      <c r="P8" s="41" t="s">
        <v>30</v>
      </c>
      <c r="Q8" s="42">
        <f>IFERROR(SUMIFS('Heo thịt_Nhập dữ liệu hàng ngày'!$U:$U,'Heo thịt_Nhập dữ liệu hàng ngày'!$K:$K,"&gt;="&amp;$P$4,'Heo thịt_Nhập dữ liệu hàng ngày'!$K:$K,"&lt;="&amp;'Theo dõi khách hàng heo thịt'!$Q$4,'Heo thịt_Nhập dữ liệu hàng ngày'!$L:$L,'Theo dõi khách hàng heo thịt'!P8,'Heo thịt_Nhập dữ liệu hàng ngày'!$M:$M,'Theo dõi khách hàng heo thịt'!$N$5),"-")</f>
        <v>0</v>
      </c>
      <c r="R8" s="42">
        <f>IFERROR(SUMIFS('Heo thịt_Nhập dữ liệu hàng ngày'!$AB:$AB,'Heo thịt_Nhập dữ liệu hàng ngày'!$K:$K,"&gt;="&amp;$P$4,'Heo thịt_Nhập dữ liệu hàng ngày'!$K:$K,"&lt;="&amp;'Theo dõi khách hàng heo thịt'!$Q$4,'Heo thịt_Nhập dữ liệu hàng ngày'!$L:$L,'Theo dõi khách hàng heo thịt'!P8,'Heo thịt_Nhập dữ liệu hàng ngày'!$M:$M,'Theo dõi khách hàng heo thịt'!$N$5),"-")</f>
        <v>0</v>
      </c>
      <c r="S8" s="42">
        <f>IFERROR(SUMIFS('Heo thịt_Nhập dữ liệu hàng ngày'!$AC:$AC,'Heo thịt_Nhập dữ liệu hàng ngày'!$K:$K,"&gt;="&amp;$P$4,'Heo thịt_Nhập dữ liệu hàng ngày'!$K:$K,"&lt;="&amp;'Theo dõi khách hàng heo thịt'!$Q$4,'Heo thịt_Nhập dữ liệu hàng ngày'!$L:$L,'Theo dõi khách hàng heo thịt'!P8,'Heo thịt_Nhập dữ liệu hàng ngày'!$M:$M,'Theo dõi khách hàng heo thịt'!$N$5),"-")</f>
        <v>0</v>
      </c>
      <c r="T8" s="42">
        <f>IFERROR(SUMIFS('Heo thịt_Nhập dữ liệu hàng ngày'!$AD:$AD,'Heo thịt_Nhập dữ liệu hàng ngày'!$K:$K,"&gt;="&amp;$P$4,'Heo thịt_Nhập dữ liệu hàng ngày'!$K:$K,"&lt;="&amp;'Theo dõi khách hàng heo thịt'!$Q$4,'Heo thịt_Nhập dữ liệu hàng ngày'!$L:$L,'Theo dõi khách hàng heo thịt'!P8,'Heo thịt_Nhập dữ liệu hàng ngày'!$M:$M,'Theo dõi khách hàng heo thịt'!$N$5),"-")</f>
        <v>0</v>
      </c>
      <c r="U8" s="166">
        <f t="shared" si="4"/>
        <v>0</v>
      </c>
    </row>
    <row r="9" spans="2:21" hidden="1" x14ac:dyDescent="0.3">
      <c r="B9" s="31">
        <v>5</v>
      </c>
      <c r="C9" s="18">
        <f>IFERROR(Data!C8,"")</f>
        <v>0</v>
      </c>
      <c r="D9" s="19">
        <f>SUMIFS('Heo thịt_Nhập dữ liệu hàng ngày'!$U:$U,'Heo thịt_Nhập dữ liệu hàng ngày'!$M:$M,'Theo dõi khách hàng heo thịt'!C9)</f>
        <v>0</v>
      </c>
      <c r="E9" s="19">
        <f>SUMIFS('Heo thịt_Nhập dữ liệu hàng ngày'!$AB:$AB,'Heo thịt_Nhập dữ liệu hàng ngày'!$M:$M,'Theo dõi khách hàng heo thịt'!C9)</f>
        <v>0</v>
      </c>
      <c r="F9" s="19">
        <f>SUMIFS('Heo thịt_Nhập dữ liệu hàng ngày'!$AC:$AC,'Heo thịt_Nhập dữ liệu hàng ngày'!$M:$M,'Theo dõi khách hàng heo thịt'!C9)</f>
        <v>0</v>
      </c>
      <c r="G9" s="20">
        <f>SUMIFS('Heo thịt_Nhập dữ liệu hàng ngày'!$AD:$AD,'Heo thịt_Nhập dữ liệu hàng ngày'!$M:$M,'Theo dõi khách hàng heo thịt'!C9)</f>
        <v>0</v>
      </c>
      <c r="H9" s="21">
        <f t="shared" si="1"/>
        <v>0</v>
      </c>
      <c r="I9" s="59">
        <f t="shared" si="2"/>
        <v>0</v>
      </c>
      <c r="J9" t="str">
        <f t="shared" si="3"/>
        <v>-</v>
      </c>
      <c r="K9" s="20">
        <v>1177293000</v>
      </c>
      <c r="L9" s="242">
        <f t="shared" si="0"/>
        <v>0</v>
      </c>
      <c r="M9" s="290"/>
      <c r="N9" s="291"/>
      <c r="O9" s="292"/>
      <c r="P9" s="41" t="s">
        <v>31</v>
      </c>
      <c r="Q9" s="42">
        <f>IFERROR(SUMIFS('Heo thịt_Nhập dữ liệu hàng ngày'!$U:$U,'Heo thịt_Nhập dữ liệu hàng ngày'!$K:$K,"&gt;="&amp;$P$4,'Heo thịt_Nhập dữ liệu hàng ngày'!$K:$K,"&lt;="&amp;'Theo dõi khách hàng heo thịt'!$Q$4,'Heo thịt_Nhập dữ liệu hàng ngày'!$L:$L,'Theo dõi khách hàng heo thịt'!P9,'Heo thịt_Nhập dữ liệu hàng ngày'!$M:$M,'Theo dõi khách hàng heo thịt'!$N$5),"-")</f>
        <v>0</v>
      </c>
      <c r="R9" s="42">
        <f>IFERROR(SUMIFS('Heo thịt_Nhập dữ liệu hàng ngày'!$AB:$AB,'Heo thịt_Nhập dữ liệu hàng ngày'!$K:$K,"&gt;="&amp;$P$4,'Heo thịt_Nhập dữ liệu hàng ngày'!$K:$K,"&lt;="&amp;'Theo dõi khách hàng heo thịt'!$Q$4,'Heo thịt_Nhập dữ liệu hàng ngày'!$L:$L,'Theo dõi khách hàng heo thịt'!P9,'Heo thịt_Nhập dữ liệu hàng ngày'!$M:$M,'Theo dõi khách hàng heo thịt'!$N$5),"-")</f>
        <v>0</v>
      </c>
      <c r="S9" s="42">
        <f>IFERROR(SUMIFS('Heo thịt_Nhập dữ liệu hàng ngày'!$AC:$AC,'Heo thịt_Nhập dữ liệu hàng ngày'!$K:$K,"&gt;="&amp;$P$4,'Heo thịt_Nhập dữ liệu hàng ngày'!$K:$K,"&lt;="&amp;'Theo dõi khách hàng heo thịt'!$Q$4,'Heo thịt_Nhập dữ liệu hàng ngày'!$L:$L,'Theo dõi khách hàng heo thịt'!P9,'Heo thịt_Nhập dữ liệu hàng ngày'!$M:$M,'Theo dõi khách hàng heo thịt'!$N$5),"-")</f>
        <v>0</v>
      </c>
      <c r="T9" s="42">
        <f>IFERROR(SUMIFS('Heo thịt_Nhập dữ liệu hàng ngày'!$AD:$AD,'Heo thịt_Nhập dữ liệu hàng ngày'!$K:$K,"&gt;="&amp;$P$4,'Heo thịt_Nhập dữ liệu hàng ngày'!$K:$K,"&lt;="&amp;'Theo dõi khách hàng heo thịt'!$Q$4,'Heo thịt_Nhập dữ liệu hàng ngày'!$L:$L,'Theo dõi khách hàng heo thịt'!P9,'Heo thịt_Nhập dữ liệu hàng ngày'!$M:$M,'Theo dõi khách hàng heo thịt'!$N$5),"-")</f>
        <v>0</v>
      </c>
      <c r="U9" s="166">
        <f t="shared" si="4"/>
        <v>0</v>
      </c>
    </row>
    <row r="10" spans="2:21" hidden="1" x14ac:dyDescent="0.3">
      <c r="B10" s="32">
        <v>6</v>
      </c>
      <c r="C10" s="18">
        <f>IFERROR(Data!C9,"")</f>
        <v>0</v>
      </c>
      <c r="D10" s="19">
        <f>SUMIFS('Heo thịt_Nhập dữ liệu hàng ngày'!$U:$U,'Heo thịt_Nhập dữ liệu hàng ngày'!$M:$M,'Theo dõi khách hàng heo thịt'!C10)</f>
        <v>0</v>
      </c>
      <c r="E10" s="19">
        <f>SUMIFS('Heo thịt_Nhập dữ liệu hàng ngày'!$AB:$AB,'Heo thịt_Nhập dữ liệu hàng ngày'!$M:$M,'Theo dõi khách hàng heo thịt'!C10)</f>
        <v>0</v>
      </c>
      <c r="F10" s="19">
        <f>SUMIFS('Heo thịt_Nhập dữ liệu hàng ngày'!$AC:$AC,'Heo thịt_Nhập dữ liệu hàng ngày'!$M:$M,'Theo dõi khách hàng heo thịt'!C10)</f>
        <v>0</v>
      </c>
      <c r="G10" s="20">
        <f>SUMIFS('Heo thịt_Nhập dữ liệu hàng ngày'!$AD:$AD,'Heo thịt_Nhập dữ liệu hàng ngày'!$M:$M,'Theo dõi khách hàng heo thịt'!C10)</f>
        <v>0</v>
      </c>
      <c r="H10" s="21">
        <f t="shared" si="1"/>
        <v>0</v>
      </c>
      <c r="I10" s="59">
        <f t="shared" si="2"/>
        <v>0</v>
      </c>
      <c r="J10" t="str">
        <f t="shared" si="3"/>
        <v>-</v>
      </c>
      <c r="K10" s="260">
        <v>2253784759</v>
      </c>
      <c r="L10" s="242">
        <f t="shared" si="0"/>
        <v>0</v>
      </c>
      <c r="M10" s="290"/>
      <c r="N10" s="291"/>
      <c r="O10" s="292"/>
      <c r="P10" s="41" t="s">
        <v>32</v>
      </c>
      <c r="Q10" s="42">
        <f>IFERROR(SUMIFS('Heo thịt_Nhập dữ liệu hàng ngày'!$U:$U,'Heo thịt_Nhập dữ liệu hàng ngày'!$K:$K,"&gt;="&amp;$P$4,'Heo thịt_Nhập dữ liệu hàng ngày'!$K:$K,"&lt;="&amp;'Theo dõi khách hàng heo thịt'!$Q$4,'Heo thịt_Nhập dữ liệu hàng ngày'!$L:$L,'Theo dõi khách hàng heo thịt'!P10,'Heo thịt_Nhập dữ liệu hàng ngày'!$M:$M,'Theo dõi khách hàng heo thịt'!$N$5),"-")</f>
        <v>0</v>
      </c>
      <c r="R10" s="42">
        <f>IFERROR(SUMIFS('Heo thịt_Nhập dữ liệu hàng ngày'!$AB:$AB,'Heo thịt_Nhập dữ liệu hàng ngày'!$K:$K,"&gt;="&amp;$P$4,'Heo thịt_Nhập dữ liệu hàng ngày'!$K:$K,"&lt;="&amp;'Theo dõi khách hàng heo thịt'!$Q$4,'Heo thịt_Nhập dữ liệu hàng ngày'!$L:$L,'Theo dõi khách hàng heo thịt'!P10,'Heo thịt_Nhập dữ liệu hàng ngày'!$M:$M,'Theo dõi khách hàng heo thịt'!$N$5),"-")</f>
        <v>0</v>
      </c>
      <c r="S10" s="42">
        <f>IFERROR(SUMIFS('Heo thịt_Nhập dữ liệu hàng ngày'!$AC:$AC,'Heo thịt_Nhập dữ liệu hàng ngày'!$K:$K,"&gt;="&amp;$P$4,'Heo thịt_Nhập dữ liệu hàng ngày'!$K:$K,"&lt;="&amp;'Theo dõi khách hàng heo thịt'!$Q$4,'Heo thịt_Nhập dữ liệu hàng ngày'!$L:$L,'Theo dõi khách hàng heo thịt'!P10,'Heo thịt_Nhập dữ liệu hàng ngày'!$M:$M,'Theo dõi khách hàng heo thịt'!$N$5),"-")</f>
        <v>0</v>
      </c>
      <c r="T10" s="42">
        <f>IFERROR(SUMIFS('Heo thịt_Nhập dữ liệu hàng ngày'!$AD:$AD,'Heo thịt_Nhập dữ liệu hàng ngày'!$K:$K,"&gt;="&amp;$P$4,'Heo thịt_Nhập dữ liệu hàng ngày'!$K:$K,"&lt;="&amp;'Theo dõi khách hàng heo thịt'!$Q$4,'Heo thịt_Nhập dữ liệu hàng ngày'!$L:$L,'Theo dõi khách hàng heo thịt'!P10,'Heo thịt_Nhập dữ liệu hàng ngày'!$M:$M,'Theo dõi khách hàng heo thịt'!$N$5),"-")</f>
        <v>0</v>
      </c>
      <c r="U10" s="166">
        <f t="shared" si="4"/>
        <v>0</v>
      </c>
    </row>
    <row r="11" spans="2:21" x14ac:dyDescent="0.3">
      <c r="B11" s="31">
        <v>7</v>
      </c>
      <c r="C11" s="268">
        <f>IFERROR(Data!C10,"")</f>
        <v>0</v>
      </c>
      <c r="D11" s="240">
        <f>SUMIFS('Heo thịt_Nhập dữ liệu hàng ngày'!$U:$U,'Heo thịt_Nhập dữ liệu hàng ngày'!$M:$M,'Theo dõi khách hàng heo thịt'!C11)</f>
        <v>0</v>
      </c>
      <c r="E11" s="19">
        <f>SUMIFS('Heo thịt_Nhập dữ liệu hàng ngày'!$AB:$AB,'Heo thịt_Nhập dữ liệu hàng ngày'!$M:$M,'Theo dõi khách hàng heo thịt'!C11)</f>
        <v>0</v>
      </c>
      <c r="F11" s="19">
        <f>SUMIFS('Heo thịt_Nhập dữ liệu hàng ngày'!$AC:$AC,'Heo thịt_Nhập dữ liệu hàng ngày'!$M:$M,'Theo dõi khách hàng heo thịt'!C11)</f>
        <v>0</v>
      </c>
      <c r="G11" s="20">
        <f>SUMIFS('Heo thịt_Nhập dữ liệu hàng ngày'!$AD:$AD,'Heo thịt_Nhập dữ liệu hàng ngày'!$M:$M,'Theo dõi khách hàng heo thịt'!C11)</f>
        <v>0</v>
      </c>
      <c r="H11" s="21">
        <f t="shared" si="1"/>
        <v>0</v>
      </c>
      <c r="I11" s="59">
        <f t="shared" si="2"/>
        <v>0</v>
      </c>
      <c r="J11" t="str">
        <f t="shared" si="3"/>
        <v>-</v>
      </c>
      <c r="K11" s="264" t="s">
        <v>156</v>
      </c>
      <c r="L11" s="242">
        <f t="shared" si="0"/>
        <v>0</v>
      </c>
      <c r="M11" s="290"/>
      <c r="N11" s="291"/>
      <c r="O11" s="292"/>
      <c r="P11" s="41" t="s">
        <v>39</v>
      </c>
      <c r="Q11" s="42">
        <f>IFERROR(SUMIFS('Heo thịt_Nhập dữ liệu hàng ngày'!$U:$U,'Heo thịt_Nhập dữ liệu hàng ngày'!$K:$K,"&gt;="&amp;$P$4,'Heo thịt_Nhập dữ liệu hàng ngày'!$K:$K,"&lt;="&amp;'Theo dõi khách hàng heo thịt'!$Q$4,'Heo thịt_Nhập dữ liệu hàng ngày'!$L:$L,'Theo dõi khách hàng heo thịt'!P11,'Heo thịt_Nhập dữ liệu hàng ngày'!$M:$M,'Theo dõi khách hàng heo thịt'!$N$5),"-")</f>
        <v>0</v>
      </c>
      <c r="R11" s="42">
        <f>IFERROR(SUMIFS('Heo thịt_Nhập dữ liệu hàng ngày'!$AB:$AB,'Heo thịt_Nhập dữ liệu hàng ngày'!$K:$K,"&gt;="&amp;$P$4,'Heo thịt_Nhập dữ liệu hàng ngày'!$K:$K,"&lt;="&amp;'Theo dõi khách hàng heo thịt'!$Q$4,'Heo thịt_Nhập dữ liệu hàng ngày'!$L:$L,'Theo dõi khách hàng heo thịt'!P11,'Heo thịt_Nhập dữ liệu hàng ngày'!$M:$M,'Theo dõi khách hàng heo thịt'!$N$5),"-")</f>
        <v>0</v>
      </c>
      <c r="S11" s="42">
        <f>IFERROR(SUMIFS('Heo thịt_Nhập dữ liệu hàng ngày'!$AC:$AC,'Heo thịt_Nhập dữ liệu hàng ngày'!$K:$K,"&gt;="&amp;$P$4,'Heo thịt_Nhập dữ liệu hàng ngày'!$K:$K,"&lt;="&amp;'Theo dõi khách hàng heo thịt'!$Q$4,'Heo thịt_Nhập dữ liệu hàng ngày'!$L:$L,'Theo dõi khách hàng heo thịt'!P11,'Heo thịt_Nhập dữ liệu hàng ngày'!$M:$M,'Theo dõi khách hàng heo thịt'!$N$5),"-")</f>
        <v>0</v>
      </c>
      <c r="T11" s="42">
        <f>IFERROR(SUMIFS('Heo thịt_Nhập dữ liệu hàng ngày'!$AD:$AD,'Heo thịt_Nhập dữ liệu hàng ngày'!$K:$K,"&gt;="&amp;$P$4,'Heo thịt_Nhập dữ liệu hàng ngày'!$K:$K,"&lt;="&amp;'Theo dõi khách hàng heo thịt'!$Q$4,'Heo thịt_Nhập dữ liệu hàng ngày'!$L:$L,'Theo dõi khách hàng heo thịt'!P11,'Heo thịt_Nhập dữ liệu hàng ngày'!$M:$M,'Theo dõi khách hàng heo thịt'!$N$5),"-")</f>
        <v>0</v>
      </c>
      <c r="U11" s="166">
        <f t="shared" si="4"/>
        <v>0</v>
      </c>
    </row>
    <row r="12" spans="2:21" hidden="1" x14ac:dyDescent="0.3">
      <c r="B12" s="32">
        <v>8</v>
      </c>
      <c r="C12" s="18">
        <f>IFERROR(Data!C11,"")</f>
        <v>0</v>
      </c>
      <c r="D12" s="19">
        <f>SUMIFS('Heo thịt_Nhập dữ liệu hàng ngày'!$U:$U,'Heo thịt_Nhập dữ liệu hàng ngày'!$M:$M,'Theo dõi khách hàng heo thịt'!C12)</f>
        <v>0</v>
      </c>
      <c r="E12" s="19">
        <f>SUMIFS('Heo thịt_Nhập dữ liệu hàng ngày'!$AB:$AB,'Heo thịt_Nhập dữ liệu hàng ngày'!$M:$M,'Theo dõi khách hàng heo thịt'!C12)</f>
        <v>0</v>
      </c>
      <c r="F12" s="19">
        <f>SUMIFS('Heo thịt_Nhập dữ liệu hàng ngày'!$AC:$AC,'Heo thịt_Nhập dữ liệu hàng ngày'!$M:$M,'Theo dõi khách hàng heo thịt'!C12)</f>
        <v>0</v>
      </c>
      <c r="G12" s="20">
        <f>SUMIFS('Heo thịt_Nhập dữ liệu hàng ngày'!$AD:$AD,'Heo thịt_Nhập dữ liệu hàng ngày'!$M:$M,'Theo dõi khách hàng heo thịt'!C12)</f>
        <v>0</v>
      </c>
      <c r="H12" s="21">
        <f t="shared" si="1"/>
        <v>0</v>
      </c>
      <c r="I12" s="59">
        <f t="shared" si="2"/>
        <v>0</v>
      </c>
      <c r="J12" t="str">
        <f t="shared" si="3"/>
        <v>-</v>
      </c>
      <c r="K12" s="260">
        <v>453612000</v>
      </c>
      <c r="L12" s="242">
        <f t="shared" si="0"/>
        <v>0</v>
      </c>
      <c r="M12" s="290"/>
      <c r="N12" s="291"/>
      <c r="O12" s="292"/>
      <c r="P12" s="41" t="s">
        <v>64</v>
      </c>
      <c r="Q12" s="42">
        <f>IFERROR(SUMIFS('Heo thịt_Nhập dữ liệu hàng ngày'!$U:$U,'Heo thịt_Nhập dữ liệu hàng ngày'!$K:$K,"&gt;="&amp;$P$4,'Heo thịt_Nhập dữ liệu hàng ngày'!$K:$K,"&lt;="&amp;'Theo dõi khách hàng heo thịt'!$Q$4,'Heo thịt_Nhập dữ liệu hàng ngày'!$L:$L,'Theo dõi khách hàng heo thịt'!P12,'Heo thịt_Nhập dữ liệu hàng ngày'!$M:$M,'Theo dõi khách hàng heo thịt'!$N$5),"-")</f>
        <v>0</v>
      </c>
      <c r="R12" s="42">
        <f>IFERROR(SUMIFS('Heo thịt_Nhập dữ liệu hàng ngày'!$AB:$AB,'Heo thịt_Nhập dữ liệu hàng ngày'!$K:$K,"&gt;="&amp;$P$4,'Heo thịt_Nhập dữ liệu hàng ngày'!$K:$K,"&lt;="&amp;'Theo dõi khách hàng heo thịt'!$Q$4,'Heo thịt_Nhập dữ liệu hàng ngày'!$L:$L,'Theo dõi khách hàng heo thịt'!P12,'Heo thịt_Nhập dữ liệu hàng ngày'!$M:$M,'Theo dõi khách hàng heo thịt'!$N$5),"-")</f>
        <v>0</v>
      </c>
      <c r="S12" s="42">
        <f>IFERROR(SUMIFS('Heo thịt_Nhập dữ liệu hàng ngày'!$AC:$AC,'Heo thịt_Nhập dữ liệu hàng ngày'!$K:$K,"&gt;="&amp;$P$4,'Heo thịt_Nhập dữ liệu hàng ngày'!$K:$K,"&lt;="&amp;'Theo dõi khách hàng heo thịt'!$Q$4,'Heo thịt_Nhập dữ liệu hàng ngày'!$L:$L,'Theo dõi khách hàng heo thịt'!P12,'Heo thịt_Nhập dữ liệu hàng ngày'!$M:$M,'Theo dõi khách hàng heo thịt'!$N$5),"-")</f>
        <v>0</v>
      </c>
      <c r="T12" s="42">
        <f>IFERROR(SUMIFS('Heo thịt_Nhập dữ liệu hàng ngày'!$AD:$AD,'Heo thịt_Nhập dữ liệu hàng ngày'!$K:$K,"&gt;="&amp;$P$4,'Heo thịt_Nhập dữ liệu hàng ngày'!$K:$K,"&lt;="&amp;'Theo dõi khách hàng heo thịt'!$Q$4,'Heo thịt_Nhập dữ liệu hàng ngày'!$L:$L,'Theo dõi khách hàng heo thịt'!P12,'Heo thịt_Nhập dữ liệu hàng ngày'!$M:$M,'Theo dõi khách hàng heo thịt'!$N$5),"-")</f>
        <v>0</v>
      </c>
      <c r="U12" s="166">
        <f t="shared" si="4"/>
        <v>0</v>
      </c>
    </row>
    <row r="13" spans="2:21" x14ac:dyDescent="0.3">
      <c r="B13" s="31">
        <v>9</v>
      </c>
      <c r="C13" s="18">
        <f>IFERROR(Data!C12,"")</f>
        <v>0</v>
      </c>
      <c r="D13" s="240">
        <f>SUMIFS('Heo thịt_Nhập dữ liệu hàng ngày'!$U:$U,'Heo thịt_Nhập dữ liệu hàng ngày'!$M:$M,'Theo dõi khách hàng heo thịt'!C13)</f>
        <v>0</v>
      </c>
      <c r="E13" s="19">
        <f>SUMIFS('Heo thịt_Nhập dữ liệu hàng ngày'!$AB:$AB,'Heo thịt_Nhập dữ liệu hàng ngày'!$M:$M,'Theo dõi khách hàng heo thịt'!C13)</f>
        <v>0</v>
      </c>
      <c r="F13" s="19">
        <f>SUMIFS('Heo thịt_Nhập dữ liệu hàng ngày'!$AC:$AC,'Heo thịt_Nhập dữ liệu hàng ngày'!$M:$M,'Theo dõi khách hàng heo thịt'!C13)</f>
        <v>0</v>
      </c>
      <c r="G13" s="20">
        <f>SUMIFS('Heo thịt_Nhập dữ liệu hàng ngày'!$AD:$AD,'Heo thịt_Nhập dữ liệu hàng ngày'!$M:$M,'Theo dõi khách hàng heo thịt'!C13)</f>
        <v>0</v>
      </c>
      <c r="H13" s="21">
        <f t="shared" si="1"/>
        <v>0</v>
      </c>
      <c r="I13" s="59">
        <f t="shared" si="2"/>
        <v>0</v>
      </c>
      <c r="J13" t="str">
        <f t="shared" si="3"/>
        <v>-</v>
      </c>
      <c r="K13" s="11" t="s">
        <v>155</v>
      </c>
      <c r="L13" s="242">
        <f t="shared" si="0"/>
        <v>0</v>
      </c>
      <c r="M13" s="290"/>
      <c r="N13" s="291"/>
      <c r="O13" s="292"/>
      <c r="P13" s="41" t="s">
        <v>104</v>
      </c>
      <c r="Q13" s="42">
        <f>IFERROR(SUMIFS('Heo thịt_Nhập dữ liệu hàng ngày'!$U:$U,'Heo thịt_Nhập dữ liệu hàng ngày'!$K:$K,"&gt;="&amp;$P$4,'Heo thịt_Nhập dữ liệu hàng ngày'!$K:$K,"&lt;="&amp;'Theo dõi khách hàng heo thịt'!$Q$4,'Heo thịt_Nhập dữ liệu hàng ngày'!$L:$L,'Theo dõi khách hàng heo thịt'!P13,'Heo thịt_Nhập dữ liệu hàng ngày'!$M:$M,'Theo dõi khách hàng heo thịt'!$N$5),"-")</f>
        <v>0</v>
      </c>
      <c r="R13" s="42">
        <f>IFERROR(SUMIFS('Heo thịt_Nhập dữ liệu hàng ngày'!$AB:$AB,'Heo thịt_Nhập dữ liệu hàng ngày'!$K:$K,"&gt;="&amp;$P$4,'Heo thịt_Nhập dữ liệu hàng ngày'!$K:$K,"&lt;="&amp;'Theo dõi khách hàng heo thịt'!$Q$4,'Heo thịt_Nhập dữ liệu hàng ngày'!$L:$L,'Theo dõi khách hàng heo thịt'!P13,'Heo thịt_Nhập dữ liệu hàng ngày'!$M:$M,'Theo dõi khách hàng heo thịt'!$N$5),"-")</f>
        <v>0</v>
      </c>
      <c r="S13" s="42">
        <f>IFERROR(SUMIFS('Heo thịt_Nhập dữ liệu hàng ngày'!$AC:$AC,'Heo thịt_Nhập dữ liệu hàng ngày'!$K:$K,"&gt;="&amp;$P$4,'Heo thịt_Nhập dữ liệu hàng ngày'!$K:$K,"&lt;="&amp;'Theo dõi khách hàng heo thịt'!$Q$4,'Heo thịt_Nhập dữ liệu hàng ngày'!$L:$L,'Theo dõi khách hàng heo thịt'!P13,'Heo thịt_Nhập dữ liệu hàng ngày'!$M:$M,'Theo dõi khách hàng heo thịt'!$N$5),"-")</f>
        <v>0</v>
      </c>
      <c r="T13" s="42">
        <f>IFERROR(SUMIFS('Heo thịt_Nhập dữ liệu hàng ngày'!$AD:$AD,'Heo thịt_Nhập dữ liệu hàng ngày'!$K:$K,"&gt;="&amp;$P$4,'Heo thịt_Nhập dữ liệu hàng ngày'!$K:$K,"&lt;="&amp;'Theo dõi khách hàng heo thịt'!$Q$4,'Heo thịt_Nhập dữ liệu hàng ngày'!$L:$L,'Theo dõi khách hàng heo thịt'!P13,'Heo thịt_Nhập dữ liệu hàng ngày'!$M:$M,'Theo dõi khách hàng heo thịt'!$N$5),"-")</f>
        <v>0</v>
      </c>
      <c r="U13" s="166">
        <f t="shared" si="4"/>
        <v>0</v>
      </c>
    </row>
    <row r="14" spans="2:21" hidden="1" x14ac:dyDescent="0.3">
      <c r="B14" s="32">
        <v>10</v>
      </c>
      <c r="C14" s="18">
        <f>IFERROR(Data!C13,"")</f>
        <v>0</v>
      </c>
      <c r="D14" s="19">
        <f>SUMIFS('Heo thịt_Nhập dữ liệu hàng ngày'!$U:$U,'Heo thịt_Nhập dữ liệu hàng ngày'!$M:$M,'Theo dõi khách hàng heo thịt'!C14)</f>
        <v>0</v>
      </c>
      <c r="E14" s="19">
        <f>SUMIFS('Heo thịt_Nhập dữ liệu hàng ngày'!$AB:$AB,'Heo thịt_Nhập dữ liệu hàng ngày'!$M:$M,'Theo dõi khách hàng heo thịt'!C14)</f>
        <v>0</v>
      </c>
      <c r="F14" s="19">
        <f>SUMIFS('Heo thịt_Nhập dữ liệu hàng ngày'!$AC:$AC,'Heo thịt_Nhập dữ liệu hàng ngày'!$M:$M,'Theo dõi khách hàng heo thịt'!C14)</f>
        <v>0</v>
      </c>
      <c r="G14" s="20">
        <f>SUMIFS('Heo thịt_Nhập dữ liệu hàng ngày'!$AD:$AD,'Heo thịt_Nhập dữ liệu hàng ngày'!$M:$M,'Theo dõi khách hàng heo thịt'!C14)</f>
        <v>0</v>
      </c>
      <c r="H14" s="155">
        <f t="shared" ref="H14:H77" si="5">+G14-F14</f>
        <v>0</v>
      </c>
      <c r="I14" s="59">
        <f t="shared" si="2"/>
        <v>0</v>
      </c>
      <c r="J14" t="str">
        <f t="shared" si="3"/>
        <v>-</v>
      </c>
      <c r="L14" s="242">
        <f t="shared" si="0"/>
        <v>0</v>
      </c>
      <c r="M14" s="290"/>
      <c r="N14" s="291"/>
      <c r="O14" s="292"/>
      <c r="P14" s="41" t="s">
        <v>33</v>
      </c>
      <c r="Q14" s="42">
        <f>IFERROR(SUMIFS('Heo thịt_Nhập dữ liệu hàng ngày'!$U:$U,'Heo thịt_Nhập dữ liệu hàng ngày'!$K:$K,"&gt;="&amp;$P$4,'Heo thịt_Nhập dữ liệu hàng ngày'!$K:$K,"&lt;="&amp;'Theo dõi khách hàng heo thịt'!$Q$4,'Heo thịt_Nhập dữ liệu hàng ngày'!$L:$L,'Theo dõi khách hàng heo thịt'!P14,'Heo thịt_Nhập dữ liệu hàng ngày'!$M:$M,'Theo dõi khách hàng heo thịt'!$N$5),"-")</f>
        <v>0</v>
      </c>
      <c r="R14" s="42">
        <f>IFERROR(SUMIFS('Heo thịt_Nhập dữ liệu hàng ngày'!$AB:$AB,'Heo thịt_Nhập dữ liệu hàng ngày'!$K:$K,"&gt;="&amp;$P$4,'Heo thịt_Nhập dữ liệu hàng ngày'!$K:$K,"&lt;="&amp;'Theo dõi khách hàng heo thịt'!$Q$4,'Heo thịt_Nhập dữ liệu hàng ngày'!$L:$L,'Theo dõi khách hàng heo thịt'!P14,'Heo thịt_Nhập dữ liệu hàng ngày'!$M:$M,'Theo dõi khách hàng heo thịt'!$N$5),"-")</f>
        <v>0</v>
      </c>
      <c r="S14" s="42">
        <f>IFERROR(SUMIFS('Heo thịt_Nhập dữ liệu hàng ngày'!$AC:$AC,'Heo thịt_Nhập dữ liệu hàng ngày'!$K:$K,"&gt;="&amp;$P$4,'Heo thịt_Nhập dữ liệu hàng ngày'!$K:$K,"&lt;="&amp;'Theo dõi khách hàng heo thịt'!$Q$4,'Heo thịt_Nhập dữ liệu hàng ngày'!$L:$L,'Theo dõi khách hàng heo thịt'!P14,'Heo thịt_Nhập dữ liệu hàng ngày'!$M:$M,'Theo dõi khách hàng heo thịt'!$N$5),"-")</f>
        <v>0</v>
      </c>
      <c r="T14" s="42">
        <f>IFERROR(SUMIFS('Heo thịt_Nhập dữ liệu hàng ngày'!$AD:$AD,'Heo thịt_Nhập dữ liệu hàng ngày'!$K:$K,"&gt;="&amp;$P$4,'Heo thịt_Nhập dữ liệu hàng ngày'!$K:$K,"&lt;="&amp;'Theo dõi khách hàng heo thịt'!$Q$4,'Heo thịt_Nhập dữ liệu hàng ngày'!$L:$L,'Theo dõi khách hàng heo thịt'!P14,'Heo thịt_Nhập dữ liệu hàng ngày'!$M:$M,'Theo dõi khách hàng heo thịt'!$N$5),"-")</f>
        <v>0</v>
      </c>
      <c r="U14" s="166">
        <f t="shared" si="4"/>
        <v>0</v>
      </c>
    </row>
    <row r="15" spans="2:21" hidden="1" x14ac:dyDescent="0.3">
      <c r="B15" s="31">
        <v>11</v>
      </c>
      <c r="C15" s="18">
        <f>IFERROR(Data!C14,"")</f>
        <v>0</v>
      </c>
      <c r="D15" s="19">
        <f>SUMIFS('Heo thịt_Nhập dữ liệu hàng ngày'!$U:$U,'Heo thịt_Nhập dữ liệu hàng ngày'!$M:$M,'Theo dõi khách hàng heo thịt'!C15)</f>
        <v>0</v>
      </c>
      <c r="E15" s="19">
        <f>SUMIFS('Heo thịt_Nhập dữ liệu hàng ngày'!$AB:$AB,'Heo thịt_Nhập dữ liệu hàng ngày'!$M:$M,'Theo dõi khách hàng heo thịt'!C15)</f>
        <v>0</v>
      </c>
      <c r="F15" s="19">
        <f>SUMIFS('Heo thịt_Nhập dữ liệu hàng ngày'!$AC:$AC,'Heo thịt_Nhập dữ liệu hàng ngày'!$M:$M,'Theo dõi khách hàng heo thịt'!C15)</f>
        <v>0</v>
      </c>
      <c r="G15" s="20">
        <f>SUMIFS('Heo thịt_Nhập dữ liệu hàng ngày'!$AD:$AD,'Heo thịt_Nhập dữ liệu hàng ngày'!$M:$M,'Theo dõi khách hàng heo thịt'!C15)</f>
        <v>0</v>
      </c>
      <c r="H15" s="21">
        <f t="shared" si="5"/>
        <v>0</v>
      </c>
      <c r="I15" s="59">
        <f t="shared" si="2"/>
        <v>0</v>
      </c>
      <c r="J15" t="str">
        <f t="shared" si="3"/>
        <v>-</v>
      </c>
      <c r="L15" s="242">
        <f t="shared" si="0"/>
        <v>0</v>
      </c>
      <c r="M15" s="290"/>
      <c r="N15" s="291"/>
      <c r="O15" s="292"/>
      <c r="P15" s="41" t="s">
        <v>101</v>
      </c>
      <c r="Q15" s="42">
        <f>IFERROR(SUMIFS('Heo thịt_Nhập dữ liệu hàng ngày'!$U:$U,'Heo thịt_Nhập dữ liệu hàng ngày'!$K:$K,"&gt;="&amp;$P$4,'Heo thịt_Nhập dữ liệu hàng ngày'!$K:$K,"&lt;="&amp;'Theo dõi khách hàng heo thịt'!$Q$4,'Heo thịt_Nhập dữ liệu hàng ngày'!$L:$L,'Theo dõi khách hàng heo thịt'!P15,'Heo thịt_Nhập dữ liệu hàng ngày'!$M:$M,'Theo dõi khách hàng heo thịt'!$N$5),"-")</f>
        <v>0</v>
      </c>
      <c r="R15" s="42">
        <f>IFERROR(SUMIFS('Heo thịt_Nhập dữ liệu hàng ngày'!$AB:$AB,'Heo thịt_Nhập dữ liệu hàng ngày'!$K:$K,"&gt;="&amp;$P$4,'Heo thịt_Nhập dữ liệu hàng ngày'!$K:$K,"&lt;="&amp;'Theo dõi khách hàng heo thịt'!$Q$4,'Heo thịt_Nhập dữ liệu hàng ngày'!$L:$L,'Theo dõi khách hàng heo thịt'!P15,'Heo thịt_Nhập dữ liệu hàng ngày'!$M:$M,'Theo dõi khách hàng heo thịt'!$N$5),"-")</f>
        <v>0</v>
      </c>
      <c r="S15" s="42">
        <f>IFERROR(SUMIFS('Heo thịt_Nhập dữ liệu hàng ngày'!$AC:$AC,'Heo thịt_Nhập dữ liệu hàng ngày'!$K:$K,"&gt;="&amp;$P$4,'Heo thịt_Nhập dữ liệu hàng ngày'!$K:$K,"&lt;="&amp;'Theo dõi khách hàng heo thịt'!$Q$4,'Heo thịt_Nhập dữ liệu hàng ngày'!$L:$L,'Theo dõi khách hàng heo thịt'!P15,'Heo thịt_Nhập dữ liệu hàng ngày'!$M:$M,'Theo dõi khách hàng heo thịt'!$N$5),"-")</f>
        <v>0</v>
      </c>
      <c r="T15" s="42">
        <f>IFERROR(SUMIFS('Heo thịt_Nhập dữ liệu hàng ngày'!$AD:$AD,'Heo thịt_Nhập dữ liệu hàng ngày'!$K:$K,"&gt;="&amp;$P$4,'Heo thịt_Nhập dữ liệu hàng ngày'!$K:$K,"&lt;="&amp;'Theo dõi khách hàng heo thịt'!$Q$4,'Heo thịt_Nhập dữ liệu hàng ngày'!$L:$L,'Theo dõi khách hàng heo thịt'!P15,'Heo thịt_Nhập dữ liệu hàng ngày'!$M:$M,'Theo dõi khách hàng heo thịt'!$N$5),"-")</f>
        <v>0</v>
      </c>
      <c r="U15" s="166">
        <f t="shared" si="4"/>
        <v>0</v>
      </c>
    </row>
    <row r="16" spans="2:21" hidden="1" x14ac:dyDescent="0.3">
      <c r="B16" s="32">
        <v>12</v>
      </c>
      <c r="C16" s="18">
        <f>IFERROR(Data!C15,"")</f>
        <v>0</v>
      </c>
      <c r="D16" s="19">
        <f>SUMIFS('Heo thịt_Nhập dữ liệu hàng ngày'!$U:$U,'Heo thịt_Nhập dữ liệu hàng ngày'!$M:$M,'Theo dõi khách hàng heo thịt'!C16)</f>
        <v>0</v>
      </c>
      <c r="E16" s="19">
        <f>SUMIFS('Heo thịt_Nhập dữ liệu hàng ngày'!$AB:$AB,'Heo thịt_Nhập dữ liệu hàng ngày'!$M:$M,'Theo dõi khách hàng heo thịt'!C16)</f>
        <v>0</v>
      </c>
      <c r="F16" s="19">
        <f>SUMIFS('Heo thịt_Nhập dữ liệu hàng ngày'!$AC:$AC,'Heo thịt_Nhập dữ liệu hàng ngày'!$M:$M,'Theo dõi khách hàng heo thịt'!C16)</f>
        <v>0</v>
      </c>
      <c r="G16" s="20">
        <f>SUMIFS('Heo thịt_Nhập dữ liệu hàng ngày'!$AD:$AD,'Heo thịt_Nhập dữ liệu hàng ngày'!$M:$M,'Theo dõi khách hàng heo thịt'!C16)</f>
        <v>0</v>
      </c>
      <c r="H16" s="21">
        <f t="shared" si="5"/>
        <v>0</v>
      </c>
      <c r="I16" s="59">
        <f t="shared" si="2"/>
        <v>0</v>
      </c>
      <c r="J16" t="str">
        <f t="shared" si="3"/>
        <v>-</v>
      </c>
      <c r="L16" s="242">
        <f t="shared" si="0"/>
        <v>0</v>
      </c>
      <c r="M16" s="290"/>
      <c r="N16" s="291"/>
      <c r="O16" s="292"/>
      <c r="P16" s="41" t="s">
        <v>102</v>
      </c>
      <c r="Q16" s="42">
        <f>IFERROR(SUMIFS('Heo thịt_Nhập dữ liệu hàng ngày'!$U:$U,'Heo thịt_Nhập dữ liệu hàng ngày'!$K:$K,"&gt;="&amp;$P$4,'Heo thịt_Nhập dữ liệu hàng ngày'!$K:$K,"&lt;="&amp;'Theo dõi khách hàng heo thịt'!$Q$4,'Heo thịt_Nhập dữ liệu hàng ngày'!$L:$L,'Theo dõi khách hàng heo thịt'!P16,'Heo thịt_Nhập dữ liệu hàng ngày'!$M:$M,'Theo dõi khách hàng heo thịt'!$N$5),"-")</f>
        <v>0</v>
      </c>
      <c r="R16" s="42">
        <f>IFERROR(SUMIFS('Heo thịt_Nhập dữ liệu hàng ngày'!$AB:$AB,'Heo thịt_Nhập dữ liệu hàng ngày'!$K:$K,"&gt;="&amp;$P$4,'Heo thịt_Nhập dữ liệu hàng ngày'!$K:$K,"&lt;="&amp;'Theo dõi khách hàng heo thịt'!$Q$4,'Heo thịt_Nhập dữ liệu hàng ngày'!$L:$L,'Theo dõi khách hàng heo thịt'!P16,'Heo thịt_Nhập dữ liệu hàng ngày'!$M:$M,'Theo dõi khách hàng heo thịt'!$N$5),"-")</f>
        <v>0</v>
      </c>
      <c r="S16" s="42">
        <f>IFERROR(SUMIFS('Heo thịt_Nhập dữ liệu hàng ngày'!$AC:$AC,'Heo thịt_Nhập dữ liệu hàng ngày'!$K:$K,"&gt;="&amp;$P$4,'Heo thịt_Nhập dữ liệu hàng ngày'!$K:$K,"&lt;="&amp;'Theo dõi khách hàng heo thịt'!$Q$4,'Heo thịt_Nhập dữ liệu hàng ngày'!$L:$L,'Theo dõi khách hàng heo thịt'!P16,'Heo thịt_Nhập dữ liệu hàng ngày'!$M:$M,'Theo dõi khách hàng heo thịt'!$N$5),"-")</f>
        <v>0</v>
      </c>
      <c r="T16" s="42">
        <f>IFERROR(SUMIFS('Heo thịt_Nhập dữ liệu hàng ngày'!$AD:$AD,'Heo thịt_Nhập dữ liệu hàng ngày'!$K:$K,"&gt;="&amp;$P$4,'Heo thịt_Nhập dữ liệu hàng ngày'!$K:$K,"&lt;="&amp;'Theo dõi khách hàng heo thịt'!$Q$4,'Heo thịt_Nhập dữ liệu hàng ngày'!$L:$L,'Theo dõi khách hàng heo thịt'!P16,'Heo thịt_Nhập dữ liệu hàng ngày'!$M:$M,'Theo dõi khách hàng heo thịt'!$N$5),"-")</f>
        <v>0</v>
      </c>
      <c r="U16" s="166">
        <f t="shared" si="4"/>
        <v>0</v>
      </c>
    </row>
    <row r="17" spans="2:22" hidden="1" x14ac:dyDescent="0.3">
      <c r="B17" s="31">
        <v>13</v>
      </c>
      <c r="C17" s="18">
        <f>IFERROR(Data!C16,"")</f>
        <v>0</v>
      </c>
      <c r="D17" s="19">
        <f>SUMIFS('Heo thịt_Nhập dữ liệu hàng ngày'!$U:$U,'Heo thịt_Nhập dữ liệu hàng ngày'!$M:$M,'Theo dõi khách hàng heo thịt'!C17)</f>
        <v>0</v>
      </c>
      <c r="E17" s="19">
        <f>SUMIFS('Heo thịt_Nhập dữ liệu hàng ngày'!$AB:$AB,'Heo thịt_Nhập dữ liệu hàng ngày'!$M:$M,'Theo dõi khách hàng heo thịt'!C17)</f>
        <v>0</v>
      </c>
      <c r="F17" s="19">
        <f>SUMIFS('Heo thịt_Nhập dữ liệu hàng ngày'!$AC:$AC,'Heo thịt_Nhập dữ liệu hàng ngày'!$M:$M,'Theo dõi khách hàng heo thịt'!C17)</f>
        <v>0</v>
      </c>
      <c r="G17" s="20">
        <f>SUMIFS('Heo thịt_Nhập dữ liệu hàng ngày'!$AD:$AD,'Heo thịt_Nhập dữ liệu hàng ngày'!$M:$M,'Theo dõi khách hàng heo thịt'!C17)</f>
        <v>0</v>
      </c>
      <c r="H17" s="21">
        <f t="shared" si="5"/>
        <v>0</v>
      </c>
      <c r="I17" s="59">
        <f t="shared" si="2"/>
        <v>0</v>
      </c>
      <c r="J17" t="str">
        <f t="shared" si="3"/>
        <v>-</v>
      </c>
      <c r="L17" s="242">
        <f t="shared" si="0"/>
        <v>0</v>
      </c>
      <c r="M17" s="290"/>
      <c r="N17" s="291"/>
      <c r="O17" s="292"/>
      <c r="P17" s="41" t="s">
        <v>100</v>
      </c>
      <c r="Q17" s="42">
        <f>IFERROR(SUMIFS('Heo thịt_Nhập dữ liệu hàng ngày'!$U:$U,'Heo thịt_Nhập dữ liệu hàng ngày'!$K:$K,"&gt;="&amp;$P$4,'Heo thịt_Nhập dữ liệu hàng ngày'!$K:$K,"&lt;="&amp;'Theo dõi khách hàng heo thịt'!$Q$4,'Heo thịt_Nhập dữ liệu hàng ngày'!$L:$L,'Theo dõi khách hàng heo thịt'!P17,'Heo thịt_Nhập dữ liệu hàng ngày'!$M:$M,'Theo dõi khách hàng heo thịt'!$N$5),"-")</f>
        <v>0</v>
      </c>
      <c r="R17" s="42">
        <f>IFERROR(SUMIFS('Heo thịt_Nhập dữ liệu hàng ngày'!$AB:$AB,'Heo thịt_Nhập dữ liệu hàng ngày'!$K:$K,"&gt;="&amp;$P$4,'Heo thịt_Nhập dữ liệu hàng ngày'!$K:$K,"&lt;="&amp;'Theo dõi khách hàng heo thịt'!$Q$4,'Heo thịt_Nhập dữ liệu hàng ngày'!$L:$L,'Theo dõi khách hàng heo thịt'!P17,'Heo thịt_Nhập dữ liệu hàng ngày'!$M:$M,'Theo dõi khách hàng heo thịt'!$N$5),"-")</f>
        <v>0</v>
      </c>
      <c r="S17" s="42">
        <f>IFERROR(SUMIFS('Heo thịt_Nhập dữ liệu hàng ngày'!$AC:$AC,'Heo thịt_Nhập dữ liệu hàng ngày'!$K:$K,"&gt;="&amp;$P$4,'Heo thịt_Nhập dữ liệu hàng ngày'!$K:$K,"&lt;="&amp;'Theo dõi khách hàng heo thịt'!$Q$4,'Heo thịt_Nhập dữ liệu hàng ngày'!$L:$L,'Theo dõi khách hàng heo thịt'!P17,'Heo thịt_Nhập dữ liệu hàng ngày'!$M:$M,'Theo dõi khách hàng heo thịt'!$N$5),"-")</f>
        <v>0</v>
      </c>
      <c r="T17" s="42">
        <f>IFERROR(SUMIFS('Heo thịt_Nhập dữ liệu hàng ngày'!$AD:$AD,'Heo thịt_Nhập dữ liệu hàng ngày'!$K:$K,"&gt;="&amp;$P$4,'Heo thịt_Nhập dữ liệu hàng ngày'!$K:$K,"&lt;="&amp;'Theo dõi khách hàng heo thịt'!$Q$4,'Heo thịt_Nhập dữ liệu hàng ngày'!$L:$L,'Theo dõi khách hàng heo thịt'!P17,'Heo thịt_Nhập dữ liệu hàng ngày'!$M:$M,'Theo dõi khách hàng heo thịt'!$N$5),"-")</f>
        <v>0</v>
      </c>
      <c r="U17" s="166">
        <f t="shared" si="4"/>
        <v>0</v>
      </c>
    </row>
    <row r="18" spans="2:22" x14ac:dyDescent="0.3">
      <c r="B18" s="32">
        <v>14</v>
      </c>
      <c r="C18" s="18">
        <f>IFERROR(Data!C17,"")</f>
        <v>0</v>
      </c>
      <c r="D18" s="19">
        <f>SUMIFS('Heo thịt_Nhập dữ liệu hàng ngày'!$U:$U,'Heo thịt_Nhập dữ liệu hàng ngày'!$M:$M,'Theo dõi khách hàng heo thịt'!C18)</f>
        <v>0</v>
      </c>
      <c r="E18" s="19">
        <f>SUMIFS('Heo thịt_Nhập dữ liệu hàng ngày'!$AB:$AB,'Heo thịt_Nhập dữ liệu hàng ngày'!$M:$M,'Theo dõi khách hàng heo thịt'!C18)</f>
        <v>0</v>
      </c>
      <c r="F18" s="19">
        <f>SUMIFS('Heo thịt_Nhập dữ liệu hàng ngày'!$AC:$AC,'Heo thịt_Nhập dữ liệu hàng ngày'!$M:$M,'Theo dõi khách hàng heo thịt'!C18)</f>
        <v>0</v>
      </c>
      <c r="G18" s="20">
        <f>SUMIFS('Heo thịt_Nhập dữ liệu hàng ngày'!$AD:$AD,'Heo thịt_Nhập dữ liệu hàng ngày'!$M:$M,'Theo dõi khách hàng heo thịt'!C18)</f>
        <v>0</v>
      </c>
      <c r="H18" s="21">
        <f t="shared" si="5"/>
        <v>0</v>
      </c>
      <c r="I18" s="59">
        <f t="shared" si="2"/>
        <v>0</v>
      </c>
      <c r="J18" t="str">
        <f t="shared" si="3"/>
        <v>-</v>
      </c>
      <c r="L18" s="242">
        <f t="shared" si="0"/>
        <v>0</v>
      </c>
      <c r="M18" s="290"/>
      <c r="N18" s="291"/>
      <c r="O18" s="292"/>
      <c r="P18" s="41" t="s">
        <v>103</v>
      </c>
      <c r="Q18" s="42">
        <f>IFERROR(SUMIFS('Heo thịt_Nhập dữ liệu hàng ngày'!$U:$U,'Heo thịt_Nhập dữ liệu hàng ngày'!$K:$K,"&gt;="&amp;$P$4,'Heo thịt_Nhập dữ liệu hàng ngày'!$K:$K,"&lt;="&amp;'Theo dõi khách hàng heo thịt'!$Q$4,'Heo thịt_Nhập dữ liệu hàng ngày'!$L:$L,'Theo dõi khách hàng heo thịt'!P18,'Heo thịt_Nhập dữ liệu hàng ngày'!$M:$M,'Theo dõi khách hàng heo thịt'!$N$5),"-")</f>
        <v>0</v>
      </c>
      <c r="R18" s="42">
        <f>IFERROR(SUMIFS('Heo thịt_Nhập dữ liệu hàng ngày'!$AB:$AB,'Heo thịt_Nhập dữ liệu hàng ngày'!$K:$K,"&gt;="&amp;$P$4,'Heo thịt_Nhập dữ liệu hàng ngày'!$K:$K,"&lt;="&amp;'Theo dõi khách hàng heo thịt'!$Q$4,'Heo thịt_Nhập dữ liệu hàng ngày'!$L:$L,'Theo dõi khách hàng heo thịt'!P18,'Heo thịt_Nhập dữ liệu hàng ngày'!$M:$M,'Theo dõi khách hàng heo thịt'!$N$5),"-")</f>
        <v>0</v>
      </c>
      <c r="S18" s="42">
        <f>IFERROR(SUMIFS('Heo thịt_Nhập dữ liệu hàng ngày'!$AC:$AC,'Heo thịt_Nhập dữ liệu hàng ngày'!$K:$K,"&gt;="&amp;$P$4,'Heo thịt_Nhập dữ liệu hàng ngày'!$K:$K,"&lt;="&amp;'Theo dõi khách hàng heo thịt'!$Q$4,'Heo thịt_Nhập dữ liệu hàng ngày'!$L:$L,'Theo dõi khách hàng heo thịt'!P18,'Heo thịt_Nhập dữ liệu hàng ngày'!$M:$M,'Theo dõi khách hàng heo thịt'!$N$5),"-")</f>
        <v>0</v>
      </c>
      <c r="T18" s="42">
        <f>IFERROR(SUMIFS('Heo thịt_Nhập dữ liệu hàng ngày'!$AD:$AD,'Heo thịt_Nhập dữ liệu hàng ngày'!$K:$K,"&gt;="&amp;$P$4,'Heo thịt_Nhập dữ liệu hàng ngày'!$K:$K,"&lt;="&amp;'Theo dõi khách hàng heo thịt'!$Q$4,'Heo thịt_Nhập dữ liệu hàng ngày'!$L:$L,'Theo dõi khách hàng heo thịt'!P18,'Heo thịt_Nhập dữ liệu hàng ngày'!$M:$M,'Theo dõi khách hàng heo thịt'!$N$5),"-")</f>
        <v>0</v>
      </c>
      <c r="U18" s="166">
        <f t="shared" si="4"/>
        <v>0</v>
      </c>
    </row>
    <row r="19" spans="2:22" ht="16.5" hidden="1" customHeight="1" x14ac:dyDescent="0.3">
      <c r="B19" s="31">
        <v>15</v>
      </c>
      <c r="C19" s="18">
        <f>IFERROR(Data!C18,"")</f>
        <v>0</v>
      </c>
      <c r="D19" s="19">
        <f>SUMIFS('Heo thịt_Nhập dữ liệu hàng ngày'!$U:$U,'Heo thịt_Nhập dữ liệu hàng ngày'!$M:$M,'Theo dõi khách hàng heo thịt'!C19)</f>
        <v>0</v>
      </c>
      <c r="E19" s="19">
        <f>SUMIFS('Heo thịt_Nhập dữ liệu hàng ngày'!$AB:$AB,'Heo thịt_Nhập dữ liệu hàng ngày'!$M:$M,'Theo dõi khách hàng heo thịt'!C19)</f>
        <v>0</v>
      </c>
      <c r="F19" s="19">
        <f>SUMIFS('Heo thịt_Nhập dữ liệu hàng ngày'!$AC:$AC,'Heo thịt_Nhập dữ liệu hàng ngày'!$M:$M,'Theo dõi khách hàng heo thịt'!C19)</f>
        <v>0</v>
      </c>
      <c r="G19" s="20">
        <f>SUMIFS('Heo thịt_Nhập dữ liệu hàng ngày'!$AD:$AD,'Heo thịt_Nhập dữ liệu hàng ngày'!$M:$M,'Theo dõi khách hàng heo thịt'!C19)</f>
        <v>0</v>
      </c>
      <c r="H19" s="21">
        <f t="shared" si="5"/>
        <v>0</v>
      </c>
      <c r="I19" s="59">
        <f t="shared" si="2"/>
        <v>0</v>
      </c>
      <c r="J19" t="str">
        <f t="shared" si="3"/>
        <v>-</v>
      </c>
      <c r="L19" s="242">
        <f t="shared" si="0"/>
        <v>0</v>
      </c>
      <c r="M19" s="290"/>
      <c r="N19" s="291"/>
      <c r="O19" s="292"/>
      <c r="P19" s="41" t="s">
        <v>128</v>
      </c>
      <c r="Q19" s="42">
        <f>IFERROR(SUMIFS('Heo thịt_Nhập dữ liệu hàng ngày'!$U:$U,'Heo thịt_Nhập dữ liệu hàng ngày'!$K:$K,"&gt;="&amp;$P$4,'Heo thịt_Nhập dữ liệu hàng ngày'!$K:$K,"&lt;="&amp;'Theo dõi khách hàng heo thịt'!$Q$4,'Heo thịt_Nhập dữ liệu hàng ngày'!$L:$L,'Theo dõi khách hàng heo thịt'!P19,'Heo thịt_Nhập dữ liệu hàng ngày'!$M:$M,'Theo dõi khách hàng heo thịt'!$N$5),"-")</f>
        <v>0</v>
      </c>
      <c r="R19" s="42">
        <f>IFERROR(SUMIFS('Heo thịt_Nhập dữ liệu hàng ngày'!$AB:$AB,'Heo thịt_Nhập dữ liệu hàng ngày'!$K:$K,"&gt;="&amp;$P$4,'Heo thịt_Nhập dữ liệu hàng ngày'!$K:$K,"&lt;="&amp;'Theo dõi khách hàng heo thịt'!$Q$4,'Heo thịt_Nhập dữ liệu hàng ngày'!$L:$L,'Theo dõi khách hàng heo thịt'!P19,'Heo thịt_Nhập dữ liệu hàng ngày'!$M:$M,'Theo dõi khách hàng heo thịt'!$N$5),"-")</f>
        <v>0</v>
      </c>
      <c r="S19" s="42">
        <f>IFERROR(SUMIFS('Heo thịt_Nhập dữ liệu hàng ngày'!$AC:$AC,'Heo thịt_Nhập dữ liệu hàng ngày'!$K:$K,"&gt;="&amp;$P$4,'Heo thịt_Nhập dữ liệu hàng ngày'!$K:$K,"&lt;="&amp;'Theo dõi khách hàng heo thịt'!$Q$4,'Heo thịt_Nhập dữ liệu hàng ngày'!$L:$L,'Theo dõi khách hàng heo thịt'!P19,'Heo thịt_Nhập dữ liệu hàng ngày'!$M:$M,'Theo dõi khách hàng heo thịt'!$N$5),"-")</f>
        <v>0</v>
      </c>
      <c r="T19" s="42">
        <f>IFERROR(SUMIFS('Heo thịt_Nhập dữ liệu hàng ngày'!$AD:$AD,'Heo thịt_Nhập dữ liệu hàng ngày'!$K:$K,"&gt;="&amp;$P$4,'Heo thịt_Nhập dữ liệu hàng ngày'!$K:$K,"&lt;="&amp;'Theo dõi khách hàng heo thịt'!$Q$4,'Heo thịt_Nhập dữ liệu hàng ngày'!$L:$L,'Theo dõi khách hàng heo thịt'!P19,'Heo thịt_Nhập dữ liệu hàng ngày'!$M:$M,'Theo dõi khách hàng heo thịt'!$N$5),"-")</f>
        <v>0</v>
      </c>
      <c r="U19" s="166">
        <f t="shared" si="4"/>
        <v>0</v>
      </c>
    </row>
    <row r="20" spans="2:22" ht="14.4" hidden="1" customHeight="1" x14ac:dyDescent="0.3">
      <c r="B20" s="32">
        <v>16</v>
      </c>
      <c r="C20" s="18">
        <f>IFERROR(Data!C19,"")</f>
        <v>0</v>
      </c>
      <c r="D20" s="19">
        <f>SUMIFS('Heo thịt_Nhập dữ liệu hàng ngày'!$U:$U,'Heo thịt_Nhập dữ liệu hàng ngày'!$M:$M,'Theo dõi khách hàng heo thịt'!C20)</f>
        <v>0</v>
      </c>
      <c r="E20" s="19">
        <f>SUMIFS('Heo thịt_Nhập dữ liệu hàng ngày'!$AB:$AB,'Heo thịt_Nhập dữ liệu hàng ngày'!$M:$M,'Theo dõi khách hàng heo thịt'!C20)</f>
        <v>0</v>
      </c>
      <c r="F20" s="19">
        <f>SUMIFS('Heo thịt_Nhập dữ liệu hàng ngày'!$AC:$AC,'Heo thịt_Nhập dữ liệu hàng ngày'!$M:$M,'Theo dõi khách hàng heo thịt'!C20)</f>
        <v>0</v>
      </c>
      <c r="G20" s="20">
        <f>SUMIFS('Heo thịt_Nhập dữ liệu hàng ngày'!$AD:$AD,'Heo thịt_Nhập dữ liệu hàng ngày'!$M:$M,'Theo dõi khách hàng heo thịt'!C20)</f>
        <v>0</v>
      </c>
      <c r="H20" s="21">
        <f t="shared" si="5"/>
        <v>0</v>
      </c>
      <c r="I20" s="59">
        <f t="shared" si="2"/>
        <v>0</v>
      </c>
      <c r="J20" t="str">
        <f t="shared" si="3"/>
        <v>-</v>
      </c>
      <c r="L20" s="242">
        <f t="shared" si="0"/>
        <v>0</v>
      </c>
      <c r="M20" s="290"/>
      <c r="N20" s="291"/>
      <c r="O20" s="292"/>
      <c r="P20" s="41" t="s">
        <v>129</v>
      </c>
      <c r="Q20" s="42">
        <f>IFERROR(SUMIFS('Heo thịt_Nhập dữ liệu hàng ngày'!$U:$U,'Heo thịt_Nhập dữ liệu hàng ngày'!$K:$K,"&gt;="&amp;$P$4,'Heo thịt_Nhập dữ liệu hàng ngày'!$K:$K,"&lt;="&amp;'Theo dõi khách hàng heo thịt'!$Q$4,'Heo thịt_Nhập dữ liệu hàng ngày'!$L:$L,'Theo dõi khách hàng heo thịt'!P20,'Heo thịt_Nhập dữ liệu hàng ngày'!$M:$M,'Theo dõi khách hàng heo thịt'!$N$5),"-")</f>
        <v>0</v>
      </c>
      <c r="R20" s="42">
        <f>IFERROR(SUMIFS('Heo thịt_Nhập dữ liệu hàng ngày'!$AB:$AB,'Heo thịt_Nhập dữ liệu hàng ngày'!$K:$K,"&gt;="&amp;$P$4,'Heo thịt_Nhập dữ liệu hàng ngày'!$K:$K,"&lt;="&amp;'Theo dõi khách hàng heo thịt'!$Q$4,'Heo thịt_Nhập dữ liệu hàng ngày'!$L:$L,'Theo dõi khách hàng heo thịt'!P20,'Heo thịt_Nhập dữ liệu hàng ngày'!$M:$M,'Theo dõi khách hàng heo thịt'!$N$5),"-")</f>
        <v>0</v>
      </c>
      <c r="S20" s="42">
        <f>IFERROR(SUMIFS('Heo thịt_Nhập dữ liệu hàng ngày'!$AC:$AC,'Heo thịt_Nhập dữ liệu hàng ngày'!$K:$K,"&gt;="&amp;$P$4,'Heo thịt_Nhập dữ liệu hàng ngày'!$K:$K,"&lt;="&amp;'Theo dõi khách hàng heo thịt'!$Q$4,'Heo thịt_Nhập dữ liệu hàng ngày'!$L:$L,'Theo dõi khách hàng heo thịt'!P20,'Heo thịt_Nhập dữ liệu hàng ngày'!$M:$M,'Theo dõi khách hàng heo thịt'!$N$5),"-")</f>
        <v>0</v>
      </c>
      <c r="T20" s="42">
        <f>IFERROR(SUMIFS('Heo thịt_Nhập dữ liệu hàng ngày'!$AD:$AD,'Heo thịt_Nhập dữ liệu hàng ngày'!$K:$K,"&gt;="&amp;$P$4,'Heo thịt_Nhập dữ liệu hàng ngày'!$K:$K,"&lt;="&amp;'Theo dõi khách hàng heo thịt'!$Q$4,'Heo thịt_Nhập dữ liệu hàng ngày'!$L:$L,'Theo dõi khách hàng heo thịt'!P20,'Heo thịt_Nhập dữ liệu hàng ngày'!$M:$M,'Theo dõi khách hàng heo thịt'!$N$5),"-")</f>
        <v>0</v>
      </c>
      <c r="U20" s="166">
        <f t="shared" si="4"/>
        <v>0</v>
      </c>
    </row>
    <row r="21" spans="2:22" hidden="1" x14ac:dyDescent="0.3">
      <c r="B21" s="31">
        <v>17</v>
      </c>
      <c r="C21" s="18">
        <f>IFERROR(Data!C20,"")</f>
        <v>0</v>
      </c>
      <c r="D21" s="19">
        <f>SUMIFS('Heo thịt_Nhập dữ liệu hàng ngày'!$U:$U,'Heo thịt_Nhập dữ liệu hàng ngày'!$M:$M,'Theo dõi khách hàng heo thịt'!C21)</f>
        <v>0</v>
      </c>
      <c r="E21" s="19">
        <f>SUMIFS('Heo thịt_Nhập dữ liệu hàng ngày'!$AB:$AB,'Heo thịt_Nhập dữ liệu hàng ngày'!$M:$M,'Theo dõi khách hàng heo thịt'!C21)</f>
        <v>0</v>
      </c>
      <c r="F21" s="19">
        <f>SUMIFS('Heo thịt_Nhập dữ liệu hàng ngày'!$AC:$AC,'Heo thịt_Nhập dữ liệu hàng ngày'!$M:$M,'Theo dõi khách hàng heo thịt'!C21)</f>
        <v>0</v>
      </c>
      <c r="G21" s="20">
        <f>SUMIFS('Heo thịt_Nhập dữ liệu hàng ngày'!$AD:$AD,'Heo thịt_Nhập dữ liệu hàng ngày'!$M:$M,'Theo dõi khách hàng heo thịt'!C21)</f>
        <v>0</v>
      </c>
      <c r="H21" s="21">
        <f>+G21-F21</f>
        <v>0</v>
      </c>
      <c r="I21" s="59">
        <f t="shared" si="2"/>
        <v>0</v>
      </c>
      <c r="J21" t="str">
        <f t="shared" si="3"/>
        <v>-</v>
      </c>
      <c r="M21" s="290"/>
      <c r="N21" s="291"/>
      <c r="O21" s="292"/>
      <c r="P21" s="41" t="s">
        <v>130</v>
      </c>
      <c r="Q21" s="42">
        <f>IFERROR(SUMIFS('Heo thịt_Nhập dữ liệu hàng ngày'!$U:$U,'Heo thịt_Nhập dữ liệu hàng ngày'!$K:$K,"&gt;="&amp;$P$4,'Heo thịt_Nhập dữ liệu hàng ngày'!$K:$K,"&lt;="&amp;'Theo dõi khách hàng heo thịt'!$Q$4,'Heo thịt_Nhập dữ liệu hàng ngày'!$L:$L,'Theo dõi khách hàng heo thịt'!P21,'Heo thịt_Nhập dữ liệu hàng ngày'!$M:$M,'Theo dõi khách hàng heo thịt'!$N$5),"-")</f>
        <v>0</v>
      </c>
      <c r="R21" s="42">
        <f>IFERROR(SUMIFS('Heo thịt_Nhập dữ liệu hàng ngày'!$AB:$AB,'Heo thịt_Nhập dữ liệu hàng ngày'!$K:$K,"&gt;="&amp;$P$4,'Heo thịt_Nhập dữ liệu hàng ngày'!$K:$K,"&lt;="&amp;'Theo dõi khách hàng heo thịt'!$Q$4,'Heo thịt_Nhập dữ liệu hàng ngày'!$L:$L,'Theo dõi khách hàng heo thịt'!P21,'Heo thịt_Nhập dữ liệu hàng ngày'!$M:$M,'Theo dõi khách hàng heo thịt'!$N$5),"-")</f>
        <v>0</v>
      </c>
      <c r="S21" s="42">
        <f>IFERROR(SUMIFS('Heo thịt_Nhập dữ liệu hàng ngày'!$AC:$AC,'Heo thịt_Nhập dữ liệu hàng ngày'!$K:$K,"&gt;="&amp;$P$4,'Heo thịt_Nhập dữ liệu hàng ngày'!$K:$K,"&lt;="&amp;'Theo dõi khách hàng heo thịt'!$Q$4,'Heo thịt_Nhập dữ liệu hàng ngày'!$L:$L,'Theo dõi khách hàng heo thịt'!P21,'Heo thịt_Nhập dữ liệu hàng ngày'!$M:$M,'Theo dõi khách hàng heo thịt'!$N$5),"-")</f>
        <v>0</v>
      </c>
      <c r="T21" s="42">
        <f>IFERROR(SUMIFS('Heo thịt_Nhập dữ liệu hàng ngày'!$AD:$AD,'Heo thịt_Nhập dữ liệu hàng ngày'!$K:$K,"&gt;="&amp;$P$4,'Heo thịt_Nhập dữ liệu hàng ngày'!$K:$K,"&lt;="&amp;'Theo dõi khách hàng heo thịt'!$Q$4,'Heo thịt_Nhập dữ liệu hàng ngày'!$L:$L,'Theo dõi khách hàng heo thịt'!P21,'Heo thịt_Nhập dữ liệu hàng ngày'!$M:$M,'Theo dõi khách hàng heo thịt'!$N$5),"-")</f>
        <v>0</v>
      </c>
      <c r="U21" s="166">
        <f t="shared" si="4"/>
        <v>0</v>
      </c>
      <c r="V21" s="11"/>
    </row>
    <row r="22" spans="2:22" hidden="1" x14ac:dyDescent="0.3">
      <c r="B22" s="32">
        <v>18</v>
      </c>
      <c r="C22" s="18">
        <f>IFERROR(Data!C21,"")</f>
        <v>0</v>
      </c>
      <c r="D22" s="19">
        <f>SUMIFS('Heo thịt_Nhập dữ liệu hàng ngày'!$U:$U,'Heo thịt_Nhập dữ liệu hàng ngày'!$M:$M,'Theo dõi khách hàng heo thịt'!C22)</f>
        <v>0</v>
      </c>
      <c r="E22" s="19">
        <f>SUMIFS('Heo thịt_Nhập dữ liệu hàng ngày'!$AB:$AB,'Heo thịt_Nhập dữ liệu hàng ngày'!$M:$M,'Theo dõi khách hàng heo thịt'!C22)</f>
        <v>0</v>
      </c>
      <c r="F22" s="19">
        <f>SUMIFS('Heo thịt_Nhập dữ liệu hàng ngày'!$AC:$AC,'Heo thịt_Nhập dữ liệu hàng ngày'!$M:$M,'Theo dõi khách hàng heo thịt'!C22)</f>
        <v>0</v>
      </c>
      <c r="G22" s="20">
        <f>SUMIFS('Heo thịt_Nhập dữ liệu hàng ngày'!$AD:$AD,'Heo thịt_Nhập dữ liệu hàng ngày'!$M:$M,'Theo dõi khách hàng heo thịt'!C22)</f>
        <v>0</v>
      </c>
      <c r="H22" s="21">
        <f t="shared" si="5"/>
        <v>0</v>
      </c>
      <c r="I22" s="59">
        <f t="shared" si="2"/>
        <v>0</v>
      </c>
      <c r="J22" t="str">
        <f t="shared" si="3"/>
        <v>-</v>
      </c>
      <c r="L22" s="242">
        <f t="shared" ref="L22:L68" si="6">+H22*(-1)</f>
        <v>0</v>
      </c>
      <c r="M22" s="290"/>
      <c r="N22" s="291"/>
      <c r="O22" s="292"/>
      <c r="P22" s="41" t="s">
        <v>131</v>
      </c>
      <c r="Q22" s="42">
        <f>IFERROR(SUMIFS('Heo thịt_Nhập dữ liệu hàng ngày'!$U:$U,'Heo thịt_Nhập dữ liệu hàng ngày'!$K:$K,"&gt;="&amp;$P$4,'Heo thịt_Nhập dữ liệu hàng ngày'!$K:$K,"&lt;="&amp;'Theo dõi khách hàng heo thịt'!$Q$4,'Heo thịt_Nhập dữ liệu hàng ngày'!$L:$L,'Theo dõi khách hàng heo thịt'!P22,'Heo thịt_Nhập dữ liệu hàng ngày'!$M:$M,'Theo dõi khách hàng heo thịt'!$N$5),"-")</f>
        <v>0</v>
      </c>
      <c r="R22" s="42">
        <f>IFERROR(SUMIFS('Heo thịt_Nhập dữ liệu hàng ngày'!$AB:$AB,'Heo thịt_Nhập dữ liệu hàng ngày'!$K:$K,"&gt;="&amp;$P$4,'Heo thịt_Nhập dữ liệu hàng ngày'!$K:$K,"&lt;="&amp;'Theo dõi khách hàng heo thịt'!$Q$4,'Heo thịt_Nhập dữ liệu hàng ngày'!$L:$L,'Theo dõi khách hàng heo thịt'!P22,'Heo thịt_Nhập dữ liệu hàng ngày'!$M:$M,'Theo dõi khách hàng heo thịt'!$N$5),"-")</f>
        <v>0</v>
      </c>
      <c r="S22" s="42">
        <f>IFERROR(SUMIFS('Heo thịt_Nhập dữ liệu hàng ngày'!$AC:$AC,'Heo thịt_Nhập dữ liệu hàng ngày'!$K:$K,"&gt;="&amp;$P$4,'Heo thịt_Nhập dữ liệu hàng ngày'!$K:$K,"&lt;="&amp;'Theo dõi khách hàng heo thịt'!$Q$4,'Heo thịt_Nhập dữ liệu hàng ngày'!$L:$L,'Theo dõi khách hàng heo thịt'!P22,'Heo thịt_Nhập dữ liệu hàng ngày'!$M:$M,'Theo dõi khách hàng heo thịt'!$N$5),"-")</f>
        <v>0</v>
      </c>
      <c r="T22" s="42">
        <f>IFERROR(SUMIFS('Heo thịt_Nhập dữ liệu hàng ngày'!$AD:$AD,'Heo thịt_Nhập dữ liệu hàng ngày'!$K:$K,"&gt;="&amp;$P$4,'Heo thịt_Nhập dữ liệu hàng ngày'!$K:$K,"&lt;="&amp;'Theo dõi khách hàng heo thịt'!$Q$4,'Heo thịt_Nhập dữ liệu hàng ngày'!$L:$L,'Theo dõi khách hàng heo thịt'!P22,'Heo thịt_Nhập dữ liệu hàng ngày'!$M:$M,'Theo dõi khách hàng heo thịt'!$N$5),"-")</f>
        <v>0</v>
      </c>
      <c r="U22" s="166">
        <f t="shared" si="4"/>
        <v>0</v>
      </c>
      <c r="V22" s="11"/>
    </row>
    <row r="23" spans="2:22" ht="28.8" x14ac:dyDescent="0.3">
      <c r="B23" s="31">
        <v>19</v>
      </c>
      <c r="C23" s="18">
        <f>IFERROR(Data!C22,"")</f>
        <v>0</v>
      </c>
      <c r="D23" s="19">
        <f>SUMIFS('Heo thịt_Nhập dữ liệu hàng ngày'!$U:$U,'Heo thịt_Nhập dữ liệu hàng ngày'!$M:$M,'Theo dõi khách hàng heo thịt'!C23)</f>
        <v>0</v>
      </c>
      <c r="E23" s="19">
        <f>SUMIFS('Heo thịt_Nhập dữ liệu hàng ngày'!$AB:$AB,'Heo thịt_Nhập dữ liệu hàng ngày'!$M:$M,'Theo dõi khách hàng heo thịt'!C23)</f>
        <v>0</v>
      </c>
      <c r="F23" s="19">
        <f>SUMIFS('Heo thịt_Nhập dữ liệu hàng ngày'!$AC:$AC,'Heo thịt_Nhập dữ liệu hàng ngày'!$M:$M,'Theo dõi khách hàng heo thịt'!C23)</f>
        <v>0</v>
      </c>
      <c r="G23" s="20">
        <f>SUMIFS('Heo thịt_Nhập dữ liệu hàng ngày'!$AD:$AD,'Heo thịt_Nhập dữ liệu hàng ngày'!$M:$M,'Theo dõi khách hàng heo thịt'!C23)</f>
        <v>0</v>
      </c>
      <c r="H23" s="21">
        <f t="shared" si="5"/>
        <v>0</v>
      </c>
      <c r="I23" s="59">
        <f t="shared" si="2"/>
        <v>0</v>
      </c>
      <c r="J23" t="str">
        <f t="shared" si="3"/>
        <v>-</v>
      </c>
      <c r="K23" s="270" t="s">
        <v>165</v>
      </c>
      <c r="L23" s="242">
        <f t="shared" si="6"/>
        <v>0</v>
      </c>
      <c r="M23" s="290"/>
      <c r="N23" s="291"/>
      <c r="O23" s="292"/>
      <c r="P23" s="41" t="s">
        <v>132</v>
      </c>
      <c r="Q23" s="42">
        <f>IFERROR(SUMIFS('Heo thịt_Nhập dữ liệu hàng ngày'!$U:$U,'Heo thịt_Nhập dữ liệu hàng ngày'!$K:$K,"&gt;="&amp;$P$4,'Heo thịt_Nhập dữ liệu hàng ngày'!$K:$K,"&lt;="&amp;'Theo dõi khách hàng heo thịt'!$Q$4,'Heo thịt_Nhập dữ liệu hàng ngày'!$L:$L,'Theo dõi khách hàng heo thịt'!P23,'Heo thịt_Nhập dữ liệu hàng ngày'!$M:$M,'Theo dõi khách hàng heo thịt'!$N$5),"-")</f>
        <v>0</v>
      </c>
      <c r="R23" s="42">
        <f>IFERROR(SUMIFS('Heo thịt_Nhập dữ liệu hàng ngày'!$AB:$AB,'Heo thịt_Nhập dữ liệu hàng ngày'!$K:$K,"&gt;="&amp;$P$4,'Heo thịt_Nhập dữ liệu hàng ngày'!$K:$K,"&lt;="&amp;'Theo dõi khách hàng heo thịt'!$Q$4,'Heo thịt_Nhập dữ liệu hàng ngày'!$L:$L,'Theo dõi khách hàng heo thịt'!P23,'Heo thịt_Nhập dữ liệu hàng ngày'!$M:$M,'Theo dõi khách hàng heo thịt'!$N$5),"-")</f>
        <v>0</v>
      </c>
      <c r="S23" s="42">
        <f>IFERROR(SUMIFS('Heo thịt_Nhập dữ liệu hàng ngày'!$AC:$AC,'Heo thịt_Nhập dữ liệu hàng ngày'!$K:$K,"&gt;="&amp;$P$4,'Heo thịt_Nhập dữ liệu hàng ngày'!$K:$K,"&lt;="&amp;'Theo dõi khách hàng heo thịt'!$Q$4,'Heo thịt_Nhập dữ liệu hàng ngày'!$L:$L,'Theo dõi khách hàng heo thịt'!P23,'Heo thịt_Nhập dữ liệu hàng ngày'!$M:$M,'Theo dõi khách hàng heo thịt'!$N$5),"-")</f>
        <v>0</v>
      </c>
      <c r="T23" s="42">
        <f>IFERROR(SUMIFS('Heo thịt_Nhập dữ liệu hàng ngày'!$AD:$AD,'Heo thịt_Nhập dữ liệu hàng ngày'!$K:$K,"&gt;="&amp;$P$4,'Heo thịt_Nhập dữ liệu hàng ngày'!$K:$K,"&lt;="&amp;'Theo dõi khách hàng heo thịt'!$Q$4,'Heo thịt_Nhập dữ liệu hàng ngày'!$L:$L,'Theo dõi khách hàng heo thịt'!P23,'Heo thịt_Nhập dữ liệu hàng ngày'!$M:$M,'Theo dõi khách hàng heo thịt'!$N$5),"-")</f>
        <v>0</v>
      </c>
      <c r="U23" s="166">
        <f t="shared" si="4"/>
        <v>0</v>
      </c>
      <c r="V23" s="11"/>
    </row>
    <row r="24" spans="2:22" x14ac:dyDescent="0.3">
      <c r="B24" s="32">
        <v>20</v>
      </c>
      <c r="C24" s="18">
        <f>IFERROR(Data!C23,"")</f>
        <v>0</v>
      </c>
      <c r="D24" s="19">
        <f>SUMIFS('Heo thịt_Nhập dữ liệu hàng ngày'!$U:$U,'Heo thịt_Nhập dữ liệu hàng ngày'!$M:$M,'Theo dõi khách hàng heo thịt'!C24)</f>
        <v>0</v>
      </c>
      <c r="E24" s="19">
        <f>SUMIFS('Heo thịt_Nhập dữ liệu hàng ngày'!$AB:$AB,'Heo thịt_Nhập dữ liệu hàng ngày'!$M:$M,'Theo dõi khách hàng heo thịt'!C24)</f>
        <v>0</v>
      </c>
      <c r="F24" s="19">
        <f>SUMIFS('Heo thịt_Nhập dữ liệu hàng ngày'!$AC:$AC,'Heo thịt_Nhập dữ liệu hàng ngày'!$M:$M,'Theo dõi khách hàng heo thịt'!C24)</f>
        <v>0</v>
      </c>
      <c r="G24" s="20">
        <f>SUMIFS('Heo thịt_Nhập dữ liệu hàng ngày'!$AD:$AD,'Heo thịt_Nhập dữ liệu hàng ngày'!$M:$M,'Theo dõi khách hàng heo thịt'!C24)</f>
        <v>0</v>
      </c>
      <c r="H24" s="21">
        <f t="shared" si="5"/>
        <v>0</v>
      </c>
      <c r="I24" s="59">
        <f t="shared" si="2"/>
        <v>0</v>
      </c>
      <c r="J24" t="str">
        <f t="shared" si="3"/>
        <v>-</v>
      </c>
      <c r="L24" s="242">
        <f t="shared" si="6"/>
        <v>0</v>
      </c>
      <c r="M24" s="290"/>
      <c r="N24" s="291"/>
      <c r="O24" s="292"/>
      <c r="P24" s="41" t="s">
        <v>120</v>
      </c>
      <c r="Q24" s="42">
        <f>IFERROR(SUMIFS('Heo thịt_Nhập dữ liệu hàng ngày'!$U:$U,'Heo thịt_Nhập dữ liệu hàng ngày'!$K:$K,"&gt;="&amp;$P$4,'Heo thịt_Nhập dữ liệu hàng ngày'!$K:$K,"&lt;="&amp;'Theo dõi khách hàng heo thịt'!$Q$4,'Heo thịt_Nhập dữ liệu hàng ngày'!$L:$L,'Theo dõi khách hàng heo thịt'!P24,'Heo thịt_Nhập dữ liệu hàng ngày'!$M:$M,'Theo dõi khách hàng heo thịt'!$N$5),"-")</f>
        <v>0</v>
      </c>
      <c r="R24" s="42">
        <f>IFERROR(SUMIFS('Heo thịt_Nhập dữ liệu hàng ngày'!$AB:$AB,'Heo thịt_Nhập dữ liệu hàng ngày'!$K:$K,"&gt;="&amp;$P$4,'Heo thịt_Nhập dữ liệu hàng ngày'!$K:$K,"&lt;="&amp;'Theo dõi khách hàng heo thịt'!$Q$4,'Heo thịt_Nhập dữ liệu hàng ngày'!$L:$L,'Theo dõi khách hàng heo thịt'!P24,'Heo thịt_Nhập dữ liệu hàng ngày'!$M:$M,'Theo dõi khách hàng heo thịt'!$N$5),"-")</f>
        <v>0</v>
      </c>
      <c r="S24" s="42">
        <f>IFERROR(SUMIFS('Heo thịt_Nhập dữ liệu hàng ngày'!$AC:$AC,'Heo thịt_Nhập dữ liệu hàng ngày'!$K:$K,"&gt;="&amp;$P$4,'Heo thịt_Nhập dữ liệu hàng ngày'!$K:$K,"&lt;="&amp;'Theo dõi khách hàng heo thịt'!$Q$4,'Heo thịt_Nhập dữ liệu hàng ngày'!$L:$L,'Theo dõi khách hàng heo thịt'!P24,'Heo thịt_Nhập dữ liệu hàng ngày'!$M:$M,'Theo dõi khách hàng heo thịt'!$N$5),"-")</f>
        <v>0</v>
      </c>
      <c r="T24" s="42">
        <f>IFERROR(SUMIFS('Heo thịt_Nhập dữ liệu hàng ngày'!$AD:$AD,'Heo thịt_Nhập dữ liệu hàng ngày'!$K:$K,"&gt;="&amp;$P$4,'Heo thịt_Nhập dữ liệu hàng ngày'!$K:$K,"&lt;="&amp;'Theo dõi khách hàng heo thịt'!$Q$4,'Heo thịt_Nhập dữ liệu hàng ngày'!$L:$L,'Theo dõi khách hàng heo thịt'!P24,'Heo thịt_Nhập dữ liệu hàng ngày'!$M:$M,'Theo dõi khách hàng heo thịt'!$N$5),"-")</f>
        <v>0</v>
      </c>
      <c r="U24" s="166">
        <f t="shared" si="4"/>
        <v>0</v>
      </c>
      <c r="V24" s="11"/>
    </row>
    <row r="25" spans="2:22" hidden="1" x14ac:dyDescent="0.3">
      <c r="B25" s="31">
        <v>21</v>
      </c>
      <c r="C25" s="18">
        <f>IFERROR(Data!C24,"")</f>
        <v>0</v>
      </c>
      <c r="D25" s="19">
        <f>SUMIFS('Heo thịt_Nhập dữ liệu hàng ngày'!$U:$U,'Heo thịt_Nhập dữ liệu hàng ngày'!$M:$M,'Theo dõi khách hàng heo thịt'!C25)</f>
        <v>0</v>
      </c>
      <c r="E25" s="19">
        <f>SUMIFS('Heo thịt_Nhập dữ liệu hàng ngày'!$AB:$AB,'Heo thịt_Nhập dữ liệu hàng ngày'!$M:$M,'Theo dõi khách hàng heo thịt'!C25)</f>
        <v>0</v>
      </c>
      <c r="F25" s="19">
        <f>SUMIFS('Heo thịt_Nhập dữ liệu hàng ngày'!$AC:$AC,'Heo thịt_Nhập dữ liệu hàng ngày'!$M:$M,'Theo dõi khách hàng heo thịt'!C25)</f>
        <v>0</v>
      </c>
      <c r="G25" s="20">
        <f>SUMIFS('Heo thịt_Nhập dữ liệu hàng ngày'!$AD:$AD,'Heo thịt_Nhập dữ liệu hàng ngày'!$M:$M,'Theo dõi khách hàng heo thịt'!C25)</f>
        <v>0</v>
      </c>
      <c r="H25" s="21">
        <f t="shared" si="5"/>
        <v>0</v>
      </c>
      <c r="I25" s="59">
        <f t="shared" si="2"/>
        <v>0</v>
      </c>
      <c r="J25" t="str">
        <f t="shared" si="3"/>
        <v>-</v>
      </c>
      <c r="L25" s="242">
        <f t="shared" si="6"/>
        <v>0</v>
      </c>
      <c r="M25" s="290"/>
      <c r="N25" s="291"/>
      <c r="O25" s="292"/>
      <c r="P25" s="41" t="s">
        <v>137</v>
      </c>
      <c r="Q25" s="42">
        <f>IFERROR(SUMIFS('Heo thịt_Nhập dữ liệu hàng ngày'!$U:$U,'Heo thịt_Nhập dữ liệu hàng ngày'!$K:$K,"&gt;="&amp;$P$4,'Heo thịt_Nhập dữ liệu hàng ngày'!$K:$K,"&lt;="&amp;'Theo dõi khách hàng heo thịt'!$Q$4,'Heo thịt_Nhập dữ liệu hàng ngày'!$L:$L,'Theo dõi khách hàng heo thịt'!P25,'Heo thịt_Nhập dữ liệu hàng ngày'!$M:$M,'Theo dõi khách hàng heo thịt'!$N$5),"-")</f>
        <v>0</v>
      </c>
      <c r="R25" s="42">
        <f>IFERROR(SUMIFS('Heo thịt_Nhập dữ liệu hàng ngày'!$AB:$AB,'Heo thịt_Nhập dữ liệu hàng ngày'!$K:$K,"&gt;="&amp;$P$4,'Heo thịt_Nhập dữ liệu hàng ngày'!$K:$K,"&lt;="&amp;'Theo dõi khách hàng heo thịt'!$Q$4,'Heo thịt_Nhập dữ liệu hàng ngày'!$L:$L,'Theo dõi khách hàng heo thịt'!P25,'Heo thịt_Nhập dữ liệu hàng ngày'!$M:$M,'Theo dõi khách hàng heo thịt'!$N$5),"-")</f>
        <v>0</v>
      </c>
      <c r="S25" s="42">
        <f>IFERROR(SUMIFS('Heo thịt_Nhập dữ liệu hàng ngày'!$AC:$AC,'Heo thịt_Nhập dữ liệu hàng ngày'!$K:$K,"&gt;="&amp;$P$4,'Heo thịt_Nhập dữ liệu hàng ngày'!$K:$K,"&lt;="&amp;'Theo dõi khách hàng heo thịt'!$Q$4,'Heo thịt_Nhập dữ liệu hàng ngày'!$L:$L,'Theo dõi khách hàng heo thịt'!P25,'Heo thịt_Nhập dữ liệu hàng ngày'!$M:$M,'Theo dõi khách hàng heo thịt'!$N$5),"-")</f>
        <v>0</v>
      </c>
      <c r="T25" s="42">
        <f>IFERROR(SUMIFS('Heo thịt_Nhập dữ liệu hàng ngày'!$AD:$AD,'Heo thịt_Nhập dữ liệu hàng ngày'!$K:$K,"&gt;="&amp;$P$4,'Heo thịt_Nhập dữ liệu hàng ngày'!$K:$K,"&lt;="&amp;'Theo dõi khách hàng heo thịt'!$Q$4,'Heo thịt_Nhập dữ liệu hàng ngày'!$L:$L,'Theo dõi khách hàng heo thịt'!P25,'Heo thịt_Nhập dữ liệu hàng ngày'!$M:$M,'Theo dõi khách hàng heo thịt'!$N$5),"-")</f>
        <v>0</v>
      </c>
      <c r="U25" s="166">
        <f t="shared" si="4"/>
        <v>0</v>
      </c>
      <c r="V25" s="11"/>
    </row>
    <row r="26" spans="2:22" hidden="1" x14ac:dyDescent="0.3">
      <c r="B26" s="32">
        <v>22</v>
      </c>
      <c r="C26" s="18">
        <f>IFERROR(Data!C25,"")</f>
        <v>0</v>
      </c>
      <c r="D26" s="19">
        <f>SUMIFS('Heo thịt_Nhập dữ liệu hàng ngày'!$U:$U,'Heo thịt_Nhập dữ liệu hàng ngày'!$M:$M,'Theo dõi khách hàng heo thịt'!C26)</f>
        <v>0</v>
      </c>
      <c r="E26" s="19">
        <f>SUMIFS('Heo thịt_Nhập dữ liệu hàng ngày'!$AB:$AB,'Heo thịt_Nhập dữ liệu hàng ngày'!$M:$M,'Theo dõi khách hàng heo thịt'!C26)</f>
        <v>0</v>
      </c>
      <c r="F26" s="19">
        <f>SUMIFS('Heo thịt_Nhập dữ liệu hàng ngày'!$AC:$AC,'Heo thịt_Nhập dữ liệu hàng ngày'!$M:$M,'Theo dõi khách hàng heo thịt'!C26)</f>
        <v>0</v>
      </c>
      <c r="G26" s="20">
        <f>SUMIFS('Heo thịt_Nhập dữ liệu hàng ngày'!$AD:$AD,'Heo thịt_Nhập dữ liệu hàng ngày'!$M:$M,'Theo dõi khách hàng heo thịt'!C26)</f>
        <v>0</v>
      </c>
      <c r="H26" s="21">
        <f t="shared" si="5"/>
        <v>0</v>
      </c>
      <c r="I26" s="59">
        <f t="shared" si="2"/>
        <v>0</v>
      </c>
      <c r="J26" t="str">
        <f t="shared" si="3"/>
        <v>-</v>
      </c>
      <c r="L26" s="242">
        <f t="shared" si="6"/>
        <v>0</v>
      </c>
      <c r="M26" s="290"/>
      <c r="N26" s="291"/>
      <c r="O26" s="292"/>
      <c r="P26" s="41" t="s">
        <v>138</v>
      </c>
      <c r="Q26" s="42">
        <f>IFERROR(SUMIFS('Heo thịt_Nhập dữ liệu hàng ngày'!$U:$U,'Heo thịt_Nhập dữ liệu hàng ngày'!$K:$K,"&gt;="&amp;$P$4,'Heo thịt_Nhập dữ liệu hàng ngày'!$K:$K,"&lt;="&amp;'Theo dõi khách hàng heo thịt'!$Q$4,'Heo thịt_Nhập dữ liệu hàng ngày'!$L:$L,'Theo dõi khách hàng heo thịt'!P26,'Heo thịt_Nhập dữ liệu hàng ngày'!$M:$M,'Theo dõi khách hàng heo thịt'!$N$5),"-")</f>
        <v>0</v>
      </c>
      <c r="R26" s="42">
        <f>IFERROR(SUMIFS('Heo thịt_Nhập dữ liệu hàng ngày'!$AB:$AB,'Heo thịt_Nhập dữ liệu hàng ngày'!$K:$K,"&gt;="&amp;$P$4,'Heo thịt_Nhập dữ liệu hàng ngày'!$K:$K,"&lt;="&amp;'Theo dõi khách hàng heo thịt'!$Q$4,'Heo thịt_Nhập dữ liệu hàng ngày'!$L:$L,'Theo dõi khách hàng heo thịt'!P26,'Heo thịt_Nhập dữ liệu hàng ngày'!$M:$M,'Theo dõi khách hàng heo thịt'!$N$5),"-")</f>
        <v>0</v>
      </c>
      <c r="S26" s="42">
        <f>IFERROR(SUMIFS('Heo thịt_Nhập dữ liệu hàng ngày'!$AC:$AC,'Heo thịt_Nhập dữ liệu hàng ngày'!$K:$K,"&gt;="&amp;$P$4,'Heo thịt_Nhập dữ liệu hàng ngày'!$K:$K,"&lt;="&amp;'Theo dõi khách hàng heo thịt'!$Q$4,'Heo thịt_Nhập dữ liệu hàng ngày'!$L:$L,'Theo dõi khách hàng heo thịt'!P26,'Heo thịt_Nhập dữ liệu hàng ngày'!$M:$M,'Theo dõi khách hàng heo thịt'!$N$5),"-")</f>
        <v>0</v>
      </c>
      <c r="T26" s="42">
        <f>IFERROR(SUMIFS('Heo thịt_Nhập dữ liệu hàng ngày'!$AD:$AD,'Heo thịt_Nhập dữ liệu hàng ngày'!$K:$K,"&gt;="&amp;$P$4,'Heo thịt_Nhập dữ liệu hàng ngày'!$K:$K,"&lt;="&amp;'Theo dõi khách hàng heo thịt'!$Q$4,'Heo thịt_Nhập dữ liệu hàng ngày'!$L:$L,'Theo dõi khách hàng heo thịt'!P26,'Heo thịt_Nhập dữ liệu hàng ngày'!$M:$M,'Theo dõi khách hàng heo thịt'!$N$5),"-")</f>
        <v>0</v>
      </c>
      <c r="U26" s="166">
        <f t="shared" si="4"/>
        <v>0</v>
      </c>
      <c r="V26" s="11"/>
    </row>
    <row r="27" spans="2:22" hidden="1" x14ac:dyDescent="0.3">
      <c r="B27" s="31">
        <v>23</v>
      </c>
      <c r="C27" s="18">
        <f>IFERROR(Data!C26,"")</f>
        <v>0</v>
      </c>
      <c r="D27" s="19">
        <f>SUMIFS('Heo thịt_Nhập dữ liệu hàng ngày'!$U:$U,'Heo thịt_Nhập dữ liệu hàng ngày'!$M:$M,'Theo dõi khách hàng heo thịt'!C27)</f>
        <v>0</v>
      </c>
      <c r="E27" s="19">
        <f>SUMIFS('Heo thịt_Nhập dữ liệu hàng ngày'!$AB:$AB,'Heo thịt_Nhập dữ liệu hàng ngày'!$M:$M,'Theo dõi khách hàng heo thịt'!C27)</f>
        <v>0</v>
      </c>
      <c r="F27" s="19">
        <f>SUMIFS('Heo thịt_Nhập dữ liệu hàng ngày'!$AC:$AC,'Heo thịt_Nhập dữ liệu hàng ngày'!$M:$M,'Theo dõi khách hàng heo thịt'!C27)</f>
        <v>0</v>
      </c>
      <c r="G27" s="20">
        <f>SUMIFS('Heo thịt_Nhập dữ liệu hàng ngày'!$AD:$AD,'Heo thịt_Nhập dữ liệu hàng ngày'!$M:$M,'Theo dõi khách hàng heo thịt'!C27)</f>
        <v>0</v>
      </c>
      <c r="H27" s="21">
        <f t="shared" si="5"/>
        <v>0</v>
      </c>
      <c r="I27" s="59">
        <f t="shared" si="2"/>
        <v>0</v>
      </c>
      <c r="J27" t="str">
        <f t="shared" si="3"/>
        <v>-</v>
      </c>
      <c r="L27" s="242">
        <f t="shared" si="6"/>
        <v>0</v>
      </c>
      <c r="M27" s="290"/>
      <c r="N27" s="291"/>
      <c r="O27" s="292"/>
      <c r="P27" s="41" t="s">
        <v>139</v>
      </c>
      <c r="Q27" s="42">
        <f>IFERROR(SUMIFS('Heo thịt_Nhập dữ liệu hàng ngày'!$U:$U,'Heo thịt_Nhập dữ liệu hàng ngày'!$K:$K,"&gt;="&amp;$P$4,'Heo thịt_Nhập dữ liệu hàng ngày'!$K:$K,"&lt;="&amp;'Theo dõi khách hàng heo thịt'!$Q$4,'Heo thịt_Nhập dữ liệu hàng ngày'!$L:$L,'Theo dõi khách hàng heo thịt'!P27,'Heo thịt_Nhập dữ liệu hàng ngày'!$M:$M,'Theo dõi khách hàng heo thịt'!$N$5),"-")</f>
        <v>0</v>
      </c>
      <c r="R27" s="42">
        <f>IFERROR(SUMIFS('Heo thịt_Nhập dữ liệu hàng ngày'!$AB:$AB,'Heo thịt_Nhập dữ liệu hàng ngày'!$K:$K,"&gt;="&amp;$P$4,'Heo thịt_Nhập dữ liệu hàng ngày'!$K:$K,"&lt;="&amp;'Theo dõi khách hàng heo thịt'!$Q$4,'Heo thịt_Nhập dữ liệu hàng ngày'!$L:$L,'Theo dõi khách hàng heo thịt'!P27,'Heo thịt_Nhập dữ liệu hàng ngày'!$M:$M,'Theo dõi khách hàng heo thịt'!$N$5),"-")</f>
        <v>0</v>
      </c>
      <c r="S27" s="42">
        <f>IFERROR(SUMIFS('Heo thịt_Nhập dữ liệu hàng ngày'!$AC:$AC,'Heo thịt_Nhập dữ liệu hàng ngày'!$K:$K,"&gt;="&amp;$P$4,'Heo thịt_Nhập dữ liệu hàng ngày'!$K:$K,"&lt;="&amp;'Theo dõi khách hàng heo thịt'!$Q$4,'Heo thịt_Nhập dữ liệu hàng ngày'!$L:$L,'Theo dõi khách hàng heo thịt'!P27,'Heo thịt_Nhập dữ liệu hàng ngày'!$M:$M,'Theo dõi khách hàng heo thịt'!$N$5),"-")</f>
        <v>0</v>
      </c>
      <c r="T27" s="42">
        <f>IFERROR(SUMIFS('Heo thịt_Nhập dữ liệu hàng ngày'!$AD:$AD,'Heo thịt_Nhập dữ liệu hàng ngày'!$K:$K,"&gt;="&amp;$P$4,'Heo thịt_Nhập dữ liệu hàng ngày'!$K:$K,"&lt;="&amp;'Theo dõi khách hàng heo thịt'!$Q$4,'Heo thịt_Nhập dữ liệu hàng ngày'!$L:$L,'Theo dõi khách hàng heo thịt'!P27,'Heo thịt_Nhập dữ liệu hàng ngày'!$M:$M,'Theo dõi khách hàng heo thịt'!$N$5),"-")</f>
        <v>0</v>
      </c>
      <c r="U27" s="166">
        <f t="shared" si="4"/>
        <v>0</v>
      </c>
      <c r="V27" s="11"/>
    </row>
    <row r="28" spans="2:22" hidden="1" x14ac:dyDescent="0.3">
      <c r="B28" s="32">
        <v>24</v>
      </c>
      <c r="C28" s="18">
        <f>IFERROR(Data!C27,"")</f>
        <v>0</v>
      </c>
      <c r="D28" s="19">
        <f>SUMIFS('Heo thịt_Nhập dữ liệu hàng ngày'!$U:$U,'Heo thịt_Nhập dữ liệu hàng ngày'!$M:$M,'Theo dõi khách hàng heo thịt'!C28)</f>
        <v>0</v>
      </c>
      <c r="E28" s="19">
        <f>SUMIFS('Heo thịt_Nhập dữ liệu hàng ngày'!$AB:$AB,'Heo thịt_Nhập dữ liệu hàng ngày'!$M:$M,'Theo dõi khách hàng heo thịt'!C28)</f>
        <v>0</v>
      </c>
      <c r="F28" s="19">
        <f>SUMIFS('Heo thịt_Nhập dữ liệu hàng ngày'!$AC:$AC,'Heo thịt_Nhập dữ liệu hàng ngày'!$M:$M,'Theo dõi khách hàng heo thịt'!C28)</f>
        <v>0</v>
      </c>
      <c r="G28" s="20">
        <f>SUMIFS('Heo thịt_Nhập dữ liệu hàng ngày'!$AD:$AD,'Heo thịt_Nhập dữ liệu hàng ngày'!$M:$M,'Theo dõi khách hàng heo thịt'!C28)</f>
        <v>0</v>
      </c>
      <c r="H28" s="21">
        <f t="shared" si="5"/>
        <v>0</v>
      </c>
      <c r="I28" s="59">
        <f t="shared" si="2"/>
        <v>0</v>
      </c>
      <c r="J28" t="str">
        <f t="shared" si="3"/>
        <v>-</v>
      </c>
      <c r="L28" s="242">
        <f t="shared" si="6"/>
        <v>0</v>
      </c>
      <c r="M28" s="290"/>
      <c r="N28" s="291"/>
      <c r="O28" s="292"/>
      <c r="P28" s="41" t="s">
        <v>63</v>
      </c>
      <c r="Q28" s="42">
        <f>IFERROR(SUMIFS('Heo thịt_Nhập dữ liệu hàng ngày'!$U:$U,'Heo thịt_Nhập dữ liệu hàng ngày'!$K:$K,"&gt;="&amp;$P$4,'Heo thịt_Nhập dữ liệu hàng ngày'!$K:$K,"&lt;="&amp;'Theo dõi khách hàng heo thịt'!$Q$4,'Heo thịt_Nhập dữ liệu hàng ngày'!$L:$L,'Theo dõi khách hàng heo thịt'!P28,'Heo thịt_Nhập dữ liệu hàng ngày'!$M:$M,'Theo dõi khách hàng heo thịt'!$N$5),"-")</f>
        <v>0</v>
      </c>
      <c r="R28" s="42">
        <f>IFERROR(SUMIFS('Heo thịt_Nhập dữ liệu hàng ngày'!$AB:$AB,'Heo thịt_Nhập dữ liệu hàng ngày'!$K:$K,"&gt;="&amp;$P$4,'Heo thịt_Nhập dữ liệu hàng ngày'!$K:$K,"&lt;="&amp;'Theo dõi khách hàng heo thịt'!$Q$4,'Heo thịt_Nhập dữ liệu hàng ngày'!$L:$L,'Theo dõi khách hàng heo thịt'!P28,'Heo thịt_Nhập dữ liệu hàng ngày'!$M:$M,'Theo dõi khách hàng heo thịt'!$N$5),"-")</f>
        <v>0</v>
      </c>
      <c r="S28" s="42">
        <f>IFERROR(SUMIFS('Heo thịt_Nhập dữ liệu hàng ngày'!$AC:$AC,'Heo thịt_Nhập dữ liệu hàng ngày'!$K:$K,"&gt;="&amp;$P$4,'Heo thịt_Nhập dữ liệu hàng ngày'!$K:$K,"&lt;="&amp;'Theo dõi khách hàng heo thịt'!$Q$4,'Heo thịt_Nhập dữ liệu hàng ngày'!$L:$L,'Theo dõi khách hàng heo thịt'!P28,'Heo thịt_Nhập dữ liệu hàng ngày'!$M:$M,'Theo dõi khách hàng heo thịt'!$N$5),"-")</f>
        <v>0</v>
      </c>
      <c r="T28" s="42">
        <f>IFERROR(SUMIFS('Heo thịt_Nhập dữ liệu hàng ngày'!$AD:$AD,'Heo thịt_Nhập dữ liệu hàng ngày'!$K:$K,"&gt;="&amp;$P$4,'Heo thịt_Nhập dữ liệu hàng ngày'!$K:$K,"&lt;="&amp;'Theo dõi khách hàng heo thịt'!$Q$4,'Heo thịt_Nhập dữ liệu hàng ngày'!$L:$L,'Theo dõi khách hàng heo thịt'!P28,'Heo thịt_Nhập dữ liệu hàng ngày'!$M:$M,'Theo dõi khách hàng heo thịt'!$N$5),"-")</f>
        <v>0</v>
      </c>
      <c r="U28" s="166">
        <f t="shared" si="4"/>
        <v>0</v>
      </c>
      <c r="V28" s="11"/>
    </row>
    <row r="29" spans="2:22" hidden="1" x14ac:dyDescent="0.3">
      <c r="B29" s="31">
        <v>25</v>
      </c>
      <c r="C29" s="268">
        <f>IFERROR(Data!C28,"")</f>
        <v>0</v>
      </c>
      <c r="D29" s="19">
        <f>SUMIFS('Heo thịt_Nhập dữ liệu hàng ngày'!$U:$U,'Heo thịt_Nhập dữ liệu hàng ngày'!$M:$M,'Theo dõi khách hàng heo thịt'!C29)</f>
        <v>0</v>
      </c>
      <c r="E29" s="19">
        <f>SUMIFS('Heo thịt_Nhập dữ liệu hàng ngày'!$AB:$AB,'Heo thịt_Nhập dữ liệu hàng ngày'!$M:$M,'Theo dõi khách hàng heo thịt'!C29)</f>
        <v>0</v>
      </c>
      <c r="F29" s="19">
        <f>SUMIFS('Heo thịt_Nhập dữ liệu hàng ngày'!$AC:$AC,'Heo thịt_Nhập dữ liệu hàng ngày'!$M:$M,'Theo dõi khách hàng heo thịt'!C29)</f>
        <v>0</v>
      </c>
      <c r="G29" s="20">
        <f>SUMIFS('Heo thịt_Nhập dữ liệu hàng ngày'!$AD:$AD,'Heo thịt_Nhập dữ liệu hàng ngày'!$M:$M,'Theo dõi khách hàng heo thịt'!C29)</f>
        <v>0</v>
      </c>
      <c r="H29" s="21">
        <f t="shared" si="5"/>
        <v>0</v>
      </c>
      <c r="I29" s="59">
        <f t="shared" si="2"/>
        <v>0</v>
      </c>
      <c r="J29" t="str">
        <f t="shared" si="3"/>
        <v>-</v>
      </c>
      <c r="K29" s="11" t="s">
        <v>163</v>
      </c>
      <c r="L29" s="242">
        <f t="shared" si="6"/>
        <v>0</v>
      </c>
      <c r="M29" s="290"/>
      <c r="N29" s="291"/>
      <c r="O29" s="292"/>
      <c r="P29" s="41" t="s">
        <v>140</v>
      </c>
      <c r="Q29" s="42">
        <f>IFERROR(SUMIFS('Heo thịt_Nhập dữ liệu hàng ngày'!$U:$U,'Heo thịt_Nhập dữ liệu hàng ngày'!$K:$K,"&gt;="&amp;$P$4,'Heo thịt_Nhập dữ liệu hàng ngày'!$K:$K,"&lt;="&amp;'Theo dõi khách hàng heo thịt'!$Q$4,'Heo thịt_Nhập dữ liệu hàng ngày'!$L:$L,'Theo dõi khách hàng heo thịt'!P29,'Heo thịt_Nhập dữ liệu hàng ngày'!$M:$M,'Theo dõi khách hàng heo thịt'!$N$5),"-")</f>
        <v>0</v>
      </c>
      <c r="R29" s="42">
        <f>IFERROR(SUMIFS('Heo thịt_Nhập dữ liệu hàng ngày'!$AB:$AB,'Heo thịt_Nhập dữ liệu hàng ngày'!$K:$K,"&gt;="&amp;$P$4,'Heo thịt_Nhập dữ liệu hàng ngày'!$K:$K,"&lt;="&amp;'Theo dõi khách hàng heo thịt'!$Q$4,'Heo thịt_Nhập dữ liệu hàng ngày'!$L:$L,'Theo dõi khách hàng heo thịt'!P29,'Heo thịt_Nhập dữ liệu hàng ngày'!$M:$M,'Theo dõi khách hàng heo thịt'!$N$5),"-")</f>
        <v>0</v>
      </c>
      <c r="S29" s="42">
        <f>IFERROR(SUMIFS('Heo thịt_Nhập dữ liệu hàng ngày'!$AC:$AC,'Heo thịt_Nhập dữ liệu hàng ngày'!$K:$K,"&gt;="&amp;$P$4,'Heo thịt_Nhập dữ liệu hàng ngày'!$K:$K,"&lt;="&amp;'Theo dõi khách hàng heo thịt'!$Q$4,'Heo thịt_Nhập dữ liệu hàng ngày'!$L:$L,'Theo dõi khách hàng heo thịt'!P29,'Heo thịt_Nhập dữ liệu hàng ngày'!$M:$M,'Theo dõi khách hàng heo thịt'!$N$5),"-")</f>
        <v>0</v>
      </c>
      <c r="T29" s="42">
        <f>IFERROR(SUMIFS('Heo thịt_Nhập dữ liệu hàng ngày'!$AD:$AD,'Heo thịt_Nhập dữ liệu hàng ngày'!$K:$K,"&gt;="&amp;$P$4,'Heo thịt_Nhập dữ liệu hàng ngày'!$K:$K,"&lt;="&amp;'Theo dõi khách hàng heo thịt'!$Q$4,'Heo thịt_Nhập dữ liệu hàng ngày'!$L:$L,'Theo dõi khách hàng heo thịt'!P29,'Heo thịt_Nhập dữ liệu hàng ngày'!$M:$M,'Theo dõi khách hàng heo thịt'!$N$5),"-")</f>
        <v>0</v>
      </c>
      <c r="U29" s="166">
        <f t="shared" si="4"/>
        <v>0</v>
      </c>
      <c r="V29" s="11"/>
    </row>
    <row r="30" spans="2:22" x14ac:dyDescent="0.3">
      <c r="B30" s="32">
        <v>26</v>
      </c>
      <c r="C30" s="18">
        <f>IFERROR(Data!C29,"")</f>
        <v>0</v>
      </c>
      <c r="D30" s="19">
        <f>SUMIFS('Heo thịt_Nhập dữ liệu hàng ngày'!$U:$U,'Heo thịt_Nhập dữ liệu hàng ngày'!$M:$M,'Theo dõi khách hàng heo thịt'!C30)</f>
        <v>0</v>
      </c>
      <c r="E30" s="19">
        <f>SUMIFS('Heo thịt_Nhập dữ liệu hàng ngày'!$AB:$AB,'Heo thịt_Nhập dữ liệu hàng ngày'!$M:$M,'Theo dõi khách hàng heo thịt'!C30)</f>
        <v>0</v>
      </c>
      <c r="F30" s="19">
        <f>SUMIFS('Heo thịt_Nhập dữ liệu hàng ngày'!$AC:$AC,'Heo thịt_Nhập dữ liệu hàng ngày'!$M:$M,'Theo dõi khách hàng heo thịt'!C30)</f>
        <v>0</v>
      </c>
      <c r="G30" s="20">
        <f>SUMIFS('Heo thịt_Nhập dữ liệu hàng ngày'!$AD:$AD,'Heo thịt_Nhập dữ liệu hàng ngày'!$M:$M,'Theo dõi khách hàng heo thịt'!C30)</f>
        <v>0</v>
      </c>
      <c r="H30" s="21">
        <f t="shared" si="5"/>
        <v>0</v>
      </c>
      <c r="I30" s="59">
        <f t="shared" si="2"/>
        <v>0</v>
      </c>
      <c r="J30" t="str">
        <f t="shared" si="3"/>
        <v>-</v>
      </c>
      <c r="K30" s="11" t="s">
        <v>155</v>
      </c>
      <c r="L30" s="242">
        <f t="shared" si="6"/>
        <v>0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2:22" hidden="1" x14ac:dyDescent="0.3">
      <c r="B31" s="31">
        <v>27</v>
      </c>
      <c r="C31" s="18">
        <f>IFERROR(Data!C30,"")</f>
        <v>0</v>
      </c>
      <c r="D31" s="19">
        <f>SUMIFS('Heo thịt_Nhập dữ liệu hàng ngày'!$U:$U,'Heo thịt_Nhập dữ liệu hàng ngày'!$M:$M,'Theo dõi khách hàng heo thịt'!C31)</f>
        <v>0</v>
      </c>
      <c r="E31" s="19">
        <f>SUMIFS('Heo thịt_Nhập dữ liệu hàng ngày'!$AB:$AB,'Heo thịt_Nhập dữ liệu hàng ngày'!$M:$M,'Theo dõi khách hàng heo thịt'!C31)</f>
        <v>0</v>
      </c>
      <c r="F31" s="19">
        <f>SUMIFS('Heo thịt_Nhập dữ liệu hàng ngày'!$AC:$AC,'Heo thịt_Nhập dữ liệu hàng ngày'!$M:$M,'Theo dõi khách hàng heo thịt'!C31)</f>
        <v>0</v>
      </c>
      <c r="G31" s="20">
        <f>SUMIFS('Heo thịt_Nhập dữ liệu hàng ngày'!$AD:$AD,'Heo thịt_Nhập dữ liệu hàng ngày'!$M:$M,'Theo dõi khách hàng heo thịt'!C31)</f>
        <v>0</v>
      </c>
      <c r="H31" s="21">
        <f t="shared" si="5"/>
        <v>0</v>
      </c>
      <c r="I31" s="59">
        <f t="shared" si="2"/>
        <v>0</v>
      </c>
      <c r="J31" t="str">
        <f t="shared" si="3"/>
        <v>-</v>
      </c>
      <c r="L31" s="242">
        <f t="shared" si="6"/>
        <v>0</v>
      </c>
      <c r="M31" s="278"/>
      <c r="N31" s="281" t="s">
        <v>62</v>
      </c>
      <c r="O31" s="284" t="str">
        <f>IFERROR(+VLOOKUP(N31,Data!C:D,2,0),"-")</f>
        <v>bắc giang</v>
      </c>
      <c r="P31" s="167" t="s">
        <v>28</v>
      </c>
      <c r="Q31" s="168">
        <f>IFERROR(SUMIFS('Heo thịt_Nhập dữ liệu hàng ngày'!$U:$U,'Heo thịt_Nhập dữ liệu hàng ngày'!$L:$L,'Theo dõi khách hàng heo thịt'!P31,'Heo thịt_Nhập dữ liệu hàng ngày'!$M:$M,'Theo dõi khách hàng heo thịt'!$N$31),"-")</f>
        <v>0</v>
      </c>
      <c r="R31" s="168">
        <f>IFERROR(SUMIFS('Heo thịt_Nhập dữ liệu hàng ngày'!$AB:$AB,'Heo thịt_Nhập dữ liệu hàng ngày'!$L:$L,'Theo dõi khách hàng heo thịt'!P31,'Heo thịt_Nhập dữ liệu hàng ngày'!$M:$M,'Theo dõi khách hàng heo thịt'!$N$31),"-")</f>
        <v>0</v>
      </c>
      <c r="S31" s="168">
        <f>IFERROR(SUMIFS('Heo thịt_Nhập dữ liệu hàng ngày'!$AC:$AC,'Heo thịt_Nhập dữ liệu hàng ngày'!$L:$L,'Theo dõi khách hàng heo thịt'!P31,'Heo thịt_Nhập dữ liệu hàng ngày'!$M:$M,'Theo dõi khách hàng heo thịt'!$N$31),"-")</f>
        <v>0</v>
      </c>
      <c r="T31" s="169">
        <f>IFERROR(SUMIFS('Heo thịt_Nhập dữ liệu hàng ngày'!$AD:$AD,'Heo thịt_Nhập dữ liệu hàng ngày'!$L:$L,'Theo dõi khách hàng heo thịt'!P31,'Heo thịt_Nhập dữ liệu hàng ngày'!$M:$M,'Theo dõi khách hàng heo thịt'!$N$31),"-")</f>
        <v>0</v>
      </c>
      <c r="U31" s="170">
        <f>IFERROR(+T31-S31,"-")</f>
        <v>0</v>
      </c>
      <c r="V31" s="11"/>
    </row>
    <row r="32" spans="2:22" hidden="1" x14ac:dyDescent="0.3">
      <c r="B32" s="32">
        <v>28</v>
      </c>
      <c r="C32" s="18">
        <f>IFERROR(Data!C31,"")</f>
        <v>0</v>
      </c>
      <c r="D32" s="19">
        <f>SUMIFS('Heo thịt_Nhập dữ liệu hàng ngày'!$U:$U,'Heo thịt_Nhập dữ liệu hàng ngày'!$M:$M,'Theo dõi khách hàng heo thịt'!C32)</f>
        <v>0</v>
      </c>
      <c r="E32" s="19">
        <f>SUMIFS('Heo thịt_Nhập dữ liệu hàng ngày'!$AB:$AB,'Heo thịt_Nhập dữ liệu hàng ngày'!$M:$M,'Theo dõi khách hàng heo thịt'!C32)</f>
        <v>0</v>
      </c>
      <c r="F32" s="19">
        <f>SUMIFS('Heo thịt_Nhập dữ liệu hàng ngày'!$AC:$AC,'Heo thịt_Nhập dữ liệu hàng ngày'!$M:$M,'Theo dõi khách hàng heo thịt'!C32)</f>
        <v>0</v>
      </c>
      <c r="G32" s="20">
        <f>SUMIFS('Heo thịt_Nhập dữ liệu hàng ngày'!$AD:$AD,'Heo thịt_Nhập dữ liệu hàng ngày'!$M:$M,'Theo dõi khách hàng heo thịt'!C32)</f>
        <v>0</v>
      </c>
      <c r="H32" s="21">
        <f t="shared" si="5"/>
        <v>0</v>
      </c>
      <c r="I32" s="59">
        <f t="shared" si="2"/>
        <v>0</v>
      </c>
      <c r="J32" t="str">
        <f t="shared" si="3"/>
        <v>-</v>
      </c>
      <c r="L32" s="242">
        <f t="shared" si="6"/>
        <v>0</v>
      </c>
      <c r="M32" s="279"/>
      <c r="N32" s="282"/>
      <c r="O32" s="285"/>
      <c r="P32" s="10" t="s">
        <v>29</v>
      </c>
      <c r="Q32" s="47">
        <f>IFERROR(SUMIFS('Heo thịt_Nhập dữ liệu hàng ngày'!$U:$U,'Heo thịt_Nhập dữ liệu hàng ngày'!$L:$L,'Theo dõi khách hàng heo thịt'!P32,'Heo thịt_Nhập dữ liệu hàng ngày'!$M:$M,'Theo dõi khách hàng heo thịt'!$N$31),"-")</f>
        <v>0</v>
      </c>
      <c r="R32" s="47">
        <f>IFERROR(SUMIFS('Heo thịt_Nhập dữ liệu hàng ngày'!$AB:$AB,'Heo thịt_Nhập dữ liệu hàng ngày'!$L:$L,'Theo dõi khách hàng heo thịt'!P32,'Heo thịt_Nhập dữ liệu hàng ngày'!$M:$M,'Theo dõi khách hàng heo thịt'!$N$31),"-")</f>
        <v>0</v>
      </c>
      <c r="S32" s="47">
        <f>IFERROR(SUMIFS('Heo thịt_Nhập dữ liệu hàng ngày'!$AC:$AC,'Heo thịt_Nhập dữ liệu hàng ngày'!$L:$L,'Theo dõi khách hàng heo thịt'!P32,'Heo thịt_Nhập dữ liệu hàng ngày'!$M:$M,'Theo dõi khách hàng heo thịt'!$N$31),"-")</f>
        <v>0</v>
      </c>
      <c r="T32" s="48">
        <f>IFERROR(SUMIFS('Heo thịt_Nhập dữ liệu hàng ngày'!$AD:$AD,'Heo thịt_Nhập dữ liệu hàng ngày'!$L:$L,'Theo dõi khách hàng heo thịt'!P32,'Heo thịt_Nhập dữ liệu hàng ngày'!$M:$M,'Theo dõi khách hàng heo thịt'!$N$31),"-")</f>
        <v>0</v>
      </c>
      <c r="U32" s="171">
        <f t="shared" ref="U32:U55" si="7">IFERROR(+T32-S32,"-")</f>
        <v>0</v>
      </c>
      <c r="V32" s="11"/>
    </row>
    <row r="33" spans="2:22" ht="15" hidden="1" customHeight="1" x14ac:dyDescent="0.3">
      <c r="B33" s="31">
        <v>29</v>
      </c>
      <c r="C33" s="18">
        <f>IFERROR(Data!C32,"")</f>
        <v>0</v>
      </c>
      <c r="D33" s="19">
        <f>SUMIFS('Heo thịt_Nhập dữ liệu hàng ngày'!$U:$U,'Heo thịt_Nhập dữ liệu hàng ngày'!$M:$M,'Theo dõi khách hàng heo thịt'!C33)</f>
        <v>0</v>
      </c>
      <c r="E33" s="19">
        <f>SUMIFS('Heo thịt_Nhập dữ liệu hàng ngày'!$AB:$AB,'Heo thịt_Nhập dữ liệu hàng ngày'!$M:$M,'Theo dõi khách hàng heo thịt'!C33)</f>
        <v>0</v>
      </c>
      <c r="F33" s="19">
        <f>SUMIFS('Heo thịt_Nhập dữ liệu hàng ngày'!$AC:$AC,'Heo thịt_Nhập dữ liệu hàng ngày'!$M:$M,'Theo dõi khách hàng heo thịt'!C33)</f>
        <v>0</v>
      </c>
      <c r="G33" s="20">
        <f>SUMIFS('Heo thịt_Nhập dữ liệu hàng ngày'!$AD:$AD,'Heo thịt_Nhập dữ liệu hàng ngày'!$M:$M,'Theo dõi khách hàng heo thịt'!C33)</f>
        <v>0</v>
      </c>
      <c r="H33" s="21">
        <f t="shared" si="5"/>
        <v>0</v>
      </c>
      <c r="I33" s="59">
        <f t="shared" si="2"/>
        <v>0</v>
      </c>
      <c r="J33" t="str">
        <f t="shared" si="3"/>
        <v>-</v>
      </c>
      <c r="L33" s="242">
        <f t="shared" si="6"/>
        <v>0</v>
      </c>
      <c r="M33" s="279"/>
      <c r="N33" s="282"/>
      <c r="O33" s="285"/>
      <c r="P33" s="10" t="s">
        <v>26</v>
      </c>
      <c r="Q33" s="47">
        <f>IFERROR(SUMIFS('Heo thịt_Nhập dữ liệu hàng ngày'!$U:$U,'Heo thịt_Nhập dữ liệu hàng ngày'!$L:$L,'Theo dõi khách hàng heo thịt'!P33,'Heo thịt_Nhập dữ liệu hàng ngày'!$M:$M,'Theo dõi khách hàng heo thịt'!$N$31),"-")</f>
        <v>0</v>
      </c>
      <c r="R33" s="47">
        <f>IFERROR(SUMIFS('Heo thịt_Nhập dữ liệu hàng ngày'!$AB:$AB,'Heo thịt_Nhập dữ liệu hàng ngày'!$L:$L,'Theo dõi khách hàng heo thịt'!P33,'Heo thịt_Nhập dữ liệu hàng ngày'!$M:$M,'Theo dõi khách hàng heo thịt'!$N$31),"-")</f>
        <v>0</v>
      </c>
      <c r="S33" s="47">
        <f>IFERROR(SUMIFS('Heo thịt_Nhập dữ liệu hàng ngày'!$AC:$AC,'Heo thịt_Nhập dữ liệu hàng ngày'!$L:$L,'Theo dõi khách hàng heo thịt'!P33,'Heo thịt_Nhập dữ liệu hàng ngày'!$M:$M,'Theo dõi khách hàng heo thịt'!$N$31),"-")</f>
        <v>0</v>
      </c>
      <c r="T33" s="48">
        <f>IFERROR(SUMIFS('Heo thịt_Nhập dữ liệu hàng ngày'!$AD:$AD,'Heo thịt_Nhập dữ liệu hàng ngày'!$L:$L,'Theo dõi khách hàng heo thịt'!P33,'Heo thịt_Nhập dữ liệu hàng ngày'!$M:$M,'Theo dõi khách hàng heo thịt'!$N$31),"-")</f>
        <v>0</v>
      </c>
      <c r="U33" s="171">
        <f t="shared" si="7"/>
        <v>0</v>
      </c>
      <c r="V33" s="11"/>
    </row>
    <row r="34" spans="2:22" ht="15" hidden="1" customHeight="1" x14ac:dyDescent="0.3">
      <c r="B34" s="32">
        <v>30</v>
      </c>
      <c r="C34" s="18">
        <f>IFERROR(Data!C33,"")</f>
        <v>0</v>
      </c>
      <c r="D34" s="19">
        <f>SUMIFS('Heo thịt_Nhập dữ liệu hàng ngày'!$U:$U,'Heo thịt_Nhập dữ liệu hàng ngày'!$M:$M,'Theo dõi khách hàng heo thịt'!C34)</f>
        <v>0</v>
      </c>
      <c r="E34" s="19">
        <f>SUMIFS('Heo thịt_Nhập dữ liệu hàng ngày'!$AB:$AB,'Heo thịt_Nhập dữ liệu hàng ngày'!$M:$M,'Theo dõi khách hàng heo thịt'!C34)</f>
        <v>0</v>
      </c>
      <c r="F34" s="19">
        <f>SUMIFS('Heo thịt_Nhập dữ liệu hàng ngày'!$AC:$AC,'Heo thịt_Nhập dữ liệu hàng ngày'!$M:$M,'Theo dõi khách hàng heo thịt'!C34)</f>
        <v>0</v>
      </c>
      <c r="G34" s="20">
        <f>SUMIFS('Heo thịt_Nhập dữ liệu hàng ngày'!$AD:$AD,'Heo thịt_Nhập dữ liệu hàng ngày'!$M:$M,'Theo dõi khách hàng heo thịt'!C34)</f>
        <v>0</v>
      </c>
      <c r="H34" s="21">
        <f t="shared" si="5"/>
        <v>0</v>
      </c>
      <c r="I34" s="59">
        <f t="shared" si="2"/>
        <v>0</v>
      </c>
      <c r="J34" t="str">
        <f t="shared" si="3"/>
        <v>-</v>
      </c>
      <c r="K34" s="263" t="s">
        <v>164</v>
      </c>
      <c r="L34" s="242">
        <f t="shared" si="6"/>
        <v>0</v>
      </c>
      <c r="M34" s="279"/>
      <c r="N34" s="282"/>
      <c r="O34" s="285"/>
      <c r="P34" s="10" t="s">
        <v>30</v>
      </c>
      <c r="Q34" s="47">
        <f>IFERROR(SUMIFS('Heo thịt_Nhập dữ liệu hàng ngày'!$U:$U,'Heo thịt_Nhập dữ liệu hàng ngày'!$L:$L,'Theo dõi khách hàng heo thịt'!P34,'Heo thịt_Nhập dữ liệu hàng ngày'!$M:$M,'Theo dõi khách hàng heo thịt'!$N$31),"-")</f>
        <v>0</v>
      </c>
      <c r="R34" s="47">
        <f>IFERROR(SUMIFS('Heo thịt_Nhập dữ liệu hàng ngày'!$AB:$AB,'Heo thịt_Nhập dữ liệu hàng ngày'!$L:$L,'Theo dõi khách hàng heo thịt'!P34,'Heo thịt_Nhập dữ liệu hàng ngày'!$M:$M,'Theo dõi khách hàng heo thịt'!$N$31),"-")</f>
        <v>0</v>
      </c>
      <c r="S34" s="47">
        <f>IFERROR(SUMIFS('Heo thịt_Nhập dữ liệu hàng ngày'!$AC:$AC,'Heo thịt_Nhập dữ liệu hàng ngày'!$L:$L,'Theo dõi khách hàng heo thịt'!P34,'Heo thịt_Nhập dữ liệu hàng ngày'!$M:$M,'Theo dõi khách hàng heo thịt'!$N$31),"-")</f>
        <v>0</v>
      </c>
      <c r="T34" s="48">
        <f>IFERROR(SUMIFS('Heo thịt_Nhập dữ liệu hàng ngày'!$AD:$AD,'Heo thịt_Nhập dữ liệu hàng ngày'!$L:$L,'Theo dõi khách hàng heo thịt'!P34,'Heo thịt_Nhập dữ liệu hàng ngày'!$M:$M,'Theo dõi khách hàng heo thịt'!$N$31),"-")</f>
        <v>0</v>
      </c>
      <c r="U34" s="171">
        <f t="shared" si="7"/>
        <v>0</v>
      </c>
      <c r="V34" s="11"/>
    </row>
    <row r="35" spans="2:22" ht="15" hidden="1" customHeight="1" x14ac:dyDescent="0.3">
      <c r="B35" s="31">
        <v>31</v>
      </c>
      <c r="C35" s="18">
        <f>IFERROR(Data!C34,"")</f>
        <v>0</v>
      </c>
      <c r="D35" s="19">
        <f>SUMIFS('Heo thịt_Nhập dữ liệu hàng ngày'!$U:$U,'Heo thịt_Nhập dữ liệu hàng ngày'!$M:$M,'Theo dõi khách hàng heo thịt'!C35)</f>
        <v>0</v>
      </c>
      <c r="E35" s="19">
        <f>SUMIFS('Heo thịt_Nhập dữ liệu hàng ngày'!$AB:$AB,'Heo thịt_Nhập dữ liệu hàng ngày'!$M:$M,'Theo dõi khách hàng heo thịt'!C35)</f>
        <v>0</v>
      </c>
      <c r="F35" s="19">
        <f>SUMIFS('Heo thịt_Nhập dữ liệu hàng ngày'!$AC:$AC,'Heo thịt_Nhập dữ liệu hàng ngày'!$M:$M,'Theo dõi khách hàng heo thịt'!C35)</f>
        <v>0</v>
      </c>
      <c r="G35" s="20">
        <f>SUMIFS('Heo thịt_Nhập dữ liệu hàng ngày'!$AD:$AD,'Heo thịt_Nhập dữ liệu hàng ngày'!$M:$M,'Theo dõi khách hàng heo thịt'!C35)</f>
        <v>0</v>
      </c>
      <c r="H35" s="21">
        <f t="shared" si="5"/>
        <v>0</v>
      </c>
      <c r="I35" s="59">
        <f t="shared" si="2"/>
        <v>0</v>
      </c>
      <c r="J35" t="str">
        <f t="shared" si="3"/>
        <v>-</v>
      </c>
      <c r="L35" s="242">
        <f t="shared" si="6"/>
        <v>0</v>
      </c>
      <c r="M35" s="279"/>
      <c r="N35" s="282"/>
      <c r="O35" s="285"/>
      <c r="P35" s="10" t="s">
        <v>31</v>
      </c>
      <c r="Q35" s="47">
        <f>IFERROR(SUMIFS('Heo thịt_Nhập dữ liệu hàng ngày'!$U:$U,'Heo thịt_Nhập dữ liệu hàng ngày'!$L:$L,'Theo dõi khách hàng heo thịt'!P35,'Heo thịt_Nhập dữ liệu hàng ngày'!$M:$M,'Theo dõi khách hàng heo thịt'!$N$31),"-")</f>
        <v>0</v>
      </c>
      <c r="R35" s="47">
        <f>IFERROR(SUMIFS('Heo thịt_Nhập dữ liệu hàng ngày'!$AB:$AB,'Heo thịt_Nhập dữ liệu hàng ngày'!$L:$L,'Theo dõi khách hàng heo thịt'!P35,'Heo thịt_Nhập dữ liệu hàng ngày'!$M:$M,'Theo dõi khách hàng heo thịt'!$N$31),"-")</f>
        <v>0</v>
      </c>
      <c r="S35" s="47">
        <f>IFERROR(SUMIFS('Heo thịt_Nhập dữ liệu hàng ngày'!$AC:$AC,'Heo thịt_Nhập dữ liệu hàng ngày'!$L:$L,'Theo dõi khách hàng heo thịt'!P35,'Heo thịt_Nhập dữ liệu hàng ngày'!$M:$M,'Theo dõi khách hàng heo thịt'!$N$31),"-")</f>
        <v>0</v>
      </c>
      <c r="T35" s="48">
        <f>IFERROR(SUMIFS('Heo thịt_Nhập dữ liệu hàng ngày'!$AD:$AD,'Heo thịt_Nhập dữ liệu hàng ngày'!$L:$L,'Theo dõi khách hàng heo thịt'!P35,'Heo thịt_Nhập dữ liệu hàng ngày'!$M:$M,'Theo dõi khách hàng heo thịt'!$N$31),"-")</f>
        <v>0</v>
      </c>
      <c r="U35" s="171">
        <f t="shared" si="7"/>
        <v>0</v>
      </c>
      <c r="V35" s="11"/>
    </row>
    <row r="36" spans="2:22" ht="15" hidden="1" customHeight="1" x14ac:dyDescent="0.3">
      <c r="B36" s="32">
        <v>32</v>
      </c>
      <c r="C36" s="18">
        <f>IFERROR(Data!C35,"")</f>
        <v>0</v>
      </c>
      <c r="D36" s="19">
        <f>SUMIFS('Heo thịt_Nhập dữ liệu hàng ngày'!$U:$U,'Heo thịt_Nhập dữ liệu hàng ngày'!$M:$M,'Theo dõi khách hàng heo thịt'!C36)</f>
        <v>0</v>
      </c>
      <c r="E36" s="19">
        <f>SUMIFS('Heo thịt_Nhập dữ liệu hàng ngày'!$AB:$AB,'Heo thịt_Nhập dữ liệu hàng ngày'!$M:$M,'Theo dõi khách hàng heo thịt'!C36)</f>
        <v>0</v>
      </c>
      <c r="F36" s="19">
        <f>SUMIFS('Heo thịt_Nhập dữ liệu hàng ngày'!$AC:$AC,'Heo thịt_Nhập dữ liệu hàng ngày'!$M:$M,'Theo dõi khách hàng heo thịt'!C36)</f>
        <v>0</v>
      </c>
      <c r="G36" s="20">
        <f>SUMIFS('Heo thịt_Nhập dữ liệu hàng ngày'!$AD:$AD,'Heo thịt_Nhập dữ liệu hàng ngày'!$M:$M,'Theo dõi khách hàng heo thịt'!C36)</f>
        <v>0</v>
      </c>
      <c r="H36" s="21">
        <f t="shared" si="5"/>
        <v>0</v>
      </c>
      <c r="I36" s="59">
        <f t="shared" si="2"/>
        <v>0</v>
      </c>
      <c r="J36" t="str">
        <f t="shared" si="3"/>
        <v>-</v>
      </c>
      <c r="L36" s="242">
        <f t="shared" si="6"/>
        <v>0</v>
      </c>
      <c r="M36" s="279"/>
      <c r="N36" s="282"/>
      <c r="O36" s="285"/>
      <c r="P36" s="10" t="s">
        <v>32</v>
      </c>
      <c r="Q36" s="47">
        <f>IFERROR(SUMIFS('Heo thịt_Nhập dữ liệu hàng ngày'!$U:$U,'Heo thịt_Nhập dữ liệu hàng ngày'!$L:$L,'Theo dõi khách hàng heo thịt'!P36,'Heo thịt_Nhập dữ liệu hàng ngày'!$M:$M,'Theo dõi khách hàng heo thịt'!$N$31),"-")</f>
        <v>0</v>
      </c>
      <c r="R36" s="47">
        <f>IFERROR(SUMIFS('Heo thịt_Nhập dữ liệu hàng ngày'!$AB:$AB,'Heo thịt_Nhập dữ liệu hàng ngày'!$L:$L,'Theo dõi khách hàng heo thịt'!P36,'Heo thịt_Nhập dữ liệu hàng ngày'!$M:$M,'Theo dõi khách hàng heo thịt'!$N$31),"-")</f>
        <v>0</v>
      </c>
      <c r="S36" s="47">
        <f>IFERROR(SUMIFS('Heo thịt_Nhập dữ liệu hàng ngày'!$AC:$AC,'Heo thịt_Nhập dữ liệu hàng ngày'!$L:$L,'Theo dõi khách hàng heo thịt'!P36,'Heo thịt_Nhập dữ liệu hàng ngày'!$M:$M,'Theo dõi khách hàng heo thịt'!$N$31),"-")</f>
        <v>0</v>
      </c>
      <c r="T36" s="48">
        <f>IFERROR(SUMIFS('Heo thịt_Nhập dữ liệu hàng ngày'!$AD:$AD,'Heo thịt_Nhập dữ liệu hàng ngày'!$L:$L,'Theo dõi khách hàng heo thịt'!P36,'Heo thịt_Nhập dữ liệu hàng ngày'!$M:$M,'Theo dõi khách hàng heo thịt'!$N$31),"-")</f>
        <v>0</v>
      </c>
      <c r="U36" s="171">
        <f t="shared" si="7"/>
        <v>0</v>
      </c>
    </row>
    <row r="37" spans="2:22" ht="15" hidden="1" customHeight="1" x14ac:dyDescent="0.3">
      <c r="B37" s="31">
        <v>33</v>
      </c>
      <c r="C37" s="18">
        <f>IFERROR(Data!C36,"")</f>
        <v>0</v>
      </c>
      <c r="D37" s="19">
        <f>SUMIFS('Heo thịt_Nhập dữ liệu hàng ngày'!$U:$U,'Heo thịt_Nhập dữ liệu hàng ngày'!$M:$M,'Theo dõi khách hàng heo thịt'!C37)</f>
        <v>0</v>
      </c>
      <c r="E37" s="19">
        <f>SUMIFS('Heo thịt_Nhập dữ liệu hàng ngày'!$AB:$AB,'Heo thịt_Nhập dữ liệu hàng ngày'!$M:$M,'Theo dõi khách hàng heo thịt'!C37)</f>
        <v>0</v>
      </c>
      <c r="F37" s="19">
        <f>SUMIFS('Heo thịt_Nhập dữ liệu hàng ngày'!$AC:$AC,'Heo thịt_Nhập dữ liệu hàng ngày'!$M:$M,'Theo dõi khách hàng heo thịt'!C37)</f>
        <v>0</v>
      </c>
      <c r="G37" s="20">
        <f>SUMIFS('Heo thịt_Nhập dữ liệu hàng ngày'!$AD:$AD,'Heo thịt_Nhập dữ liệu hàng ngày'!$M:$M,'Theo dõi khách hàng heo thịt'!C37)</f>
        <v>0</v>
      </c>
      <c r="H37" s="21">
        <f t="shared" si="5"/>
        <v>0</v>
      </c>
      <c r="I37" s="59">
        <f t="shared" si="2"/>
        <v>0</v>
      </c>
      <c r="J37" t="str">
        <f t="shared" si="3"/>
        <v>-</v>
      </c>
      <c r="L37" s="242">
        <f t="shared" si="6"/>
        <v>0</v>
      </c>
      <c r="M37" s="279"/>
      <c r="N37" s="282"/>
      <c r="O37" s="285"/>
      <c r="P37" s="10" t="s">
        <v>39</v>
      </c>
      <c r="Q37" s="47">
        <f>IFERROR(SUMIFS('Heo thịt_Nhập dữ liệu hàng ngày'!$U:$U,'Heo thịt_Nhập dữ liệu hàng ngày'!$L:$L,'Theo dõi khách hàng heo thịt'!P37,'Heo thịt_Nhập dữ liệu hàng ngày'!$M:$M,'Theo dõi khách hàng heo thịt'!$N$31),"-")</f>
        <v>0</v>
      </c>
      <c r="R37" s="47">
        <f>IFERROR(SUMIFS('Heo thịt_Nhập dữ liệu hàng ngày'!$AB:$AB,'Heo thịt_Nhập dữ liệu hàng ngày'!$L:$L,'Theo dõi khách hàng heo thịt'!P37,'Heo thịt_Nhập dữ liệu hàng ngày'!$M:$M,'Theo dõi khách hàng heo thịt'!$N$31),"-")</f>
        <v>0</v>
      </c>
      <c r="S37" s="47">
        <f>IFERROR(SUMIFS('Heo thịt_Nhập dữ liệu hàng ngày'!$AC:$AC,'Heo thịt_Nhập dữ liệu hàng ngày'!$L:$L,'Theo dõi khách hàng heo thịt'!P37,'Heo thịt_Nhập dữ liệu hàng ngày'!$M:$M,'Theo dõi khách hàng heo thịt'!$N$31),"-")</f>
        <v>0</v>
      </c>
      <c r="T37" s="48">
        <f>IFERROR(SUMIFS('Heo thịt_Nhập dữ liệu hàng ngày'!$AD:$AD,'Heo thịt_Nhập dữ liệu hàng ngày'!$L:$L,'Theo dõi khách hàng heo thịt'!P37,'Heo thịt_Nhập dữ liệu hàng ngày'!$M:$M,'Theo dõi khách hàng heo thịt'!$N$31),"-")</f>
        <v>0</v>
      </c>
      <c r="U37" s="171">
        <f t="shared" si="7"/>
        <v>0</v>
      </c>
    </row>
    <row r="38" spans="2:22" hidden="1" x14ac:dyDescent="0.3">
      <c r="B38" s="32">
        <v>34</v>
      </c>
      <c r="C38" s="18">
        <f>IFERROR(Data!C37,"")</f>
        <v>0</v>
      </c>
      <c r="D38" s="19">
        <f>SUMIFS('Heo thịt_Nhập dữ liệu hàng ngày'!$U:$U,'Heo thịt_Nhập dữ liệu hàng ngày'!$M:$M,'Theo dõi khách hàng heo thịt'!C38)</f>
        <v>0</v>
      </c>
      <c r="E38" s="19">
        <f>SUMIFS('Heo thịt_Nhập dữ liệu hàng ngày'!$AB:$AB,'Heo thịt_Nhập dữ liệu hàng ngày'!$M:$M,'Theo dõi khách hàng heo thịt'!C38)</f>
        <v>0</v>
      </c>
      <c r="F38" s="19">
        <f>SUMIFS('Heo thịt_Nhập dữ liệu hàng ngày'!$AC:$AC,'Heo thịt_Nhập dữ liệu hàng ngày'!$M:$M,'Theo dõi khách hàng heo thịt'!C38)</f>
        <v>0</v>
      </c>
      <c r="G38" s="20">
        <f>SUMIFS('Heo thịt_Nhập dữ liệu hàng ngày'!$AD:$AD,'Heo thịt_Nhập dữ liệu hàng ngày'!$M:$M,'Theo dõi khách hàng heo thịt'!C38)</f>
        <v>0</v>
      </c>
      <c r="H38" s="21">
        <f t="shared" si="5"/>
        <v>0</v>
      </c>
      <c r="I38" s="59">
        <f t="shared" si="2"/>
        <v>0</v>
      </c>
      <c r="J38" t="str">
        <f t="shared" si="3"/>
        <v>-</v>
      </c>
      <c r="L38" s="242">
        <f t="shared" si="6"/>
        <v>0</v>
      </c>
      <c r="M38" s="279"/>
      <c r="N38" s="282"/>
      <c r="O38" s="285"/>
      <c r="P38" s="49" t="s">
        <v>64</v>
      </c>
      <c r="Q38" s="50">
        <f>IFERROR(SUMIFS('Heo thịt_Nhập dữ liệu hàng ngày'!$U:$U,'Heo thịt_Nhập dữ liệu hàng ngày'!$L:$L,'Theo dõi khách hàng heo thịt'!P38,'Heo thịt_Nhập dữ liệu hàng ngày'!$M:$M,'Theo dõi khách hàng heo thịt'!$N$31),"-")</f>
        <v>972000000</v>
      </c>
      <c r="R38" s="50">
        <f>IFERROR(SUMIFS('Heo thịt_Nhập dữ liệu hàng ngày'!$AB:$AB,'Heo thịt_Nhập dữ liệu hàng ngày'!$L:$L,'Theo dõi khách hàng heo thịt'!P38,'Heo thịt_Nhập dữ liệu hàng ngày'!$M:$M,'Theo dõi khách hàng heo thịt'!$N$31),"-")</f>
        <v>0</v>
      </c>
      <c r="S38" s="50">
        <f>IFERROR(SUMIFS('Heo thịt_Nhập dữ liệu hàng ngày'!$AC:$AC,'Heo thịt_Nhập dữ liệu hàng ngày'!$L:$L,'Theo dõi khách hàng heo thịt'!P38,'Heo thịt_Nhập dữ liệu hàng ngày'!$M:$M,'Theo dõi khách hàng heo thịt'!$N$31),"-")</f>
        <v>972000000</v>
      </c>
      <c r="T38" s="51">
        <f>IFERROR(SUMIFS('Heo thịt_Nhập dữ liệu hàng ngày'!$AD:$AD,'Heo thịt_Nhập dữ liệu hàng ngày'!$L:$L,'Theo dõi khách hàng heo thịt'!P38,'Heo thịt_Nhập dữ liệu hàng ngày'!$M:$M,'Theo dõi khách hàng heo thịt'!$N$31),"-")</f>
        <v>0</v>
      </c>
      <c r="U38" s="172">
        <f t="shared" si="7"/>
        <v>-972000000</v>
      </c>
    </row>
    <row r="39" spans="2:22" hidden="1" x14ac:dyDescent="0.3">
      <c r="B39" s="31">
        <v>35</v>
      </c>
      <c r="C39" s="18">
        <f>IFERROR(Data!C38,"")</f>
        <v>0</v>
      </c>
      <c r="D39" s="19">
        <f>SUMIFS('Heo thịt_Nhập dữ liệu hàng ngày'!$U:$U,'Heo thịt_Nhập dữ liệu hàng ngày'!$M:$M,'Theo dõi khách hàng heo thịt'!C39)</f>
        <v>0</v>
      </c>
      <c r="E39" s="19">
        <f>SUMIFS('Heo thịt_Nhập dữ liệu hàng ngày'!$AB:$AB,'Heo thịt_Nhập dữ liệu hàng ngày'!$M:$M,'Theo dõi khách hàng heo thịt'!C39)</f>
        <v>0</v>
      </c>
      <c r="F39" s="19">
        <f>SUMIFS('Heo thịt_Nhập dữ liệu hàng ngày'!$AC:$AC,'Heo thịt_Nhập dữ liệu hàng ngày'!$M:$M,'Theo dõi khách hàng heo thịt'!C39)</f>
        <v>0</v>
      </c>
      <c r="G39" s="20">
        <f>SUMIFS('Heo thịt_Nhập dữ liệu hàng ngày'!$AD:$AD,'Heo thịt_Nhập dữ liệu hàng ngày'!$M:$M,'Theo dõi khách hàng heo thịt'!C39)</f>
        <v>0</v>
      </c>
      <c r="H39" s="21">
        <f t="shared" si="5"/>
        <v>0</v>
      </c>
      <c r="I39" s="59">
        <f t="shared" si="2"/>
        <v>0</v>
      </c>
      <c r="J39" t="str">
        <f t="shared" si="3"/>
        <v>-</v>
      </c>
      <c r="L39" s="242">
        <f t="shared" si="6"/>
        <v>0</v>
      </c>
      <c r="M39" s="279"/>
      <c r="N39" s="282"/>
      <c r="O39" s="285"/>
      <c r="P39" s="49" t="s">
        <v>104</v>
      </c>
      <c r="Q39" s="50">
        <f>IFERROR(SUMIFS('Heo thịt_Nhập dữ liệu hàng ngày'!$U:$U,'Heo thịt_Nhập dữ liệu hàng ngày'!$L:$L,'Theo dõi khách hàng heo thịt'!P39,'Heo thịt_Nhập dữ liệu hàng ngày'!$M:$M,'Theo dõi khách hàng heo thịt'!$N$31),"-")</f>
        <v>0</v>
      </c>
      <c r="R39" s="50">
        <f>IFERROR(SUMIFS('Heo thịt_Nhập dữ liệu hàng ngày'!$AB:$AB,'Heo thịt_Nhập dữ liệu hàng ngày'!$L:$L,'Theo dõi khách hàng heo thịt'!P39,'Heo thịt_Nhập dữ liệu hàng ngày'!$M:$M,'Theo dõi khách hàng heo thịt'!$N$31),"-")</f>
        <v>0</v>
      </c>
      <c r="S39" s="50">
        <f>IFERROR(SUMIFS('Heo thịt_Nhập dữ liệu hàng ngày'!$AC:$AC,'Heo thịt_Nhập dữ liệu hàng ngày'!$L:$L,'Theo dõi khách hàng heo thịt'!P39,'Heo thịt_Nhập dữ liệu hàng ngày'!$M:$M,'Theo dõi khách hàng heo thịt'!$N$31),"-")</f>
        <v>0</v>
      </c>
      <c r="T39" s="51">
        <f>IFERROR(SUMIFS('Heo thịt_Nhập dữ liệu hàng ngày'!$AD:$AD,'Heo thịt_Nhập dữ liệu hàng ngày'!$L:$L,'Theo dõi khách hàng heo thịt'!P39,'Heo thịt_Nhập dữ liệu hàng ngày'!$M:$M,'Theo dõi khách hàng heo thịt'!$N$31),"-")</f>
        <v>0</v>
      </c>
      <c r="U39" s="172">
        <f t="shared" si="7"/>
        <v>0</v>
      </c>
    </row>
    <row r="40" spans="2:22" hidden="1" x14ac:dyDescent="0.3">
      <c r="B40" s="32">
        <v>36</v>
      </c>
      <c r="C40" s="18">
        <f>IFERROR(Data!C39,"")</f>
        <v>0</v>
      </c>
      <c r="D40" s="19">
        <f>SUMIFS('Heo thịt_Nhập dữ liệu hàng ngày'!$U:$U,'Heo thịt_Nhập dữ liệu hàng ngày'!$M:$M,'Theo dõi khách hàng heo thịt'!C40)</f>
        <v>0</v>
      </c>
      <c r="E40" s="19">
        <f>SUMIFS('Heo thịt_Nhập dữ liệu hàng ngày'!$AB:$AB,'Heo thịt_Nhập dữ liệu hàng ngày'!$M:$M,'Theo dõi khách hàng heo thịt'!C40)</f>
        <v>0</v>
      </c>
      <c r="F40" s="19">
        <f>SUMIFS('Heo thịt_Nhập dữ liệu hàng ngày'!$AC:$AC,'Heo thịt_Nhập dữ liệu hàng ngày'!$M:$M,'Theo dõi khách hàng heo thịt'!C40)</f>
        <v>0</v>
      </c>
      <c r="G40" s="20">
        <f>SUMIFS('Heo thịt_Nhập dữ liệu hàng ngày'!$AD:$AD,'Heo thịt_Nhập dữ liệu hàng ngày'!$M:$M,'Theo dõi khách hàng heo thịt'!C40)</f>
        <v>0</v>
      </c>
      <c r="H40" s="21">
        <f t="shared" si="5"/>
        <v>0</v>
      </c>
      <c r="I40" s="59">
        <f t="shared" si="2"/>
        <v>0</v>
      </c>
      <c r="J40" t="str">
        <f t="shared" si="3"/>
        <v>-</v>
      </c>
      <c r="K40" s="11" t="s">
        <v>162</v>
      </c>
      <c r="L40" s="242">
        <f t="shared" si="6"/>
        <v>0</v>
      </c>
      <c r="M40" s="279"/>
      <c r="N40" s="282"/>
      <c r="O40" s="285"/>
      <c r="P40" s="49" t="s">
        <v>33</v>
      </c>
      <c r="Q40" s="50">
        <f>IFERROR(SUMIFS('Heo thịt_Nhập dữ liệu hàng ngày'!$U:$U,'Heo thịt_Nhập dữ liệu hàng ngày'!$L:$L,'Theo dõi khách hàng heo thịt'!P40,'Heo thịt_Nhập dữ liệu hàng ngày'!$M:$M,'Theo dõi khách hàng heo thịt'!$N$31),"-")</f>
        <v>0</v>
      </c>
      <c r="R40" s="50">
        <f>IFERROR(SUMIFS('Heo thịt_Nhập dữ liệu hàng ngày'!$AB:$AB,'Heo thịt_Nhập dữ liệu hàng ngày'!$L:$L,'Theo dõi khách hàng heo thịt'!P40,'Heo thịt_Nhập dữ liệu hàng ngày'!$M:$M,'Theo dõi khách hàng heo thịt'!$N$31),"-")</f>
        <v>0</v>
      </c>
      <c r="S40" s="50">
        <f>IFERROR(SUMIFS('Heo thịt_Nhập dữ liệu hàng ngày'!$AC:$AC,'Heo thịt_Nhập dữ liệu hàng ngày'!$L:$L,'Theo dõi khách hàng heo thịt'!P40,'Heo thịt_Nhập dữ liệu hàng ngày'!$M:$M,'Theo dõi khách hàng heo thịt'!$N$31),"-")</f>
        <v>0</v>
      </c>
      <c r="T40" s="51">
        <f>IFERROR(SUMIFS('Heo thịt_Nhập dữ liệu hàng ngày'!$AD:$AD,'Heo thịt_Nhập dữ liệu hàng ngày'!$L:$L,'Theo dõi khách hàng heo thịt'!P40,'Heo thịt_Nhập dữ liệu hàng ngày'!$M:$M,'Theo dõi khách hàng heo thịt'!$N$31),"-")</f>
        <v>0</v>
      </c>
      <c r="U40" s="172">
        <f t="shared" si="7"/>
        <v>0</v>
      </c>
    </row>
    <row r="41" spans="2:22" hidden="1" x14ac:dyDescent="0.3">
      <c r="B41" s="31">
        <v>37</v>
      </c>
      <c r="C41" s="18">
        <f>IFERROR(Data!C40,"")</f>
        <v>0</v>
      </c>
      <c r="D41" s="19">
        <f>SUMIFS('Heo thịt_Nhập dữ liệu hàng ngày'!$U:$U,'Heo thịt_Nhập dữ liệu hàng ngày'!$M:$M,'Theo dõi khách hàng heo thịt'!C41)</f>
        <v>0</v>
      </c>
      <c r="E41" s="19">
        <f>SUMIFS('Heo thịt_Nhập dữ liệu hàng ngày'!$AB:$AB,'Heo thịt_Nhập dữ liệu hàng ngày'!$M:$M,'Theo dõi khách hàng heo thịt'!C41)</f>
        <v>0</v>
      </c>
      <c r="F41" s="19">
        <f>SUMIFS('Heo thịt_Nhập dữ liệu hàng ngày'!$AC:$AC,'Heo thịt_Nhập dữ liệu hàng ngày'!$M:$M,'Theo dõi khách hàng heo thịt'!C41)</f>
        <v>0</v>
      </c>
      <c r="G41" s="20">
        <f>SUMIFS('Heo thịt_Nhập dữ liệu hàng ngày'!$AD:$AD,'Heo thịt_Nhập dữ liệu hàng ngày'!$M:$M,'Theo dõi khách hàng heo thịt'!C41)</f>
        <v>0</v>
      </c>
      <c r="H41" s="21">
        <f t="shared" si="5"/>
        <v>0</v>
      </c>
      <c r="I41" s="59">
        <f t="shared" si="2"/>
        <v>0</v>
      </c>
      <c r="J41" t="str">
        <f t="shared" si="3"/>
        <v>-</v>
      </c>
      <c r="L41" s="242">
        <f t="shared" si="6"/>
        <v>0</v>
      </c>
      <c r="M41" s="279"/>
      <c r="N41" s="282"/>
      <c r="O41" s="285"/>
      <c r="P41" s="49" t="s">
        <v>101</v>
      </c>
      <c r="Q41" s="50">
        <f>IFERROR(SUMIFS('Heo thịt_Nhập dữ liệu hàng ngày'!$U:$U,'Heo thịt_Nhập dữ liệu hàng ngày'!$L:$L,'Theo dõi khách hàng heo thịt'!P41,'Heo thịt_Nhập dữ liệu hàng ngày'!$M:$M,'Theo dõi khách hàng heo thịt'!$N$31),"-")</f>
        <v>0</v>
      </c>
      <c r="R41" s="50">
        <f>IFERROR(SUMIFS('Heo thịt_Nhập dữ liệu hàng ngày'!$AB:$AB,'Heo thịt_Nhập dữ liệu hàng ngày'!$L:$L,'Theo dõi khách hàng heo thịt'!P41,'Heo thịt_Nhập dữ liệu hàng ngày'!$M:$M,'Theo dõi khách hàng heo thịt'!$N$31),"-")</f>
        <v>0</v>
      </c>
      <c r="S41" s="50">
        <f>IFERROR(SUMIFS('Heo thịt_Nhập dữ liệu hàng ngày'!$AC:$AC,'Heo thịt_Nhập dữ liệu hàng ngày'!$L:$L,'Theo dõi khách hàng heo thịt'!P41,'Heo thịt_Nhập dữ liệu hàng ngày'!$M:$M,'Theo dõi khách hàng heo thịt'!$N$31),"-")</f>
        <v>0</v>
      </c>
      <c r="T41" s="51">
        <f>IFERROR(SUMIFS('Heo thịt_Nhập dữ liệu hàng ngày'!$AD:$AD,'Heo thịt_Nhập dữ liệu hàng ngày'!$L:$L,'Theo dõi khách hàng heo thịt'!P41,'Heo thịt_Nhập dữ liệu hàng ngày'!$M:$M,'Theo dõi khách hàng heo thịt'!$N$31),"-")</f>
        <v>0</v>
      </c>
      <c r="U41" s="172">
        <f t="shared" si="7"/>
        <v>0</v>
      </c>
    </row>
    <row r="42" spans="2:22" hidden="1" x14ac:dyDescent="0.3">
      <c r="B42" s="32">
        <v>38</v>
      </c>
      <c r="C42" s="18">
        <f>IFERROR(Data!C41,"")</f>
        <v>0</v>
      </c>
      <c r="D42" s="19">
        <f>SUMIFS('Heo thịt_Nhập dữ liệu hàng ngày'!$U:$U,'Heo thịt_Nhập dữ liệu hàng ngày'!$M:$M,'Theo dõi khách hàng heo thịt'!C42)</f>
        <v>0</v>
      </c>
      <c r="E42" s="19">
        <f>SUMIFS('Heo thịt_Nhập dữ liệu hàng ngày'!$AB:$AB,'Heo thịt_Nhập dữ liệu hàng ngày'!$M:$M,'Theo dõi khách hàng heo thịt'!C42)</f>
        <v>0</v>
      </c>
      <c r="F42" s="19">
        <f>SUMIFS('Heo thịt_Nhập dữ liệu hàng ngày'!$AC:$AC,'Heo thịt_Nhập dữ liệu hàng ngày'!$M:$M,'Theo dõi khách hàng heo thịt'!C42)</f>
        <v>0</v>
      </c>
      <c r="G42" s="20">
        <f>SUMIFS('Heo thịt_Nhập dữ liệu hàng ngày'!$AD:$AD,'Heo thịt_Nhập dữ liệu hàng ngày'!$M:$M,'Theo dõi khách hàng heo thịt'!C42)</f>
        <v>0</v>
      </c>
      <c r="H42" s="21">
        <f t="shared" si="5"/>
        <v>0</v>
      </c>
      <c r="I42" s="59">
        <f t="shared" si="2"/>
        <v>0</v>
      </c>
      <c r="J42" t="str">
        <f t="shared" si="3"/>
        <v>-</v>
      </c>
      <c r="L42" s="242">
        <f t="shared" si="6"/>
        <v>0</v>
      </c>
      <c r="M42" s="279"/>
      <c r="N42" s="282"/>
      <c r="O42" s="285"/>
      <c r="P42" s="49" t="s">
        <v>102</v>
      </c>
      <c r="Q42" s="50">
        <f>IFERROR(SUMIFS('Heo thịt_Nhập dữ liệu hàng ngày'!$U:$U,'Heo thịt_Nhập dữ liệu hàng ngày'!$L:$L,'Theo dõi khách hàng heo thịt'!P42,'Heo thịt_Nhập dữ liệu hàng ngày'!$M:$M,'Theo dõi khách hàng heo thịt'!$N$31),"-")</f>
        <v>0</v>
      </c>
      <c r="R42" s="50">
        <f>IFERROR(SUMIFS('Heo thịt_Nhập dữ liệu hàng ngày'!$AB:$AB,'Heo thịt_Nhập dữ liệu hàng ngày'!$L:$L,'Theo dõi khách hàng heo thịt'!P42,'Heo thịt_Nhập dữ liệu hàng ngày'!$M:$M,'Theo dõi khách hàng heo thịt'!$N$31),"-")</f>
        <v>0</v>
      </c>
      <c r="S42" s="50">
        <f>IFERROR(SUMIFS('Heo thịt_Nhập dữ liệu hàng ngày'!$AC:$AC,'Heo thịt_Nhập dữ liệu hàng ngày'!$L:$L,'Theo dõi khách hàng heo thịt'!P42,'Heo thịt_Nhập dữ liệu hàng ngày'!$M:$M,'Theo dõi khách hàng heo thịt'!$N$31),"-")</f>
        <v>0</v>
      </c>
      <c r="T42" s="51">
        <f>IFERROR(SUMIFS('Heo thịt_Nhập dữ liệu hàng ngày'!$AD:$AD,'Heo thịt_Nhập dữ liệu hàng ngày'!$L:$L,'Theo dõi khách hàng heo thịt'!P42,'Heo thịt_Nhập dữ liệu hàng ngày'!$M:$M,'Theo dõi khách hàng heo thịt'!$N$31),"-")</f>
        <v>0</v>
      </c>
      <c r="U42" s="172">
        <f t="shared" si="7"/>
        <v>0</v>
      </c>
    </row>
    <row r="43" spans="2:22" hidden="1" x14ac:dyDescent="0.3">
      <c r="B43" s="31">
        <v>39</v>
      </c>
      <c r="C43" s="18">
        <f>IFERROR(Data!C42,"")</f>
        <v>0</v>
      </c>
      <c r="D43" s="19">
        <f>SUMIFS('Heo thịt_Nhập dữ liệu hàng ngày'!$U:$U,'Heo thịt_Nhập dữ liệu hàng ngày'!$M:$M,'Theo dõi khách hàng heo thịt'!C43)</f>
        <v>0</v>
      </c>
      <c r="E43" s="19">
        <f>SUMIFS('Heo thịt_Nhập dữ liệu hàng ngày'!$AB:$AB,'Heo thịt_Nhập dữ liệu hàng ngày'!$M:$M,'Theo dõi khách hàng heo thịt'!C43)</f>
        <v>0</v>
      </c>
      <c r="F43" s="19">
        <f>SUMIFS('Heo thịt_Nhập dữ liệu hàng ngày'!$AC:$AC,'Heo thịt_Nhập dữ liệu hàng ngày'!$M:$M,'Theo dõi khách hàng heo thịt'!C43)</f>
        <v>0</v>
      </c>
      <c r="G43" s="20">
        <f>SUMIFS('Heo thịt_Nhập dữ liệu hàng ngày'!$AD:$AD,'Heo thịt_Nhập dữ liệu hàng ngày'!$M:$M,'Theo dõi khách hàng heo thịt'!C43)</f>
        <v>0</v>
      </c>
      <c r="H43" s="21">
        <f t="shared" si="5"/>
        <v>0</v>
      </c>
      <c r="I43" s="59">
        <f t="shared" si="2"/>
        <v>0</v>
      </c>
      <c r="J43" t="str">
        <f t="shared" si="3"/>
        <v>-</v>
      </c>
      <c r="L43" s="242">
        <f t="shared" si="6"/>
        <v>0</v>
      </c>
      <c r="M43" s="279"/>
      <c r="N43" s="282"/>
      <c r="O43" s="285"/>
      <c r="P43" s="49" t="s">
        <v>100</v>
      </c>
      <c r="Q43" s="50">
        <f>IFERROR(SUMIFS('Heo thịt_Nhập dữ liệu hàng ngày'!$U:$U,'Heo thịt_Nhập dữ liệu hàng ngày'!$L:$L,'Theo dõi khách hàng heo thịt'!P43,'Heo thịt_Nhập dữ liệu hàng ngày'!$M:$M,'Theo dõi khách hàng heo thịt'!$N$31),"-")</f>
        <v>0</v>
      </c>
      <c r="R43" s="50">
        <f>IFERROR(SUMIFS('Heo thịt_Nhập dữ liệu hàng ngày'!$AB:$AB,'Heo thịt_Nhập dữ liệu hàng ngày'!$L:$L,'Theo dõi khách hàng heo thịt'!P43,'Heo thịt_Nhập dữ liệu hàng ngày'!$M:$M,'Theo dõi khách hàng heo thịt'!$N$31),"-")</f>
        <v>0</v>
      </c>
      <c r="S43" s="50">
        <f>IFERROR(SUMIFS('Heo thịt_Nhập dữ liệu hàng ngày'!$AC:$AC,'Heo thịt_Nhập dữ liệu hàng ngày'!$L:$L,'Theo dõi khách hàng heo thịt'!P43,'Heo thịt_Nhập dữ liệu hàng ngày'!$M:$M,'Theo dõi khách hàng heo thịt'!$N$31),"-")</f>
        <v>0</v>
      </c>
      <c r="T43" s="51">
        <f>IFERROR(SUMIFS('Heo thịt_Nhập dữ liệu hàng ngày'!$AD:$AD,'Heo thịt_Nhập dữ liệu hàng ngày'!$L:$L,'Theo dõi khách hàng heo thịt'!P43,'Heo thịt_Nhập dữ liệu hàng ngày'!$M:$M,'Theo dõi khách hàng heo thịt'!$N$31),"-")</f>
        <v>0</v>
      </c>
      <c r="U43" s="172">
        <f t="shared" si="7"/>
        <v>0</v>
      </c>
    </row>
    <row r="44" spans="2:22" hidden="1" x14ac:dyDescent="0.3">
      <c r="B44" s="32">
        <v>40</v>
      </c>
      <c r="C44" s="18">
        <f>IFERROR(Data!C43,"")</f>
        <v>0</v>
      </c>
      <c r="D44" s="19">
        <f>SUMIFS('Heo thịt_Nhập dữ liệu hàng ngày'!$U:$U,'Heo thịt_Nhập dữ liệu hàng ngày'!$M:$M,'Theo dõi khách hàng heo thịt'!C44)</f>
        <v>0</v>
      </c>
      <c r="E44" s="19">
        <f>SUMIFS('Heo thịt_Nhập dữ liệu hàng ngày'!$AB:$AB,'Heo thịt_Nhập dữ liệu hàng ngày'!$M:$M,'Theo dõi khách hàng heo thịt'!C44)</f>
        <v>0</v>
      </c>
      <c r="F44" s="19">
        <f>SUMIFS('Heo thịt_Nhập dữ liệu hàng ngày'!$AC:$AC,'Heo thịt_Nhập dữ liệu hàng ngày'!$M:$M,'Theo dõi khách hàng heo thịt'!C44)</f>
        <v>0</v>
      </c>
      <c r="G44" s="20">
        <f>SUMIFS('Heo thịt_Nhập dữ liệu hàng ngày'!$AD:$AD,'Heo thịt_Nhập dữ liệu hàng ngày'!$M:$M,'Theo dõi khách hàng heo thịt'!C44)</f>
        <v>0</v>
      </c>
      <c r="H44" s="21">
        <f t="shared" si="5"/>
        <v>0</v>
      </c>
      <c r="I44" s="59">
        <f t="shared" si="2"/>
        <v>0</v>
      </c>
      <c r="J44" t="str">
        <f t="shared" si="3"/>
        <v>-</v>
      </c>
      <c r="L44" s="242">
        <f t="shared" si="6"/>
        <v>0</v>
      </c>
      <c r="M44" s="279"/>
      <c r="N44" s="282"/>
      <c r="O44" s="285"/>
      <c r="P44" s="49" t="s">
        <v>103</v>
      </c>
      <c r="Q44" s="50">
        <f>IFERROR(SUMIFS('Heo thịt_Nhập dữ liệu hàng ngày'!$U:$U,'Heo thịt_Nhập dữ liệu hàng ngày'!$L:$L,'Theo dõi khách hàng heo thịt'!P44,'Heo thịt_Nhập dữ liệu hàng ngày'!$M:$M,'Theo dõi khách hàng heo thịt'!$N$31),"-")</f>
        <v>0</v>
      </c>
      <c r="R44" s="50">
        <f>IFERROR(SUMIFS('Heo thịt_Nhập dữ liệu hàng ngày'!$AB:$AB,'Heo thịt_Nhập dữ liệu hàng ngày'!$L:$L,'Theo dõi khách hàng heo thịt'!P44,'Heo thịt_Nhập dữ liệu hàng ngày'!$M:$M,'Theo dõi khách hàng heo thịt'!$N$31),"-")</f>
        <v>0</v>
      </c>
      <c r="S44" s="50">
        <f>IFERROR(SUMIFS('Heo thịt_Nhập dữ liệu hàng ngày'!$AC:$AC,'Heo thịt_Nhập dữ liệu hàng ngày'!$L:$L,'Theo dõi khách hàng heo thịt'!P44,'Heo thịt_Nhập dữ liệu hàng ngày'!$M:$M,'Theo dõi khách hàng heo thịt'!$N$31),"-")</f>
        <v>0</v>
      </c>
      <c r="T44" s="51">
        <f>IFERROR(SUMIFS('Heo thịt_Nhập dữ liệu hàng ngày'!$AD:$AD,'Heo thịt_Nhập dữ liệu hàng ngày'!$L:$L,'Theo dõi khách hàng heo thịt'!P44,'Heo thịt_Nhập dữ liệu hàng ngày'!$M:$M,'Theo dõi khách hàng heo thịt'!$N$31),"-")</f>
        <v>0</v>
      </c>
      <c r="U44" s="172">
        <f t="shared" si="7"/>
        <v>0</v>
      </c>
    </row>
    <row r="45" spans="2:22" hidden="1" x14ac:dyDescent="0.3">
      <c r="B45" s="31">
        <v>41</v>
      </c>
      <c r="C45" s="18">
        <f>IFERROR(Data!C44,"")</f>
        <v>0</v>
      </c>
      <c r="D45" s="19">
        <f>SUMIFS('Heo thịt_Nhập dữ liệu hàng ngày'!$U:$U,'Heo thịt_Nhập dữ liệu hàng ngày'!$M:$M,'Theo dõi khách hàng heo thịt'!C45)</f>
        <v>0</v>
      </c>
      <c r="E45" s="19">
        <f>SUMIFS('Heo thịt_Nhập dữ liệu hàng ngày'!$AB:$AB,'Heo thịt_Nhập dữ liệu hàng ngày'!$M:$M,'Theo dõi khách hàng heo thịt'!C45)</f>
        <v>0</v>
      </c>
      <c r="F45" s="19">
        <f>SUMIFS('Heo thịt_Nhập dữ liệu hàng ngày'!$AC:$AC,'Heo thịt_Nhập dữ liệu hàng ngày'!$M:$M,'Theo dõi khách hàng heo thịt'!C45)</f>
        <v>0</v>
      </c>
      <c r="G45" s="20">
        <f>SUMIFS('Heo thịt_Nhập dữ liệu hàng ngày'!$AD:$AD,'Heo thịt_Nhập dữ liệu hàng ngày'!$M:$M,'Theo dõi khách hàng heo thịt'!C45)</f>
        <v>0</v>
      </c>
      <c r="H45" s="21">
        <f t="shared" si="5"/>
        <v>0</v>
      </c>
      <c r="I45" s="59">
        <f t="shared" si="2"/>
        <v>0</v>
      </c>
      <c r="J45" t="str">
        <f t="shared" si="3"/>
        <v>-</v>
      </c>
      <c r="L45" s="242">
        <f t="shared" si="6"/>
        <v>0</v>
      </c>
      <c r="M45" s="279"/>
      <c r="N45" s="282"/>
      <c r="O45" s="285"/>
      <c r="P45" s="49" t="s">
        <v>128</v>
      </c>
      <c r="Q45" s="50">
        <f>IFERROR(SUMIFS('Heo thịt_Nhập dữ liệu hàng ngày'!$U:$U,'Heo thịt_Nhập dữ liệu hàng ngày'!$L:$L,'Theo dõi khách hàng heo thịt'!P45,'Heo thịt_Nhập dữ liệu hàng ngày'!$M:$M,'Theo dõi khách hàng heo thịt'!$N$31),"-")</f>
        <v>0</v>
      </c>
      <c r="R45" s="50">
        <f>IFERROR(SUMIFS('Heo thịt_Nhập dữ liệu hàng ngày'!$AB:$AB,'Heo thịt_Nhập dữ liệu hàng ngày'!$L:$L,'Theo dõi khách hàng heo thịt'!P45,'Heo thịt_Nhập dữ liệu hàng ngày'!$M:$M,'Theo dõi khách hàng heo thịt'!$N$31),"-")</f>
        <v>0</v>
      </c>
      <c r="S45" s="50">
        <f>IFERROR(SUMIFS('Heo thịt_Nhập dữ liệu hàng ngày'!$AC:$AC,'Heo thịt_Nhập dữ liệu hàng ngày'!$L:$L,'Theo dõi khách hàng heo thịt'!P45,'Heo thịt_Nhập dữ liệu hàng ngày'!$M:$M,'Theo dõi khách hàng heo thịt'!$N$31),"-")</f>
        <v>0</v>
      </c>
      <c r="T45" s="51">
        <f>IFERROR(SUMIFS('Heo thịt_Nhập dữ liệu hàng ngày'!$AD:$AD,'Heo thịt_Nhập dữ liệu hàng ngày'!$L:$L,'Theo dõi khách hàng heo thịt'!P45,'Heo thịt_Nhập dữ liệu hàng ngày'!$M:$M,'Theo dõi khách hàng heo thịt'!$N$31),"-")</f>
        <v>0</v>
      </c>
      <c r="U45" s="172">
        <f t="shared" si="7"/>
        <v>0</v>
      </c>
    </row>
    <row r="46" spans="2:22" hidden="1" x14ac:dyDescent="0.3">
      <c r="B46" s="32">
        <v>42</v>
      </c>
      <c r="C46" s="18">
        <f>IFERROR(Data!C45,"")</f>
        <v>0</v>
      </c>
      <c r="D46" s="19">
        <f>SUMIFS('Heo thịt_Nhập dữ liệu hàng ngày'!$U:$U,'Heo thịt_Nhập dữ liệu hàng ngày'!$M:$M,'Theo dõi khách hàng heo thịt'!C46)</f>
        <v>0</v>
      </c>
      <c r="E46" s="19">
        <f>SUMIFS('Heo thịt_Nhập dữ liệu hàng ngày'!$AB:$AB,'Heo thịt_Nhập dữ liệu hàng ngày'!$M:$M,'Theo dõi khách hàng heo thịt'!C46)</f>
        <v>0</v>
      </c>
      <c r="F46" s="19">
        <f>SUMIFS('Heo thịt_Nhập dữ liệu hàng ngày'!$AC:$AC,'Heo thịt_Nhập dữ liệu hàng ngày'!$M:$M,'Theo dõi khách hàng heo thịt'!C46)</f>
        <v>0</v>
      </c>
      <c r="G46" s="20">
        <f>SUMIFS('Heo thịt_Nhập dữ liệu hàng ngày'!$AD:$AD,'Heo thịt_Nhập dữ liệu hàng ngày'!$M:$M,'Theo dõi khách hàng heo thịt'!C46)</f>
        <v>0</v>
      </c>
      <c r="H46" s="21">
        <f t="shared" si="5"/>
        <v>0</v>
      </c>
      <c r="I46" s="59">
        <f t="shared" si="2"/>
        <v>0</v>
      </c>
      <c r="J46" t="str">
        <f t="shared" si="3"/>
        <v>-</v>
      </c>
      <c r="L46" s="242">
        <f t="shared" si="6"/>
        <v>0</v>
      </c>
      <c r="M46" s="279"/>
      <c r="N46" s="282"/>
      <c r="O46" s="285"/>
      <c r="P46" s="49" t="s">
        <v>129</v>
      </c>
      <c r="Q46" s="50">
        <f>IFERROR(SUMIFS('Heo thịt_Nhập dữ liệu hàng ngày'!$U:$U,'Heo thịt_Nhập dữ liệu hàng ngày'!$L:$L,'Theo dõi khách hàng heo thịt'!P46,'Heo thịt_Nhập dữ liệu hàng ngày'!$M:$M,'Theo dõi khách hàng heo thịt'!$N$31),"-")</f>
        <v>0</v>
      </c>
      <c r="R46" s="50">
        <f>IFERROR(SUMIFS('Heo thịt_Nhập dữ liệu hàng ngày'!$AB:$AB,'Heo thịt_Nhập dữ liệu hàng ngày'!$L:$L,'Theo dõi khách hàng heo thịt'!P46,'Heo thịt_Nhập dữ liệu hàng ngày'!$M:$M,'Theo dõi khách hàng heo thịt'!$N$31),"-")</f>
        <v>0</v>
      </c>
      <c r="S46" s="50">
        <f>IFERROR(SUMIFS('Heo thịt_Nhập dữ liệu hàng ngày'!$AC:$AC,'Heo thịt_Nhập dữ liệu hàng ngày'!$L:$L,'Theo dõi khách hàng heo thịt'!P46,'Heo thịt_Nhập dữ liệu hàng ngày'!$M:$M,'Theo dõi khách hàng heo thịt'!$N$31),"-")</f>
        <v>0</v>
      </c>
      <c r="T46" s="51">
        <f>IFERROR(SUMIFS('Heo thịt_Nhập dữ liệu hàng ngày'!$AD:$AD,'Heo thịt_Nhập dữ liệu hàng ngày'!$L:$L,'Theo dõi khách hàng heo thịt'!P46,'Heo thịt_Nhập dữ liệu hàng ngày'!$M:$M,'Theo dõi khách hàng heo thịt'!$N$31),"-")</f>
        <v>0</v>
      </c>
      <c r="U46" s="172">
        <f t="shared" si="7"/>
        <v>0</v>
      </c>
    </row>
    <row r="47" spans="2:22" hidden="1" x14ac:dyDescent="0.3">
      <c r="B47" s="31">
        <v>43</v>
      </c>
      <c r="C47" s="18">
        <f>IFERROR(Data!C46,"")</f>
        <v>0</v>
      </c>
      <c r="D47" s="19">
        <f>SUMIFS('Heo thịt_Nhập dữ liệu hàng ngày'!$U:$U,'Heo thịt_Nhập dữ liệu hàng ngày'!$M:$M,'Theo dõi khách hàng heo thịt'!C47)</f>
        <v>0</v>
      </c>
      <c r="E47" s="19">
        <f>SUMIFS('Heo thịt_Nhập dữ liệu hàng ngày'!$AB:$AB,'Heo thịt_Nhập dữ liệu hàng ngày'!$M:$M,'Theo dõi khách hàng heo thịt'!C47)</f>
        <v>0</v>
      </c>
      <c r="F47" s="19">
        <f>SUMIFS('Heo thịt_Nhập dữ liệu hàng ngày'!$AC:$AC,'Heo thịt_Nhập dữ liệu hàng ngày'!$M:$M,'Theo dõi khách hàng heo thịt'!C47)</f>
        <v>0</v>
      </c>
      <c r="G47" s="20">
        <f>SUMIFS('Heo thịt_Nhập dữ liệu hàng ngày'!$AD:$AD,'Heo thịt_Nhập dữ liệu hàng ngày'!$M:$M,'Theo dõi khách hàng heo thịt'!C47)</f>
        <v>0</v>
      </c>
      <c r="H47" s="21">
        <f t="shared" si="5"/>
        <v>0</v>
      </c>
      <c r="I47" s="59">
        <f t="shared" si="2"/>
        <v>0</v>
      </c>
      <c r="J47" t="str">
        <f t="shared" si="3"/>
        <v>-</v>
      </c>
      <c r="L47" s="242">
        <f t="shared" si="6"/>
        <v>0</v>
      </c>
      <c r="M47" s="279"/>
      <c r="N47" s="282"/>
      <c r="O47" s="285"/>
      <c r="P47" s="49" t="s">
        <v>130</v>
      </c>
      <c r="Q47" s="50">
        <f>IFERROR(SUMIFS('Heo thịt_Nhập dữ liệu hàng ngày'!$U:$U,'Heo thịt_Nhập dữ liệu hàng ngày'!$L:$L,'Theo dõi khách hàng heo thịt'!P47,'Heo thịt_Nhập dữ liệu hàng ngày'!$M:$M,'Theo dõi khách hàng heo thịt'!$N$31),"-")</f>
        <v>0</v>
      </c>
      <c r="R47" s="50">
        <f>IFERROR(SUMIFS('Heo thịt_Nhập dữ liệu hàng ngày'!$AB:$AB,'Heo thịt_Nhập dữ liệu hàng ngày'!$L:$L,'Theo dõi khách hàng heo thịt'!P47,'Heo thịt_Nhập dữ liệu hàng ngày'!$M:$M,'Theo dõi khách hàng heo thịt'!$N$31),"-")</f>
        <v>0</v>
      </c>
      <c r="S47" s="50">
        <f>IFERROR(SUMIFS('Heo thịt_Nhập dữ liệu hàng ngày'!$AC:$AC,'Heo thịt_Nhập dữ liệu hàng ngày'!$L:$L,'Theo dõi khách hàng heo thịt'!P47,'Heo thịt_Nhập dữ liệu hàng ngày'!$M:$M,'Theo dõi khách hàng heo thịt'!$N$31),"-")</f>
        <v>0</v>
      </c>
      <c r="T47" s="51">
        <f>IFERROR(SUMIFS('Heo thịt_Nhập dữ liệu hàng ngày'!$AD:$AD,'Heo thịt_Nhập dữ liệu hàng ngày'!$L:$L,'Theo dõi khách hàng heo thịt'!P47,'Heo thịt_Nhập dữ liệu hàng ngày'!$M:$M,'Theo dõi khách hàng heo thịt'!$N$31),"-")</f>
        <v>0</v>
      </c>
      <c r="U47" s="172">
        <f t="shared" si="7"/>
        <v>0</v>
      </c>
    </row>
    <row r="48" spans="2:22" hidden="1" x14ac:dyDescent="0.3">
      <c r="B48" s="32">
        <v>44</v>
      </c>
      <c r="C48" s="18">
        <f>IFERROR(Data!C47,"")</f>
        <v>0</v>
      </c>
      <c r="D48" s="19">
        <f>SUMIFS('Heo thịt_Nhập dữ liệu hàng ngày'!$U:$U,'Heo thịt_Nhập dữ liệu hàng ngày'!$M:$M,'Theo dõi khách hàng heo thịt'!C48)</f>
        <v>0</v>
      </c>
      <c r="E48" s="19">
        <f>SUMIFS('Heo thịt_Nhập dữ liệu hàng ngày'!$AB:$AB,'Heo thịt_Nhập dữ liệu hàng ngày'!$M:$M,'Theo dõi khách hàng heo thịt'!C48)</f>
        <v>0</v>
      </c>
      <c r="F48" s="19">
        <f>SUMIFS('Heo thịt_Nhập dữ liệu hàng ngày'!$AC:$AC,'Heo thịt_Nhập dữ liệu hàng ngày'!$M:$M,'Theo dõi khách hàng heo thịt'!C48)</f>
        <v>0</v>
      </c>
      <c r="G48" s="20">
        <f>SUMIFS('Heo thịt_Nhập dữ liệu hàng ngày'!$AD:$AD,'Heo thịt_Nhập dữ liệu hàng ngày'!$M:$M,'Theo dõi khách hàng heo thịt'!C48)</f>
        <v>0</v>
      </c>
      <c r="H48" s="21">
        <f t="shared" si="5"/>
        <v>0</v>
      </c>
      <c r="I48" s="59">
        <f t="shared" si="2"/>
        <v>0</v>
      </c>
      <c r="J48" t="str">
        <f t="shared" si="3"/>
        <v>-</v>
      </c>
      <c r="L48" s="242">
        <f t="shared" si="6"/>
        <v>0</v>
      </c>
      <c r="M48" s="279"/>
      <c r="N48" s="282"/>
      <c r="O48" s="285"/>
      <c r="P48" s="49" t="s">
        <v>131</v>
      </c>
      <c r="Q48" s="50">
        <f>IFERROR(SUMIFS('Heo thịt_Nhập dữ liệu hàng ngày'!$U:$U,'Heo thịt_Nhập dữ liệu hàng ngày'!$L:$L,'Theo dõi khách hàng heo thịt'!P48,'Heo thịt_Nhập dữ liệu hàng ngày'!$M:$M,'Theo dõi khách hàng heo thịt'!$N$31),"-")</f>
        <v>0</v>
      </c>
      <c r="R48" s="50">
        <f>IFERROR(SUMIFS('Heo thịt_Nhập dữ liệu hàng ngày'!$AB:$AB,'Heo thịt_Nhập dữ liệu hàng ngày'!$L:$L,'Theo dõi khách hàng heo thịt'!P48,'Heo thịt_Nhập dữ liệu hàng ngày'!$M:$M,'Theo dõi khách hàng heo thịt'!$N$31),"-")</f>
        <v>0</v>
      </c>
      <c r="S48" s="50">
        <f>IFERROR(SUMIFS('Heo thịt_Nhập dữ liệu hàng ngày'!$AC:$AC,'Heo thịt_Nhập dữ liệu hàng ngày'!$L:$L,'Theo dõi khách hàng heo thịt'!P48,'Heo thịt_Nhập dữ liệu hàng ngày'!$M:$M,'Theo dõi khách hàng heo thịt'!$N$31),"-")</f>
        <v>0</v>
      </c>
      <c r="T48" s="51">
        <f>IFERROR(SUMIFS('Heo thịt_Nhập dữ liệu hàng ngày'!$AD:$AD,'Heo thịt_Nhập dữ liệu hàng ngày'!$L:$L,'Theo dõi khách hàng heo thịt'!P48,'Heo thịt_Nhập dữ liệu hàng ngày'!$M:$M,'Theo dõi khách hàng heo thịt'!$N$31),"-")</f>
        <v>0</v>
      </c>
      <c r="U48" s="172">
        <f t="shared" si="7"/>
        <v>0</v>
      </c>
    </row>
    <row r="49" spans="2:22" hidden="1" x14ac:dyDescent="0.3">
      <c r="B49" s="31">
        <v>45</v>
      </c>
      <c r="C49" s="18">
        <f>IFERROR(Data!C48,"")</f>
        <v>0</v>
      </c>
      <c r="D49" s="19">
        <f>SUMIFS('Heo thịt_Nhập dữ liệu hàng ngày'!$U:$U,'Heo thịt_Nhập dữ liệu hàng ngày'!$M:$M,'Theo dõi khách hàng heo thịt'!C49)</f>
        <v>0</v>
      </c>
      <c r="E49" s="19">
        <f>SUMIFS('Heo thịt_Nhập dữ liệu hàng ngày'!$AB:$AB,'Heo thịt_Nhập dữ liệu hàng ngày'!$M:$M,'Theo dõi khách hàng heo thịt'!C49)</f>
        <v>0</v>
      </c>
      <c r="F49" s="19">
        <f>SUMIFS('Heo thịt_Nhập dữ liệu hàng ngày'!$AC:$AC,'Heo thịt_Nhập dữ liệu hàng ngày'!$M:$M,'Theo dõi khách hàng heo thịt'!C49)</f>
        <v>0</v>
      </c>
      <c r="G49" s="20">
        <f>SUMIFS('Heo thịt_Nhập dữ liệu hàng ngày'!$AD:$AD,'Heo thịt_Nhập dữ liệu hàng ngày'!$M:$M,'Theo dõi khách hàng heo thịt'!C49)</f>
        <v>0</v>
      </c>
      <c r="H49" s="21">
        <f t="shared" si="5"/>
        <v>0</v>
      </c>
      <c r="I49" s="59">
        <f t="shared" si="2"/>
        <v>0</v>
      </c>
      <c r="J49" t="str">
        <f t="shared" si="3"/>
        <v>-</v>
      </c>
      <c r="L49" s="242">
        <f t="shared" si="6"/>
        <v>0</v>
      </c>
      <c r="M49" s="279"/>
      <c r="N49" s="282"/>
      <c r="O49" s="285"/>
      <c r="P49" s="49" t="s">
        <v>132</v>
      </c>
      <c r="Q49" s="50">
        <f>IFERROR(SUMIFS('Heo thịt_Nhập dữ liệu hàng ngày'!$U:$U,'Heo thịt_Nhập dữ liệu hàng ngày'!$L:$L,'Theo dõi khách hàng heo thịt'!P49,'Heo thịt_Nhập dữ liệu hàng ngày'!$M:$M,'Theo dõi khách hàng heo thịt'!$N$31),"-")</f>
        <v>0</v>
      </c>
      <c r="R49" s="50">
        <f>IFERROR(SUMIFS('Heo thịt_Nhập dữ liệu hàng ngày'!$AB:$AB,'Heo thịt_Nhập dữ liệu hàng ngày'!$L:$L,'Theo dõi khách hàng heo thịt'!P49,'Heo thịt_Nhập dữ liệu hàng ngày'!$M:$M,'Theo dõi khách hàng heo thịt'!$N$31),"-")</f>
        <v>0</v>
      </c>
      <c r="S49" s="50">
        <f>IFERROR(SUMIFS('Heo thịt_Nhập dữ liệu hàng ngày'!$AC:$AC,'Heo thịt_Nhập dữ liệu hàng ngày'!$L:$L,'Theo dõi khách hàng heo thịt'!P49,'Heo thịt_Nhập dữ liệu hàng ngày'!$M:$M,'Theo dõi khách hàng heo thịt'!$N$31),"-")</f>
        <v>0</v>
      </c>
      <c r="T49" s="51">
        <f>IFERROR(SUMIFS('Heo thịt_Nhập dữ liệu hàng ngày'!$AD:$AD,'Heo thịt_Nhập dữ liệu hàng ngày'!$L:$L,'Theo dõi khách hàng heo thịt'!P49,'Heo thịt_Nhập dữ liệu hàng ngày'!$M:$M,'Theo dõi khách hàng heo thịt'!$N$31),"-")</f>
        <v>0</v>
      </c>
      <c r="U49" s="172">
        <f t="shared" si="7"/>
        <v>0</v>
      </c>
    </row>
    <row r="50" spans="2:22" hidden="1" x14ac:dyDescent="0.3">
      <c r="B50" s="32">
        <v>46</v>
      </c>
      <c r="C50" s="18">
        <f>IFERROR(Data!C49,"")</f>
        <v>0</v>
      </c>
      <c r="D50" s="19">
        <f>SUMIFS('Heo thịt_Nhập dữ liệu hàng ngày'!$U:$U,'Heo thịt_Nhập dữ liệu hàng ngày'!$M:$M,'Theo dõi khách hàng heo thịt'!C50)</f>
        <v>0</v>
      </c>
      <c r="E50" s="19">
        <f>SUMIFS('Heo thịt_Nhập dữ liệu hàng ngày'!$AB:$AB,'Heo thịt_Nhập dữ liệu hàng ngày'!$M:$M,'Theo dõi khách hàng heo thịt'!C50)</f>
        <v>0</v>
      </c>
      <c r="F50" s="19">
        <f>SUMIFS('Heo thịt_Nhập dữ liệu hàng ngày'!$AC:$AC,'Heo thịt_Nhập dữ liệu hàng ngày'!$M:$M,'Theo dõi khách hàng heo thịt'!C50)</f>
        <v>0</v>
      </c>
      <c r="G50" s="20">
        <f>SUMIFS('Heo thịt_Nhập dữ liệu hàng ngày'!$AD:$AD,'Heo thịt_Nhập dữ liệu hàng ngày'!$M:$M,'Theo dõi khách hàng heo thịt'!C50)</f>
        <v>0</v>
      </c>
      <c r="H50" s="21">
        <f t="shared" si="5"/>
        <v>0</v>
      </c>
      <c r="I50" s="59">
        <f t="shared" si="2"/>
        <v>0</v>
      </c>
      <c r="J50" t="str">
        <f t="shared" si="3"/>
        <v>-</v>
      </c>
      <c r="L50" s="242">
        <f t="shared" si="6"/>
        <v>0</v>
      </c>
      <c r="M50" s="279"/>
      <c r="N50" s="282"/>
      <c r="O50" s="285"/>
      <c r="P50" s="49" t="s">
        <v>120</v>
      </c>
      <c r="Q50" s="50">
        <f>IFERROR(SUMIFS('Heo thịt_Nhập dữ liệu hàng ngày'!$U:$U,'Heo thịt_Nhập dữ liệu hàng ngày'!$L:$L,'Theo dõi khách hàng heo thịt'!P50,'Heo thịt_Nhập dữ liệu hàng ngày'!$M:$M,'Theo dõi khách hàng heo thịt'!$N$31),"-")</f>
        <v>0</v>
      </c>
      <c r="R50" s="50">
        <f>IFERROR(SUMIFS('Heo thịt_Nhập dữ liệu hàng ngày'!$AB:$AB,'Heo thịt_Nhập dữ liệu hàng ngày'!$L:$L,'Theo dõi khách hàng heo thịt'!P50,'Heo thịt_Nhập dữ liệu hàng ngày'!$M:$M,'Theo dõi khách hàng heo thịt'!$N$31),"-")</f>
        <v>0</v>
      </c>
      <c r="S50" s="50">
        <f>IFERROR(SUMIFS('Heo thịt_Nhập dữ liệu hàng ngày'!$AC:$AC,'Heo thịt_Nhập dữ liệu hàng ngày'!$L:$L,'Theo dõi khách hàng heo thịt'!P50,'Heo thịt_Nhập dữ liệu hàng ngày'!$M:$M,'Theo dõi khách hàng heo thịt'!$N$31),"-")</f>
        <v>0</v>
      </c>
      <c r="T50" s="51">
        <f>IFERROR(SUMIFS('Heo thịt_Nhập dữ liệu hàng ngày'!$AD:$AD,'Heo thịt_Nhập dữ liệu hàng ngày'!$L:$L,'Theo dõi khách hàng heo thịt'!P50,'Heo thịt_Nhập dữ liệu hàng ngày'!$M:$M,'Theo dõi khách hàng heo thịt'!$N$31),"-")</f>
        <v>0</v>
      </c>
      <c r="U50" s="172">
        <f t="shared" si="7"/>
        <v>0</v>
      </c>
    </row>
    <row r="51" spans="2:22" hidden="1" x14ac:dyDescent="0.3">
      <c r="B51" s="31">
        <v>47</v>
      </c>
      <c r="C51" s="18">
        <f>IFERROR(Data!C50,"")</f>
        <v>0</v>
      </c>
      <c r="D51" s="19">
        <f>SUMIFS('Heo thịt_Nhập dữ liệu hàng ngày'!$U:$U,'Heo thịt_Nhập dữ liệu hàng ngày'!$M:$M,'Theo dõi khách hàng heo thịt'!C51)</f>
        <v>0</v>
      </c>
      <c r="E51" s="19">
        <f>SUMIFS('Heo thịt_Nhập dữ liệu hàng ngày'!$AB:$AB,'Heo thịt_Nhập dữ liệu hàng ngày'!$M:$M,'Theo dõi khách hàng heo thịt'!C51)</f>
        <v>0</v>
      </c>
      <c r="F51" s="19">
        <f>SUMIFS('Heo thịt_Nhập dữ liệu hàng ngày'!$AC:$AC,'Heo thịt_Nhập dữ liệu hàng ngày'!$M:$M,'Theo dõi khách hàng heo thịt'!C51)</f>
        <v>0</v>
      </c>
      <c r="G51" s="20">
        <f>SUMIFS('Heo thịt_Nhập dữ liệu hàng ngày'!$AD:$AD,'Heo thịt_Nhập dữ liệu hàng ngày'!$M:$M,'Theo dõi khách hàng heo thịt'!C51)</f>
        <v>0</v>
      </c>
      <c r="H51" s="21">
        <f t="shared" si="5"/>
        <v>0</v>
      </c>
      <c r="I51" s="59">
        <f t="shared" si="2"/>
        <v>0</v>
      </c>
      <c r="J51" t="str">
        <f t="shared" si="3"/>
        <v>-</v>
      </c>
      <c r="L51" s="242">
        <f t="shared" si="6"/>
        <v>0</v>
      </c>
      <c r="M51" s="279"/>
      <c r="N51" s="282"/>
      <c r="O51" s="285"/>
      <c r="P51" s="49" t="s">
        <v>137</v>
      </c>
      <c r="Q51" s="50">
        <f>IFERROR(SUMIFS('Heo thịt_Nhập dữ liệu hàng ngày'!$U:$U,'Heo thịt_Nhập dữ liệu hàng ngày'!$L:$L,'Theo dõi khách hàng heo thịt'!P51,'Heo thịt_Nhập dữ liệu hàng ngày'!$M:$M,'Theo dõi khách hàng heo thịt'!$N$31),"-")</f>
        <v>0</v>
      </c>
      <c r="R51" s="50">
        <f>IFERROR(SUMIFS('Heo thịt_Nhập dữ liệu hàng ngày'!$AB:$AB,'Heo thịt_Nhập dữ liệu hàng ngày'!$L:$L,'Theo dõi khách hàng heo thịt'!P51,'Heo thịt_Nhập dữ liệu hàng ngày'!$M:$M,'Theo dõi khách hàng heo thịt'!$N$31),"-")</f>
        <v>0</v>
      </c>
      <c r="S51" s="50">
        <f>IFERROR(SUMIFS('Heo thịt_Nhập dữ liệu hàng ngày'!$AC:$AC,'Heo thịt_Nhập dữ liệu hàng ngày'!$L:$L,'Theo dõi khách hàng heo thịt'!P51,'Heo thịt_Nhập dữ liệu hàng ngày'!$M:$M,'Theo dõi khách hàng heo thịt'!$N$31),"-")</f>
        <v>0</v>
      </c>
      <c r="T51" s="51">
        <f>IFERROR(SUMIFS('Heo thịt_Nhập dữ liệu hàng ngày'!$AD:$AD,'Heo thịt_Nhập dữ liệu hàng ngày'!$L:$L,'Theo dõi khách hàng heo thịt'!P51,'Heo thịt_Nhập dữ liệu hàng ngày'!$M:$M,'Theo dõi khách hàng heo thịt'!$N$31),"-")</f>
        <v>0</v>
      </c>
      <c r="U51" s="172">
        <f t="shared" si="7"/>
        <v>0</v>
      </c>
      <c r="V51" s="11"/>
    </row>
    <row r="52" spans="2:22" hidden="1" x14ac:dyDescent="0.3">
      <c r="B52" s="32">
        <v>48</v>
      </c>
      <c r="C52" s="18">
        <f>IFERROR(Data!C51,"")</f>
        <v>0</v>
      </c>
      <c r="D52" s="19">
        <f>SUMIFS('Heo thịt_Nhập dữ liệu hàng ngày'!$U:$U,'Heo thịt_Nhập dữ liệu hàng ngày'!$M:$M,'Theo dõi khách hàng heo thịt'!C52)</f>
        <v>0</v>
      </c>
      <c r="E52" s="19">
        <f>SUMIFS('Heo thịt_Nhập dữ liệu hàng ngày'!$AB:$AB,'Heo thịt_Nhập dữ liệu hàng ngày'!$M:$M,'Theo dõi khách hàng heo thịt'!C52)</f>
        <v>0</v>
      </c>
      <c r="F52" s="19">
        <f>SUMIFS('Heo thịt_Nhập dữ liệu hàng ngày'!$AC:$AC,'Heo thịt_Nhập dữ liệu hàng ngày'!$M:$M,'Theo dõi khách hàng heo thịt'!C52)</f>
        <v>0</v>
      </c>
      <c r="G52" s="20">
        <f>SUMIFS('Heo thịt_Nhập dữ liệu hàng ngày'!$AD:$AD,'Heo thịt_Nhập dữ liệu hàng ngày'!$M:$M,'Theo dõi khách hàng heo thịt'!C52)</f>
        <v>0</v>
      </c>
      <c r="H52" s="21">
        <f t="shared" si="5"/>
        <v>0</v>
      </c>
      <c r="I52" s="59">
        <f t="shared" si="2"/>
        <v>0</v>
      </c>
      <c r="J52" t="str">
        <f t="shared" si="3"/>
        <v>-</v>
      </c>
      <c r="L52" s="242">
        <f t="shared" si="6"/>
        <v>0</v>
      </c>
      <c r="M52" s="279"/>
      <c r="N52" s="282"/>
      <c r="O52" s="285"/>
      <c r="P52" s="49" t="s">
        <v>138</v>
      </c>
      <c r="Q52" s="50">
        <f>IFERROR(SUMIFS('Heo thịt_Nhập dữ liệu hàng ngày'!$U:$U,'Heo thịt_Nhập dữ liệu hàng ngày'!$L:$L,'Theo dõi khách hàng heo thịt'!P52,'Heo thịt_Nhập dữ liệu hàng ngày'!$M:$M,'Theo dõi khách hàng heo thịt'!$N$31),"-")</f>
        <v>0</v>
      </c>
      <c r="R52" s="50">
        <f>IFERROR(SUMIFS('Heo thịt_Nhập dữ liệu hàng ngày'!$AB:$AB,'Heo thịt_Nhập dữ liệu hàng ngày'!$L:$L,'Theo dõi khách hàng heo thịt'!P52,'Heo thịt_Nhập dữ liệu hàng ngày'!$M:$M,'Theo dõi khách hàng heo thịt'!$N$31),"-")</f>
        <v>0</v>
      </c>
      <c r="S52" s="50">
        <f>IFERROR(SUMIFS('Heo thịt_Nhập dữ liệu hàng ngày'!$AC:$AC,'Heo thịt_Nhập dữ liệu hàng ngày'!$L:$L,'Theo dõi khách hàng heo thịt'!P52,'Heo thịt_Nhập dữ liệu hàng ngày'!$M:$M,'Theo dõi khách hàng heo thịt'!$N$31),"-")</f>
        <v>0</v>
      </c>
      <c r="T52" s="51">
        <f>IFERROR(SUMIFS('Heo thịt_Nhập dữ liệu hàng ngày'!$AD:$AD,'Heo thịt_Nhập dữ liệu hàng ngày'!$L:$L,'Theo dõi khách hàng heo thịt'!P52,'Heo thịt_Nhập dữ liệu hàng ngày'!$M:$M,'Theo dõi khách hàng heo thịt'!$N$31),"-")</f>
        <v>0</v>
      </c>
      <c r="U52" s="172">
        <f t="shared" si="7"/>
        <v>0</v>
      </c>
      <c r="V52" s="11"/>
    </row>
    <row r="53" spans="2:22" hidden="1" x14ac:dyDescent="0.3">
      <c r="B53" s="31">
        <v>49</v>
      </c>
      <c r="C53" s="18">
        <f>IFERROR(Data!C52,"")</f>
        <v>0</v>
      </c>
      <c r="D53" s="19">
        <f>SUMIFS('Heo thịt_Nhập dữ liệu hàng ngày'!$U:$U,'Heo thịt_Nhập dữ liệu hàng ngày'!$M:$M,'Theo dõi khách hàng heo thịt'!C53)</f>
        <v>0</v>
      </c>
      <c r="E53" s="19">
        <f>SUMIFS('Heo thịt_Nhập dữ liệu hàng ngày'!$AB:$AB,'Heo thịt_Nhập dữ liệu hàng ngày'!$M:$M,'Theo dõi khách hàng heo thịt'!C53)</f>
        <v>0</v>
      </c>
      <c r="F53" s="19">
        <f>SUMIFS('Heo thịt_Nhập dữ liệu hàng ngày'!$AC:$AC,'Heo thịt_Nhập dữ liệu hàng ngày'!$M:$M,'Theo dõi khách hàng heo thịt'!C53)</f>
        <v>0</v>
      </c>
      <c r="G53" s="20">
        <f>SUMIFS('Heo thịt_Nhập dữ liệu hàng ngày'!$AD:$AD,'Heo thịt_Nhập dữ liệu hàng ngày'!$M:$M,'Theo dõi khách hàng heo thịt'!C53)</f>
        <v>0</v>
      </c>
      <c r="H53" s="21">
        <f t="shared" si="5"/>
        <v>0</v>
      </c>
      <c r="I53" s="59">
        <f t="shared" si="2"/>
        <v>0</v>
      </c>
      <c r="J53" t="str">
        <f t="shared" si="3"/>
        <v>-</v>
      </c>
      <c r="K53" s="263" t="s">
        <v>157</v>
      </c>
      <c r="L53" s="242">
        <f t="shared" si="6"/>
        <v>0</v>
      </c>
      <c r="M53" s="279"/>
      <c r="N53" s="282"/>
      <c r="O53" s="285"/>
      <c r="P53" s="49" t="s">
        <v>139</v>
      </c>
      <c r="Q53" s="50">
        <f>IFERROR(SUMIFS('Heo thịt_Nhập dữ liệu hàng ngày'!$U:$U,'Heo thịt_Nhập dữ liệu hàng ngày'!$L:$L,'Theo dõi khách hàng heo thịt'!P53,'Heo thịt_Nhập dữ liệu hàng ngày'!$M:$M,'Theo dõi khách hàng heo thịt'!$N$31),"-")</f>
        <v>0</v>
      </c>
      <c r="R53" s="50">
        <f>IFERROR(SUMIFS('Heo thịt_Nhập dữ liệu hàng ngày'!$AB:$AB,'Heo thịt_Nhập dữ liệu hàng ngày'!$L:$L,'Theo dõi khách hàng heo thịt'!P53,'Heo thịt_Nhập dữ liệu hàng ngày'!$M:$M,'Theo dõi khách hàng heo thịt'!$N$31),"-")</f>
        <v>0</v>
      </c>
      <c r="S53" s="50">
        <f>IFERROR(SUMIFS('Heo thịt_Nhập dữ liệu hàng ngày'!$AC:$AC,'Heo thịt_Nhập dữ liệu hàng ngày'!$L:$L,'Theo dõi khách hàng heo thịt'!P53,'Heo thịt_Nhập dữ liệu hàng ngày'!$M:$M,'Theo dõi khách hàng heo thịt'!$N$31),"-")</f>
        <v>0</v>
      </c>
      <c r="T53" s="51">
        <f>IFERROR(SUMIFS('Heo thịt_Nhập dữ liệu hàng ngày'!$AD:$AD,'Heo thịt_Nhập dữ liệu hàng ngày'!$L:$L,'Theo dõi khách hàng heo thịt'!P53,'Heo thịt_Nhập dữ liệu hàng ngày'!$M:$M,'Theo dõi khách hàng heo thịt'!$N$31),"-")</f>
        <v>0</v>
      </c>
      <c r="U53" s="172">
        <f t="shared" si="7"/>
        <v>0</v>
      </c>
      <c r="V53" s="11"/>
    </row>
    <row r="54" spans="2:22" hidden="1" x14ac:dyDescent="0.3">
      <c r="B54" s="32">
        <v>50</v>
      </c>
      <c r="C54" s="18">
        <f>IFERROR(Data!C53,"")</f>
        <v>0</v>
      </c>
      <c r="D54" s="19">
        <f>SUMIFS('Heo thịt_Nhập dữ liệu hàng ngày'!$U:$U,'Heo thịt_Nhập dữ liệu hàng ngày'!$M:$M,'Theo dõi khách hàng heo thịt'!C54)</f>
        <v>0</v>
      </c>
      <c r="E54" s="19">
        <f>SUMIFS('Heo thịt_Nhập dữ liệu hàng ngày'!$AB:$AB,'Heo thịt_Nhập dữ liệu hàng ngày'!$M:$M,'Theo dõi khách hàng heo thịt'!C54)</f>
        <v>0</v>
      </c>
      <c r="F54" s="19">
        <f>SUMIFS('Heo thịt_Nhập dữ liệu hàng ngày'!$AC:$AC,'Heo thịt_Nhập dữ liệu hàng ngày'!$M:$M,'Theo dõi khách hàng heo thịt'!C54)</f>
        <v>0</v>
      </c>
      <c r="G54" s="20">
        <f>SUMIFS('Heo thịt_Nhập dữ liệu hàng ngày'!$AD:$AD,'Heo thịt_Nhập dữ liệu hàng ngày'!$M:$M,'Theo dõi khách hàng heo thịt'!C54)</f>
        <v>0</v>
      </c>
      <c r="H54" s="21">
        <f t="shared" si="5"/>
        <v>0</v>
      </c>
      <c r="I54" s="59">
        <f t="shared" si="2"/>
        <v>0</v>
      </c>
      <c r="J54" t="str">
        <f t="shared" si="3"/>
        <v>-</v>
      </c>
      <c r="L54" s="242">
        <f t="shared" si="6"/>
        <v>0</v>
      </c>
      <c r="M54" s="279"/>
      <c r="N54" s="282"/>
      <c r="O54" s="285"/>
      <c r="P54" s="49" t="s">
        <v>63</v>
      </c>
      <c r="Q54" s="50">
        <f>IFERROR(SUMIFS('Heo thịt_Nhập dữ liệu hàng ngày'!$U:$U,'Heo thịt_Nhập dữ liệu hàng ngày'!$L:$L,'Theo dõi khách hàng heo thịt'!P54,'Heo thịt_Nhập dữ liệu hàng ngày'!$M:$M,'Theo dõi khách hàng heo thịt'!$N$31),"-")</f>
        <v>0</v>
      </c>
      <c r="R54" s="50">
        <f>IFERROR(SUMIFS('Heo thịt_Nhập dữ liệu hàng ngày'!$AB:$AB,'Heo thịt_Nhập dữ liệu hàng ngày'!$L:$L,'Theo dõi khách hàng heo thịt'!P54,'Heo thịt_Nhập dữ liệu hàng ngày'!$M:$M,'Theo dõi khách hàng heo thịt'!$N$31),"-")</f>
        <v>0</v>
      </c>
      <c r="S54" s="50">
        <f>IFERROR(SUMIFS('Heo thịt_Nhập dữ liệu hàng ngày'!$AC:$AC,'Heo thịt_Nhập dữ liệu hàng ngày'!$L:$L,'Theo dõi khách hàng heo thịt'!P54,'Heo thịt_Nhập dữ liệu hàng ngày'!$M:$M,'Theo dõi khách hàng heo thịt'!$N$31),"-")</f>
        <v>0</v>
      </c>
      <c r="T54" s="51">
        <f>IFERROR(SUMIFS('Heo thịt_Nhập dữ liệu hàng ngày'!$AD:$AD,'Heo thịt_Nhập dữ liệu hàng ngày'!$L:$L,'Theo dõi khách hàng heo thịt'!P54,'Heo thịt_Nhập dữ liệu hàng ngày'!$M:$M,'Theo dõi khách hàng heo thịt'!$N$31),"-")</f>
        <v>0</v>
      </c>
      <c r="U54" s="172">
        <f t="shared" si="7"/>
        <v>0</v>
      </c>
      <c r="V54" s="11"/>
    </row>
    <row r="55" spans="2:22" ht="15" hidden="1" thickBot="1" x14ac:dyDescent="0.35">
      <c r="B55" s="31">
        <v>51</v>
      </c>
      <c r="C55" s="18">
        <f>IFERROR(Data!C54,"")</f>
        <v>0</v>
      </c>
      <c r="D55" s="19">
        <f>SUMIFS('Heo thịt_Nhập dữ liệu hàng ngày'!$U:$U,'Heo thịt_Nhập dữ liệu hàng ngày'!$M:$M,'Theo dõi khách hàng heo thịt'!C55)</f>
        <v>0</v>
      </c>
      <c r="E55" s="19">
        <f>SUMIFS('Heo thịt_Nhập dữ liệu hàng ngày'!$AB:$AB,'Heo thịt_Nhập dữ liệu hàng ngày'!$M:$M,'Theo dõi khách hàng heo thịt'!C55)</f>
        <v>0</v>
      </c>
      <c r="F55" s="19">
        <f>SUMIFS('Heo thịt_Nhập dữ liệu hàng ngày'!$AC:$AC,'Heo thịt_Nhập dữ liệu hàng ngày'!$M:$M,'Theo dõi khách hàng heo thịt'!C55)</f>
        <v>0</v>
      </c>
      <c r="G55" s="20">
        <f>SUMIFS('Heo thịt_Nhập dữ liệu hàng ngày'!$AD:$AD,'Heo thịt_Nhập dữ liệu hàng ngày'!$M:$M,'Theo dõi khách hàng heo thịt'!C55)</f>
        <v>0</v>
      </c>
      <c r="H55" s="21">
        <f t="shared" si="5"/>
        <v>0</v>
      </c>
      <c r="I55" s="59">
        <f t="shared" si="2"/>
        <v>0</v>
      </c>
      <c r="J55" t="str">
        <f t="shared" si="3"/>
        <v>-</v>
      </c>
      <c r="L55" s="242">
        <f t="shared" si="6"/>
        <v>0</v>
      </c>
      <c r="M55" s="280"/>
      <c r="N55" s="283"/>
      <c r="O55" s="286"/>
      <c r="P55" s="173" t="s">
        <v>140</v>
      </c>
      <c r="Q55" s="174">
        <f>IFERROR(SUMIFS('Heo thịt_Nhập dữ liệu hàng ngày'!$U:$U,'Heo thịt_Nhập dữ liệu hàng ngày'!$L:$L,'Theo dõi khách hàng heo thịt'!P55,'Heo thịt_Nhập dữ liệu hàng ngày'!$M:$M,'Theo dõi khách hàng heo thịt'!$N$31),"-")</f>
        <v>0</v>
      </c>
      <c r="R55" s="174">
        <f>IFERROR(SUMIFS('Heo thịt_Nhập dữ liệu hàng ngày'!$AB:$AB,'Heo thịt_Nhập dữ liệu hàng ngày'!$L:$L,'Theo dõi khách hàng heo thịt'!P55,'Heo thịt_Nhập dữ liệu hàng ngày'!$M:$M,'Theo dõi khách hàng heo thịt'!$N$31),"-")</f>
        <v>0</v>
      </c>
      <c r="S55" s="174">
        <f>IFERROR(SUMIFS('Heo thịt_Nhập dữ liệu hàng ngày'!$AC:$AC,'Heo thịt_Nhập dữ liệu hàng ngày'!$L:$L,'Theo dõi khách hàng heo thịt'!P55,'Heo thịt_Nhập dữ liệu hàng ngày'!$M:$M,'Theo dõi khách hàng heo thịt'!$N$31),"-")</f>
        <v>0</v>
      </c>
      <c r="T55" s="175">
        <f>IFERROR(SUMIFS('Heo thịt_Nhập dữ liệu hàng ngày'!$AD:$AD,'Heo thịt_Nhập dữ liệu hàng ngày'!$L:$L,'Theo dõi khách hàng heo thịt'!P55,'Heo thịt_Nhập dữ liệu hàng ngày'!$M:$M,'Theo dõi khách hàng heo thịt'!$N$31),"-")</f>
        <v>0</v>
      </c>
      <c r="U55" s="176">
        <f t="shared" si="7"/>
        <v>0</v>
      </c>
      <c r="V55" s="11"/>
    </row>
    <row r="56" spans="2:22" hidden="1" x14ac:dyDescent="0.3">
      <c r="B56" s="32">
        <v>52</v>
      </c>
      <c r="C56" s="18">
        <f>IFERROR(Data!C55,"")</f>
        <v>0</v>
      </c>
      <c r="D56" s="19">
        <f>SUMIFS('Heo thịt_Nhập dữ liệu hàng ngày'!$U:$U,'Heo thịt_Nhập dữ liệu hàng ngày'!$M:$M,'Theo dõi khách hàng heo thịt'!C56)</f>
        <v>0</v>
      </c>
      <c r="E56" s="19">
        <f>SUMIFS('Heo thịt_Nhập dữ liệu hàng ngày'!$AB:$AB,'Heo thịt_Nhập dữ liệu hàng ngày'!$M:$M,'Theo dõi khách hàng heo thịt'!C56)</f>
        <v>0</v>
      </c>
      <c r="F56" s="19">
        <f>SUMIFS('Heo thịt_Nhập dữ liệu hàng ngày'!$AC:$AC,'Heo thịt_Nhập dữ liệu hàng ngày'!$M:$M,'Theo dõi khách hàng heo thịt'!C56)</f>
        <v>0</v>
      </c>
      <c r="G56" s="20">
        <f>SUMIFS('Heo thịt_Nhập dữ liệu hàng ngày'!$AD:$AD,'Heo thịt_Nhập dữ liệu hàng ngày'!$M:$M,'Theo dõi khách hàng heo thịt'!C56)</f>
        <v>0</v>
      </c>
      <c r="H56" s="21">
        <f t="shared" si="5"/>
        <v>0</v>
      </c>
      <c r="I56" s="59">
        <f t="shared" si="2"/>
        <v>0</v>
      </c>
      <c r="J56" t="str">
        <f t="shared" si="3"/>
        <v>-</v>
      </c>
      <c r="L56" s="242">
        <f t="shared" si="6"/>
        <v>0</v>
      </c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 spans="2:22" hidden="1" x14ac:dyDescent="0.3">
      <c r="B57" s="31">
        <v>53</v>
      </c>
      <c r="C57" s="18">
        <f>IFERROR(Data!C56,"")</f>
        <v>0</v>
      </c>
      <c r="D57" s="19">
        <f>SUMIFS('Heo thịt_Nhập dữ liệu hàng ngày'!$U:$U,'Heo thịt_Nhập dữ liệu hàng ngày'!$M:$M,'Theo dõi khách hàng heo thịt'!C57)</f>
        <v>0</v>
      </c>
      <c r="E57" s="19">
        <f>SUMIFS('Heo thịt_Nhập dữ liệu hàng ngày'!$AB:$AB,'Heo thịt_Nhập dữ liệu hàng ngày'!$M:$M,'Theo dõi khách hàng heo thịt'!C57)</f>
        <v>0</v>
      </c>
      <c r="F57" s="19">
        <f>SUMIFS('Heo thịt_Nhập dữ liệu hàng ngày'!$AC:$AC,'Heo thịt_Nhập dữ liệu hàng ngày'!$M:$M,'Theo dõi khách hàng heo thịt'!C57)</f>
        <v>0</v>
      </c>
      <c r="G57" s="20">
        <f>SUMIFS('Heo thịt_Nhập dữ liệu hàng ngày'!$AD:$AD,'Heo thịt_Nhập dữ liệu hàng ngày'!$M:$M,'Theo dõi khách hàng heo thịt'!C57)</f>
        <v>0</v>
      </c>
      <c r="H57" s="21">
        <f t="shared" si="5"/>
        <v>0</v>
      </c>
      <c r="I57" s="59">
        <f t="shared" si="2"/>
        <v>0</v>
      </c>
      <c r="J57" t="str">
        <f t="shared" si="3"/>
        <v>-</v>
      </c>
      <c r="L57" s="242">
        <f t="shared" si="6"/>
        <v>0</v>
      </c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 spans="2:22" hidden="1" x14ac:dyDescent="0.3">
      <c r="B58" s="32">
        <v>54</v>
      </c>
      <c r="C58" s="18">
        <f>IFERROR(Data!C57,"")</f>
        <v>0</v>
      </c>
      <c r="D58" s="19">
        <f>SUMIFS('Heo thịt_Nhập dữ liệu hàng ngày'!$U:$U,'Heo thịt_Nhập dữ liệu hàng ngày'!$M:$M,'Theo dõi khách hàng heo thịt'!C58)</f>
        <v>0</v>
      </c>
      <c r="E58" s="19">
        <f>SUMIFS('Heo thịt_Nhập dữ liệu hàng ngày'!$AB:$AB,'Heo thịt_Nhập dữ liệu hàng ngày'!$M:$M,'Theo dõi khách hàng heo thịt'!C58)</f>
        <v>0</v>
      </c>
      <c r="F58" s="19">
        <f>SUMIFS('Heo thịt_Nhập dữ liệu hàng ngày'!$AC:$AC,'Heo thịt_Nhập dữ liệu hàng ngày'!$M:$M,'Theo dõi khách hàng heo thịt'!C58)</f>
        <v>0</v>
      </c>
      <c r="G58" s="20">
        <f>SUMIFS('Heo thịt_Nhập dữ liệu hàng ngày'!$AD:$AD,'Heo thịt_Nhập dữ liệu hàng ngày'!$M:$M,'Theo dõi khách hàng heo thịt'!C58)</f>
        <v>0</v>
      </c>
      <c r="H58" s="21">
        <f t="shared" si="5"/>
        <v>0</v>
      </c>
      <c r="I58" s="59">
        <f t="shared" si="2"/>
        <v>0</v>
      </c>
      <c r="J58" t="str">
        <f t="shared" si="3"/>
        <v>-</v>
      </c>
      <c r="L58" s="242">
        <f t="shared" si="6"/>
        <v>0</v>
      </c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 spans="2:22" hidden="1" x14ac:dyDescent="0.3">
      <c r="B59" s="31">
        <v>55</v>
      </c>
      <c r="C59" s="18">
        <f>IFERROR(Data!C58,"")</f>
        <v>0</v>
      </c>
      <c r="D59" s="19">
        <f>SUMIFS('Heo thịt_Nhập dữ liệu hàng ngày'!$U:$U,'Heo thịt_Nhập dữ liệu hàng ngày'!$M:$M,'Theo dõi khách hàng heo thịt'!C59)</f>
        <v>0</v>
      </c>
      <c r="E59" s="19">
        <f>SUMIFS('Heo thịt_Nhập dữ liệu hàng ngày'!$AB:$AB,'Heo thịt_Nhập dữ liệu hàng ngày'!$M:$M,'Theo dõi khách hàng heo thịt'!C59)</f>
        <v>0</v>
      </c>
      <c r="F59" s="19">
        <f>SUMIFS('Heo thịt_Nhập dữ liệu hàng ngày'!$AC:$AC,'Heo thịt_Nhập dữ liệu hàng ngày'!$M:$M,'Theo dõi khách hàng heo thịt'!C59)</f>
        <v>0</v>
      </c>
      <c r="G59" s="20">
        <f>SUMIFS('Heo thịt_Nhập dữ liệu hàng ngày'!$AD:$AD,'Heo thịt_Nhập dữ liệu hàng ngày'!$M:$M,'Theo dõi khách hàng heo thịt'!C59)</f>
        <v>0</v>
      </c>
      <c r="H59" s="21">
        <f t="shared" si="5"/>
        <v>0</v>
      </c>
      <c r="I59" s="59">
        <f t="shared" si="2"/>
        <v>0</v>
      </c>
      <c r="J59" t="str">
        <f t="shared" si="3"/>
        <v>-</v>
      </c>
      <c r="L59" s="242">
        <f t="shared" si="6"/>
        <v>0</v>
      </c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 spans="2:22" hidden="1" x14ac:dyDescent="0.3">
      <c r="B60" s="32">
        <v>56</v>
      </c>
      <c r="C60" s="18">
        <f>IFERROR(Data!C59,"")</f>
        <v>0</v>
      </c>
      <c r="D60" s="19">
        <f>SUMIFS('Heo thịt_Nhập dữ liệu hàng ngày'!$U:$U,'Heo thịt_Nhập dữ liệu hàng ngày'!$M:$M,'Theo dõi khách hàng heo thịt'!C60)</f>
        <v>0</v>
      </c>
      <c r="E60" s="19">
        <f>SUMIFS('Heo thịt_Nhập dữ liệu hàng ngày'!$AB:$AB,'Heo thịt_Nhập dữ liệu hàng ngày'!$M:$M,'Theo dõi khách hàng heo thịt'!C60)</f>
        <v>0</v>
      </c>
      <c r="F60" s="19">
        <f>SUMIFS('Heo thịt_Nhập dữ liệu hàng ngày'!$AC:$AC,'Heo thịt_Nhập dữ liệu hàng ngày'!$M:$M,'Theo dõi khách hàng heo thịt'!C60)</f>
        <v>0</v>
      </c>
      <c r="G60" s="20">
        <f>SUMIFS('Heo thịt_Nhập dữ liệu hàng ngày'!$AD:$AD,'Heo thịt_Nhập dữ liệu hàng ngày'!$M:$M,'Theo dõi khách hàng heo thịt'!C60)</f>
        <v>0</v>
      </c>
      <c r="H60" s="21">
        <f t="shared" si="5"/>
        <v>0</v>
      </c>
      <c r="I60" s="59">
        <f t="shared" si="2"/>
        <v>0</v>
      </c>
      <c r="J60" t="str">
        <f t="shared" si="3"/>
        <v>-</v>
      </c>
      <c r="L60" s="242">
        <f t="shared" si="6"/>
        <v>0</v>
      </c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 spans="2:22" hidden="1" x14ac:dyDescent="0.3">
      <c r="B61" s="31">
        <v>57</v>
      </c>
      <c r="C61" s="18">
        <f>IFERROR(Data!C60,"")</f>
        <v>0</v>
      </c>
      <c r="D61" s="19">
        <f>SUMIFS('Heo thịt_Nhập dữ liệu hàng ngày'!$U:$U,'Heo thịt_Nhập dữ liệu hàng ngày'!$M:$M,'Theo dõi khách hàng heo thịt'!C61)</f>
        <v>0</v>
      </c>
      <c r="E61" s="19">
        <f>SUMIFS('Heo thịt_Nhập dữ liệu hàng ngày'!$AB:$AB,'Heo thịt_Nhập dữ liệu hàng ngày'!$M:$M,'Theo dõi khách hàng heo thịt'!C61)</f>
        <v>0</v>
      </c>
      <c r="F61" s="19">
        <f>SUMIFS('Heo thịt_Nhập dữ liệu hàng ngày'!$AC:$AC,'Heo thịt_Nhập dữ liệu hàng ngày'!$M:$M,'Theo dõi khách hàng heo thịt'!C61)</f>
        <v>0</v>
      </c>
      <c r="G61" s="20">
        <f>SUMIFS('Heo thịt_Nhập dữ liệu hàng ngày'!$AD:$AD,'Heo thịt_Nhập dữ liệu hàng ngày'!$M:$M,'Theo dõi khách hàng heo thịt'!C61)</f>
        <v>0</v>
      </c>
      <c r="H61" s="21">
        <f t="shared" si="5"/>
        <v>0</v>
      </c>
      <c r="I61" s="59">
        <f t="shared" si="2"/>
        <v>0</v>
      </c>
      <c r="J61" t="str">
        <f t="shared" si="3"/>
        <v>-</v>
      </c>
      <c r="L61" s="242">
        <f t="shared" si="6"/>
        <v>0</v>
      </c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 spans="2:22" hidden="1" x14ac:dyDescent="0.3">
      <c r="B62" s="32">
        <v>58</v>
      </c>
      <c r="C62" s="18">
        <f>IFERROR(Data!C61,"")</f>
        <v>0</v>
      </c>
      <c r="D62" s="19">
        <f>SUMIFS('Heo thịt_Nhập dữ liệu hàng ngày'!$U:$U,'Heo thịt_Nhập dữ liệu hàng ngày'!$M:$M,'Theo dõi khách hàng heo thịt'!C62)</f>
        <v>0</v>
      </c>
      <c r="E62" s="19">
        <f>SUMIFS('Heo thịt_Nhập dữ liệu hàng ngày'!$AB:$AB,'Heo thịt_Nhập dữ liệu hàng ngày'!$M:$M,'Theo dõi khách hàng heo thịt'!C62)</f>
        <v>0</v>
      </c>
      <c r="F62" s="19">
        <f>SUMIFS('Heo thịt_Nhập dữ liệu hàng ngày'!$AC:$AC,'Heo thịt_Nhập dữ liệu hàng ngày'!$M:$M,'Theo dõi khách hàng heo thịt'!C62)</f>
        <v>0</v>
      </c>
      <c r="G62" s="20">
        <f>SUMIFS('Heo thịt_Nhập dữ liệu hàng ngày'!$AD:$AD,'Heo thịt_Nhập dữ liệu hàng ngày'!$M:$M,'Theo dõi khách hàng heo thịt'!C62)</f>
        <v>0</v>
      </c>
      <c r="H62" s="21">
        <f t="shared" si="5"/>
        <v>0</v>
      </c>
      <c r="I62" s="59">
        <f t="shared" si="2"/>
        <v>0</v>
      </c>
      <c r="J62" t="str">
        <f t="shared" si="3"/>
        <v>-</v>
      </c>
      <c r="L62" s="242">
        <f t="shared" si="6"/>
        <v>0</v>
      </c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 spans="2:22" hidden="1" x14ac:dyDescent="0.3">
      <c r="B63" s="31">
        <v>59</v>
      </c>
      <c r="C63" s="18">
        <f>IFERROR(Data!C62,"")</f>
        <v>0</v>
      </c>
      <c r="D63" s="19">
        <f>SUMIFS('Heo thịt_Nhập dữ liệu hàng ngày'!$U:$U,'Heo thịt_Nhập dữ liệu hàng ngày'!$M:$M,'Theo dõi khách hàng heo thịt'!C63)</f>
        <v>0</v>
      </c>
      <c r="E63" s="19">
        <f>SUMIFS('Heo thịt_Nhập dữ liệu hàng ngày'!$AB:$AB,'Heo thịt_Nhập dữ liệu hàng ngày'!$M:$M,'Theo dõi khách hàng heo thịt'!C63)</f>
        <v>0</v>
      </c>
      <c r="F63" s="19">
        <f>SUMIFS('Heo thịt_Nhập dữ liệu hàng ngày'!$AC:$AC,'Heo thịt_Nhập dữ liệu hàng ngày'!$M:$M,'Theo dõi khách hàng heo thịt'!C63)</f>
        <v>0</v>
      </c>
      <c r="G63" s="20">
        <f>SUMIFS('Heo thịt_Nhập dữ liệu hàng ngày'!$AD:$AD,'Heo thịt_Nhập dữ liệu hàng ngày'!$M:$M,'Theo dõi khách hàng heo thịt'!C63)</f>
        <v>0</v>
      </c>
      <c r="H63" s="21">
        <f t="shared" si="5"/>
        <v>0</v>
      </c>
      <c r="I63" s="59">
        <f t="shared" si="2"/>
        <v>0</v>
      </c>
      <c r="J63" t="str">
        <f t="shared" si="3"/>
        <v>-</v>
      </c>
      <c r="L63" s="242">
        <f t="shared" si="6"/>
        <v>0</v>
      </c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 spans="2:22" hidden="1" x14ac:dyDescent="0.3">
      <c r="B64" s="32">
        <v>60</v>
      </c>
      <c r="C64" s="18">
        <f>IFERROR(Data!C63,"")</f>
        <v>0</v>
      </c>
      <c r="D64" s="19">
        <f>SUMIFS('Heo thịt_Nhập dữ liệu hàng ngày'!$U:$U,'Heo thịt_Nhập dữ liệu hàng ngày'!$M:$M,'Theo dõi khách hàng heo thịt'!C64)</f>
        <v>0</v>
      </c>
      <c r="E64" s="19">
        <f>SUMIFS('Heo thịt_Nhập dữ liệu hàng ngày'!$AB:$AB,'Heo thịt_Nhập dữ liệu hàng ngày'!$M:$M,'Theo dõi khách hàng heo thịt'!C64)</f>
        <v>0</v>
      </c>
      <c r="F64" s="19">
        <f>SUMIFS('Heo thịt_Nhập dữ liệu hàng ngày'!$AC:$AC,'Heo thịt_Nhập dữ liệu hàng ngày'!$M:$M,'Theo dõi khách hàng heo thịt'!C64)</f>
        <v>0</v>
      </c>
      <c r="G64" s="20">
        <f>SUMIFS('Heo thịt_Nhập dữ liệu hàng ngày'!$AD:$AD,'Heo thịt_Nhập dữ liệu hàng ngày'!$M:$M,'Theo dõi khách hàng heo thịt'!C64)</f>
        <v>0</v>
      </c>
      <c r="H64" s="21">
        <f t="shared" si="5"/>
        <v>0</v>
      </c>
      <c r="I64" s="59">
        <f t="shared" si="2"/>
        <v>0</v>
      </c>
      <c r="J64" t="str">
        <f t="shared" si="3"/>
        <v>-</v>
      </c>
      <c r="L64" s="242">
        <f t="shared" si="6"/>
        <v>0</v>
      </c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 spans="2:22" hidden="1" x14ac:dyDescent="0.3">
      <c r="B65" s="31">
        <v>61</v>
      </c>
      <c r="C65" s="18">
        <f>IFERROR(Data!C64,"")</f>
        <v>0</v>
      </c>
      <c r="D65" s="19">
        <f>SUMIFS('Heo thịt_Nhập dữ liệu hàng ngày'!$U:$U,'Heo thịt_Nhập dữ liệu hàng ngày'!$M:$M,'Theo dõi khách hàng heo thịt'!C65)</f>
        <v>0</v>
      </c>
      <c r="E65" s="19">
        <f>SUMIFS('Heo thịt_Nhập dữ liệu hàng ngày'!$AB:$AB,'Heo thịt_Nhập dữ liệu hàng ngày'!$M:$M,'Theo dõi khách hàng heo thịt'!C65)</f>
        <v>0</v>
      </c>
      <c r="F65" s="19">
        <f>SUMIFS('Heo thịt_Nhập dữ liệu hàng ngày'!$AC:$AC,'Heo thịt_Nhập dữ liệu hàng ngày'!$M:$M,'Theo dõi khách hàng heo thịt'!C65)</f>
        <v>0</v>
      </c>
      <c r="G65" s="20">
        <f>SUMIFS('Heo thịt_Nhập dữ liệu hàng ngày'!$AD:$AD,'Heo thịt_Nhập dữ liệu hàng ngày'!$M:$M,'Theo dõi khách hàng heo thịt'!C65)</f>
        <v>0</v>
      </c>
      <c r="H65" s="21">
        <f t="shared" si="5"/>
        <v>0</v>
      </c>
      <c r="I65" s="59">
        <f t="shared" si="2"/>
        <v>0</v>
      </c>
      <c r="J65" t="str">
        <f t="shared" si="3"/>
        <v>-</v>
      </c>
      <c r="L65" s="242">
        <f t="shared" si="6"/>
        <v>0</v>
      </c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 spans="2:22" hidden="1" x14ac:dyDescent="0.3">
      <c r="B66" s="32">
        <v>62</v>
      </c>
      <c r="C66" s="18">
        <f>IFERROR(Data!C65,"")</f>
        <v>0</v>
      </c>
      <c r="D66" s="19">
        <f>SUMIFS('Heo thịt_Nhập dữ liệu hàng ngày'!$U:$U,'Heo thịt_Nhập dữ liệu hàng ngày'!$M:$M,'Theo dõi khách hàng heo thịt'!C66)</f>
        <v>0</v>
      </c>
      <c r="E66" s="19">
        <f>SUMIFS('Heo thịt_Nhập dữ liệu hàng ngày'!$AB:$AB,'Heo thịt_Nhập dữ liệu hàng ngày'!$M:$M,'Theo dõi khách hàng heo thịt'!C66)</f>
        <v>0</v>
      </c>
      <c r="F66" s="19">
        <f>SUMIFS('Heo thịt_Nhập dữ liệu hàng ngày'!$AC:$AC,'Heo thịt_Nhập dữ liệu hàng ngày'!$M:$M,'Theo dõi khách hàng heo thịt'!C66)</f>
        <v>0</v>
      </c>
      <c r="G66" s="20">
        <f>SUMIFS('Heo thịt_Nhập dữ liệu hàng ngày'!$AD:$AD,'Heo thịt_Nhập dữ liệu hàng ngày'!$M:$M,'Theo dõi khách hàng heo thịt'!C66)</f>
        <v>0</v>
      </c>
      <c r="H66" s="21">
        <f t="shared" si="5"/>
        <v>0</v>
      </c>
      <c r="I66" s="59">
        <f t="shared" si="2"/>
        <v>0</v>
      </c>
      <c r="J66" t="str">
        <f t="shared" si="3"/>
        <v>-</v>
      </c>
      <c r="K66" s="263" t="s">
        <v>170</v>
      </c>
      <c r="L66" s="242">
        <f t="shared" si="6"/>
        <v>0</v>
      </c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spans="2:22" hidden="1" x14ac:dyDescent="0.3">
      <c r="B67" s="31">
        <v>63</v>
      </c>
      <c r="C67" s="18">
        <f>IFERROR(Data!C66,"")</f>
        <v>0</v>
      </c>
      <c r="D67" s="19">
        <f>SUMIFS('Heo thịt_Nhập dữ liệu hàng ngày'!$U:$U,'Heo thịt_Nhập dữ liệu hàng ngày'!$M:$M,'Theo dõi khách hàng heo thịt'!C67)</f>
        <v>0</v>
      </c>
      <c r="E67" s="19">
        <f>SUMIFS('Heo thịt_Nhập dữ liệu hàng ngày'!$AB:$AB,'Heo thịt_Nhập dữ liệu hàng ngày'!$M:$M,'Theo dõi khách hàng heo thịt'!C67)</f>
        <v>0</v>
      </c>
      <c r="F67" s="19">
        <f>SUMIFS('Heo thịt_Nhập dữ liệu hàng ngày'!$AC:$AC,'Heo thịt_Nhập dữ liệu hàng ngày'!$M:$M,'Theo dõi khách hàng heo thịt'!C67)</f>
        <v>0</v>
      </c>
      <c r="G67" s="20">
        <f>SUMIFS('Heo thịt_Nhập dữ liệu hàng ngày'!$AD:$AD,'Heo thịt_Nhập dữ liệu hàng ngày'!$M:$M,'Theo dõi khách hàng heo thịt'!C67)</f>
        <v>0</v>
      </c>
      <c r="H67" s="21">
        <f t="shared" si="5"/>
        <v>0</v>
      </c>
      <c r="I67" s="59">
        <f t="shared" si="2"/>
        <v>0</v>
      </c>
      <c r="J67" t="str">
        <f t="shared" si="3"/>
        <v>-</v>
      </c>
      <c r="K67" s="263" t="s">
        <v>170</v>
      </c>
      <c r="L67" s="242">
        <f t="shared" si="6"/>
        <v>0</v>
      </c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 spans="2:22" hidden="1" x14ac:dyDescent="0.3">
      <c r="B68" s="32">
        <v>64</v>
      </c>
      <c r="C68" s="18">
        <f>IFERROR(Data!C67,"")</f>
        <v>0</v>
      </c>
      <c r="D68" s="19">
        <f>SUMIFS('Heo thịt_Nhập dữ liệu hàng ngày'!$U:$U,'Heo thịt_Nhập dữ liệu hàng ngày'!$M:$M,'Theo dõi khách hàng heo thịt'!C68)</f>
        <v>0</v>
      </c>
      <c r="E68" s="19">
        <f>SUMIFS('Heo thịt_Nhập dữ liệu hàng ngày'!$AB:$AB,'Heo thịt_Nhập dữ liệu hàng ngày'!$M:$M,'Theo dõi khách hàng heo thịt'!C68)</f>
        <v>0</v>
      </c>
      <c r="F68" s="19">
        <f>SUMIFS('Heo thịt_Nhập dữ liệu hàng ngày'!$AC:$AC,'Heo thịt_Nhập dữ liệu hàng ngày'!$M:$M,'Theo dõi khách hàng heo thịt'!C68)</f>
        <v>0</v>
      </c>
      <c r="G68" s="20">
        <f>SUMIFS('Heo thịt_Nhập dữ liệu hàng ngày'!$AD:$AD,'Heo thịt_Nhập dữ liệu hàng ngày'!$M:$M,'Theo dõi khách hàng heo thịt'!C68)</f>
        <v>0</v>
      </c>
      <c r="H68" s="21">
        <f t="shared" si="5"/>
        <v>0</v>
      </c>
      <c r="I68" s="59">
        <f t="shared" si="2"/>
        <v>0</v>
      </c>
      <c r="J68" t="str">
        <f t="shared" si="3"/>
        <v>-</v>
      </c>
      <c r="L68" s="242">
        <f t="shared" si="6"/>
        <v>0</v>
      </c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2:22" hidden="1" x14ac:dyDescent="0.3">
      <c r="B69" s="31">
        <v>65</v>
      </c>
      <c r="C69" s="18">
        <f>IFERROR(Data!C68,"")</f>
        <v>0</v>
      </c>
      <c r="D69" s="19">
        <f>SUMIFS('Heo thịt_Nhập dữ liệu hàng ngày'!$U:$U,'Heo thịt_Nhập dữ liệu hàng ngày'!$M:$M,'Theo dõi khách hàng heo thịt'!C69)</f>
        <v>0</v>
      </c>
      <c r="E69" s="19">
        <f>SUMIFS('Heo thịt_Nhập dữ liệu hàng ngày'!$AB:$AB,'Heo thịt_Nhập dữ liệu hàng ngày'!$M:$M,'Theo dõi khách hàng heo thịt'!C69)</f>
        <v>0</v>
      </c>
      <c r="F69" s="19">
        <f>SUMIFS('Heo thịt_Nhập dữ liệu hàng ngày'!$AC:$AC,'Heo thịt_Nhập dữ liệu hàng ngày'!$M:$M,'Theo dõi khách hàng heo thịt'!C69)</f>
        <v>0</v>
      </c>
      <c r="G69" s="20">
        <f>SUMIFS('Heo thịt_Nhập dữ liệu hàng ngày'!$AD:$AD,'Heo thịt_Nhập dữ liệu hàng ngày'!$M:$M,'Theo dõi khách hàng heo thịt'!C69)</f>
        <v>0</v>
      </c>
      <c r="H69" s="21">
        <f t="shared" si="5"/>
        <v>0</v>
      </c>
      <c r="I69" s="59">
        <f t="shared" si="2"/>
        <v>0</v>
      </c>
      <c r="J69" t="str">
        <f t="shared" si="3"/>
        <v>-</v>
      </c>
      <c r="L69" s="242">
        <f t="shared" ref="L69:L132" si="8">+H69*(-1)</f>
        <v>0</v>
      </c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2:22" hidden="1" x14ac:dyDescent="0.3">
      <c r="B70" s="32">
        <v>66</v>
      </c>
      <c r="C70" s="18">
        <f>IFERROR(Data!C69,"")</f>
        <v>0</v>
      </c>
      <c r="D70" s="19">
        <f>SUMIFS('Heo thịt_Nhập dữ liệu hàng ngày'!$U:$U,'Heo thịt_Nhập dữ liệu hàng ngày'!$M:$M,'Theo dõi khách hàng heo thịt'!C70)</f>
        <v>0</v>
      </c>
      <c r="E70" s="19">
        <f>SUMIFS('Heo thịt_Nhập dữ liệu hàng ngày'!$AB:$AB,'Heo thịt_Nhập dữ liệu hàng ngày'!$M:$M,'Theo dõi khách hàng heo thịt'!C70)</f>
        <v>0</v>
      </c>
      <c r="F70" s="19">
        <f>SUMIFS('Heo thịt_Nhập dữ liệu hàng ngày'!$AC:$AC,'Heo thịt_Nhập dữ liệu hàng ngày'!$M:$M,'Theo dõi khách hàng heo thịt'!C70)</f>
        <v>0</v>
      </c>
      <c r="G70" s="20">
        <f>SUMIFS('Heo thịt_Nhập dữ liệu hàng ngày'!$AD:$AD,'Heo thịt_Nhập dữ liệu hàng ngày'!$M:$M,'Theo dõi khách hàng heo thịt'!C70)</f>
        <v>0</v>
      </c>
      <c r="H70" s="21">
        <f t="shared" si="5"/>
        <v>0</v>
      </c>
      <c r="I70" s="59">
        <f t="shared" ref="I70:I133" si="9">+ABS(H70)</f>
        <v>0</v>
      </c>
      <c r="J70" t="str">
        <f t="shared" ref="J70:J133" si="10">+IF(I70&gt;500000,"check","-")</f>
        <v>-</v>
      </c>
      <c r="K70" s="263" t="s">
        <v>158</v>
      </c>
      <c r="L70" s="242">
        <f t="shared" si="8"/>
        <v>0</v>
      </c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2:22" hidden="1" x14ac:dyDescent="0.3">
      <c r="B71" s="31">
        <v>67</v>
      </c>
      <c r="C71" s="18">
        <f>IFERROR(Data!C70,"")</f>
        <v>0</v>
      </c>
      <c r="D71" s="19">
        <f>SUMIFS('Heo thịt_Nhập dữ liệu hàng ngày'!$U:$U,'Heo thịt_Nhập dữ liệu hàng ngày'!$M:$M,'Theo dõi khách hàng heo thịt'!C71)</f>
        <v>0</v>
      </c>
      <c r="E71" s="19">
        <f>SUMIFS('Heo thịt_Nhập dữ liệu hàng ngày'!$AB:$AB,'Heo thịt_Nhập dữ liệu hàng ngày'!$M:$M,'Theo dõi khách hàng heo thịt'!C71)</f>
        <v>0</v>
      </c>
      <c r="F71" s="19">
        <f>SUMIFS('Heo thịt_Nhập dữ liệu hàng ngày'!$AC:$AC,'Heo thịt_Nhập dữ liệu hàng ngày'!$M:$M,'Theo dõi khách hàng heo thịt'!C71)</f>
        <v>0</v>
      </c>
      <c r="G71" s="20">
        <f>SUMIFS('Heo thịt_Nhập dữ liệu hàng ngày'!$AD:$AD,'Heo thịt_Nhập dữ liệu hàng ngày'!$M:$M,'Theo dõi khách hàng heo thịt'!C71)</f>
        <v>0</v>
      </c>
      <c r="H71" s="21">
        <f t="shared" si="5"/>
        <v>0</v>
      </c>
      <c r="I71" s="59">
        <f t="shared" si="9"/>
        <v>0</v>
      </c>
      <c r="J71" t="str">
        <f t="shared" si="10"/>
        <v>-</v>
      </c>
      <c r="L71" s="242">
        <f t="shared" si="8"/>
        <v>0</v>
      </c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2:22" hidden="1" x14ac:dyDescent="0.3">
      <c r="B72" s="32">
        <v>68</v>
      </c>
      <c r="C72" s="18">
        <f>IFERROR(Data!C71,"")</f>
        <v>0</v>
      </c>
      <c r="D72" s="19">
        <f>SUMIFS('Heo thịt_Nhập dữ liệu hàng ngày'!$U:$U,'Heo thịt_Nhập dữ liệu hàng ngày'!$M:$M,'Theo dõi khách hàng heo thịt'!C72)</f>
        <v>0</v>
      </c>
      <c r="E72" s="19">
        <f>SUMIFS('Heo thịt_Nhập dữ liệu hàng ngày'!$AB:$AB,'Heo thịt_Nhập dữ liệu hàng ngày'!$M:$M,'Theo dõi khách hàng heo thịt'!C72)</f>
        <v>0</v>
      </c>
      <c r="F72" s="19">
        <f>SUMIFS('Heo thịt_Nhập dữ liệu hàng ngày'!$AC:$AC,'Heo thịt_Nhập dữ liệu hàng ngày'!$M:$M,'Theo dõi khách hàng heo thịt'!C72)</f>
        <v>0</v>
      </c>
      <c r="G72" s="20">
        <f>SUMIFS('Heo thịt_Nhập dữ liệu hàng ngày'!$AD:$AD,'Heo thịt_Nhập dữ liệu hàng ngày'!$M:$M,'Theo dõi khách hàng heo thịt'!C72)</f>
        <v>0</v>
      </c>
      <c r="H72" s="21">
        <f t="shared" si="5"/>
        <v>0</v>
      </c>
      <c r="I72" s="59">
        <f t="shared" si="9"/>
        <v>0</v>
      </c>
      <c r="J72" t="str">
        <f t="shared" si="10"/>
        <v>-</v>
      </c>
      <c r="L72" s="242">
        <f t="shared" si="8"/>
        <v>0</v>
      </c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2:22" hidden="1" x14ac:dyDescent="0.3">
      <c r="B73" s="31">
        <v>69</v>
      </c>
      <c r="C73" s="18">
        <f>IFERROR(Data!C72,"")</f>
        <v>0</v>
      </c>
      <c r="D73" s="19">
        <f>SUMIFS('Heo thịt_Nhập dữ liệu hàng ngày'!$U:$U,'Heo thịt_Nhập dữ liệu hàng ngày'!$M:$M,'Theo dõi khách hàng heo thịt'!C73)</f>
        <v>0</v>
      </c>
      <c r="E73" s="19">
        <f>SUMIFS('Heo thịt_Nhập dữ liệu hàng ngày'!$AB:$AB,'Heo thịt_Nhập dữ liệu hàng ngày'!$M:$M,'Theo dõi khách hàng heo thịt'!C73)</f>
        <v>0</v>
      </c>
      <c r="F73" s="19">
        <f>SUMIFS('Heo thịt_Nhập dữ liệu hàng ngày'!$AC:$AC,'Heo thịt_Nhập dữ liệu hàng ngày'!$M:$M,'Theo dõi khách hàng heo thịt'!C73)</f>
        <v>0</v>
      </c>
      <c r="G73" s="20">
        <f>SUMIFS('Heo thịt_Nhập dữ liệu hàng ngày'!$AD:$AD,'Heo thịt_Nhập dữ liệu hàng ngày'!$M:$M,'Theo dõi khách hàng heo thịt'!C73)</f>
        <v>0</v>
      </c>
      <c r="H73" s="21">
        <f t="shared" si="5"/>
        <v>0</v>
      </c>
      <c r="I73" s="59">
        <f t="shared" si="9"/>
        <v>0</v>
      </c>
      <c r="J73" t="str">
        <f t="shared" si="10"/>
        <v>-</v>
      </c>
      <c r="L73" s="242">
        <f t="shared" si="8"/>
        <v>0</v>
      </c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2:22" ht="28.8" hidden="1" x14ac:dyDescent="0.3">
      <c r="B74" s="32">
        <v>70</v>
      </c>
      <c r="C74" s="18">
        <f>IFERROR(Data!C73,"")</f>
        <v>0</v>
      </c>
      <c r="D74" s="19">
        <f>SUMIFS('Heo thịt_Nhập dữ liệu hàng ngày'!$U:$U,'Heo thịt_Nhập dữ liệu hàng ngày'!$M:$M,'Theo dõi khách hàng heo thịt'!C74)</f>
        <v>0</v>
      </c>
      <c r="E74" s="19">
        <f>SUMIFS('Heo thịt_Nhập dữ liệu hàng ngày'!$AB:$AB,'Heo thịt_Nhập dữ liệu hàng ngày'!$M:$M,'Theo dõi khách hàng heo thịt'!C74)</f>
        <v>0</v>
      </c>
      <c r="F74" s="19">
        <f>SUMIFS('Heo thịt_Nhập dữ liệu hàng ngày'!$AC:$AC,'Heo thịt_Nhập dữ liệu hàng ngày'!$M:$M,'Theo dõi khách hàng heo thịt'!C74)</f>
        <v>0</v>
      </c>
      <c r="G74" s="20">
        <f>SUMIFS('Heo thịt_Nhập dữ liệu hàng ngày'!$AD:$AD,'Heo thịt_Nhập dữ liệu hàng ngày'!$M:$M,'Theo dõi khách hàng heo thịt'!C74)</f>
        <v>0</v>
      </c>
      <c r="H74" s="21">
        <f t="shared" si="5"/>
        <v>0</v>
      </c>
      <c r="I74" s="59">
        <f t="shared" si="9"/>
        <v>0</v>
      </c>
      <c r="J74" t="str">
        <f t="shared" si="10"/>
        <v>-</v>
      </c>
      <c r="K74" s="267" t="s">
        <v>159</v>
      </c>
      <c r="L74" s="242">
        <f t="shared" si="8"/>
        <v>0</v>
      </c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 spans="2:22" hidden="1" x14ac:dyDescent="0.3">
      <c r="B75" s="31">
        <v>71</v>
      </c>
      <c r="C75" s="18">
        <f>IFERROR(Data!C74,"")</f>
        <v>0</v>
      </c>
      <c r="D75" s="19">
        <f>SUMIFS('Heo thịt_Nhập dữ liệu hàng ngày'!$U:$U,'Heo thịt_Nhập dữ liệu hàng ngày'!$M:$M,'Theo dõi khách hàng heo thịt'!C75)</f>
        <v>0</v>
      </c>
      <c r="E75" s="19">
        <f>SUMIFS('Heo thịt_Nhập dữ liệu hàng ngày'!$AB:$AB,'Heo thịt_Nhập dữ liệu hàng ngày'!$M:$M,'Theo dõi khách hàng heo thịt'!C75)</f>
        <v>0</v>
      </c>
      <c r="F75" s="19">
        <f>SUMIFS('Heo thịt_Nhập dữ liệu hàng ngày'!$AC:$AC,'Heo thịt_Nhập dữ liệu hàng ngày'!$M:$M,'Theo dõi khách hàng heo thịt'!C75)</f>
        <v>0</v>
      </c>
      <c r="G75" s="20">
        <f>SUMIFS('Heo thịt_Nhập dữ liệu hàng ngày'!$AD:$AD,'Heo thịt_Nhập dữ liệu hàng ngày'!$M:$M,'Theo dõi khách hàng heo thịt'!C75)</f>
        <v>0</v>
      </c>
      <c r="H75" s="21">
        <f t="shared" si="5"/>
        <v>0</v>
      </c>
      <c r="I75" s="59">
        <f t="shared" si="9"/>
        <v>0</v>
      </c>
      <c r="J75" t="str">
        <f t="shared" si="10"/>
        <v>-</v>
      </c>
      <c r="L75" s="242">
        <f t="shared" si="8"/>
        <v>0</v>
      </c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 spans="2:22" hidden="1" x14ac:dyDescent="0.3">
      <c r="B76" s="32">
        <v>72</v>
      </c>
      <c r="C76" s="18">
        <f>IFERROR(Data!C75,"")</f>
        <v>0</v>
      </c>
      <c r="D76" s="19">
        <f>SUMIFS('Heo thịt_Nhập dữ liệu hàng ngày'!$U:$U,'Heo thịt_Nhập dữ liệu hàng ngày'!$M:$M,'Theo dõi khách hàng heo thịt'!C76)</f>
        <v>0</v>
      </c>
      <c r="E76" s="19">
        <f>SUMIFS('Heo thịt_Nhập dữ liệu hàng ngày'!$AB:$AB,'Heo thịt_Nhập dữ liệu hàng ngày'!$M:$M,'Theo dõi khách hàng heo thịt'!C76)</f>
        <v>0</v>
      </c>
      <c r="F76" s="19">
        <f>SUMIFS('Heo thịt_Nhập dữ liệu hàng ngày'!$AC:$AC,'Heo thịt_Nhập dữ liệu hàng ngày'!$M:$M,'Theo dõi khách hàng heo thịt'!C76)</f>
        <v>0</v>
      </c>
      <c r="G76" s="20">
        <f>SUMIFS('Heo thịt_Nhập dữ liệu hàng ngày'!$AD:$AD,'Heo thịt_Nhập dữ liệu hàng ngày'!$M:$M,'Theo dõi khách hàng heo thịt'!C76)</f>
        <v>0</v>
      </c>
      <c r="H76" s="21">
        <f t="shared" si="5"/>
        <v>0</v>
      </c>
      <c r="I76" s="59">
        <f t="shared" si="9"/>
        <v>0</v>
      </c>
      <c r="J76" t="str">
        <f t="shared" si="10"/>
        <v>-</v>
      </c>
      <c r="L76" s="242">
        <f t="shared" si="8"/>
        <v>0</v>
      </c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 spans="2:22" hidden="1" x14ac:dyDescent="0.3">
      <c r="B77" s="31">
        <v>73</v>
      </c>
      <c r="C77" s="18">
        <f>IFERROR(Data!C76,"")</f>
        <v>0</v>
      </c>
      <c r="D77" s="19">
        <f>SUMIFS('Heo thịt_Nhập dữ liệu hàng ngày'!$U:$U,'Heo thịt_Nhập dữ liệu hàng ngày'!$M:$M,'Theo dõi khách hàng heo thịt'!C77)</f>
        <v>0</v>
      </c>
      <c r="E77" s="19">
        <f>SUMIFS('Heo thịt_Nhập dữ liệu hàng ngày'!$AB:$AB,'Heo thịt_Nhập dữ liệu hàng ngày'!$M:$M,'Theo dõi khách hàng heo thịt'!C77)</f>
        <v>0</v>
      </c>
      <c r="F77" s="19">
        <f>SUMIFS('Heo thịt_Nhập dữ liệu hàng ngày'!$AC:$AC,'Heo thịt_Nhập dữ liệu hàng ngày'!$M:$M,'Theo dõi khách hàng heo thịt'!C77)</f>
        <v>0</v>
      </c>
      <c r="G77" s="20">
        <f>SUMIFS('Heo thịt_Nhập dữ liệu hàng ngày'!$AD:$AD,'Heo thịt_Nhập dữ liệu hàng ngày'!$M:$M,'Theo dõi khách hàng heo thịt'!C77)</f>
        <v>0</v>
      </c>
      <c r="H77" s="21">
        <f t="shared" si="5"/>
        <v>0</v>
      </c>
      <c r="I77" s="59">
        <f t="shared" si="9"/>
        <v>0</v>
      </c>
      <c r="J77" t="str">
        <f t="shared" si="10"/>
        <v>-</v>
      </c>
      <c r="L77" s="242">
        <f t="shared" si="8"/>
        <v>0</v>
      </c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 spans="2:22" hidden="1" x14ac:dyDescent="0.3">
      <c r="B78" s="32">
        <v>74</v>
      </c>
      <c r="C78" s="18">
        <f>IFERROR(Data!C77,"")</f>
        <v>0</v>
      </c>
      <c r="D78" s="19">
        <f>SUMIFS('Heo thịt_Nhập dữ liệu hàng ngày'!$U:$U,'Heo thịt_Nhập dữ liệu hàng ngày'!$M:$M,'Theo dõi khách hàng heo thịt'!C78)</f>
        <v>0</v>
      </c>
      <c r="E78" s="19">
        <f>SUMIFS('Heo thịt_Nhập dữ liệu hàng ngày'!$AB:$AB,'Heo thịt_Nhập dữ liệu hàng ngày'!$M:$M,'Theo dõi khách hàng heo thịt'!C78)</f>
        <v>0</v>
      </c>
      <c r="F78" s="19">
        <f>SUMIFS('Heo thịt_Nhập dữ liệu hàng ngày'!$AC:$AC,'Heo thịt_Nhập dữ liệu hàng ngày'!$M:$M,'Theo dõi khách hàng heo thịt'!C78)</f>
        <v>0</v>
      </c>
      <c r="G78" s="20">
        <f>SUMIFS('Heo thịt_Nhập dữ liệu hàng ngày'!$AD:$AD,'Heo thịt_Nhập dữ liệu hàng ngày'!$M:$M,'Theo dõi khách hàng heo thịt'!C78)</f>
        <v>0</v>
      </c>
      <c r="H78" s="21">
        <f t="shared" ref="H78:H141" si="11">+G78-F78</f>
        <v>0</v>
      </c>
      <c r="I78" s="59">
        <f t="shared" si="9"/>
        <v>0</v>
      </c>
      <c r="J78" t="str">
        <f t="shared" si="10"/>
        <v>-</v>
      </c>
      <c r="L78" s="242">
        <f t="shared" si="8"/>
        <v>0</v>
      </c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 spans="2:22" hidden="1" x14ac:dyDescent="0.3">
      <c r="B79" s="31">
        <v>75</v>
      </c>
      <c r="C79" s="18">
        <f>IFERROR(Data!C78,"")</f>
        <v>0</v>
      </c>
      <c r="D79" s="19">
        <f>SUMIFS('Heo thịt_Nhập dữ liệu hàng ngày'!$U:$U,'Heo thịt_Nhập dữ liệu hàng ngày'!$M:$M,'Theo dõi khách hàng heo thịt'!C79)</f>
        <v>0</v>
      </c>
      <c r="E79" s="19">
        <f>SUMIFS('Heo thịt_Nhập dữ liệu hàng ngày'!$AB:$AB,'Heo thịt_Nhập dữ liệu hàng ngày'!$M:$M,'Theo dõi khách hàng heo thịt'!C79)</f>
        <v>0</v>
      </c>
      <c r="F79" s="19">
        <f>SUMIFS('Heo thịt_Nhập dữ liệu hàng ngày'!$AC:$AC,'Heo thịt_Nhập dữ liệu hàng ngày'!$M:$M,'Theo dõi khách hàng heo thịt'!C79)</f>
        <v>0</v>
      </c>
      <c r="G79" s="20">
        <f>SUMIFS('Heo thịt_Nhập dữ liệu hàng ngày'!$AD:$AD,'Heo thịt_Nhập dữ liệu hàng ngày'!$M:$M,'Theo dõi khách hàng heo thịt'!C79)</f>
        <v>0</v>
      </c>
      <c r="H79" s="21">
        <f t="shared" si="11"/>
        <v>0</v>
      </c>
      <c r="I79" s="59">
        <f t="shared" si="9"/>
        <v>0</v>
      </c>
      <c r="J79" t="str">
        <f t="shared" si="10"/>
        <v>-</v>
      </c>
      <c r="L79" s="242">
        <f t="shared" si="8"/>
        <v>0</v>
      </c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 spans="2:22" hidden="1" x14ac:dyDescent="0.3">
      <c r="B80" s="32">
        <v>76</v>
      </c>
      <c r="C80" s="18">
        <f>IFERROR(Data!C79,"")</f>
        <v>0</v>
      </c>
      <c r="D80" s="19">
        <f>SUMIFS('Heo thịt_Nhập dữ liệu hàng ngày'!$U:$U,'Heo thịt_Nhập dữ liệu hàng ngày'!$M:$M,'Theo dõi khách hàng heo thịt'!C80)</f>
        <v>0</v>
      </c>
      <c r="E80" s="19">
        <f>SUMIFS('Heo thịt_Nhập dữ liệu hàng ngày'!$AB:$AB,'Heo thịt_Nhập dữ liệu hàng ngày'!$M:$M,'Theo dõi khách hàng heo thịt'!C80)</f>
        <v>0</v>
      </c>
      <c r="F80" s="19">
        <f>SUMIFS('Heo thịt_Nhập dữ liệu hàng ngày'!$AC:$AC,'Heo thịt_Nhập dữ liệu hàng ngày'!$M:$M,'Theo dõi khách hàng heo thịt'!C80)</f>
        <v>0</v>
      </c>
      <c r="G80" s="20">
        <f>SUMIFS('Heo thịt_Nhập dữ liệu hàng ngày'!$AD:$AD,'Heo thịt_Nhập dữ liệu hàng ngày'!$M:$M,'Theo dõi khách hàng heo thịt'!C80)</f>
        <v>0</v>
      </c>
      <c r="H80" s="21">
        <f t="shared" si="11"/>
        <v>0</v>
      </c>
      <c r="I80" s="59">
        <f t="shared" si="9"/>
        <v>0</v>
      </c>
      <c r="J80" t="str">
        <f t="shared" si="10"/>
        <v>-</v>
      </c>
      <c r="K80" s="263" t="s">
        <v>155</v>
      </c>
      <c r="L80" s="242">
        <f t="shared" si="8"/>
        <v>0</v>
      </c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 spans="2:22" hidden="1" x14ac:dyDescent="0.3">
      <c r="B81" s="31">
        <v>77</v>
      </c>
      <c r="C81" s="18">
        <f>IFERROR(Data!C80,"")</f>
        <v>0</v>
      </c>
      <c r="D81" s="19">
        <f>SUMIFS('Heo thịt_Nhập dữ liệu hàng ngày'!$U:$U,'Heo thịt_Nhập dữ liệu hàng ngày'!$M:$M,'Theo dõi khách hàng heo thịt'!C81)</f>
        <v>0</v>
      </c>
      <c r="E81" s="19">
        <f>SUMIFS('Heo thịt_Nhập dữ liệu hàng ngày'!$AB:$AB,'Heo thịt_Nhập dữ liệu hàng ngày'!$M:$M,'Theo dõi khách hàng heo thịt'!C81)</f>
        <v>0</v>
      </c>
      <c r="F81" s="19">
        <f>SUMIFS('Heo thịt_Nhập dữ liệu hàng ngày'!$AC:$AC,'Heo thịt_Nhập dữ liệu hàng ngày'!$M:$M,'Theo dõi khách hàng heo thịt'!C81)</f>
        <v>0</v>
      </c>
      <c r="G81" s="20">
        <f>SUMIFS('Heo thịt_Nhập dữ liệu hàng ngày'!$AD:$AD,'Heo thịt_Nhập dữ liệu hàng ngày'!$M:$M,'Theo dõi khách hàng heo thịt'!C81)</f>
        <v>0</v>
      </c>
      <c r="H81" s="21">
        <f t="shared" si="11"/>
        <v>0</v>
      </c>
      <c r="I81" s="59">
        <f t="shared" si="9"/>
        <v>0</v>
      </c>
      <c r="J81" t="str">
        <f t="shared" si="10"/>
        <v>-</v>
      </c>
      <c r="L81" s="242">
        <f t="shared" si="8"/>
        <v>0</v>
      </c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 spans="2:22" hidden="1" x14ac:dyDescent="0.3">
      <c r="B82" s="32">
        <v>78</v>
      </c>
      <c r="C82" s="18">
        <f>IFERROR(Data!C81,"")</f>
        <v>0</v>
      </c>
      <c r="D82" s="19">
        <f>SUMIFS('Heo thịt_Nhập dữ liệu hàng ngày'!$U:$U,'Heo thịt_Nhập dữ liệu hàng ngày'!$M:$M,'Theo dõi khách hàng heo thịt'!C82)</f>
        <v>0</v>
      </c>
      <c r="E82" s="19">
        <f>SUMIFS('Heo thịt_Nhập dữ liệu hàng ngày'!$AB:$AB,'Heo thịt_Nhập dữ liệu hàng ngày'!$M:$M,'Theo dõi khách hàng heo thịt'!C82)</f>
        <v>0</v>
      </c>
      <c r="F82" s="19">
        <f>SUMIFS('Heo thịt_Nhập dữ liệu hàng ngày'!$AC:$AC,'Heo thịt_Nhập dữ liệu hàng ngày'!$M:$M,'Theo dõi khách hàng heo thịt'!C82)</f>
        <v>0</v>
      </c>
      <c r="G82" s="20">
        <f>SUMIFS('Heo thịt_Nhập dữ liệu hàng ngày'!$AD:$AD,'Heo thịt_Nhập dữ liệu hàng ngày'!$M:$M,'Theo dõi khách hàng heo thịt'!C82)</f>
        <v>0</v>
      </c>
      <c r="H82" s="21">
        <f t="shared" si="11"/>
        <v>0</v>
      </c>
      <c r="I82" s="59">
        <f t="shared" si="9"/>
        <v>0</v>
      </c>
      <c r="J82" t="str">
        <f t="shared" si="10"/>
        <v>-</v>
      </c>
      <c r="L82" s="242">
        <f t="shared" si="8"/>
        <v>0</v>
      </c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 spans="2:22" hidden="1" x14ac:dyDescent="0.3">
      <c r="B83" s="31">
        <v>79</v>
      </c>
      <c r="C83" s="18">
        <f>IFERROR(Data!C82,"")</f>
        <v>0</v>
      </c>
      <c r="D83" s="19">
        <f>SUMIFS('Heo thịt_Nhập dữ liệu hàng ngày'!$U:$U,'Heo thịt_Nhập dữ liệu hàng ngày'!$M:$M,'Theo dõi khách hàng heo thịt'!C83)</f>
        <v>0</v>
      </c>
      <c r="E83" s="19">
        <f>SUMIFS('Heo thịt_Nhập dữ liệu hàng ngày'!$AB:$AB,'Heo thịt_Nhập dữ liệu hàng ngày'!$M:$M,'Theo dõi khách hàng heo thịt'!C83)</f>
        <v>0</v>
      </c>
      <c r="F83" s="19">
        <f>SUMIFS('Heo thịt_Nhập dữ liệu hàng ngày'!$AC:$AC,'Heo thịt_Nhập dữ liệu hàng ngày'!$M:$M,'Theo dõi khách hàng heo thịt'!C83)</f>
        <v>0</v>
      </c>
      <c r="G83" s="20">
        <f>SUMIFS('Heo thịt_Nhập dữ liệu hàng ngày'!$AD:$AD,'Heo thịt_Nhập dữ liệu hàng ngày'!$M:$M,'Theo dõi khách hàng heo thịt'!C83)</f>
        <v>0</v>
      </c>
      <c r="H83" s="21">
        <f t="shared" si="11"/>
        <v>0</v>
      </c>
      <c r="I83" s="59">
        <f t="shared" si="9"/>
        <v>0</v>
      </c>
      <c r="J83" t="str">
        <f t="shared" si="10"/>
        <v>-</v>
      </c>
      <c r="L83" s="242">
        <f t="shared" si="8"/>
        <v>0</v>
      </c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 spans="2:22" hidden="1" x14ac:dyDescent="0.3">
      <c r="B84" s="32">
        <v>80</v>
      </c>
      <c r="C84" s="18">
        <f>IFERROR(Data!C83,"")</f>
        <v>0</v>
      </c>
      <c r="D84" s="19">
        <f>SUMIFS('Heo thịt_Nhập dữ liệu hàng ngày'!$U:$U,'Heo thịt_Nhập dữ liệu hàng ngày'!$M:$M,'Theo dõi khách hàng heo thịt'!C84)</f>
        <v>0</v>
      </c>
      <c r="E84" s="19">
        <f>SUMIFS('Heo thịt_Nhập dữ liệu hàng ngày'!$AB:$AB,'Heo thịt_Nhập dữ liệu hàng ngày'!$M:$M,'Theo dõi khách hàng heo thịt'!C84)</f>
        <v>0</v>
      </c>
      <c r="F84" s="19">
        <f>SUMIFS('Heo thịt_Nhập dữ liệu hàng ngày'!$AC:$AC,'Heo thịt_Nhập dữ liệu hàng ngày'!$M:$M,'Theo dõi khách hàng heo thịt'!C84)</f>
        <v>0</v>
      </c>
      <c r="G84" s="20">
        <f>SUMIFS('Heo thịt_Nhập dữ liệu hàng ngày'!$AD:$AD,'Heo thịt_Nhập dữ liệu hàng ngày'!$M:$M,'Theo dõi khách hàng heo thịt'!C84)</f>
        <v>0</v>
      </c>
      <c r="H84" s="21">
        <f t="shared" si="11"/>
        <v>0</v>
      </c>
      <c r="I84" s="59">
        <f t="shared" si="9"/>
        <v>0</v>
      </c>
      <c r="J84" t="str">
        <f t="shared" si="10"/>
        <v>-</v>
      </c>
      <c r="L84" s="242">
        <f t="shared" si="8"/>
        <v>0</v>
      </c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 spans="2:22" hidden="1" x14ac:dyDescent="0.3">
      <c r="B85" s="31">
        <v>81</v>
      </c>
      <c r="C85" s="18">
        <f>IFERROR(Data!C84,"")</f>
        <v>0</v>
      </c>
      <c r="D85" s="19">
        <f>SUMIFS('Heo thịt_Nhập dữ liệu hàng ngày'!$U:$U,'Heo thịt_Nhập dữ liệu hàng ngày'!$M:$M,'Theo dõi khách hàng heo thịt'!C85)</f>
        <v>0</v>
      </c>
      <c r="E85" s="19">
        <f>SUMIFS('Heo thịt_Nhập dữ liệu hàng ngày'!$AB:$AB,'Heo thịt_Nhập dữ liệu hàng ngày'!$M:$M,'Theo dõi khách hàng heo thịt'!C85)</f>
        <v>0</v>
      </c>
      <c r="F85" s="19">
        <f>SUMIFS('Heo thịt_Nhập dữ liệu hàng ngày'!$AC:$AC,'Heo thịt_Nhập dữ liệu hàng ngày'!$M:$M,'Theo dõi khách hàng heo thịt'!C85)</f>
        <v>0</v>
      </c>
      <c r="G85" s="20">
        <f>SUMIFS('Heo thịt_Nhập dữ liệu hàng ngày'!$AD:$AD,'Heo thịt_Nhập dữ liệu hàng ngày'!$M:$M,'Theo dõi khách hàng heo thịt'!C85)</f>
        <v>0</v>
      </c>
      <c r="H85" s="21">
        <f t="shared" si="11"/>
        <v>0</v>
      </c>
      <c r="I85" s="59">
        <f t="shared" si="9"/>
        <v>0</v>
      </c>
      <c r="J85" t="str">
        <f t="shared" si="10"/>
        <v>-</v>
      </c>
      <c r="L85" s="242">
        <f t="shared" si="8"/>
        <v>0</v>
      </c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 spans="2:22" hidden="1" x14ac:dyDescent="0.3">
      <c r="B86" s="32">
        <v>82</v>
      </c>
      <c r="C86" s="18">
        <f>IFERROR(Data!C85,"")</f>
        <v>0</v>
      </c>
      <c r="D86" s="19">
        <f>SUMIFS('Heo thịt_Nhập dữ liệu hàng ngày'!$U:$U,'Heo thịt_Nhập dữ liệu hàng ngày'!$M:$M,'Theo dõi khách hàng heo thịt'!C86)</f>
        <v>0</v>
      </c>
      <c r="E86" s="19">
        <f>SUMIFS('Heo thịt_Nhập dữ liệu hàng ngày'!$AB:$AB,'Heo thịt_Nhập dữ liệu hàng ngày'!$M:$M,'Theo dõi khách hàng heo thịt'!C86)</f>
        <v>0</v>
      </c>
      <c r="F86" s="19">
        <f>SUMIFS('Heo thịt_Nhập dữ liệu hàng ngày'!$AC:$AC,'Heo thịt_Nhập dữ liệu hàng ngày'!$M:$M,'Theo dõi khách hàng heo thịt'!C86)</f>
        <v>0</v>
      </c>
      <c r="G86" s="20">
        <f>SUMIFS('Heo thịt_Nhập dữ liệu hàng ngày'!$AD:$AD,'Heo thịt_Nhập dữ liệu hàng ngày'!$M:$M,'Theo dõi khách hàng heo thịt'!C86)</f>
        <v>0</v>
      </c>
      <c r="H86" s="21">
        <f t="shared" si="11"/>
        <v>0</v>
      </c>
      <c r="I86" s="59">
        <f t="shared" si="9"/>
        <v>0</v>
      </c>
      <c r="J86" t="str">
        <f t="shared" si="10"/>
        <v>-</v>
      </c>
      <c r="L86" s="242">
        <f t="shared" si="8"/>
        <v>0</v>
      </c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 spans="2:22" hidden="1" x14ac:dyDescent="0.3">
      <c r="B87" s="31">
        <v>83</v>
      </c>
      <c r="C87" s="18">
        <f>IFERROR(Data!C86,"")</f>
        <v>0</v>
      </c>
      <c r="D87" s="19">
        <f>SUMIFS('Heo thịt_Nhập dữ liệu hàng ngày'!$U:$U,'Heo thịt_Nhập dữ liệu hàng ngày'!$M:$M,'Theo dõi khách hàng heo thịt'!C87)</f>
        <v>0</v>
      </c>
      <c r="E87" s="19">
        <f>SUMIFS('Heo thịt_Nhập dữ liệu hàng ngày'!$AB:$AB,'Heo thịt_Nhập dữ liệu hàng ngày'!$M:$M,'Theo dõi khách hàng heo thịt'!C87)</f>
        <v>0</v>
      </c>
      <c r="F87" s="19">
        <f>SUMIFS('Heo thịt_Nhập dữ liệu hàng ngày'!$AC:$AC,'Heo thịt_Nhập dữ liệu hàng ngày'!$M:$M,'Theo dõi khách hàng heo thịt'!C87)</f>
        <v>0</v>
      </c>
      <c r="G87" s="20">
        <f>SUMIFS('Heo thịt_Nhập dữ liệu hàng ngày'!$AD:$AD,'Heo thịt_Nhập dữ liệu hàng ngày'!$M:$M,'Theo dõi khách hàng heo thịt'!C87)</f>
        <v>0</v>
      </c>
      <c r="H87" s="21">
        <f t="shared" si="11"/>
        <v>0</v>
      </c>
      <c r="I87" s="59">
        <f t="shared" si="9"/>
        <v>0</v>
      </c>
      <c r="J87" t="str">
        <f t="shared" si="10"/>
        <v>-</v>
      </c>
      <c r="L87" s="242">
        <f t="shared" si="8"/>
        <v>0</v>
      </c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 spans="2:22" hidden="1" x14ac:dyDescent="0.3">
      <c r="B88" s="32">
        <v>84</v>
      </c>
      <c r="C88" s="18">
        <f>IFERROR(Data!C87,"")</f>
        <v>0</v>
      </c>
      <c r="D88" s="19">
        <f>SUMIFS('Heo thịt_Nhập dữ liệu hàng ngày'!$U:$U,'Heo thịt_Nhập dữ liệu hàng ngày'!$M:$M,'Theo dõi khách hàng heo thịt'!C88)</f>
        <v>0</v>
      </c>
      <c r="E88" s="19">
        <f>SUMIFS('Heo thịt_Nhập dữ liệu hàng ngày'!$AB:$AB,'Heo thịt_Nhập dữ liệu hàng ngày'!$M:$M,'Theo dõi khách hàng heo thịt'!C88)</f>
        <v>0</v>
      </c>
      <c r="F88" s="19">
        <f>SUMIFS('Heo thịt_Nhập dữ liệu hàng ngày'!$AC:$AC,'Heo thịt_Nhập dữ liệu hàng ngày'!$M:$M,'Theo dõi khách hàng heo thịt'!C88)</f>
        <v>0</v>
      </c>
      <c r="G88" s="20">
        <f>SUMIFS('Heo thịt_Nhập dữ liệu hàng ngày'!$AD:$AD,'Heo thịt_Nhập dữ liệu hàng ngày'!$M:$M,'Theo dõi khách hàng heo thịt'!C88)</f>
        <v>0</v>
      </c>
      <c r="H88" s="21">
        <f t="shared" si="11"/>
        <v>0</v>
      </c>
      <c r="I88" s="59">
        <f t="shared" si="9"/>
        <v>0</v>
      </c>
      <c r="J88" t="str">
        <f t="shared" si="10"/>
        <v>-</v>
      </c>
      <c r="L88" s="242">
        <f t="shared" si="8"/>
        <v>0</v>
      </c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 spans="2:22" hidden="1" x14ac:dyDescent="0.3">
      <c r="B89" s="31">
        <v>85</v>
      </c>
      <c r="C89" s="18">
        <f>IFERROR(Data!C88,"")</f>
        <v>0</v>
      </c>
      <c r="D89" s="19">
        <f>SUMIFS('Heo thịt_Nhập dữ liệu hàng ngày'!$U:$U,'Heo thịt_Nhập dữ liệu hàng ngày'!$M:$M,'Theo dõi khách hàng heo thịt'!C89)</f>
        <v>0</v>
      </c>
      <c r="E89" s="19">
        <f>SUMIFS('Heo thịt_Nhập dữ liệu hàng ngày'!$AB:$AB,'Heo thịt_Nhập dữ liệu hàng ngày'!$M:$M,'Theo dõi khách hàng heo thịt'!C89)</f>
        <v>0</v>
      </c>
      <c r="F89" s="19">
        <f>SUMIFS('Heo thịt_Nhập dữ liệu hàng ngày'!$AC:$AC,'Heo thịt_Nhập dữ liệu hàng ngày'!$M:$M,'Theo dõi khách hàng heo thịt'!C89)</f>
        <v>0</v>
      </c>
      <c r="G89" s="20">
        <f>SUMIFS('Heo thịt_Nhập dữ liệu hàng ngày'!$AD:$AD,'Heo thịt_Nhập dữ liệu hàng ngày'!$M:$M,'Theo dõi khách hàng heo thịt'!C89)</f>
        <v>0</v>
      </c>
      <c r="H89" s="21">
        <f t="shared" si="11"/>
        <v>0</v>
      </c>
      <c r="I89" s="59">
        <f t="shared" si="9"/>
        <v>0</v>
      </c>
      <c r="J89" t="str">
        <f t="shared" si="10"/>
        <v>-</v>
      </c>
      <c r="L89" s="242">
        <f t="shared" si="8"/>
        <v>0</v>
      </c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 spans="2:22" hidden="1" x14ac:dyDescent="0.3">
      <c r="B90" s="32">
        <v>86</v>
      </c>
      <c r="C90" s="18">
        <f>IFERROR(Data!C89,"")</f>
        <v>0</v>
      </c>
      <c r="D90" s="19">
        <f>SUMIFS('Heo thịt_Nhập dữ liệu hàng ngày'!$U:$U,'Heo thịt_Nhập dữ liệu hàng ngày'!$M:$M,'Theo dõi khách hàng heo thịt'!C90)</f>
        <v>0</v>
      </c>
      <c r="E90" s="19">
        <f>SUMIFS('Heo thịt_Nhập dữ liệu hàng ngày'!$AB:$AB,'Heo thịt_Nhập dữ liệu hàng ngày'!$M:$M,'Theo dõi khách hàng heo thịt'!C90)</f>
        <v>0</v>
      </c>
      <c r="F90" s="19">
        <f>SUMIFS('Heo thịt_Nhập dữ liệu hàng ngày'!$AC:$AC,'Heo thịt_Nhập dữ liệu hàng ngày'!$M:$M,'Theo dõi khách hàng heo thịt'!C90)</f>
        <v>0</v>
      </c>
      <c r="G90" s="20">
        <f>SUMIFS('Heo thịt_Nhập dữ liệu hàng ngày'!$AD:$AD,'Heo thịt_Nhập dữ liệu hàng ngày'!$M:$M,'Theo dõi khách hàng heo thịt'!C90)</f>
        <v>0</v>
      </c>
      <c r="H90" s="21">
        <f t="shared" si="11"/>
        <v>0</v>
      </c>
      <c r="I90" s="59">
        <f t="shared" si="9"/>
        <v>0</v>
      </c>
      <c r="J90" t="str">
        <f t="shared" si="10"/>
        <v>-</v>
      </c>
      <c r="K90" s="263" t="s">
        <v>155</v>
      </c>
      <c r="L90" s="242">
        <f t="shared" si="8"/>
        <v>0</v>
      </c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 spans="2:22" hidden="1" x14ac:dyDescent="0.3">
      <c r="B91" s="31">
        <v>87</v>
      </c>
      <c r="C91" s="18">
        <f>IFERROR(Data!C90,"")</f>
        <v>0</v>
      </c>
      <c r="D91" s="19">
        <f>SUMIFS('Heo thịt_Nhập dữ liệu hàng ngày'!$U:$U,'Heo thịt_Nhập dữ liệu hàng ngày'!$M:$M,'Theo dõi khách hàng heo thịt'!C91)</f>
        <v>0</v>
      </c>
      <c r="E91" s="19">
        <f>SUMIFS('Heo thịt_Nhập dữ liệu hàng ngày'!$AB:$AB,'Heo thịt_Nhập dữ liệu hàng ngày'!$M:$M,'Theo dõi khách hàng heo thịt'!C91)</f>
        <v>0</v>
      </c>
      <c r="F91" s="19">
        <f>SUMIFS('Heo thịt_Nhập dữ liệu hàng ngày'!$AC:$AC,'Heo thịt_Nhập dữ liệu hàng ngày'!$M:$M,'Theo dõi khách hàng heo thịt'!C91)</f>
        <v>0</v>
      </c>
      <c r="G91" s="20">
        <f>SUMIFS('Heo thịt_Nhập dữ liệu hàng ngày'!$AD:$AD,'Heo thịt_Nhập dữ liệu hàng ngày'!$M:$M,'Theo dõi khách hàng heo thịt'!C91)</f>
        <v>0</v>
      </c>
      <c r="H91" s="21">
        <f t="shared" si="11"/>
        <v>0</v>
      </c>
      <c r="I91" s="59">
        <f t="shared" si="9"/>
        <v>0</v>
      </c>
      <c r="J91" t="str">
        <f t="shared" si="10"/>
        <v>-</v>
      </c>
      <c r="L91" s="242">
        <f t="shared" si="8"/>
        <v>0</v>
      </c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 spans="2:22" hidden="1" x14ac:dyDescent="0.3">
      <c r="B92" s="32">
        <v>88</v>
      </c>
      <c r="C92" s="18">
        <f>IFERROR(Data!C91,"")</f>
        <v>0</v>
      </c>
      <c r="D92" s="19">
        <f>SUMIFS('Heo thịt_Nhập dữ liệu hàng ngày'!$U:$U,'Heo thịt_Nhập dữ liệu hàng ngày'!$M:$M,'Theo dõi khách hàng heo thịt'!C92)</f>
        <v>0</v>
      </c>
      <c r="E92" s="19">
        <f>SUMIFS('Heo thịt_Nhập dữ liệu hàng ngày'!$AB:$AB,'Heo thịt_Nhập dữ liệu hàng ngày'!$M:$M,'Theo dõi khách hàng heo thịt'!C92)</f>
        <v>0</v>
      </c>
      <c r="F92" s="19">
        <f>SUMIFS('Heo thịt_Nhập dữ liệu hàng ngày'!$AC:$AC,'Heo thịt_Nhập dữ liệu hàng ngày'!$M:$M,'Theo dõi khách hàng heo thịt'!C92)</f>
        <v>0</v>
      </c>
      <c r="G92" s="20">
        <f>SUMIFS('Heo thịt_Nhập dữ liệu hàng ngày'!$AD:$AD,'Heo thịt_Nhập dữ liệu hàng ngày'!$M:$M,'Theo dõi khách hàng heo thịt'!C92)</f>
        <v>0</v>
      </c>
      <c r="H92" s="21">
        <f t="shared" si="11"/>
        <v>0</v>
      </c>
      <c r="I92" s="59">
        <f t="shared" si="9"/>
        <v>0</v>
      </c>
      <c r="J92" t="str">
        <f t="shared" si="10"/>
        <v>-</v>
      </c>
      <c r="L92" s="242">
        <f t="shared" si="8"/>
        <v>0</v>
      </c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 spans="2:22" hidden="1" x14ac:dyDescent="0.3">
      <c r="B93" s="31">
        <v>89</v>
      </c>
      <c r="C93" s="18">
        <f>IFERROR(Data!C92,"")</f>
        <v>0</v>
      </c>
      <c r="D93" s="19">
        <f>SUMIFS('Heo thịt_Nhập dữ liệu hàng ngày'!$U:$U,'Heo thịt_Nhập dữ liệu hàng ngày'!$M:$M,'Theo dõi khách hàng heo thịt'!C93)</f>
        <v>0</v>
      </c>
      <c r="E93" s="19">
        <f>SUMIFS('Heo thịt_Nhập dữ liệu hàng ngày'!$AB:$AB,'Heo thịt_Nhập dữ liệu hàng ngày'!$M:$M,'Theo dõi khách hàng heo thịt'!C93)</f>
        <v>0</v>
      </c>
      <c r="F93" s="19">
        <f>SUMIFS('Heo thịt_Nhập dữ liệu hàng ngày'!$AC:$AC,'Heo thịt_Nhập dữ liệu hàng ngày'!$M:$M,'Theo dõi khách hàng heo thịt'!C93)</f>
        <v>0</v>
      </c>
      <c r="G93" s="20">
        <f>SUMIFS('Heo thịt_Nhập dữ liệu hàng ngày'!$AD:$AD,'Heo thịt_Nhập dữ liệu hàng ngày'!$M:$M,'Theo dõi khách hàng heo thịt'!C93)</f>
        <v>0</v>
      </c>
      <c r="H93" s="21">
        <f t="shared" si="11"/>
        <v>0</v>
      </c>
      <c r="I93" s="59">
        <f t="shared" si="9"/>
        <v>0</v>
      </c>
      <c r="J93" t="str">
        <f t="shared" si="10"/>
        <v>-</v>
      </c>
      <c r="K93" s="265" t="s">
        <v>160</v>
      </c>
      <c r="L93" s="242">
        <f t="shared" si="8"/>
        <v>0</v>
      </c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 spans="2:22" hidden="1" x14ac:dyDescent="0.3">
      <c r="B94" s="32">
        <v>90</v>
      </c>
      <c r="C94" s="18">
        <f>IFERROR(Data!C93,"")</f>
        <v>0</v>
      </c>
      <c r="D94" s="19">
        <f>SUMIFS('Heo thịt_Nhập dữ liệu hàng ngày'!$U:$U,'Heo thịt_Nhập dữ liệu hàng ngày'!$M:$M,'Theo dõi khách hàng heo thịt'!C94)</f>
        <v>0</v>
      </c>
      <c r="E94" s="19">
        <f>SUMIFS('Heo thịt_Nhập dữ liệu hàng ngày'!$AB:$AB,'Heo thịt_Nhập dữ liệu hàng ngày'!$M:$M,'Theo dõi khách hàng heo thịt'!C94)</f>
        <v>0</v>
      </c>
      <c r="F94" s="19">
        <f>SUMIFS('Heo thịt_Nhập dữ liệu hàng ngày'!$AC:$AC,'Heo thịt_Nhập dữ liệu hàng ngày'!$M:$M,'Theo dõi khách hàng heo thịt'!C94)</f>
        <v>0</v>
      </c>
      <c r="G94" s="20">
        <f>SUMIFS('Heo thịt_Nhập dữ liệu hàng ngày'!$AD:$AD,'Heo thịt_Nhập dữ liệu hàng ngày'!$M:$M,'Theo dõi khách hàng heo thịt'!C94)</f>
        <v>0</v>
      </c>
      <c r="H94" s="21">
        <f t="shared" si="11"/>
        <v>0</v>
      </c>
      <c r="I94" s="59">
        <f t="shared" si="9"/>
        <v>0</v>
      </c>
      <c r="J94" t="str">
        <f t="shared" si="10"/>
        <v>-</v>
      </c>
      <c r="L94" s="242">
        <f t="shared" si="8"/>
        <v>0</v>
      </c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 spans="2:22" hidden="1" x14ac:dyDescent="0.3">
      <c r="B95" s="31">
        <v>91</v>
      </c>
      <c r="C95" s="18">
        <f>IFERROR(Data!C94,"")</f>
        <v>0</v>
      </c>
      <c r="D95" s="19">
        <f>SUMIFS('Heo thịt_Nhập dữ liệu hàng ngày'!$U:$U,'Heo thịt_Nhập dữ liệu hàng ngày'!$M:$M,'Theo dõi khách hàng heo thịt'!C95)</f>
        <v>0</v>
      </c>
      <c r="E95" s="19">
        <f>SUMIFS('Heo thịt_Nhập dữ liệu hàng ngày'!$AB:$AB,'Heo thịt_Nhập dữ liệu hàng ngày'!$M:$M,'Theo dõi khách hàng heo thịt'!C95)</f>
        <v>0</v>
      </c>
      <c r="F95" s="19">
        <f>SUMIFS('Heo thịt_Nhập dữ liệu hàng ngày'!$AC:$AC,'Heo thịt_Nhập dữ liệu hàng ngày'!$M:$M,'Theo dõi khách hàng heo thịt'!C95)</f>
        <v>0</v>
      </c>
      <c r="G95" s="20">
        <f>SUMIFS('Heo thịt_Nhập dữ liệu hàng ngày'!$AD:$AD,'Heo thịt_Nhập dữ liệu hàng ngày'!$M:$M,'Theo dõi khách hàng heo thịt'!C95)</f>
        <v>0</v>
      </c>
      <c r="H95" s="21">
        <f t="shared" si="11"/>
        <v>0</v>
      </c>
      <c r="I95" s="59">
        <f t="shared" si="9"/>
        <v>0</v>
      </c>
      <c r="J95" t="str">
        <f t="shared" si="10"/>
        <v>-</v>
      </c>
      <c r="L95" s="242">
        <f t="shared" si="8"/>
        <v>0</v>
      </c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 spans="2:22" hidden="1" x14ac:dyDescent="0.3">
      <c r="B96" s="32">
        <v>92</v>
      </c>
      <c r="C96" s="18">
        <f>IFERROR(Data!C95,"")</f>
        <v>0</v>
      </c>
      <c r="D96" s="19">
        <f>SUMIFS('Heo thịt_Nhập dữ liệu hàng ngày'!$U:$U,'Heo thịt_Nhập dữ liệu hàng ngày'!$M:$M,'Theo dõi khách hàng heo thịt'!C96)</f>
        <v>0</v>
      </c>
      <c r="E96" s="19">
        <f>SUMIFS('Heo thịt_Nhập dữ liệu hàng ngày'!$AB:$AB,'Heo thịt_Nhập dữ liệu hàng ngày'!$M:$M,'Theo dõi khách hàng heo thịt'!C96)</f>
        <v>0</v>
      </c>
      <c r="F96" s="19">
        <f>SUMIFS('Heo thịt_Nhập dữ liệu hàng ngày'!$AC:$AC,'Heo thịt_Nhập dữ liệu hàng ngày'!$M:$M,'Theo dõi khách hàng heo thịt'!C96)</f>
        <v>0</v>
      </c>
      <c r="G96" s="20">
        <f>SUMIFS('Heo thịt_Nhập dữ liệu hàng ngày'!$AD:$AD,'Heo thịt_Nhập dữ liệu hàng ngày'!$M:$M,'Theo dõi khách hàng heo thịt'!C96)</f>
        <v>0</v>
      </c>
      <c r="H96" s="21">
        <f t="shared" si="11"/>
        <v>0</v>
      </c>
      <c r="I96" s="59">
        <f t="shared" si="9"/>
        <v>0</v>
      </c>
      <c r="J96" t="str">
        <f t="shared" si="10"/>
        <v>-</v>
      </c>
      <c r="L96" s="242">
        <f t="shared" si="8"/>
        <v>0</v>
      </c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 spans="2:22" hidden="1" x14ac:dyDescent="0.3">
      <c r="B97" s="31">
        <v>93</v>
      </c>
      <c r="C97" s="18">
        <f>IFERROR(Data!C96,"")</f>
        <v>0</v>
      </c>
      <c r="D97" s="19">
        <f>SUMIFS('Heo thịt_Nhập dữ liệu hàng ngày'!$U:$U,'Heo thịt_Nhập dữ liệu hàng ngày'!$M:$M,'Theo dõi khách hàng heo thịt'!C97)</f>
        <v>0</v>
      </c>
      <c r="E97" s="19">
        <f>SUMIFS('Heo thịt_Nhập dữ liệu hàng ngày'!$AB:$AB,'Heo thịt_Nhập dữ liệu hàng ngày'!$M:$M,'Theo dõi khách hàng heo thịt'!C97)</f>
        <v>0</v>
      </c>
      <c r="F97" s="19">
        <f>SUMIFS('Heo thịt_Nhập dữ liệu hàng ngày'!$AC:$AC,'Heo thịt_Nhập dữ liệu hàng ngày'!$M:$M,'Theo dõi khách hàng heo thịt'!C97)</f>
        <v>0</v>
      </c>
      <c r="G97" s="20">
        <f>SUMIFS('Heo thịt_Nhập dữ liệu hàng ngày'!$AD:$AD,'Heo thịt_Nhập dữ liệu hàng ngày'!$M:$M,'Theo dõi khách hàng heo thịt'!C97)</f>
        <v>0</v>
      </c>
      <c r="H97" s="21">
        <f t="shared" si="11"/>
        <v>0</v>
      </c>
      <c r="I97" s="59">
        <f t="shared" si="9"/>
        <v>0</v>
      </c>
      <c r="J97" t="str">
        <f t="shared" si="10"/>
        <v>-</v>
      </c>
      <c r="L97" s="242">
        <f t="shared" si="8"/>
        <v>0</v>
      </c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 spans="2:22" hidden="1" x14ac:dyDescent="0.3">
      <c r="B98" s="32">
        <v>94</v>
      </c>
      <c r="C98" s="18">
        <f>IFERROR(Data!C97,"")</f>
        <v>0</v>
      </c>
      <c r="D98" s="19">
        <f>SUMIFS('Heo thịt_Nhập dữ liệu hàng ngày'!$U:$U,'Heo thịt_Nhập dữ liệu hàng ngày'!$M:$M,'Theo dõi khách hàng heo thịt'!C98)</f>
        <v>0</v>
      </c>
      <c r="E98" s="19">
        <f>SUMIFS('Heo thịt_Nhập dữ liệu hàng ngày'!$AB:$AB,'Heo thịt_Nhập dữ liệu hàng ngày'!$M:$M,'Theo dõi khách hàng heo thịt'!C98)</f>
        <v>0</v>
      </c>
      <c r="F98" s="19">
        <f>SUMIFS('Heo thịt_Nhập dữ liệu hàng ngày'!$AC:$AC,'Heo thịt_Nhập dữ liệu hàng ngày'!$M:$M,'Theo dõi khách hàng heo thịt'!C98)</f>
        <v>0</v>
      </c>
      <c r="G98" s="20">
        <f>SUMIFS('Heo thịt_Nhập dữ liệu hàng ngày'!$AD:$AD,'Heo thịt_Nhập dữ liệu hàng ngày'!$M:$M,'Theo dõi khách hàng heo thịt'!C98)</f>
        <v>0</v>
      </c>
      <c r="H98" s="21">
        <f t="shared" si="11"/>
        <v>0</v>
      </c>
      <c r="I98" s="59">
        <f t="shared" si="9"/>
        <v>0</v>
      </c>
      <c r="J98" t="str">
        <f t="shared" si="10"/>
        <v>-</v>
      </c>
      <c r="L98" s="242">
        <f t="shared" si="8"/>
        <v>0</v>
      </c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 spans="2:22" hidden="1" x14ac:dyDescent="0.3">
      <c r="B99" s="31">
        <v>95</v>
      </c>
      <c r="C99" s="18">
        <f>IFERROR(Data!C98,"")</f>
        <v>0</v>
      </c>
      <c r="D99" s="19">
        <f>SUMIFS('Heo thịt_Nhập dữ liệu hàng ngày'!$U:$U,'Heo thịt_Nhập dữ liệu hàng ngày'!$M:$M,'Theo dõi khách hàng heo thịt'!C99)</f>
        <v>0</v>
      </c>
      <c r="E99" s="19">
        <f>SUMIFS('Heo thịt_Nhập dữ liệu hàng ngày'!$AB:$AB,'Heo thịt_Nhập dữ liệu hàng ngày'!$M:$M,'Theo dõi khách hàng heo thịt'!C99)</f>
        <v>0</v>
      </c>
      <c r="F99" s="19">
        <f>SUMIFS('Heo thịt_Nhập dữ liệu hàng ngày'!$AC:$AC,'Heo thịt_Nhập dữ liệu hàng ngày'!$M:$M,'Theo dõi khách hàng heo thịt'!C99)</f>
        <v>0</v>
      </c>
      <c r="G99" s="20">
        <f>SUMIFS('Heo thịt_Nhập dữ liệu hàng ngày'!$AD:$AD,'Heo thịt_Nhập dữ liệu hàng ngày'!$M:$M,'Theo dõi khách hàng heo thịt'!C99)</f>
        <v>0</v>
      </c>
      <c r="H99" s="21">
        <f t="shared" si="11"/>
        <v>0</v>
      </c>
      <c r="I99" s="59">
        <f t="shared" si="9"/>
        <v>0</v>
      </c>
      <c r="J99" t="str">
        <f t="shared" si="10"/>
        <v>-</v>
      </c>
      <c r="L99" s="242">
        <f t="shared" si="8"/>
        <v>0</v>
      </c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 spans="2:22" hidden="1" x14ac:dyDescent="0.3">
      <c r="B100" s="32">
        <v>96</v>
      </c>
      <c r="C100" s="18">
        <f>IFERROR(Data!C99,"")</f>
        <v>0</v>
      </c>
      <c r="D100" s="19">
        <f>SUMIFS('Heo thịt_Nhập dữ liệu hàng ngày'!$U:$U,'Heo thịt_Nhập dữ liệu hàng ngày'!$M:$M,'Theo dõi khách hàng heo thịt'!C100)</f>
        <v>0</v>
      </c>
      <c r="E100" s="19">
        <f>SUMIFS('Heo thịt_Nhập dữ liệu hàng ngày'!$AB:$AB,'Heo thịt_Nhập dữ liệu hàng ngày'!$M:$M,'Theo dõi khách hàng heo thịt'!C100)</f>
        <v>0</v>
      </c>
      <c r="F100" s="19">
        <f>SUMIFS('Heo thịt_Nhập dữ liệu hàng ngày'!$AC:$AC,'Heo thịt_Nhập dữ liệu hàng ngày'!$M:$M,'Theo dõi khách hàng heo thịt'!C100)</f>
        <v>0</v>
      </c>
      <c r="G100" s="20">
        <f>SUMIFS('Heo thịt_Nhập dữ liệu hàng ngày'!$AD:$AD,'Heo thịt_Nhập dữ liệu hàng ngày'!$M:$M,'Theo dõi khách hàng heo thịt'!C100)</f>
        <v>0</v>
      </c>
      <c r="H100" s="21">
        <f t="shared" si="11"/>
        <v>0</v>
      </c>
      <c r="I100" s="59">
        <f t="shared" si="9"/>
        <v>0</v>
      </c>
      <c r="J100" t="str">
        <f t="shared" si="10"/>
        <v>-</v>
      </c>
      <c r="L100" s="242">
        <f t="shared" si="8"/>
        <v>0</v>
      </c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 spans="2:22" hidden="1" x14ac:dyDescent="0.3">
      <c r="B101" s="31">
        <v>97</v>
      </c>
      <c r="C101" s="18">
        <f>IFERROR(Data!C100,"")</f>
        <v>0</v>
      </c>
      <c r="D101" s="19">
        <f>SUMIFS('Heo thịt_Nhập dữ liệu hàng ngày'!$U:$U,'Heo thịt_Nhập dữ liệu hàng ngày'!$M:$M,'Theo dõi khách hàng heo thịt'!C101)</f>
        <v>0</v>
      </c>
      <c r="E101" s="19">
        <f>SUMIFS('Heo thịt_Nhập dữ liệu hàng ngày'!$AB:$AB,'Heo thịt_Nhập dữ liệu hàng ngày'!$M:$M,'Theo dõi khách hàng heo thịt'!C101)</f>
        <v>0</v>
      </c>
      <c r="F101" s="19">
        <f>SUMIFS('Heo thịt_Nhập dữ liệu hàng ngày'!$AC:$AC,'Heo thịt_Nhập dữ liệu hàng ngày'!$M:$M,'Theo dõi khách hàng heo thịt'!C101)</f>
        <v>0</v>
      </c>
      <c r="G101" s="20">
        <f>SUMIFS('Heo thịt_Nhập dữ liệu hàng ngày'!$AD:$AD,'Heo thịt_Nhập dữ liệu hàng ngày'!$M:$M,'Theo dõi khách hàng heo thịt'!C101)</f>
        <v>0</v>
      </c>
      <c r="H101" s="21">
        <f t="shared" si="11"/>
        <v>0</v>
      </c>
      <c r="I101" s="59">
        <f t="shared" si="9"/>
        <v>0</v>
      </c>
      <c r="J101" t="str">
        <f t="shared" si="10"/>
        <v>-</v>
      </c>
      <c r="L101" s="242">
        <f t="shared" si="8"/>
        <v>0</v>
      </c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 spans="2:22" hidden="1" x14ac:dyDescent="0.3">
      <c r="B102" s="32">
        <v>98</v>
      </c>
      <c r="C102" s="18">
        <f>IFERROR(Data!C101,"")</f>
        <v>0</v>
      </c>
      <c r="D102" s="19">
        <f>SUMIFS('Heo thịt_Nhập dữ liệu hàng ngày'!$U:$U,'Heo thịt_Nhập dữ liệu hàng ngày'!$M:$M,'Theo dõi khách hàng heo thịt'!C102)</f>
        <v>0</v>
      </c>
      <c r="E102" s="19">
        <f>SUMIFS('Heo thịt_Nhập dữ liệu hàng ngày'!$AB:$AB,'Heo thịt_Nhập dữ liệu hàng ngày'!$M:$M,'Theo dõi khách hàng heo thịt'!C102)</f>
        <v>0</v>
      </c>
      <c r="F102" s="19">
        <f>SUMIFS('Heo thịt_Nhập dữ liệu hàng ngày'!$AC:$AC,'Heo thịt_Nhập dữ liệu hàng ngày'!$M:$M,'Theo dõi khách hàng heo thịt'!C102)</f>
        <v>0</v>
      </c>
      <c r="G102" s="20">
        <f>SUMIFS('Heo thịt_Nhập dữ liệu hàng ngày'!$AD:$AD,'Heo thịt_Nhập dữ liệu hàng ngày'!$M:$M,'Theo dõi khách hàng heo thịt'!C102)</f>
        <v>0</v>
      </c>
      <c r="H102" s="21">
        <f t="shared" si="11"/>
        <v>0</v>
      </c>
      <c r="I102" s="59">
        <f t="shared" si="9"/>
        <v>0</v>
      </c>
      <c r="J102" t="str">
        <f t="shared" si="10"/>
        <v>-</v>
      </c>
      <c r="L102" s="242">
        <f t="shared" si="8"/>
        <v>0</v>
      </c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 spans="2:22" hidden="1" x14ac:dyDescent="0.3">
      <c r="B103" s="31">
        <v>99</v>
      </c>
      <c r="C103" s="18">
        <f>IFERROR(Data!C102,"")</f>
        <v>0</v>
      </c>
      <c r="D103" s="19">
        <f>SUMIFS('Heo thịt_Nhập dữ liệu hàng ngày'!$U:$U,'Heo thịt_Nhập dữ liệu hàng ngày'!$M:$M,'Theo dõi khách hàng heo thịt'!C103)</f>
        <v>0</v>
      </c>
      <c r="E103" s="19">
        <f>SUMIFS('Heo thịt_Nhập dữ liệu hàng ngày'!$AB:$AB,'Heo thịt_Nhập dữ liệu hàng ngày'!$M:$M,'Theo dõi khách hàng heo thịt'!C103)</f>
        <v>0</v>
      </c>
      <c r="F103" s="19">
        <f>SUMIFS('Heo thịt_Nhập dữ liệu hàng ngày'!$AC:$AC,'Heo thịt_Nhập dữ liệu hàng ngày'!$M:$M,'Theo dõi khách hàng heo thịt'!C103)</f>
        <v>0</v>
      </c>
      <c r="G103" s="20">
        <f>SUMIFS('Heo thịt_Nhập dữ liệu hàng ngày'!$AD:$AD,'Heo thịt_Nhập dữ liệu hàng ngày'!$M:$M,'Theo dõi khách hàng heo thịt'!C103)</f>
        <v>0</v>
      </c>
      <c r="H103" s="21">
        <f t="shared" si="11"/>
        <v>0</v>
      </c>
      <c r="I103" s="59">
        <f t="shared" si="9"/>
        <v>0</v>
      </c>
      <c r="J103" t="str">
        <f t="shared" si="10"/>
        <v>-</v>
      </c>
      <c r="L103" s="242">
        <f t="shared" si="8"/>
        <v>0</v>
      </c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 spans="2:22" hidden="1" x14ac:dyDescent="0.3">
      <c r="B104" s="32">
        <v>100</v>
      </c>
      <c r="C104" s="18">
        <f>IFERROR(Data!C103,"")</f>
        <v>0</v>
      </c>
      <c r="D104" s="19">
        <f>SUMIFS('Heo thịt_Nhập dữ liệu hàng ngày'!$U:$U,'Heo thịt_Nhập dữ liệu hàng ngày'!$M:$M,'Theo dõi khách hàng heo thịt'!C104)</f>
        <v>0</v>
      </c>
      <c r="E104" s="19">
        <f>SUMIFS('Heo thịt_Nhập dữ liệu hàng ngày'!$AB:$AB,'Heo thịt_Nhập dữ liệu hàng ngày'!$M:$M,'Theo dõi khách hàng heo thịt'!C104)</f>
        <v>0</v>
      </c>
      <c r="F104" s="19">
        <f>SUMIFS('Heo thịt_Nhập dữ liệu hàng ngày'!$AC:$AC,'Heo thịt_Nhập dữ liệu hàng ngày'!$M:$M,'Theo dõi khách hàng heo thịt'!C104)</f>
        <v>0</v>
      </c>
      <c r="G104" s="20">
        <f>SUMIFS('Heo thịt_Nhập dữ liệu hàng ngày'!$AD:$AD,'Heo thịt_Nhập dữ liệu hàng ngày'!$M:$M,'Theo dõi khách hàng heo thịt'!C104)</f>
        <v>0</v>
      </c>
      <c r="H104" s="21">
        <f t="shared" si="11"/>
        <v>0</v>
      </c>
      <c r="I104" s="59">
        <f t="shared" si="9"/>
        <v>0</v>
      </c>
      <c r="J104" t="str">
        <f t="shared" si="10"/>
        <v>-</v>
      </c>
      <c r="L104" s="242">
        <f t="shared" si="8"/>
        <v>0</v>
      </c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 spans="2:22" hidden="1" x14ac:dyDescent="0.3">
      <c r="B105" s="31">
        <v>101</v>
      </c>
      <c r="C105" s="18">
        <f>IFERROR(Data!C104,"")</f>
        <v>0</v>
      </c>
      <c r="D105" s="19">
        <f>SUMIFS('Heo thịt_Nhập dữ liệu hàng ngày'!$U:$U,'Heo thịt_Nhập dữ liệu hàng ngày'!$M:$M,'Theo dõi khách hàng heo thịt'!C105)</f>
        <v>0</v>
      </c>
      <c r="E105" s="19">
        <f>SUMIFS('Heo thịt_Nhập dữ liệu hàng ngày'!$AB:$AB,'Heo thịt_Nhập dữ liệu hàng ngày'!$M:$M,'Theo dõi khách hàng heo thịt'!C105)</f>
        <v>0</v>
      </c>
      <c r="F105" s="19">
        <f>SUMIFS('Heo thịt_Nhập dữ liệu hàng ngày'!$AC:$AC,'Heo thịt_Nhập dữ liệu hàng ngày'!$M:$M,'Theo dõi khách hàng heo thịt'!C105)</f>
        <v>0</v>
      </c>
      <c r="G105" s="20">
        <f>SUMIFS('Heo thịt_Nhập dữ liệu hàng ngày'!$AD:$AD,'Heo thịt_Nhập dữ liệu hàng ngày'!$M:$M,'Theo dõi khách hàng heo thịt'!C105)</f>
        <v>0</v>
      </c>
      <c r="H105" s="21">
        <f t="shared" si="11"/>
        <v>0</v>
      </c>
      <c r="I105" s="59">
        <f t="shared" si="9"/>
        <v>0</v>
      </c>
      <c r="J105" t="str">
        <f t="shared" si="10"/>
        <v>-</v>
      </c>
      <c r="L105" s="242">
        <f t="shared" si="8"/>
        <v>0</v>
      </c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 spans="2:22" ht="28.8" x14ac:dyDescent="0.3">
      <c r="B106" s="32">
        <v>102</v>
      </c>
      <c r="C106" s="18">
        <f>IFERROR(Data!C105,"")</f>
        <v>0</v>
      </c>
      <c r="D106" s="19">
        <f>SUMIFS('Heo thịt_Nhập dữ liệu hàng ngày'!$U:$U,'Heo thịt_Nhập dữ liệu hàng ngày'!$M:$M,'Theo dõi khách hàng heo thịt'!C106)</f>
        <v>0</v>
      </c>
      <c r="E106" s="19">
        <f>SUMIFS('Heo thịt_Nhập dữ liệu hàng ngày'!$AB:$AB,'Heo thịt_Nhập dữ liệu hàng ngày'!$M:$M,'Theo dõi khách hàng heo thịt'!C106)</f>
        <v>0</v>
      </c>
      <c r="F106" s="19">
        <f>SUMIFS('Heo thịt_Nhập dữ liệu hàng ngày'!$AC:$AC,'Heo thịt_Nhập dữ liệu hàng ngày'!$M:$M,'Theo dõi khách hàng heo thịt'!C106)</f>
        <v>0</v>
      </c>
      <c r="G106" s="20">
        <f>SUMIFS('Heo thịt_Nhập dữ liệu hàng ngày'!$AD:$AD,'Heo thịt_Nhập dữ liệu hàng ngày'!$M:$M,'Theo dõi khách hàng heo thịt'!C106)</f>
        <v>0</v>
      </c>
      <c r="H106" s="21">
        <f t="shared" si="11"/>
        <v>0</v>
      </c>
      <c r="I106" s="59">
        <f t="shared" si="9"/>
        <v>0</v>
      </c>
      <c r="J106" t="str">
        <f t="shared" si="10"/>
        <v>-</v>
      </c>
      <c r="K106" s="270" t="s">
        <v>167</v>
      </c>
      <c r="L106" s="242">
        <f t="shared" si="8"/>
        <v>0</v>
      </c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 spans="2:22" hidden="1" x14ac:dyDescent="0.3">
      <c r="B107" s="31">
        <v>103</v>
      </c>
      <c r="C107" s="18">
        <f>IFERROR(Data!C106,"")</f>
        <v>0</v>
      </c>
      <c r="D107" s="19">
        <f>SUMIFS('Heo thịt_Nhập dữ liệu hàng ngày'!$U:$U,'Heo thịt_Nhập dữ liệu hàng ngày'!$M:$M,'Theo dõi khách hàng heo thịt'!C107)</f>
        <v>0</v>
      </c>
      <c r="E107" s="19">
        <f>SUMIFS('Heo thịt_Nhập dữ liệu hàng ngày'!$AB:$AB,'Heo thịt_Nhập dữ liệu hàng ngày'!$M:$M,'Theo dõi khách hàng heo thịt'!C107)</f>
        <v>0</v>
      </c>
      <c r="F107" s="19">
        <f>SUMIFS('Heo thịt_Nhập dữ liệu hàng ngày'!$AC:$AC,'Heo thịt_Nhập dữ liệu hàng ngày'!$M:$M,'Theo dõi khách hàng heo thịt'!C107)</f>
        <v>0</v>
      </c>
      <c r="G107" s="20">
        <f>SUMIFS('Heo thịt_Nhập dữ liệu hàng ngày'!$AD:$AD,'Heo thịt_Nhập dữ liệu hàng ngày'!$M:$M,'Theo dõi khách hàng heo thịt'!C107)</f>
        <v>0</v>
      </c>
      <c r="H107" s="21">
        <f t="shared" si="11"/>
        <v>0</v>
      </c>
      <c r="I107" s="59">
        <f t="shared" si="9"/>
        <v>0</v>
      </c>
      <c r="J107" t="str">
        <f t="shared" si="10"/>
        <v>-</v>
      </c>
      <c r="L107" s="242">
        <f t="shared" si="8"/>
        <v>0</v>
      </c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 spans="2:22" hidden="1" x14ac:dyDescent="0.3">
      <c r="B108" s="32">
        <v>104</v>
      </c>
      <c r="C108" s="18">
        <f>IFERROR(Data!C107,"")</f>
        <v>0</v>
      </c>
      <c r="D108" s="19">
        <f>SUMIFS('Heo thịt_Nhập dữ liệu hàng ngày'!$U:$U,'Heo thịt_Nhập dữ liệu hàng ngày'!$M:$M,'Theo dõi khách hàng heo thịt'!C108)</f>
        <v>0</v>
      </c>
      <c r="E108" s="19">
        <f>SUMIFS('Heo thịt_Nhập dữ liệu hàng ngày'!$AB:$AB,'Heo thịt_Nhập dữ liệu hàng ngày'!$M:$M,'Theo dõi khách hàng heo thịt'!C108)</f>
        <v>0</v>
      </c>
      <c r="F108" s="19">
        <f>SUMIFS('Heo thịt_Nhập dữ liệu hàng ngày'!$AC:$AC,'Heo thịt_Nhập dữ liệu hàng ngày'!$M:$M,'Theo dõi khách hàng heo thịt'!C108)</f>
        <v>0</v>
      </c>
      <c r="G108" s="20">
        <f>SUMIFS('Heo thịt_Nhập dữ liệu hàng ngày'!$AD:$AD,'Heo thịt_Nhập dữ liệu hàng ngày'!$M:$M,'Theo dõi khách hàng heo thịt'!C108)</f>
        <v>0</v>
      </c>
      <c r="H108" s="21">
        <f t="shared" si="11"/>
        <v>0</v>
      </c>
      <c r="I108" s="59">
        <f t="shared" si="9"/>
        <v>0</v>
      </c>
      <c r="J108" t="str">
        <f t="shared" si="10"/>
        <v>-</v>
      </c>
      <c r="L108" s="242">
        <f t="shared" si="8"/>
        <v>0</v>
      </c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 spans="2:22" hidden="1" x14ac:dyDescent="0.3">
      <c r="B109" s="31">
        <v>105</v>
      </c>
      <c r="C109" s="18">
        <f>IFERROR(Data!C108,"")</f>
        <v>0</v>
      </c>
      <c r="D109" s="19">
        <f>SUMIFS('Heo thịt_Nhập dữ liệu hàng ngày'!$U:$U,'Heo thịt_Nhập dữ liệu hàng ngày'!$M:$M,'Theo dõi khách hàng heo thịt'!C109)</f>
        <v>0</v>
      </c>
      <c r="E109" s="19">
        <f>SUMIFS('Heo thịt_Nhập dữ liệu hàng ngày'!$AB:$AB,'Heo thịt_Nhập dữ liệu hàng ngày'!$M:$M,'Theo dõi khách hàng heo thịt'!C109)</f>
        <v>0</v>
      </c>
      <c r="F109" s="19">
        <f>SUMIFS('Heo thịt_Nhập dữ liệu hàng ngày'!$AC:$AC,'Heo thịt_Nhập dữ liệu hàng ngày'!$M:$M,'Theo dõi khách hàng heo thịt'!C109)</f>
        <v>0</v>
      </c>
      <c r="G109" s="20">
        <f>SUMIFS('Heo thịt_Nhập dữ liệu hàng ngày'!$AD:$AD,'Heo thịt_Nhập dữ liệu hàng ngày'!$M:$M,'Theo dõi khách hàng heo thịt'!C109)</f>
        <v>0</v>
      </c>
      <c r="H109" s="21">
        <f t="shared" si="11"/>
        <v>0</v>
      </c>
      <c r="I109" s="59">
        <f t="shared" si="9"/>
        <v>0</v>
      </c>
      <c r="J109" t="str">
        <f t="shared" si="10"/>
        <v>-</v>
      </c>
      <c r="L109" s="242">
        <f t="shared" si="8"/>
        <v>0</v>
      </c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spans="2:22" hidden="1" x14ac:dyDescent="0.3">
      <c r="B110" s="32">
        <v>106</v>
      </c>
      <c r="C110" s="18">
        <f>IFERROR(Data!C109,"")</f>
        <v>0</v>
      </c>
      <c r="D110" s="19">
        <f>SUMIFS('Heo thịt_Nhập dữ liệu hàng ngày'!$U:$U,'Heo thịt_Nhập dữ liệu hàng ngày'!$M:$M,'Theo dõi khách hàng heo thịt'!C110)</f>
        <v>0</v>
      </c>
      <c r="E110" s="19">
        <f>SUMIFS('Heo thịt_Nhập dữ liệu hàng ngày'!$AB:$AB,'Heo thịt_Nhập dữ liệu hàng ngày'!$M:$M,'Theo dõi khách hàng heo thịt'!C110)</f>
        <v>0</v>
      </c>
      <c r="F110" s="19">
        <f>SUMIFS('Heo thịt_Nhập dữ liệu hàng ngày'!$AC:$AC,'Heo thịt_Nhập dữ liệu hàng ngày'!$M:$M,'Theo dõi khách hàng heo thịt'!C110)</f>
        <v>0</v>
      </c>
      <c r="G110" s="20">
        <f>SUMIFS('Heo thịt_Nhập dữ liệu hàng ngày'!$AD:$AD,'Heo thịt_Nhập dữ liệu hàng ngày'!$M:$M,'Theo dõi khách hàng heo thịt'!C110)</f>
        <v>0</v>
      </c>
      <c r="H110" s="21">
        <f t="shared" si="11"/>
        <v>0</v>
      </c>
      <c r="I110" s="59">
        <f t="shared" si="9"/>
        <v>0</v>
      </c>
      <c r="J110" t="str">
        <f t="shared" si="10"/>
        <v>-</v>
      </c>
      <c r="L110" s="242">
        <f t="shared" si="8"/>
        <v>0</v>
      </c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 spans="2:22" hidden="1" x14ac:dyDescent="0.3">
      <c r="B111" s="31">
        <v>107</v>
      </c>
      <c r="C111" s="18">
        <f>IFERROR(Data!C110,"")</f>
        <v>0</v>
      </c>
      <c r="D111" s="19">
        <f>SUMIFS('Heo thịt_Nhập dữ liệu hàng ngày'!$U:$U,'Heo thịt_Nhập dữ liệu hàng ngày'!$M:$M,'Theo dõi khách hàng heo thịt'!C111)</f>
        <v>0</v>
      </c>
      <c r="E111" s="19">
        <f>SUMIFS('Heo thịt_Nhập dữ liệu hàng ngày'!$AB:$AB,'Heo thịt_Nhập dữ liệu hàng ngày'!$M:$M,'Theo dõi khách hàng heo thịt'!C111)</f>
        <v>0</v>
      </c>
      <c r="F111" s="19">
        <f>SUMIFS('Heo thịt_Nhập dữ liệu hàng ngày'!$AC:$AC,'Heo thịt_Nhập dữ liệu hàng ngày'!$M:$M,'Theo dõi khách hàng heo thịt'!C111)</f>
        <v>0</v>
      </c>
      <c r="G111" s="20">
        <f>SUMIFS('Heo thịt_Nhập dữ liệu hàng ngày'!$AD:$AD,'Heo thịt_Nhập dữ liệu hàng ngày'!$M:$M,'Theo dõi khách hàng heo thịt'!C111)</f>
        <v>0</v>
      </c>
      <c r="H111" s="21">
        <f t="shared" si="11"/>
        <v>0</v>
      </c>
      <c r="I111" s="59">
        <f t="shared" si="9"/>
        <v>0</v>
      </c>
      <c r="J111" t="str">
        <f t="shared" si="10"/>
        <v>-</v>
      </c>
      <c r="L111" s="242">
        <f t="shared" si="8"/>
        <v>0</v>
      </c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 spans="2:22" hidden="1" x14ac:dyDescent="0.3">
      <c r="B112" s="32">
        <v>108</v>
      </c>
      <c r="C112" s="18">
        <f>IFERROR(Data!C111,"")</f>
        <v>0</v>
      </c>
      <c r="D112" s="19">
        <f>SUMIFS('Heo thịt_Nhập dữ liệu hàng ngày'!$U:$U,'Heo thịt_Nhập dữ liệu hàng ngày'!$M:$M,'Theo dõi khách hàng heo thịt'!C112)</f>
        <v>0</v>
      </c>
      <c r="E112" s="19">
        <f>SUMIFS('Heo thịt_Nhập dữ liệu hàng ngày'!$AB:$AB,'Heo thịt_Nhập dữ liệu hàng ngày'!$M:$M,'Theo dõi khách hàng heo thịt'!C112)</f>
        <v>0</v>
      </c>
      <c r="F112" s="19">
        <f>SUMIFS('Heo thịt_Nhập dữ liệu hàng ngày'!$AC:$AC,'Heo thịt_Nhập dữ liệu hàng ngày'!$M:$M,'Theo dõi khách hàng heo thịt'!C112)</f>
        <v>0</v>
      </c>
      <c r="G112" s="20">
        <f>SUMIFS('Heo thịt_Nhập dữ liệu hàng ngày'!$AD:$AD,'Heo thịt_Nhập dữ liệu hàng ngày'!$M:$M,'Theo dõi khách hàng heo thịt'!C112)</f>
        <v>0</v>
      </c>
      <c r="H112" s="21">
        <f t="shared" si="11"/>
        <v>0</v>
      </c>
      <c r="I112" s="59">
        <f t="shared" si="9"/>
        <v>0</v>
      </c>
      <c r="J112" t="str">
        <f t="shared" si="10"/>
        <v>-</v>
      </c>
      <c r="L112" s="242">
        <f t="shared" si="8"/>
        <v>0</v>
      </c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 spans="2:22" hidden="1" x14ac:dyDescent="0.3">
      <c r="B113" s="31">
        <v>109</v>
      </c>
      <c r="C113" s="18">
        <f>IFERROR(Data!C112,"")</f>
        <v>0</v>
      </c>
      <c r="D113" s="19">
        <f>SUMIFS('Heo thịt_Nhập dữ liệu hàng ngày'!$U:$U,'Heo thịt_Nhập dữ liệu hàng ngày'!$M:$M,'Theo dõi khách hàng heo thịt'!C113)</f>
        <v>0</v>
      </c>
      <c r="E113" s="19">
        <f>SUMIFS('Heo thịt_Nhập dữ liệu hàng ngày'!$AB:$AB,'Heo thịt_Nhập dữ liệu hàng ngày'!$M:$M,'Theo dõi khách hàng heo thịt'!C113)</f>
        <v>0</v>
      </c>
      <c r="F113" s="19">
        <f>SUMIFS('Heo thịt_Nhập dữ liệu hàng ngày'!$AC:$AC,'Heo thịt_Nhập dữ liệu hàng ngày'!$M:$M,'Theo dõi khách hàng heo thịt'!C113)</f>
        <v>0</v>
      </c>
      <c r="G113" s="20">
        <f>SUMIFS('Heo thịt_Nhập dữ liệu hàng ngày'!$AD:$AD,'Heo thịt_Nhập dữ liệu hàng ngày'!$M:$M,'Theo dõi khách hàng heo thịt'!C113)</f>
        <v>0</v>
      </c>
      <c r="H113" s="21">
        <f t="shared" si="11"/>
        <v>0</v>
      </c>
      <c r="I113" s="59">
        <f t="shared" si="9"/>
        <v>0</v>
      </c>
      <c r="J113" t="str">
        <f t="shared" si="10"/>
        <v>-</v>
      </c>
      <c r="L113" s="242">
        <f t="shared" si="8"/>
        <v>0</v>
      </c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 spans="2:22" hidden="1" x14ac:dyDescent="0.3">
      <c r="B114" s="32">
        <v>110</v>
      </c>
      <c r="C114" s="18">
        <f>IFERROR(Data!C113,"")</f>
        <v>0</v>
      </c>
      <c r="D114" s="19">
        <f>SUMIFS('Heo thịt_Nhập dữ liệu hàng ngày'!$U:$U,'Heo thịt_Nhập dữ liệu hàng ngày'!$M:$M,'Theo dõi khách hàng heo thịt'!C114)</f>
        <v>0</v>
      </c>
      <c r="E114" s="19">
        <f>SUMIFS('Heo thịt_Nhập dữ liệu hàng ngày'!$AB:$AB,'Heo thịt_Nhập dữ liệu hàng ngày'!$M:$M,'Theo dõi khách hàng heo thịt'!C114)</f>
        <v>0</v>
      </c>
      <c r="F114" s="19">
        <f>SUMIFS('Heo thịt_Nhập dữ liệu hàng ngày'!$AC:$AC,'Heo thịt_Nhập dữ liệu hàng ngày'!$M:$M,'Theo dõi khách hàng heo thịt'!C114)</f>
        <v>0</v>
      </c>
      <c r="G114" s="20">
        <f>SUMIFS('Heo thịt_Nhập dữ liệu hàng ngày'!$AD:$AD,'Heo thịt_Nhập dữ liệu hàng ngày'!$M:$M,'Theo dõi khách hàng heo thịt'!C114)</f>
        <v>0</v>
      </c>
      <c r="H114" s="21">
        <f t="shared" si="11"/>
        <v>0</v>
      </c>
      <c r="I114" s="59">
        <f t="shared" si="9"/>
        <v>0</v>
      </c>
      <c r="J114" t="str">
        <f t="shared" si="10"/>
        <v>-</v>
      </c>
      <c r="L114" s="242">
        <f t="shared" si="8"/>
        <v>0</v>
      </c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 spans="2:22" hidden="1" x14ac:dyDescent="0.3">
      <c r="B115" s="31">
        <v>111</v>
      </c>
      <c r="C115" s="18">
        <f>IFERROR(Data!C114,"")</f>
        <v>0</v>
      </c>
      <c r="D115" s="19">
        <f>SUMIFS('Heo thịt_Nhập dữ liệu hàng ngày'!$U:$U,'Heo thịt_Nhập dữ liệu hàng ngày'!$M:$M,'Theo dõi khách hàng heo thịt'!C115)</f>
        <v>0</v>
      </c>
      <c r="E115" s="19">
        <f>SUMIFS('Heo thịt_Nhập dữ liệu hàng ngày'!$AB:$AB,'Heo thịt_Nhập dữ liệu hàng ngày'!$M:$M,'Theo dõi khách hàng heo thịt'!C115)</f>
        <v>0</v>
      </c>
      <c r="F115" s="19">
        <f>SUMIFS('Heo thịt_Nhập dữ liệu hàng ngày'!$AC:$AC,'Heo thịt_Nhập dữ liệu hàng ngày'!$M:$M,'Theo dõi khách hàng heo thịt'!C115)</f>
        <v>0</v>
      </c>
      <c r="G115" s="20">
        <f>SUMIFS('Heo thịt_Nhập dữ liệu hàng ngày'!$AD:$AD,'Heo thịt_Nhập dữ liệu hàng ngày'!$M:$M,'Theo dõi khách hàng heo thịt'!C115)</f>
        <v>0</v>
      </c>
      <c r="H115" s="21">
        <f t="shared" si="11"/>
        <v>0</v>
      </c>
      <c r="I115" s="59">
        <f t="shared" si="9"/>
        <v>0</v>
      </c>
      <c r="J115" t="str">
        <f t="shared" si="10"/>
        <v>-</v>
      </c>
      <c r="L115" s="242">
        <f t="shared" si="8"/>
        <v>0</v>
      </c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 spans="2:22" hidden="1" x14ac:dyDescent="0.3">
      <c r="B116" s="32">
        <v>112</v>
      </c>
      <c r="C116" s="18">
        <f>IFERROR(Data!C115,"")</f>
        <v>0</v>
      </c>
      <c r="D116" s="19">
        <f>SUMIFS('Heo thịt_Nhập dữ liệu hàng ngày'!$U:$U,'Heo thịt_Nhập dữ liệu hàng ngày'!$M:$M,'Theo dõi khách hàng heo thịt'!C116)</f>
        <v>0</v>
      </c>
      <c r="E116" s="19">
        <f>SUMIFS('Heo thịt_Nhập dữ liệu hàng ngày'!$AB:$AB,'Heo thịt_Nhập dữ liệu hàng ngày'!$M:$M,'Theo dõi khách hàng heo thịt'!C116)</f>
        <v>0</v>
      </c>
      <c r="F116" s="19">
        <f>SUMIFS('Heo thịt_Nhập dữ liệu hàng ngày'!$AC:$AC,'Heo thịt_Nhập dữ liệu hàng ngày'!$M:$M,'Theo dõi khách hàng heo thịt'!C116)</f>
        <v>0</v>
      </c>
      <c r="G116" s="20">
        <f>SUMIFS('Heo thịt_Nhập dữ liệu hàng ngày'!$AD:$AD,'Heo thịt_Nhập dữ liệu hàng ngày'!$M:$M,'Theo dõi khách hàng heo thịt'!C116)</f>
        <v>0</v>
      </c>
      <c r="H116" s="21">
        <f t="shared" si="11"/>
        <v>0</v>
      </c>
      <c r="I116" s="59">
        <f t="shared" si="9"/>
        <v>0</v>
      </c>
      <c r="J116" t="str">
        <f t="shared" si="10"/>
        <v>-</v>
      </c>
      <c r="L116" s="242">
        <f t="shared" si="8"/>
        <v>0</v>
      </c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 spans="2:22" hidden="1" x14ac:dyDescent="0.3">
      <c r="B117" s="31">
        <v>113</v>
      </c>
      <c r="C117" s="18">
        <f>IFERROR(Data!C116,"")</f>
        <v>0</v>
      </c>
      <c r="D117" s="19">
        <f>SUMIFS('Heo thịt_Nhập dữ liệu hàng ngày'!$U:$U,'Heo thịt_Nhập dữ liệu hàng ngày'!$M:$M,'Theo dõi khách hàng heo thịt'!C117)</f>
        <v>0</v>
      </c>
      <c r="E117" s="19">
        <f>SUMIFS('Heo thịt_Nhập dữ liệu hàng ngày'!$AB:$AB,'Heo thịt_Nhập dữ liệu hàng ngày'!$M:$M,'Theo dõi khách hàng heo thịt'!C117)</f>
        <v>0</v>
      </c>
      <c r="F117" s="19">
        <f>SUMIFS('Heo thịt_Nhập dữ liệu hàng ngày'!$AC:$AC,'Heo thịt_Nhập dữ liệu hàng ngày'!$M:$M,'Theo dõi khách hàng heo thịt'!C117)</f>
        <v>0</v>
      </c>
      <c r="G117" s="20">
        <f>SUMIFS('Heo thịt_Nhập dữ liệu hàng ngày'!$AD:$AD,'Heo thịt_Nhập dữ liệu hàng ngày'!$M:$M,'Theo dõi khách hàng heo thịt'!C117)</f>
        <v>0</v>
      </c>
      <c r="H117" s="21">
        <f t="shared" si="11"/>
        <v>0</v>
      </c>
      <c r="I117" s="59">
        <f t="shared" si="9"/>
        <v>0</v>
      </c>
      <c r="J117" t="str">
        <f t="shared" si="10"/>
        <v>-</v>
      </c>
      <c r="L117" s="242">
        <f t="shared" si="8"/>
        <v>0</v>
      </c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 spans="2:22" hidden="1" x14ac:dyDescent="0.3">
      <c r="B118" s="32">
        <v>114</v>
      </c>
      <c r="C118" s="18">
        <f>IFERROR(Data!C117,"")</f>
        <v>0</v>
      </c>
      <c r="D118" s="19">
        <f>SUMIFS('Heo thịt_Nhập dữ liệu hàng ngày'!$U:$U,'Heo thịt_Nhập dữ liệu hàng ngày'!$M:$M,'Theo dõi khách hàng heo thịt'!C118)</f>
        <v>0</v>
      </c>
      <c r="E118" s="19">
        <f>SUMIFS('Heo thịt_Nhập dữ liệu hàng ngày'!$AB:$AB,'Heo thịt_Nhập dữ liệu hàng ngày'!$M:$M,'Theo dõi khách hàng heo thịt'!C118)</f>
        <v>0</v>
      </c>
      <c r="F118" s="19">
        <f>SUMIFS('Heo thịt_Nhập dữ liệu hàng ngày'!$AC:$AC,'Heo thịt_Nhập dữ liệu hàng ngày'!$M:$M,'Theo dõi khách hàng heo thịt'!C118)</f>
        <v>0</v>
      </c>
      <c r="G118" s="20">
        <f>SUMIFS('Heo thịt_Nhập dữ liệu hàng ngày'!$AD:$AD,'Heo thịt_Nhập dữ liệu hàng ngày'!$M:$M,'Theo dõi khách hàng heo thịt'!C118)</f>
        <v>0</v>
      </c>
      <c r="H118" s="21">
        <f t="shared" si="11"/>
        <v>0</v>
      </c>
      <c r="I118" s="59">
        <f t="shared" si="9"/>
        <v>0</v>
      </c>
      <c r="J118" t="str">
        <f t="shared" si="10"/>
        <v>-</v>
      </c>
      <c r="L118" s="242">
        <f t="shared" si="8"/>
        <v>0</v>
      </c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 spans="2:22" hidden="1" x14ac:dyDescent="0.3">
      <c r="B119" s="31">
        <v>115</v>
      </c>
      <c r="C119" s="18">
        <f>IFERROR(Data!C118,"")</f>
        <v>0</v>
      </c>
      <c r="D119" s="19">
        <f>SUMIFS('Heo thịt_Nhập dữ liệu hàng ngày'!$U:$U,'Heo thịt_Nhập dữ liệu hàng ngày'!$M:$M,'Theo dõi khách hàng heo thịt'!C119)</f>
        <v>0</v>
      </c>
      <c r="E119" s="19">
        <f>SUMIFS('Heo thịt_Nhập dữ liệu hàng ngày'!$AB:$AB,'Heo thịt_Nhập dữ liệu hàng ngày'!$M:$M,'Theo dõi khách hàng heo thịt'!C119)</f>
        <v>0</v>
      </c>
      <c r="F119" s="19">
        <f>SUMIFS('Heo thịt_Nhập dữ liệu hàng ngày'!$AC:$AC,'Heo thịt_Nhập dữ liệu hàng ngày'!$M:$M,'Theo dõi khách hàng heo thịt'!C119)</f>
        <v>0</v>
      </c>
      <c r="G119" s="20">
        <f>SUMIFS('Heo thịt_Nhập dữ liệu hàng ngày'!$AD:$AD,'Heo thịt_Nhập dữ liệu hàng ngày'!$M:$M,'Theo dõi khách hàng heo thịt'!C119)</f>
        <v>0</v>
      </c>
      <c r="H119" s="21">
        <f t="shared" si="11"/>
        <v>0</v>
      </c>
      <c r="I119" s="59">
        <f t="shared" si="9"/>
        <v>0</v>
      </c>
      <c r="J119" t="str">
        <f t="shared" si="10"/>
        <v>-</v>
      </c>
      <c r="L119" s="242">
        <f t="shared" si="8"/>
        <v>0</v>
      </c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 spans="2:22" hidden="1" x14ac:dyDescent="0.3">
      <c r="B120" s="32">
        <v>116</v>
      </c>
      <c r="C120" s="18">
        <f>IFERROR(Data!C119,"")</f>
        <v>0</v>
      </c>
      <c r="D120" s="19">
        <f>SUMIFS('Heo thịt_Nhập dữ liệu hàng ngày'!$U:$U,'Heo thịt_Nhập dữ liệu hàng ngày'!$M:$M,'Theo dõi khách hàng heo thịt'!C120)</f>
        <v>0</v>
      </c>
      <c r="E120" s="19">
        <f>SUMIFS('Heo thịt_Nhập dữ liệu hàng ngày'!$AB:$AB,'Heo thịt_Nhập dữ liệu hàng ngày'!$M:$M,'Theo dõi khách hàng heo thịt'!C120)</f>
        <v>0</v>
      </c>
      <c r="F120" s="19">
        <f>SUMIFS('Heo thịt_Nhập dữ liệu hàng ngày'!$AC:$AC,'Heo thịt_Nhập dữ liệu hàng ngày'!$M:$M,'Theo dõi khách hàng heo thịt'!C120)</f>
        <v>0</v>
      </c>
      <c r="G120" s="20">
        <f>SUMIFS('Heo thịt_Nhập dữ liệu hàng ngày'!$AD:$AD,'Heo thịt_Nhập dữ liệu hàng ngày'!$M:$M,'Theo dõi khách hàng heo thịt'!C120)</f>
        <v>0</v>
      </c>
      <c r="H120" s="21">
        <f t="shared" si="11"/>
        <v>0</v>
      </c>
      <c r="I120" s="59">
        <f t="shared" si="9"/>
        <v>0</v>
      </c>
      <c r="J120" t="str">
        <f t="shared" si="10"/>
        <v>-</v>
      </c>
      <c r="L120" s="242">
        <f t="shared" si="8"/>
        <v>0</v>
      </c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 spans="2:22" hidden="1" x14ac:dyDescent="0.3">
      <c r="B121" s="31">
        <v>117</v>
      </c>
      <c r="C121" s="18">
        <f>IFERROR(Data!C120,"")</f>
        <v>0</v>
      </c>
      <c r="D121" s="19">
        <f>SUMIFS('Heo thịt_Nhập dữ liệu hàng ngày'!$U:$U,'Heo thịt_Nhập dữ liệu hàng ngày'!$M:$M,'Theo dõi khách hàng heo thịt'!C121)</f>
        <v>0</v>
      </c>
      <c r="E121" s="19">
        <f>SUMIFS('Heo thịt_Nhập dữ liệu hàng ngày'!$AB:$AB,'Heo thịt_Nhập dữ liệu hàng ngày'!$M:$M,'Theo dõi khách hàng heo thịt'!C121)</f>
        <v>0</v>
      </c>
      <c r="F121" s="19">
        <f>SUMIFS('Heo thịt_Nhập dữ liệu hàng ngày'!$AC:$AC,'Heo thịt_Nhập dữ liệu hàng ngày'!$M:$M,'Theo dõi khách hàng heo thịt'!C121)</f>
        <v>0</v>
      </c>
      <c r="G121" s="20">
        <f>SUMIFS('Heo thịt_Nhập dữ liệu hàng ngày'!$AD:$AD,'Heo thịt_Nhập dữ liệu hàng ngày'!$M:$M,'Theo dõi khách hàng heo thịt'!C121)</f>
        <v>0</v>
      </c>
      <c r="H121" s="21">
        <f t="shared" si="11"/>
        <v>0</v>
      </c>
      <c r="I121" s="59">
        <f t="shared" si="9"/>
        <v>0</v>
      </c>
      <c r="J121" t="str">
        <f t="shared" si="10"/>
        <v>-</v>
      </c>
      <c r="L121" s="242">
        <f t="shared" si="8"/>
        <v>0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 spans="2:22" hidden="1" x14ac:dyDescent="0.3">
      <c r="B122" s="32">
        <v>118</v>
      </c>
      <c r="C122" s="18">
        <f>IFERROR(Data!C121,"")</f>
        <v>0</v>
      </c>
      <c r="D122" s="19">
        <f>SUMIFS('Heo thịt_Nhập dữ liệu hàng ngày'!$U:$U,'Heo thịt_Nhập dữ liệu hàng ngày'!$M:$M,'Theo dõi khách hàng heo thịt'!C122)</f>
        <v>0</v>
      </c>
      <c r="E122" s="19">
        <f>SUMIFS('Heo thịt_Nhập dữ liệu hàng ngày'!$AB:$AB,'Heo thịt_Nhập dữ liệu hàng ngày'!$M:$M,'Theo dõi khách hàng heo thịt'!C122)</f>
        <v>0</v>
      </c>
      <c r="F122" s="19">
        <f>SUMIFS('Heo thịt_Nhập dữ liệu hàng ngày'!$AC:$AC,'Heo thịt_Nhập dữ liệu hàng ngày'!$M:$M,'Theo dõi khách hàng heo thịt'!C122)</f>
        <v>0</v>
      </c>
      <c r="G122" s="20">
        <f>SUMIFS('Heo thịt_Nhập dữ liệu hàng ngày'!$AD:$AD,'Heo thịt_Nhập dữ liệu hàng ngày'!$M:$M,'Theo dõi khách hàng heo thịt'!C122)</f>
        <v>0</v>
      </c>
      <c r="H122" s="21">
        <f t="shared" si="11"/>
        <v>0</v>
      </c>
      <c r="I122" s="59">
        <f t="shared" si="9"/>
        <v>0</v>
      </c>
      <c r="J122" t="str">
        <f t="shared" si="10"/>
        <v>-</v>
      </c>
      <c r="L122" s="242">
        <f t="shared" si="8"/>
        <v>0</v>
      </c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 spans="2:22" hidden="1" x14ac:dyDescent="0.3">
      <c r="B123" s="31">
        <v>119</v>
      </c>
      <c r="C123" s="18">
        <f>IFERROR(Data!C122,"")</f>
        <v>0</v>
      </c>
      <c r="D123" s="19">
        <f>SUMIFS('Heo thịt_Nhập dữ liệu hàng ngày'!$U:$U,'Heo thịt_Nhập dữ liệu hàng ngày'!$M:$M,'Theo dõi khách hàng heo thịt'!C123)</f>
        <v>0</v>
      </c>
      <c r="E123" s="19">
        <f>SUMIFS('Heo thịt_Nhập dữ liệu hàng ngày'!$AB:$AB,'Heo thịt_Nhập dữ liệu hàng ngày'!$M:$M,'Theo dõi khách hàng heo thịt'!C123)</f>
        <v>0</v>
      </c>
      <c r="F123" s="19">
        <f>SUMIFS('Heo thịt_Nhập dữ liệu hàng ngày'!$AC:$AC,'Heo thịt_Nhập dữ liệu hàng ngày'!$M:$M,'Theo dõi khách hàng heo thịt'!C123)</f>
        <v>0</v>
      </c>
      <c r="G123" s="20">
        <f>SUMIFS('Heo thịt_Nhập dữ liệu hàng ngày'!$AD:$AD,'Heo thịt_Nhập dữ liệu hàng ngày'!$M:$M,'Theo dõi khách hàng heo thịt'!C123)</f>
        <v>0</v>
      </c>
      <c r="H123" s="21">
        <f t="shared" si="11"/>
        <v>0</v>
      </c>
      <c r="I123" s="59">
        <f t="shared" si="9"/>
        <v>0</v>
      </c>
      <c r="J123" t="str">
        <f t="shared" si="10"/>
        <v>-</v>
      </c>
      <c r="L123" s="242">
        <f t="shared" si="8"/>
        <v>0</v>
      </c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 spans="2:22" hidden="1" x14ac:dyDescent="0.3">
      <c r="B124" s="32">
        <v>120</v>
      </c>
      <c r="C124" s="18">
        <f>IFERROR(Data!C123,"")</f>
        <v>0</v>
      </c>
      <c r="D124" s="19">
        <f>SUMIFS('Heo thịt_Nhập dữ liệu hàng ngày'!$U:$U,'Heo thịt_Nhập dữ liệu hàng ngày'!$M:$M,'Theo dõi khách hàng heo thịt'!C124)</f>
        <v>0</v>
      </c>
      <c r="E124" s="19">
        <f>SUMIFS('Heo thịt_Nhập dữ liệu hàng ngày'!$AB:$AB,'Heo thịt_Nhập dữ liệu hàng ngày'!$M:$M,'Theo dõi khách hàng heo thịt'!C124)</f>
        <v>0</v>
      </c>
      <c r="F124" s="19">
        <f>SUMIFS('Heo thịt_Nhập dữ liệu hàng ngày'!$AC:$AC,'Heo thịt_Nhập dữ liệu hàng ngày'!$M:$M,'Theo dõi khách hàng heo thịt'!C124)</f>
        <v>0</v>
      </c>
      <c r="G124" s="20">
        <f>SUMIFS('Heo thịt_Nhập dữ liệu hàng ngày'!$AD:$AD,'Heo thịt_Nhập dữ liệu hàng ngày'!$M:$M,'Theo dõi khách hàng heo thịt'!C124)</f>
        <v>0</v>
      </c>
      <c r="H124" s="21">
        <f t="shared" si="11"/>
        <v>0</v>
      </c>
      <c r="I124" s="59">
        <f t="shared" si="9"/>
        <v>0</v>
      </c>
      <c r="J124" t="str">
        <f t="shared" si="10"/>
        <v>-</v>
      </c>
      <c r="L124" s="242">
        <f t="shared" si="8"/>
        <v>0</v>
      </c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 spans="2:22" hidden="1" x14ac:dyDescent="0.3">
      <c r="B125" s="31">
        <v>121</v>
      </c>
      <c r="C125" s="18">
        <f>IFERROR(Data!C124,"")</f>
        <v>0</v>
      </c>
      <c r="D125" s="19">
        <f>SUMIFS('Heo thịt_Nhập dữ liệu hàng ngày'!$U:$U,'Heo thịt_Nhập dữ liệu hàng ngày'!$M:$M,'Theo dõi khách hàng heo thịt'!C125)</f>
        <v>0</v>
      </c>
      <c r="E125" s="19">
        <f>SUMIFS('Heo thịt_Nhập dữ liệu hàng ngày'!$AB:$AB,'Heo thịt_Nhập dữ liệu hàng ngày'!$M:$M,'Theo dõi khách hàng heo thịt'!C125)</f>
        <v>0</v>
      </c>
      <c r="F125" s="19">
        <f>SUMIFS('Heo thịt_Nhập dữ liệu hàng ngày'!$AC:$AC,'Heo thịt_Nhập dữ liệu hàng ngày'!$M:$M,'Theo dõi khách hàng heo thịt'!C125)</f>
        <v>0</v>
      </c>
      <c r="G125" s="20">
        <f>SUMIFS('Heo thịt_Nhập dữ liệu hàng ngày'!$AD:$AD,'Heo thịt_Nhập dữ liệu hàng ngày'!$M:$M,'Theo dõi khách hàng heo thịt'!C125)</f>
        <v>0</v>
      </c>
      <c r="H125" s="21">
        <f t="shared" si="11"/>
        <v>0</v>
      </c>
      <c r="I125" s="59">
        <f t="shared" si="9"/>
        <v>0</v>
      </c>
      <c r="J125" t="str">
        <f t="shared" si="10"/>
        <v>-</v>
      </c>
      <c r="L125" s="242">
        <f t="shared" si="8"/>
        <v>0</v>
      </c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 spans="2:22" hidden="1" x14ac:dyDescent="0.3">
      <c r="B126" s="32">
        <v>122</v>
      </c>
      <c r="C126" s="18">
        <f>IFERROR(Data!C125,"")</f>
        <v>0</v>
      </c>
      <c r="D126" s="19">
        <f>SUMIFS('Heo thịt_Nhập dữ liệu hàng ngày'!$U:$U,'Heo thịt_Nhập dữ liệu hàng ngày'!$M:$M,'Theo dõi khách hàng heo thịt'!C126)</f>
        <v>0</v>
      </c>
      <c r="E126" s="19">
        <f>SUMIFS('Heo thịt_Nhập dữ liệu hàng ngày'!$AB:$AB,'Heo thịt_Nhập dữ liệu hàng ngày'!$M:$M,'Theo dõi khách hàng heo thịt'!C126)</f>
        <v>0</v>
      </c>
      <c r="F126" s="19">
        <f>SUMIFS('Heo thịt_Nhập dữ liệu hàng ngày'!$AC:$AC,'Heo thịt_Nhập dữ liệu hàng ngày'!$M:$M,'Theo dõi khách hàng heo thịt'!C126)</f>
        <v>0</v>
      </c>
      <c r="G126" s="20">
        <f>SUMIFS('Heo thịt_Nhập dữ liệu hàng ngày'!$AD:$AD,'Heo thịt_Nhập dữ liệu hàng ngày'!$M:$M,'Theo dõi khách hàng heo thịt'!C126)</f>
        <v>0</v>
      </c>
      <c r="H126" s="21">
        <f t="shared" si="11"/>
        <v>0</v>
      </c>
      <c r="I126" s="59">
        <f t="shared" si="9"/>
        <v>0</v>
      </c>
      <c r="J126" t="str">
        <f t="shared" si="10"/>
        <v>-</v>
      </c>
      <c r="L126" s="242">
        <f t="shared" si="8"/>
        <v>0</v>
      </c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 spans="2:22" hidden="1" x14ac:dyDescent="0.3">
      <c r="B127" s="31">
        <v>123</v>
      </c>
      <c r="C127" s="18">
        <f>IFERROR(Data!C126,"")</f>
        <v>0</v>
      </c>
      <c r="D127" s="19">
        <f>SUMIFS('Heo thịt_Nhập dữ liệu hàng ngày'!$U:$U,'Heo thịt_Nhập dữ liệu hàng ngày'!$M:$M,'Theo dõi khách hàng heo thịt'!C127)</f>
        <v>0</v>
      </c>
      <c r="E127" s="19">
        <f>SUMIFS('Heo thịt_Nhập dữ liệu hàng ngày'!$AB:$AB,'Heo thịt_Nhập dữ liệu hàng ngày'!$M:$M,'Theo dõi khách hàng heo thịt'!C127)</f>
        <v>0</v>
      </c>
      <c r="F127" s="19">
        <f>SUMIFS('Heo thịt_Nhập dữ liệu hàng ngày'!$AC:$AC,'Heo thịt_Nhập dữ liệu hàng ngày'!$M:$M,'Theo dõi khách hàng heo thịt'!C127)</f>
        <v>0</v>
      </c>
      <c r="G127" s="20">
        <f>SUMIFS('Heo thịt_Nhập dữ liệu hàng ngày'!$AD:$AD,'Heo thịt_Nhập dữ liệu hàng ngày'!$M:$M,'Theo dõi khách hàng heo thịt'!C127)</f>
        <v>0</v>
      </c>
      <c r="H127" s="21">
        <f t="shared" si="11"/>
        <v>0</v>
      </c>
      <c r="I127" s="59">
        <f t="shared" si="9"/>
        <v>0</v>
      </c>
      <c r="J127" t="str">
        <f t="shared" si="10"/>
        <v>-</v>
      </c>
      <c r="L127" s="242">
        <f t="shared" si="8"/>
        <v>0</v>
      </c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 spans="2:22" hidden="1" x14ac:dyDescent="0.3">
      <c r="B128" s="32">
        <v>124</v>
      </c>
      <c r="C128" s="18">
        <f>IFERROR(Data!C127,"")</f>
        <v>0</v>
      </c>
      <c r="D128" s="19">
        <f>SUMIFS('Heo thịt_Nhập dữ liệu hàng ngày'!$U:$U,'Heo thịt_Nhập dữ liệu hàng ngày'!$M:$M,'Theo dõi khách hàng heo thịt'!C128)</f>
        <v>0</v>
      </c>
      <c r="E128" s="19">
        <f>SUMIFS('Heo thịt_Nhập dữ liệu hàng ngày'!$AB:$AB,'Heo thịt_Nhập dữ liệu hàng ngày'!$M:$M,'Theo dõi khách hàng heo thịt'!C128)</f>
        <v>0</v>
      </c>
      <c r="F128" s="19">
        <f>SUMIFS('Heo thịt_Nhập dữ liệu hàng ngày'!$AC:$AC,'Heo thịt_Nhập dữ liệu hàng ngày'!$M:$M,'Theo dõi khách hàng heo thịt'!C128)</f>
        <v>0</v>
      </c>
      <c r="G128" s="20">
        <f>SUMIFS('Heo thịt_Nhập dữ liệu hàng ngày'!$AD:$AD,'Heo thịt_Nhập dữ liệu hàng ngày'!$M:$M,'Theo dõi khách hàng heo thịt'!C128)</f>
        <v>0</v>
      </c>
      <c r="H128" s="21">
        <f t="shared" si="11"/>
        <v>0</v>
      </c>
      <c r="I128" s="59">
        <f t="shared" si="9"/>
        <v>0</v>
      </c>
      <c r="J128" t="str">
        <f t="shared" si="10"/>
        <v>-</v>
      </c>
      <c r="L128" s="242">
        <f t="shared" si="8"/>
        <v>0</v>
      </c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 spans="2:22" hidden="1" x14ac:dyDescent="0.3">
      <c r="B129" s="31">
        <v>125</v>
      </c>
      <c r="C129" s="18">
        <f>IFERROR(Data!C128,"")</f>
        <v>0</v>
      </c>
      <c r="D129" s="19">
        <f>SUMIFS('Heo thịt_Nhập dữ liệu hàng ngày'!$U:$U,'Heo thịt_Nhập dữ liệu hàng ngày'!$M:$M,'Theo dõi khách hàng heo thịt'!C129)</f>
        <v>0</v>
      </c>
      <c r="E129" s="19">
        <f>SUMIFS('Heo thịt_Nhập dữ liệu hàng ngày'!$AB:$AB,'Heo thịt_Nhập dữ liệu hàng ngày'!$M:$M,'Theo dõi khách hàng heo thịt'!C129)</f>
        <v>0</v>
      </c>
      <c r="F129" s="19">
        <f>SUMIFS('Heo thịt_Nhập dữ liệu hàng ngày'!$AC:$AC,'Heo thịt_Nhập dữ liệu hàng ngày'!$M:$M,'Theo dõi khách hàng heo thịt'!C129)</f>
        <v>0</v>
      </c>
      <c r="G129" s="20">
        <f>SUMIFS('Heo thịt_Nhập dữ liệu hàng ngày'!$AD:$AD,'Heo thịt_Nhập dữ liệu hàng ngày'!$M:$M,'Theo dõi khách hàng heo thịt'!C129)</f>
        <v>0</v>
      </c>
      <c r="H129" s="21">
        <f t="shared" si="11"/>
        <v>0</v>
      </c>
      <c r="I129" s="59">
        <f t="shared" si="9"/>
        <v>0</v>
      </c>
      <c r="J129" t="str">
        <f t="shared" si="10"/>
        <v>-</v>
      </c>
      <c r="L129" s="242">
        <f t="shared" si="8"/>
        <v>0</v>
      </c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 spans="2:22" hidden="1" x14ac:dyDescent="0.3">
      <c r="B130" s="32">
        <v>126</v>
      </c>
      <c r="C130" s="18">
        <f>IFERROR(Data!C129,"")</f>
        <v>0</v>
      </c>
      <c r="D130" s="19">
        <f>SUMIFS('Heo thịt_Nhập dữ liệu hàng ngày'!$U:$U,'Heo thịt_Nhập dữ liệu hàng ngày'!$M:$M,'Theo dõi khách hàng heo thịt'!C130)</f>
        <v>0</v>
      </c>
      <c r="E130" s="19">
        <f>SUMIFS('Heo thịt_Nhập dữ liệu hàng ngày'!$AB:$AB,'Heo thịt_Nhập dữ liệu hàng ngày'!$M:$M,'Theo dõi khách hàng heo thịt'!C130)</f>
        <v>0</v>
      </c>
      <c r="F130" s="19">
        <f>SUMIFS('Heo thịt_Nhập dữ liệu hàng ngày'!$AC:$AC,'Heo thịt_Nhập dữ liệu hàng ngày'!$M:$M,'Theo dõi khách hàng heo thịt'!C130)</f>
        <v>0</v>
      </c>
      <c r="G130" s="20">
        <f>SUMIFS('Heo thịt_Nhập dữ liệu hàng ngày'!$AD:$AD,'Heo thịt_Nhập dữ liệu hàng ngày'!$M:$M,'Theo dõi khách hàng heo thịt'!C130)</f>
        <v>0</v>
      </c>
      <c r="H130" s="21">
        <f t="shared" si="11"/>
        <v>0</v>
      </c>
      <c r="I130" s="59">
        <f t="shared" si="9"/>
        <v>0</v>
      </c>
      <c r="J130" t="str">
        <f t="shared" si="10"/>
        <v>-</v>
      </c>
      <c r="K130" s="263" t="s">
        <v>166</v>
      </c>
      <c r="L130" s="242">
        <f t="shared" si="8"/>
        <v>0</v>
      </c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 spans="2:22" hidden="1" x14ac:dyDescent="0.3">
      <c r="B131" s="31">
        <v>127</v>
      </c>
      <c r="C131" s="18">
        <f>IFERROR(Data!C130,"")</f>
        <v>0</v>
      </c>
      <c r="D131" s="19">
        <f>SUMIFS('Heo thịt_Nhập dữ liệu hàng ngày'!$U:$U,'Heo thịt_Nhập dữ liệu hàng ngày'!$M:$M,'Theo dõi khách hàng heo thịt'!C131)</f>
        <v>0</v>
      </c>
      <c r="E131" s="19">
        <f>SUMIFS('Heo thịt_Nhập dữ liệu hàng ngày'!$AB:$AB,'Heo thịt_Nhập dữ liệu hàng ngày'!$M:$M,'Theo dõi khách hàng heo thịt'!C131)</f>
        <v>0</v>
      </c>
      <c r="F131" s="19">
        <f>SUMIFS('Heo thịt_Nhập dữ liệu hàng ngày'!$AC:$AC,'Heo thịt_Nhập dữ liệu hàng ngày'!$M:$M,'Theo dõi khách hàng heo thịt'!C131)</f>
        <v>0</v>
      </c>
      <c r="G131" s="20">
        <f>SUMIFS('Heo thịt_Nhập dữ liệu hàng ngày'!$AD:$AD,'Heo thịt_Nhập dữ liệu hàng ngày'!$M:$M,'Theo dõi khách hàng heo thịt'!C131)</f>
        <v>0</v>
      </c>
      <c r="H131" s="21">
        <f t="shared" si="11"/>
        <v>0</v>
      </c>
      <c r="I131" s="59">
        <f t="shared" si="9"/>
        <v>0</v>
      </c>
      <c r="J131" t="str">
        <f t="shared" si="10"/>
        <v>-</v>
      </c>
      <c r="L131" s="242">
        <f t="shared" si="8"/>
        <v>0</v>
      </c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 spans="2:22" hidden="1" x14ac:dyDescent="0.3">
      <c r="B132" s="32">
        <v>128</v>
      </c>
      <c r="C132" s="18">
        <f>IFERROR(Data!C131,"")</f>
        <v>0</v>
      </c>
      <c r="D132" s="19">
        <f>SUMIFS('Heo thịt_Nhập dữ liệu hàng ngày'!$U:$U,'Heo thịt_Nhập dữ liệu hàng ngày'!$M:$M,'Theo dõi khách hàng heo thịt'!C132)</f>
        <v>0</v>
      </c>
      <c r="E132" s="19">
        <f>SUMIFS('Heo thịt_Nhập dữ liệu hàng ngày'!$AB:$AB,'Heo thịt_Nhập dữ liệu hàng ngày'!$M:$M,'Theo dõi khách hàng heo thịt'!C132)</f>
        <v>0</v>
      </c>
      <c r="F132" s="19">
        <f>SUMIFS('Heo thịt_Nhập dữ liệu hàng ngày'!$AC:$AC,'Heo thịt_Nhập dữ liệu hàng ngày'!$M:$M,'Theo dõi khách hàng heo thịt'!C132)</f>
        <v>0</v>
      </c>
      <c r="G132" s="20">
        <f>SUMIFS('Heo thịt_Nhập dữ liệu hàng ngày'!$AD:$AD,'Heo thịt_Nhập dữ liệu hàng ngày'!$M:$M,'Theo dõi khách hàng heo thịt'!C132)</f>
        <v>0</v>
      </c>
      <c r="H132" s="21">
        <f t="shared" si="11"/>
        <v>0</v>
      </c>
      <c r="I132" s="59">
        <f t="shared" si="9"/>
        <v>0</v>
      </c>
      <c r="J132" t="str">
        <f t="shared" si="10"/>
        <v>-</v>
      </c>
      <c r="L132" s="242">
        <f t="shared" si="8"/>
        <v>0</v>
      </c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 spans="2:22" hidden="1" x14ac:dyDescent="0.3">
      <c r="B133" s="31">
        <v>129</v>
      </c>
      <c r="C133" s="18">
        <f>IFERROR(Data!C132,"")</f>
        <v>0</v>
      </c>
      <c r="D133" s="19">
        <f>SUMIFS('Heo thịt_Nhập dữ liệu hàng ngày'!$U:$U,'Heo thịt_Nhập dữ liệu hàng ngày'!$M:$M,'Theo dõi khách hàng heo thịt'!C133)</f>
        <v>0</v>
      </c>
      <c r="E133" s="19">
        <f>SUMIFS('Heo thịt_Nhập dữ liệu hàng ngày'!$AB:$AB,'Heo thịt_Nhập dữ liệu hàng ngày'!$M:$M,'Theo dõi khách hàng heo thịt'!C133)</f>
        <v>0</v>
      </c>
      <c r="F133" s="19">
        <f>SUMIFS('Heo thịt_Nhập dữ liệu hàng ngày'!$AC:$AC,'Heo thịt_Nhập dữ liệu hàng ngày'!$M:$M,'Theo dõi khách hàng heo thịt'!C133)</f>
        <v>0</v>
      </c>
      <c r="G133" s="20">
        <f>SUMIFS('Heo thịt_Nhập dữ liệu hàng ngày'!$AD:$AD,'Heo thịt_Nhập dữ liệu hàng ngày'!$M:$M,'Theo dõi khách hàng heo thịt'!C133)</f>
        <v>0</v>
      </c>
      <c r="H133" s="21">
        <f t="shared" si="11"/>
        <v>0</v>
      </c>
      <c r="I133" s="59">
        <f t="shared" si="9"/>
        <v>0</v>
      </c>
      <c r="J133" t="str">
        <f t="shared" si="10"/>
        <v>-</v>
      </c>
      <c r="L133" s="242">
        <f t="shared" ref="L133:L176" si="12">+H133*(-1)</f>
        <v>0</v>
      </c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 spans="2:22" hidden="1" x14ac:dyDescent="0.3">
      <c r="B134" s="32">
        <v>130</v>
      </c>
      <c r="C134" s="18">
        <f>IFERROR(Data!C133,"")</f>
        <v>0</v>
      </c>
      <c r="D134" s="19">
        <f>SUMIFS('Heo thịt_Nhập dữ liệu hàng ngày'!$U:$U,'Heo thịt_Nhập dữ liệu hàng ngày'!$M:$M,'Theo dõi khách hàng heo thịt'!C134)</f>
        <v>0</v>
      </c>
      <c r="E134" s="19">
        <f>SUMIFS('Heo thịt_Nhập dữ liệu hàng ngày'!$AB:$AB,'Heo thịt_Nhập dữ liệu hàng ngày'!$M:$M,'Theo dõi khách hàng heo thịt'!C134)</f>
        <v>0</v>
      </c>
      <c r="F134" s="19">
        <f>SUMIFS('Heo thịt_Nhập dữ liệu hàng ngày'!$AC:$AC,'Heo thịt_Nhập dữ liệu hàng ngày'!$M:$M,'Theo dõi khách hàng heo thịt'!C134)</f>
        <v>0</v>
      </c>
      <c r="G134" s="20">
        <f>SUMIFS('Heo thịt_Nhập dữ liệu hàng ngày'!$AD:$AD,'Heo thịt_Nhập dữ liệu hàng ngày'!$M:$M,'Theo dõi khách hàng heo thịt'!C134)</f>
        <v>0</v>
      </c>
      <c r="H134" s="21">
        <f t="shared" si="11"/>
        <v>0</v>
      </c>
      <c r="I134" s="59">
        <f t="shared" ref="I134:I174" si="13">+ABS(H134)</f>
        <v>0</v>
      </c>
      <c r="J134" t="str">
        <f t="shared" ref="J134:J174" si="14">+IF(I134&gt;500000,"check","-")</f>
        <v>-</v>
      </c>
      <c r="K134" s="263" t="s">
        <v>161</v>
      </c>
      <c r="L134" s="242">
        <f t="shared" si="12"/>
        <v>0</v>
      </c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 spans="2:22" hidden="1" x14ac:dyDescent="0.3">
      <c r="B135" s="31">
        <v>131</v>
      </c>
      <c r="C135" s="18">
        <f>IFERROR(Data!C134,"")</f>
        <v>0</v>
      </c>
      <c r="D135" s="19">
        <f>SUMIFS('Heo thịt_Nhập dữ liệu hàng ngày'!$U:$U,'Heo thịt_Nhập dữ liệu hàng ngày'!$M:$M,'Theo dõi khách hàng heo thịt'!C135)</f>
        <v>0</v>
      </c>
      <c r="E135" s="19">
        <f>SUMIFS('Heo thịt_Nhập dữ liệu hàng ngày'!$AB:$AB,'Heo thịt_Nhập dữ liệu hàng ngày'!$M:$M,'Theo dõi khách hàng heo thịt'!C135)</f>
        <v>0</v>
      </c>
      <c r="F135" s="19">
        <f>SUMIFS('Heo thịt_Nhập dữ liệu hàng ngày'!$AC:$AC,'Heo thịt_Nhập dữ liệu hàng ngày'!$M:$M,'Theo dõi khách hàng heo thịt'!C135)</f>
        <v>0</v>
      </c>
      <c r="G135" s="20">
        <f>SUMIFS('Heo thịt_Nhập dữ liệu hàng ngày'!$AD:$AD,'Heo thịt_Nhập dữ liệu hàng ngày'!$M:$M,'Theo dõi khách hàng heo thịt'!C135)</f>
        <v>0</v>
      </c>
      <c r="H135" s="21">
        <f t="shared" si="11"/>
        <v>0</v>
      </c>
      <c r="I135" s="59">
        <f t="shared" si="13"/>
        <v>0</v>
      </c>
      <c r="J135" t="str">
        <f t="shared" si="14"/>
        <v>-</v>
      </c>
      <c r="L135" s="242">
        <f t="shared" si="12"/>
        <v>0</v>
      </c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 spans="2:22" hidden="1" x14ac:dyDescent="0.3">
      <c r="B136" s="32">
        <v>132</v>
      </c>
      <c r="C136" s="18">
        <f>IFERROR(Data!C135,"")</f>
        <v>0</v>
      </c>
      <c r="D136" s="19">
        <f>SUMIFS('Heo thịt_Nhập dữ liệu hàng ngày'!$U:$U,'Heo thịt_Nhập dữ liệu hàng ngày'!$M:$M,'Theo dõi khách hàng heo thịt'!C136)</f>
        <v>0</v>
      </c>
      <c r="E136" s="19">
        <f>SUMIFS('Heo thịt_Nhập dữ liệu hàng ngày'!$AB:$AB,'Heo thịt_Nhập dữ liệu hàng ngày'!$M:$M,'Theo dõi khách hàng heo thịt'!C136)</f>
        <v>0</v>
      </c>
      <c r="F136" s="19">
        <f>SUMIFS('Heo thịt_Nhập dữ liệu hàng ngày'!$AC:$AC,'Heo thịt_Nhập dữ liệu hàng ngày'!$M:$M,'Theo dõi khách hàng heo thịt'!C136)</f>
        <v>0</v>
      </c>
      <c r="G136" s="20">
        <f>SUMIFS('Heo thịt_Nhập dữ liệu hàng ngày'!$AD:$AD,'Heo thịt_Nhập dữ liệu hàng ngày'!$M:$M,'Theo dõi khách hàng heo thịt'!C136)</f>
        <v>0</v>
      </c>
      <c r="H136" s="21">
        <f t="shared" si="11"/>
        <v>0</v>
      </c>
      <c r="I136" s="59">
        <f t="shared" si="13"/>
        <v>0</v>
      </c>
      <c r="J136" t="str">
        <f t="shared" si="14"/>
        <v>-</v>
      </c>
      <c r="K136" s="263"/>
      <c r="L136" s="242">
        <f t="shared" si="12"/>
        <v>0</v>
      </c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 spans="2:22" hidden="1" x14ac:dyDescent="0.3">
      <c r="B137" s="31">
        <v>133</v>
      </c>
      <c r="C137" s="18">
        <f>IFERROR(Data!C136,"")</f>
        <v>0</v>
      </c>
      <c r="D137" s="19">
        <f>SUMIFS('Heo thịt_Nhập dữ liệu hàng ngày'!$U:$U,'Heo thịt_Nhập dữ liệu hàng ngày'!$M:$M,'Theo dõi khách hàng heo thịt'!C137)</f>
        <v>0</v>
      </c>
      <c r="E137" s="19">
        <f>SUMIFS('Heo thịt_Nhập dữ liệu hàng ngày'!$AB:$AB,'Heo thịt_Nhập dữ liệu hàng ngày'!$M:$M,'Theo dõi khách hàng heo thịt'!C137)</f>
        <v>0</v>
      </c>
      <c r="F137" s="19">
        <f>SUMIFS('Heo thịt_Nhập dữ liệu hàng ngày'!$AC:$AC,'Heo thịt_Nhập dữ liệu hàng ngày'!$M:$M,'Theo dõi khách hàng heo thịt'!C137)</f>
        <v>0</v>
      </c>
      <c r="G137" s="20">
        <f>SUMIFS('Heo thịt_Nhập dữ liệu hàng ngày'!$AD:$AD,'Heo thịt_Nhập dữ liệu hàng ngày'!$M:$M,'Theo dõi khách hàng heo thịt'!C137)</f>
        <v>0</v>
      </c>
      <c r="H137" s="21">
        <f t="shared" si="11"/>
        <v>0</v>
      </c>
      <c r="I137" s="59">
        <f t="shared" si="13"/>
        <v>0</v>
      </c>
      <c r="J137" t="str">
        <f t="shared" si="14"/>
        <v>-</v>
      </c>
      <c r="L137" s="242">
        <f t="shared" si="12"/>
        <v>0</v>
      </c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 spans="2:22" hidden="1" x14ac:dyDescent="0.3">
      <c r="B138" s="32">
        <v>134</v>
      </c>
      <c r="C138" s="18">
        <f>IFERROR(Data!C137,"")</f>
        <v>0</v>
      </c>
      <c r="D138" s="19">
        <f>SUMIFS('Heo thịt_Nhập dữ liệu hàng ngày'!$U:$U,'Heo thịt_Nhập dữ liệu hàng ngày'!$M:$M,'Theo dõi khách hàng heo thịt'!C138)</f>
        <v>0</v>
      </c>
      <c r="E138" s="19">
        <f>SUMIFS('Heo thịt_Nhập dữ liệu hàng ngày'!$AB:$AB,'Heo thịt_Nhập dữ liệu hàng ngày'!$M:$M,'Theo dõi khách hàng heo thịt'!C138)</f>
        <v>0</v>
      </c>
      <c r="F138" s="19">
        <f>SUMIFS('Heo thịt_Nhập dữ liệu hàng ngày'!$AC:$AC,'Heo thịt_Nhập dữ liệu hàng ngày'!$M:$M,'Theo dõi khách hàng heo thịt'!C138)</f>
        <v>0</v>
      </c>
      <c r="G138" s="20">
        <f>SUMIFS('Heo thịt_Nhập dữ liệu hàng ngày'!$AD:$AD,'Heo thịt_Nhập dữ liệu hàng ngày'!$M:$M,'Theo dõi khách hàng heo thịt'!C138)</f>
        <v>0</v>
      </c>
      <c r="H138" s="21">
        <f t="shared" si="11"/>
        <v>0</v>
      </c>
      <c r="I138" s="59">
        <f t="shared" si="13"/>
        <v>0</v>
      </c>
      <c r="J138" t="str">
        <f t="shared" si="14"/>
        <v>-</v>
      </c>
      <c r="L138" s="242">
        <f t="shared" si="12"/>
        <v>0</v>
      </c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 spans="2:22" hidden="1" x14ac:dyDescent="0.3">
      <c r="B139" s="31">
        <v>135</v>
      </c>
      <c r="C139" s="18">
        <f>IFERROR(Data!C138,"")</f>
        <v>0</v>
      </c>
      <c r="D139" s="19">
        <f>SUMIFS('Heo thịt_Nhập dữ liệu hàng ngày'!$U:$U,'Heo thịt_Nhập dữ liệu hàng ngày'!$M:$M,'Theo dõi khách hàng heo thịt'!C139)</f>
        <v>0</v>
      </c>
      <c r="E139" s="19">
        <f>SUMIFS('Heo thịt_Nhập dữ liệu hàng ngày'!$AB:$AB,'Heo thịt_Nhập dữ liệu hàng ngày'!$M:$M,'Theo dõi khách hàng heo thịt'!C139)</f>
        <v>0</v>
      </c>
      <c r="F139" s="19">
        <f>SUMIFS('Heo thịt_Nhập dữ liệu hàng ngày'!$AC:$AC,'Heo thịt_Nhập dữ liệu hàng ngày'!$M:$M,'Theo dõi khách hàng heo thịt'!C139)</f>
        <v>0</v>
      </c>
      <c r="G139" s="20">
        <f>SUMIFS('Heo thịt_Nhập dữ liệu hàng ngày'!$AD:$AD,'Heo thịt_Nhập dữ liệu hàng ngày'!$M:$M,'Theo dõi khách hàng heo thịt'!C139)</f>
        <v>0</v>
      </c>
      <c r="H139" s="21">
        <f t="shared" si="11"/>
        <v>0</v>
      </c>
      <c r="I139" s="59">
        <f t="shared" si="13"/>
        <v>0</v>
      </c>
      <c r="J139" t="str">
        <f t="shared" si="14"/>
        <v>-</v>
      </c>
      <c r="L139" s="242">
        <f t="shared" si="12"/>
        <v>0</v>
      </c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 spans="2:22" hidden="1" x14ac:dyDescent="0.3">
      <c r="B140" s="32">
        <v>136</v>
      </c>
      <c r="C140" s="18">
        <f>IFERROR(Data!C139,"")</f>
        <v>0</v>
      </c>
      <c r="D140" s="19">
        <f>SUMIFS('Heo thịt_Nhập dữ liệu hàng ngày'!$U:$U,'Heo thịt_Nhập dữ liệu hàng ngày'!$M:$M,'Theo dõi khách hàng heo thịt'!C140)</f>
        <v>0</v>
      </c>
      <c r="E140" s="19">
        <f>SUMIFS('Heo thịt_Nhập dữ liệu hàng ngày'!$AB:$AB,'Heo thịt_Nhập dữ liệu hàng ngày'!$M:$M,'Theo dõi khách hàng heo thịt'!C140)</f>
        <v>0</v>
      </c>
      <c r="F140" s="19">
        <f>SUMIFS('Heo thịt_Nhập dữ liệu hàng ngày'!$AC:$AC,'Heo thịt_Nhập dữ liệu hàng ngày'!$M:$M,'Theo dõi khách hàng heo thịt'!C140)</f>
        <v>0</v>
      </c>
      <c r="G140" s="20">
        <f>SUMIFS('Heo thịt_Nhập dữ liệu hàng ngày'!$AD:$AD,'Heo thịt_Nhập dữ liệu hàng ngày'!$M:$M,'Theo dõi khách hàng heo thịt'!C140)</f>
        <v>0</v>
      </c>
      <c r="H140" s="21">
        <f t="shared" si="11"/>
        <v>0</v>
      </c>
      <c r="I140" s="59">
        <f t="shared" si="13"/>
        <v>0</v>
      </c>
      <c r="J140" t="str">
        <f t="shared" si="14"/>
        <v>-</v>
      </c>
      <c r="L140" s="242">
        <f t="shared" si="12"/>
        <v>0</v>
      </c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 spans="2:22" hidden="1" x14ac:dyDescent="0.3">
      <c r="B141" s="31">
        <v>137</v>
      </c>
      <c r="C141" s="18">
        <f>IFERROR(Data!C140,"")</f>
        <v>0</v>
      </c>
      <c r="D141" s="19">
        <f>SUMIFS('Heo thịt_Nhập dữ liệu hàng ngày'!$U:$U,'Heo thịt_Nhập dữ liệu hàng ngày'!$M:$M,'Theo dõi khách hàng heo thịt'!C141)</f>
        <v>0</v>
      </c>
      <c r="E141" s="19">
        <f>SUMIFS('Heo thịt_Nhập dữ liệu hàng ngày'!$AB:$AB,'Heo thịt_Nhập dữ liệu hàng ngày'!$M:$M,'Theo dõi khách hàng heo thịt'!C141)</f>
        <v>0</v>
      </c>
      <c r="F141" s="19">
        <f>SUMIFS('Heo thịt_Nhập dữ liệu hàng ngày'!$AC:$AC,'Heo thịt_Nhập dữ liệu hàng ngày'!$M:$M,'Theo dõi khách hàng heo thịt'!C141)</f>
        <v>0</v>
      </c>
      <c r="G141" s="20">
        <f>SUMIFS('Heo thịt_Nhập dữ liệu hàng ngày'!$AD:$AD,'Heo thịt_Nhập dữ liệu hàng ngày'!$M:$M,'Theo dõi khách hàng heo thịt'!C141)</f>
        <v>0</v>
      </c>
      <c r="H141" s="21">
        <f t="shared" si="11"/>
        <v>0</v>
      </c>
      <c r="I141" s="59">
        <f t="shared" si="13"/>
        <v>0</v>
      </c>
      <c r="J141" t="str">
        <f t="shared" si="14"/>
        <v>-</v>
      </c>
      <c r="L141" s="242">
        <f t="shared" si="12"/>
        <v>0</v>
      </c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 spans="2:22" hidden="1" x14ac:dyDescent="0.3">
      <c r="B142" s="32">
        <v>138</v>
      </c>
      <c r="C142" s="18">
        <f>IFERROR(Data!C141,"")</f>
        <v>0</v>
      </c>
      <c r="D142" s="19">
        <f>SUMIFS('Heo thịt_Nhập dữ liệu hàng ngày'!$U:$U,'Heo thịt_Nhập dữ liệu hàng ngày'!$M:$M,'Theo dõi khách hàng heo thịt'!C142)</f>
        <v>0</v>
      </c>
      <c r="E142" s="19">
        <f>SUMIFS('Heo thịt_Nhập dữ liệu hàng ngày'!$AB:$AB,'Heo thịt_Nhập dữ liệu hàng ngày'!$M:$M,'Theo dõi khách hàng heo thịt'!C142)</f>
        <v>0</v>
      </c>
      <c r="F142" s="19">
        <f>SUMIFS('Heo thịt_Nhập dữ liệu hàng ngày'!$AC:$AC,'Heo thịt_Nhập dữ liệu hàng ngày'!$M:$M,'Theo dõi khách hàng heo thịt'!C142)</f>
        <v>0</v>
      </c>
      <c r="G142" s="20">
        <f>SUMIFS('Heo thịt_Nhập dữ liệu hàng ngày'!$AD:$AD,'Heo thịt_Nhập dữ liệu hàng ngày'!$M:$M,'Theo dõi khách hàng heo thịt'!C142)</f>
        <v>0</v>
      </c>
      <c r="H142" s="21">
        <f t="shared" ref="H142:H174" si="15">+G142-F142</f>
        <v>0</v>
      </c>
      <c r="I142" s="59">
        <f t="shared" si="13"/>
        <v>0</v>
      </c>
      <c r="J142" t="str">
        <f t="shared" si="14"/>
        <v>-</v>
      </c>
      <c r="L142" s="242">
        <f t="shared" si="12"/>
        <v>0</v>
      </c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 spans="2:22" hidden="1" x14ac:dyDescent="0.3">
      <c r="B143" s="31">
        <v>139</v>
      </c>
      <c r="C143" s="18">
        <f>IFERROR(Data!C142,"")</f>
        <v>0</v>
      </c>
      <c r="D143" s="19">
        <f>SUMIFS('Heo thịt_Nhập dữ liệu hàng ngày'!$U:$U,'Heo thịt_Nhập dữ liệu hàng ngày'!$M:$M,'Theo dõi khách hàng heo thịt'!C143)</f>
        <v>0</v>
      </c>
      <c r="E143" s="19">
        <f>SUMIFS('Heo thịt_Nhập dữ liệu hàng ngày'!$AB:$AB,'Heo thịt_Nhập dữ liệu hàng ngày'!$M:$M,'Theo dõi khách hàng heo thịt'!C143)</f>
        <v>0</v>
      </c>
      <c r="F143" s="19">
        <f>SUMIFS('Heo thịt_Nhập dữ liệu hàng ngày'!$AC:$AC,'Heo thịt_Nhập dữ liệu hàng ngày'!$M:$M,'Theo dõi khách hàng heo thịt'!C143)</f>
        <v>0</v>
      </c>
      <c r="G143" s="20">
        <f>SUMIFS('Heo thịt_Nhập dữ liệu hàng ngày'!$AD:$AD,'Heo thịt_Nhập dữ liệu hàng ngày'!$M:$M,'Theo dõi khách hàng heo thịt'!C143)</f>
        <v>0</v>
      </c>
      <c r="H143" s="21">
        <f t="shared" si="15"/>
        <v>0</v>
      </c>
      <c r="I143" s="59">
        <f t="shared" si="13"/>
        <v>0</v>
      </c>
      <c r="J143" t="str">
        <f t="shared" si="14"/>
        <v>-</v>
      </c>
      <c r="L143" s="242">
        <f t="shared" si="12"/>
        <v>0</v>
      </c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 spans="2:22" hidden="1" x14ac:dyDescent="0.3">
      <c r="B144" s="32">
        <v>140</v>
      </c>
      <c r="C144" s="18">
        <f>IFERROR(Data!C143,"")</f>
        <v>0</v>
      </c>
      <c r="D144" s="19">
        <f>SUMIFS('Heo thịt_Nhập dữ liệu hàng ngày'!$U:$U,'Heo thịt_Nhập dữ liệu hàng ngày'!$M:$M,'Theo dõi khách hàng heo thịt'!C144)</f>
        <v>0</v>
      </c>
      <c r="E144" s="19">
        <f>SUMIFS('Heo thịt_Nhập dữ liệu hàng ngày'!$AB:$AB,'Heo thịt_Nhập dữ liệu hàng ngày'!$M:$M,'Theo dõi khách hàng heo thịt'!C144)</f>
        <v>0</v>
      </c>
      <c r="F144" s="19">
        <f>SUMIFS('Heo thịt_Nhập dữ liệu hàng ngày'!$AC:$AC,'Heo thịt_Nhập dữ liệu hàng ngày'!$M:$M,'Theo dõi khách hàng heo thịt'!C144)</f>
        <v>0</v>
      </c>
      <c r="G144" s="20">
        <f>SUMIFS('Heo thịt_Nhập dữ liệu hàng ngày'!$AD:$AD,'Heo thịt_Nhập dữ liệu hàng ngày'!$M:$M,'Theo dõi khách hàng heo thịt'!C144)</f>
        <v>0</v>
      </c>
      <c r="H144" s="21">
        <f t="shared" si="15"/>
        <v>0</v>
      </c>
      <c r="I144" s="59">
        <f t="shared" si="13"/>
        <v>0</v>
      </c>
      <c r="J144" t="str">
        <f t="shared" si="14"/>
        <v>-</v>
      </c>
      <c r="L144" s="242">
        <f t="shared" si="12"/>
        <v>0</v>
      </c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 spans="2:22" hidden="1" x14ac:dyDescent="0.3">
      <c r="B145" s="31">
        <v>141</v>
      </c>
      <c r="C145" s="18">
        <f>IFERROR(Data!C144,"")</f>
        <v>0</v>
      </c>
      <c r="D145" s="19">
        <f>SUMIFS('Heo thịt_Nhập dữ liệu hàng ngày'!$U:$U,'Heo thịt_Nhập dữ liệu hàng ngày'!$M:$M,'Theo dõi khách hàng heo thịt'!C145)</f>
        <v>0</v>
      </c>
      <c r="E145" s="19">
        <f>SUMIFS('Heo thịt_Nhập dữ liệu hàng ngày'!$AB:$AB,'Heo thịt_Nhập dữ liệu hàng ngày'!$M:$M,'Theo dõi khách hàng heo thịt'!C145)</f>
        <v>0</v>
      </c>
      <c r="F145" s="19">
        <f>SUMIFS('Heo thịt_Nhập dữ liệu hàng ngày'!$AC:$AC,'Heo thịt_Nhập dữ liệu hàng ngày'!$M:$M,'Theo dõi khách hàng heo thịt'!C145)</f>
        <v>0</v>
      </c>
      <c r="G145" s="20">
        <f>SUMIFS('Heo thịt_Nhập dữ liệu hàng ngày'!$AD:$AD,'Heo thịt_Nhập dữ liệu hàng ngày'!$M:$M,'Theo dõi khách hàng heo thịt'!C145)</f>
        <v>0</v>
      </c>
      <c r="H145" s="21">
        <f t="shared" si="15"/>
        <v>0</v>
      </c>
      <c r="I145" s="59">
        <f t="shared" si="13"/>
        <v>0</v>
      </c>
      <c r="J145" t="str">
        <f t="shared" si="14"/>
        <v>-</v>
      </c>
      <c r="L145" s="242">
        <f t="shared" si="12"/>
        <v>0</v>
      </c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 spans="2:22" hidden="1" x14ac:dyDescent="0.3">
      <c r="B146" s="32">
        <v>142</v>
      </c>
      <c r="C146" s="18">
        <f>IFERROR(Data!C145,"")</f>
        <v>0</v>
      </c>
      <c r="D146" s="19">
        <f>SUMIFS('Heo thịt_Nhập dữ liệu hàng ngày'!$U:$U,'Heo thịt_Nhập dữ liệu hàng ngày'!$M:$M,'Theo dõi khách hàng heo thịt'!C146)</f>
        <v>0</v>
      </c>
      <c r="E146" s="19">
        <f>SUMIFS('Heo thịt_Nhập dữ liệu hàng ngày'!$AB:$AB,'Heo thịt_Nhập dữ liệu hàng ngày'!$M:$M,'Theo dõi khách hàng heo thịt'!C146)</f>
        <v>0</v>
      </c>
      <c r="F146" s="19">
        <f>SUMIFS('Heo thịt_Nhập dữ liệu hàng ngày'!$AC:$AC,'Heo thịt_Nhập dữ liệu hàng ngày'!$M:$M,'Theo dõi khách hàng heo thịt'!C146)</f>
        <v>0</v>
      </c>
      <c r="G146" s="20">
        <f>SUMIFS('Heo thịt_Nhập dữ liệu hàng ngày'!$AD:$AD,'Heo thịt_Nhập dữ liệu hàng ngày'!$M:$M,'Theo dõi khách hàng heo thịt'!C146)</f>
        <v>0</v>
      </c>
      <c r="H146" s="21">
        <f t="shared" si="15"/>
        <v>0</v>
      </c>
      <c r="I146" s="59">
        <f t="shared" si="13"/>
        <v>0</v>
      </c>
      <c r="J146" t="str">
        <f t="shared" si="14"/>
        <v>-</v>
      </c>
      <c r="L146" s="242">
        <f t="shared" si="12"/>
        <v>0</v>
      </c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 spans="2:22" hidden="1" x14ac:dyDescent="0.3">
      <c r="B147" s="31">
        <v>143</v>
      </c>
      <c r="C147" s="18">
        <f>IFERROR(Data!C146,"")</f>
        <v>0</v>
      </c>
      <c r="D147" s="19">
        <f>SUMIFS('Heo thịt_Nhập dữ liệu hàng ngày'!$U:$U,'Heo thịt_Nhập dữ liệu hàng ngày'!$M:$M,'Theo dõi khách hàng heo thịt'!C147)</f>
        <v>0</v>
      </c>
      <c r="E147" s="19">
        <f>SUMIFS('Heo thịt_Nhập dữ liệu hàng ngày'!$AB:$AB,'Heo thịt_Nhập dữ liệu hàng ngày'!$M:$M,'Theo dõi khách hàng heo thịt'!C147)</f>
        <v>0</v>
      </c>
      <c r="F147" s="19">
        <f>SUMIFS('Heo thịt_Nhập dữ liệu hàng ngày'!$AC:$AC,'Heo thịt_Nhập dữ liệu hàng ngày'!$M:$M,'Theo dõi khách hàng heo thịt'!C147)</f>
        <v>0</v>
      </c>
      <c r="G147" s="20">
        <f>SUMIFS('Heo thịt_Nhập dữ liệu hàng ngày'!$AD:$AD,'Heo thịt_Nhập dữ liệu hàng ngày'!$M:$M,'Theo dõi khách hàng heo thịt'!C147)</f>
        <v>0</v>
      </c>
      <c r="H147" s="21">
        <f t="shared" si="15"/>
        <v>0</v>
      </c>
      <c r="I147" s="59">
        <f t="shared" si="13"/>
        <v>0</v>
      </c>
      <c r="J147" t="str">
        <f t="shared" si="14"/>
        <v>-</v>
      </c>
      <c r="L147" s="242">
        <f t="shared" si="12"/>
        <v>0</v>
      </c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 spans="2:22" hidden="1" x14ac:dyDescent="0.3">
      <c r="B148" s="32">
        <v>144</v>
      </c>
      <c r="C148" s="18">
        <f>IFERROR(Data!C147,"")</f>
        <v>0</v>
      </c>
      <c r="D148" s="19">
        <f>SUMIFS('Heo thịt_Nhập dữ liệu hàng ngày'!$U:$U,'Heo thịt_Nhập dữ liệu hàng ngày'!$M:$M,'Theo dõi khách hàng heo thịt'!C148)</f>
        <v>0</v>
      </c>
      <c r="E148" s="19">
        <f>SUMIFS('Heo thịt_Nhập dữ liệu hàng ngày'!$AB:$AB,'Heo thịt_Nhập dữ liệu hàng ngày'!$M:$M,'Theo dõi khách hàng heo thịt'!C148)</f>
        <v>0</v>
      </c>
      <c r="F148" s="19">
        <f>SUMIFS('Heo thịt_Nhập dữ liệu hàng ngày'!$AC:$AC,'Heo thịt_Nhập dữ liệu hàng ngày'!$M:$M,'Theo dõi khách hàng heo thịt'!C148)</f>
        <v>0</v>
      </c>
      <c r="G148" s="20">
        <f>SUMIFS('Heo thịt_Nhập dữ liệu hàng ngày'!$AD:$AD,'Heo thịt_Nhập dữ liệu hàng ngày'!$M:$M,'Theo dõi khách hàng heo thịt'!C148)</f>
        <v>0</v>
      </c>
      <c r="H148" s="21">
        <f t="shared" si="15"/>
        <v>0</v>
      </c>
      <c r="I148" s="59">
        <f t="shared" si="13"/>
        <v>0</v>
      </c>
      <c r="J148" t="str">
        <f t="shared" si="14"/>
        <v>-</v>
      </c>
      <c r="L148" s="242">
        <f t="shared" si="12"/>
        <v>0</v>
      </c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 spans="2:22" hidden="1" x14ac:dyDescent="0.3">
      <c r="B149" s="31">
        <v>145</v>
      </c>
      <c r="C149" s="18">
        <f>IFERROR(Data!C148,"")</f>
        <v>0</v>
      </c>
      <c r="D149" s="19">
        <f>SUMIFS('Heo thịt_Nhập dữ liệu hàng ngày'!$U:$U,'Heo thịt_Nhập dữ liệu hàng ngày'!$M:$M,'Theo dõi khách hàng heo thịt'!C149)</f>
        <v>0</v>
      </c>
      <c r="E149" s="19">
        <f>SUMIFS('Heo thịt_Nhập dữ liệu hàng ngày'!$AB:$AB,'Heo thịt_Nhập dữ liệu hàng ngày'!$M:$M,'Theo dõi khách hàng heo thịt'!C149)</f>
        <v>0</v>
      </c>
      <c r="F149" s="19">
        <f>SUMIFS('Heo thịt_Nhập dữ liệu hàng ngày'!$AC:$AC,'Heo thịt_Nhập dữ liệu hàng ngày'!$M:$M,'Theo dõi khách hàng heo thịt'!C149)</f>
        <v>0</v>
      </c>
      <c r="G149" s="20">
        <f>SUMIFS('Heo thịt_Nhập dữ liệu hàng ngày'!$AD:$AD,'Heo thịt_Nhập dữ liệu hàng ngày'!$M:$M,'Theo dõi khách hàng heo thịt'!C149)</f>
        <v>0</v>
      </c>
      <c r="H149" s="21">
        <f t="shared" si="15"/>
        <v>0</v>
      </c>
      <c r="I149" s="59">
        <f t="shared" si="13"/>
        <v>0</v>
      </c>
      <c r="J149" t="str">
        <f t="shared" si="14"/>
        <v>-</v>
      </c>
      <c r="L149" s="242">
        <f t="shared" si="12"/>
        <v>0</v>
      </c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 spans="2:22" hidden="1" x14ac:dyDescent="0.3">
      <c r="B150" s="32">
        <v>146</v>
      </c>
      <c r="C150" s="18">
        <f>IFERROR(Data!C149,"")</f>
        <v>0</v>
      </c>
      <c r="D150" s="19">
        <f>SUMIFS('Heo thịt_Nhập dữ liệu hàng ngày'!$U:$U,'Heo thịt_Nhập dữ liệu hàng ngày'!$M:$M,'Theo dõi khách hàng heo thịt'!C150)</f>
        <v>0</v>
      </c>
      <c r="E150" s="19">
        <f>SUMIFS('Heo thịt_Nhập dữ liệu hàng ngày'!$AB:$AB,'Heo thịt_Nhập dữ liệu hàng ngày'!$M:$M,'Theo dõi khách hàng heo thịt'!C150)</f>
        <v>0</v>
      </c>
      <c r="F150" s="19">
        <f>SUMIFS('Heo thịt_Nhập dữ liệu hàng ngày'!$AC:$AC,'Heo thịt_Nhập dữ liệu hàng ngày'!$M:$M,'Theo dõi khách hàng heo thịt'!C150)</f>
        <v>0</v>
      </c>
      <c r="G150" s="20">
        <f>SUMIFS('Heo thịt_Nhập dữ liệu hàng ngày'!$AD:$AD,'Heo thịt_Nhập dữ liệu hàng ngày'!$M:$M,'Theo dõi khách hàng heo thịt'!C150)</f>
        <v>0</v>
      </c>
      <c r="H150" s="21">
        <f t="shared" si="15"/>
        <v>0</v>
      </c>
      <c r="I150" s="59">
        <f t="shared" si="13"/>
        <v>0</v>
      </c>
      <c r="J150" t="str">
        <f t="shared" si="14"/>
        <v>-</v>
      </c>
      <c r="L150" s="242">
        <f t="shared" si="12"/>
        <v>0</v>
      </c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 spans="2:22" hidden="1" x14ac:dyDescent="0.3">
      <c r="B151" s="31">
        <v>147</v>
      </c>
      <c r="C151" s="18">
        <f>IFERROR(Data!C150,"")</f>
        <v>0</v>
      </c>
      <c r="D151" s="19">
        <f>SUMIFS('Heo thịt_Nhập dữ liệu hàng ngày'!$U:$U,'Heo thịt_Nhập dữ liệu hàng ngày'!$M:$M,'Theo dõi khách hàng heo thịt'!C151)</f>
        <v>0</v>
      </c>
      <c r="E151" s="19">
        <f>SUMIFS('Heo thịt_Nhập dữ liệu hàng ngày'!$AB:$AB,'Heo thịt_Nhập dữ liệu hàng ngày'!$M:$M,'Theo dõi khách hàng heo thịt'!C151)</f>
        <v>0</v>
      </c>
      <c r="F151" s="19">
        <f>SUMIFS('Heo thịt_Nhập dữ liệu hàng ngày'!$AC:$AC,'Heo thịt_Nhập dữ liệu hàng ngày'!$M:$M,'Theo dõi khách hàng heo thịt'!C151)</f>
        <v>0</v>
      </c>
      <c r="G151" s="20">
        <f>SUMIFS('Heo thịt_Nhập dữ liệu hàng ngày'!$AD:$AD,'Heo thịt_Nhập dữ liệu hàng ngày'!$M:$M,'Theo dõi khách hàng heo thịt'!C151)</f>
        <v>0</v>
      </c>
      <c r="H151" s="21">
        <f t="shared" si="15"/>
        <v>0</v>
      </c>
      <c r="I151" s="59">
        <f t="shared" si="13"/>
        <v>0</v>
      </c>
      <c r="J151" t="str">
        <f t="shared" si="14"/>
        <v>-</v>
      </c>
      <c r="L151" s="242">
        <f t="shared" si="12"/>
        <v>0</v>
      </c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 spans="2:22" hidden="1" x14ac:dyDescent="0.3">
      <c r="B152" s="32">
        <v>148</v>
      </c>
      <c r="C152" s="18">
        <f>IFERROR(Data!C151,"")</f>
        <v>0</v>
      </c>
      <c r="D152" s="19">
        <f>SUMIFS('Heo thịt_Nhập dữ liệu hàng ngày'!$U:$U,'Heo thịt_Nhập dữ liệu hàng ngày'!$M:$M,'Theo dõi khách hàng heo thịt'!C152)</f>
        <v>0</v>
      </c>
      <c r="E152" s="19">
        <f>SUMIFS('Heo thịt_Nhập dữ liệu hàng ngày'!$AB:$AB,'Heo thịt_Nhập dữ liệu hàng ngày'!$M:$M,'Theo dõi khách hàng heo thịt'!C152)</f>
        <v>0</v>
      </c>
      <c r="F152" s="19">
        <f>SUMIFS('Heo thịt_Nhập dữ liệu hàng ngày'!$AC:$AC,'Heo thịt_Nhập dữ liệu hàng ngày'!$M:$M,'Theo dõi khách hàng heo thịt'!C152)</f>
        <v>0</v>
      </c>
      <c r="G152" s="20">
        <f>SUMIFS('Heo thịt_Nhập dữ liệu hàng ngày'!$AD:$AD,'Heo thịt_Nhập dữ liệu hàng ngày'!$M:$M,'Theo dõi khách hàng heo thịt'!C152)</f>
        <v>0</v>
      </c>
      <c r="H152" s="21">
        <f t="shared" si="15"/>
        <v>0</v>
      </c>
      <c r="I152" s="59">
        <f t="shared" si="13"/>
        <v>0</v>
      </c>
      <c r="J152" t="str">
        <f t="shared" si="14"/>
        <v>-</v>
      </c>
      <c r="L152" s="242">
        <f t="shared" si="12"/>
        <v>0</v>
      </c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 spans="2:22" hidden="1" x14ac:dyDescent="0.3">
      <c r="B153" s="31">
        <v>149</v>
      </c>
      <c r="C153" s="18">
        <f>IFERROR(Data!C152,"")</f>
        <v>0</v>
      </c>
      <c r="D153" s="19">
        <f>SUMIFS('Heo thịt_Nhập dữ liệu hàng ngày'!$U:$U,'Heo thịt_Nhập dữ liệu hàng ngày'!$M:$M,'Theo dõi khách hàng heo thịt'!C153)</f>
        <v>0</v>
      </c>
      <c r="E153" s="19">
        <f>SUMIFS('Heo thịt_Nhập dữ liệu hàng ngày'!$AB:$AB,'Heo thịt_Nhập dữ liệu hàng ngày'!$M:$M,'Theo dõi khách hàng heo thịt'!C153)</f>
        <v>0</v>
      </c>
      <c r="F153" s="19">
        <f>SUMIFS('Heo thịt_Nhập dữ liệu hàng ngày'!$AC:$AC,'Heo thịt_Nhập dữ liệu hàng ngày'!$M:$M,'Theo dõi khách hàng heo thịt'!C153)</f>
        <v>0</v>
      </c>
      <c r="G153" s="20">
        <f>SUMIFS('Heo thịt_Nhập dữ liệu hàng ngày'!$AD:$AD,'Heo thịt_Nhập dữ liệu hàng ngày'!$M:$M,'Theo dõi khách hàng heo thịt'!C153)</f>
        <v>0</v>
      </c>
      <c r="H153" s="21">
        <f t="shared" si="15"/>
        <v>0</v>
      </c>
      <c r="I153" s="59">
        <f t="shared" si="13"/>
        <v>0</v>
      </c>
      <c r="J153" t="str">
        <f t="shared" si="14"/>
        <v>-</v>
      </c>
      <c r="L153" s="242">
        <f t="shared" si="12"/>
        <v>0</v>
      </c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 spans="2:22" hidden="1" x14ac:dyDescent="0.3">
      <c r="B154" s="32">
        <v>150</v>
      </c>
      <c r="C154" s="18">
        <f>IFERROR(Data!C153,"")</f>
        <v>0</v>
      </c>
      <c r="D154" s="19">
        <f>SUMIFS('Heo thịt_Nhập dữ liệu hàng ngày'!$U:$U,'Heo thịt_Nhập dữ liệu hàng ngày'!$M:$M,'Theo dõi khách hàng heo thịt'!C154)</f>
        <v>0</v>
      </c>
      <c r="E154" s="19">
        <f>SUMIFS('Heo thịt_Nhập dữ liệu hàng ngày'!$AB:$AB,'Heo thịt_Nhập dữ liệu hàng ngày'!$M:$M,'Theo dõi khách hàng heo thịt'!C154)</f>
        <v>0</v>
      </c>
      <c r="F154" s="19">
        <f>SUMIFS('Heo thịt_Nhập dữ liệu hàng ngày'!$AC:$AC,'Heo thịt_Nhập dữ liệu hàng ngày'!$M:$M,'Theo dõi khách hàng heo thịt'!C154)</f>
        <v>0</v>
      </c>
      <c r="G154" s="20">
        <f>SUMIFS('Heo thịt_Nhập dữ liệu hàng ngày'!$AD:$AD,'Heo thịt_Nhập dữ liệu hàng ngày'!$M:$M,'Theo dõi khách hàng heo thịt'!C154)</f>
        <v>0</v>
      </c>
      <c r="H154" s="21">
        <f t="shared" si="15"/>
        <v>0</v>
      </c>
      <c r="I154" s="59">
        <f t="shared" si="13"/>
        <v>0</v>
      </c>
      <c r="J154" t="str">
        <f t="shared" si="14"/>
        <v>-</v>
      </c>
      <c r="L154" s="242">
        <f t="shared" si="12"/>
        <v>0</v>
      </c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 spans="2:22" hidden="1" x14ac:dyDescent="0.3">
      <c r="B155" s="31">
        <v>151</v>
      </c>
      <c r="C155" s="18">
        <f>IFERROR(Data!C154,"")</f>
        <v>0</v>
      </c>
      <c r="D155" s="19">
        <f>SUMIFS('Heo thịt_Nhập dữ liệu hàng ngày'!$U:$U,'Heo thịt_Nhập dữ liệu hàng ngày'!$M:$M,'Theo dõi khách hàng heo thịt'!C155)</f>
        <v>0</v>
      </c>
      <c r="E155" s="19">
        <f>SUMIFS('Heo thịt_Nhập dữ liệu hàng ngày'!$AB:$AB,'Heo thịt_Nhập dữ liệu hàng ngày'!$M:$M,'Theo dõi khách hàng heo thịt'!C155)</f>
        <v>0</v>
      </c>
      <c r="F155" s="19">
        <f>SUMIFS('Heo thịt_Nhập dữ liệu hàng ngày'!$AC:$AC,'Heo thịt_Nhập dữ liệu hàng ngày'!$M:$M,'Theo dõi khách hàng heo thịt'!C155)</f>
        <v>0</v>
      </c>
      <c r="G155" s="20">
        <f>SUMIFS('Heo thịt_Nhập dữ liệu hàng ngày'!$AD:$AD,'Heo thịt_Nhập dữ liệu hàng ngày'!$M:$M,'Theo dõi khách hàng heo thịt'!C155)</f>
        <v>0</v>
      </c>
      <c r="H155" s="21">
        <f t="shared" si="15"/>
        <v>0</v>
      </c>
      <c r="I155" s="59">
        <f t="shared" si="13"/>
        <v>0</v>
      </c>
      <c r="J155" t="str">
        <f t="shared" si="14"/>
        <v>-</v>
      </c>
      <c r="L155" s="242">
        <f t="shared" si="12"/>
        <v>0</v>
      </c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 spans="2:22" hidden="1" x14ac:dyDescent="0.3">
      <c r="B156" s="32">
        <v>152</v>
      </c>
      <c r="C156" s="18">
        <f>IFERROR(Data!C155,"")</f>
        <v>0</v>
      </c>
      <c r="D156" s="19">
        <f>SUMIFS('Heo thịt_Nhập dữ liệu hàng ngày'!$U:$U,'Heo thịt_Nhập dữ liệu hàng ngày'!$M:$M,'Theo dõi khách hàng heo thịt'!C156)</f>
        <v>0</v>
      </c>
      <c r="E156" s="19">
        <f>SUMIFS('Heo thịt_Nhập dữ liệu hàng ngày'!$AB:$AB,'Heo thịt_Nhập dữ liệu hàng ngày'!$M:$M,'Theo dõi khách hàng heo thịt'!C156)</f>
        <v>0</v>
      </c>
      <c r="F156" s="19">
        <f>SUMIFS('Heo thịt_Nhập dữ liệu hàng ngày'!$AC:$AC,'Heo thịt_Nhập dữ liệu hàng ngày'!$M:$M,'Theo dõi khách hàng heo thịt'!C156)</f>
        <v>0</v>
      </c>
      <c r="G156" s="20">
        <f>SUMIFS('Heo thịt_Nhập dữ liệu hàng ngày'!$AD:$AD,'Heo thịt_Nhập dữ liệu hàng ngày'!$M:$M,'Theo dõi khách hàng heo thịt'!C156)</f>
        <v>0</v>
      </c>
      <c r="H156" s="21">
        <f t="shared" si="15"/>
        <v>0</v>
      </c>
      <c r="I156" s="59">
        <f t="shared" si="13"/>
        <v>0</v>
      </c>
      <c r="J156" t="str">
        <f t="shared" si="14"/>
        <v>-</v>
      </c>
      <c r="L156" s="242">
        <f t="shared" si="12"/>
        <v>0</v>
      </c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 spans="2:22" hidden="1" x14ac:dyDescent="0.3">
      <c r="B157" s="31">
        <v>153</v>
      </c>
      <c r="C157" s="18">
        <f>IFERROR(Data!C156,"")</f>
        <v>0</v>
      </c>
      <c r="D157" s="19">
        <f>SUMIFS('Heo thịt_Nhập dữ liệu hàng ngày'!$U:$U,'Heo thịt_Nhập dữ liệu hàng ngày'!$M:$M,'Theo dõi khách hàng heo thịt'!C157)</f>
        <v>0</v>
      </c>
      <c r="E157" s="19">
        <f>SUMIFS('Heo thịt_Nhập dữ liệu hàng ngày'!$AB:$AB,'Heo thịt_Nhập dữ liệu hàng ngày'!$M:$M,'Theo dõi khách hàng heo thịt'!C157)</f>
        <v>0</v>
      </c>
      <c r="F157" s="19">
        <f>SUMIFS('Heo thịt_Nhập dữ liệu hàng ngày'!$AC:$AC,'Heo thịt_Nhập dữ liệu hàng ngày'!$M:$M,'Theo dõi khách hàng heo thịt'!C157)</f>
        <v>0</v>
      </c>
      <c r="G157" s="20">
        <f>SUMIFS('Heo thịt_Nhập dữ liệu hàng ngày'!$AD:$AD,'Heo thịt_Nhập dữ liệu hàng ngày'!$M:$M,'Theo dõi khách hàng heo thịt'!C157)</f>
        <v>0</v>
      </c>
      <c r="H157" s="21">
        <f t="shared" si="15"/>
        <v>0</v>
      </c>
      <c r="I157" s="59">
        <f t="shared" si="13"/>
        <v>0</v>
      </c>
      <c r="J157" t="str">
        <f t="shared" si="14"/>
        <v>-</v>
      </c>
      <c r="L157" s="242">
        <f t="shared" si="12"/>
        <v>0</v>
      </c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 spans="2:22" hidden="1" x14ac:dyDescent="0.3">
      <c r="B158" s="32">
        <v>154</v>
      </c>
      <c r="C158" s="18">
        <f>IFERROR(Data!C157,"")</f>
        <v>0</v>
      </c>
      <c r="D158" s="19">
        <f>SUMIFS('Heo thịt_Nhập dữ liệu hàng ngày'!$U:$U,'Heo thịt_Nhập dữ liệu hàng ngày'!$M:$M,'Theo dõi khách hàng heo thịt'!C158)</f>
        <v>0</v>
      </c>
      <c r="E158" s="19">
        <f>SUMIFS('Heo thịt_Nhập dữ liệu hàng ngày'!$AB:$AB,'Heo thịt_Nhập dữ liệu hàng ngày'!$M:$M,'Theo dõi khách hàng heo thịt'!C158)</f>
        <v>0</v>
      </c>
      <c r="F158" s="19">
        <f>SUMIFS('Heo thịt_Nhập dữ liệu hàng ngày'!$AC:$AC,'Heo thịt_Nhập dữ liệu hàng ngày'!$M:$M,'Theo dõi khách hàng heo thịt'!C158)</f>
        <v>0</v>
      </c>
      <c r="G158" s="20">
        <f>SUMIFS('Heo thịt_Nhập dữ liệu hàng ngày'!$AD:$AD,'Heo thịt_Nhập dữ liệu hàng ngày'!$M:$M,'Theo dõi khách hàng heo thịt'!C158)</f>
        <v>0</v>
      </c>
      <c r="H158" s="21">
        <f t="shared" si="15"/>
        <v>0</v>
      </c>
      <c r="I158" s="59">
        <f t="shared" si="13"/>
        <v>0</v>
      </c>
      <c r="J158" t="str">
        <f t="shared" si="14"/>
        <v>-</v>
      </c>
      <c r="L158" s="242">
        <f t="shared" si="12"/>
        <v>0</v>
      </c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 spans="2:22" hidden="1" x14ac:dyDescent="0.3">
      <c r="B159" s="31">
        <v>155</v>
      </c>
      <c r="C159" s="18">
        <f>IFERROR(Data!C158,"")</f>
        <v>0</v>
      </c>
      <c r="D159" s="19">
        <f>SUMIFS('Heo thịt_Nhập dữ liệu hàng ngày'!$U:$U,'Heo thịt_Nhập dữ liệu hàng ngày'!$M:$M,'Theo dõi khách hàng heo thịt'!C159)</f>
        <v>0</v>
      </c>
      <c r="E159" s="19">
        <f>SUMIFS('Heo thịt_Nhập dữ liệu hàng ngày'!$AB:$AB,'Heo thịt_Nhập dữ liệu hàng ngày'!$M:$M,'Theo dõi khách hàng heo thịt'!C159)</f>
        <v>0</v>
      </c>
      <c r="F159" s="19">
        <f>SUMIFS('Heo thịt_Nhập dữ liệu hàng ngày'!$AC:$AC,'Heo thịt_Nhập dữ liệu hàng ngày'!$M:$M,'Theo dõi khách hàng heo thịt'!C159)</f>
        <v>0</v>
      </c>
      <c r="G159" s="20">
        <f>SUMIFS('Heo thịt_Nhập dữ liệu hàng ngày'!$AD:$AD,'Heo thịt_Nhập dữ liệu hàng ngày'!$M:$M,'Theo dõi khách hàng heo thịt'!C159)</f>
        <v>0</v>
      </c>
      <c r="H159" s="21">
        <f t="shared" si="15"/>
        <v>0</v>
      </c>
      <c r="I159" s="59">
        <f t="shared" si="13"/>
        <v>0</v>
      </c>
      <c r="J159" t="str">
        <f t="shared" si="14"/>
        <v>-</v>
      </c>
      <c r="L159" s="242">
        <f t="shared" si="12"/>
        <v>0</v>
      </c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 spans="2:22" hidden="1" x14ac:dyDescent="0.3">
      <c r="B160" s="32">
        <v>156</v>
      </c>
      <c r="C160" s="18">
        <f>IFERROR(Data!C159,"")</f>
        <v>0</v>
      </c>
      <c r="D160" s="19">
        <f>SUMIFS('Heo thịt_Nhập dữ liệu hàng ngày'!$U:$U,'Heo thịt_Nhập dữ liệu hàng ngày'!$M:$M,'Theo dõi khách hàng heo thịt'!C160)</f>
        <v>0</v>
      </c>
      <c r="E160" s="19">
        <f>SUMIFS('Heo thịt_Nhập dữ liệu hàng ngày'!$AB:$AB,'Heo thịt_Nhập dữ liệu hàng ngày'!$M:$M,'Theo dõi khách hàng heo thịt'!C160)</f>
        <v>0</v>
      </c>
      <c r="F160" s="19">
        <f>SUMIFS('Heo thịt_Nhập dữ liệu hàng ngày'!$AC:$AC,'Heo thịt_Nhập dữ liệu hàng ngày'!$M:$M,'Theo dõi khách hàng heo thịt'!C160)</f>
        <v>0</v>
      </c>
      <c r="G160" s="20">
        <f>SUMIFS('Heo thịt_Nhập dữ liệu hàng ngày'!$AD:$AD,'Heo thịt_Nhập dữ liệu hàng ngày'!$M:$M,'Theo dõi khách hàng heo thịt'!C160)</f>
        <v>0</v>
      </c>
      <c r="H160" s="21">
        <f t="shared" si="15"/>
        <v>0</v>
      </c>
      <c r="I160" s="59">
        <f t="shared" si="13"/>
        <v>0</v>
      </c>
      <c r="J160" t="str">
        <f t="shared" si="14"/>
        <v>-</v>
      </c>
      <c r="L160" s="242">
        <f t="shared" si="12"/>
        <v>0</v>
      </c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 spans="2:22" hidden="1" x14ac:dyDescent="0.3">
      <c r="B161" s="31">
        <v>157</v>
      </c>
      <c r="C161" s="18">
        <f>IFERROR(Data!C160,"")</f>
        <v>0</v>
      </c>
      <c r="D161" s="19">
        <f>SUMIFS('Heo thịt_Nhập dữ liệu hàng ngày'!$U:$U,'Heo thịt_Nhập dữ liệu hàng ngày'!$M:$M,'Theo dõi khách hàng heo thịt'!C161)</f>
        <v>0</v>
      </c>
      <c r="E161" s="19">
        <f>SUMIFS('Heo thịt_Nhập dữ liệu hàng ngày'!$AB:$AB,'Heo thịt_Nhập dữ liệu hàng ngày'!$M:$M,'Theo dõi khách hàng heo thịt'!C161)</f>
        <v>0</v>
      </c>
      <c r="F161" s="19">
        <f>SUMIFS('Heo thịt_Nhập dữ liệu hàng ngày'!$AC:$AC,'Heo thịt_Nhập dữ liệu hàng ngày'!$M:$M,'Theo dõi khách hàng heo thịt'!C161)</f>
        <v>0</v>
      </c>
      <c r="G161" s="20">
        <f>SUMIFS('Heo thịt_Nhập dữ liệu hàng ngày'!$AD:$AD,'Heo thịt_Nhập dữ liệu hàng ngày'!$M:$M,'Theo dõi khách hàng heo thịt'!C161)</f>
        <v>0</v>
      </c>
      <c r="H161" s="21">
        <f t="shared" si="15"/>
        <v>0</v>
      </c>
      <c r="I161" s="59">
        <f t="shared" si="13"/>
        <v>0</v>
      </c>
      <c r="J161" t="str">
        <f t="shared" si="14"/>
        <v>-</v>
      </c>
      <c r="L161" s="242">
        <f t="shared" si="12"/>
        <v>0</v>
      </c>
      <c r="M161" s="59"/>
      <c r="N161" s="11"/>
      <c r="O161" s="59"/>
      <c r="P161" s="59"/>
      <c r="Q161" s="59"/>
      <c r="R161" s="59"/>
      <c r="T161" s="59"/>
      <c r="V161" s="59"/>
    </row>
    <row r="162" spans="2:22" hidden="1" x14ac:dyDescent="0.3">
      <c r="B162" s="32">
        <v>158</v>
      </c>
      <c r="C162" s="18">
        <f>IFERROR(Data!C161,"")</f>
        <v>0</v>
      </c>
      <c r="D162" s="19">
        <f>SUMIFS('Heo thịt_Nhập dữ liệu hàng ngày'!$U:$U,'Heo thịt_Nhập dữ liệu hàng ngày'!$M:$M,'Theo dõi khách hàng heo thịt'!C162)</f>
        <v>0</v>
      </c>
      <c r="E162" s="19">
        <f>SUMIFS('Heo thịt_Nhập dữ liệu hàng ngày'!$AB:$AB,'Heo thịt_Nhập dữ liệu hàng ngày'!$M:$M,'Theo dõi khách hàng heo thịt'!C162)</f>
        <v>0</v>
      </c>
      <c r="F162" s="19">
        <f>SUMIFS('Heo thịt_Nhập dữ liệu hàng ngày'!$AC:$AC,'Heo thịt_Nhập dữ liệu hàng ngày'!$M:$M,'Theo dõi khách hàng heo thịt'!C162)</f>
        <v>0</v>
      </c>
      <c r="G162" s="20">
        <f>SUMIFS('Heo thịt_Nhập dữ liệu hàng ngày'!$AD:$AD,'Heo thịt_Nhập dữ liệu hàng ngày'!$M:$M,'Theo dõi khách hàng heo thịt'!C162)</f>
        <v>0</v>
      </c>
      <c r="H162" s="21">
        <f t="shared" si="15"/>
        <v>0</v>
      </c>
      <c r="I162" s="59">
        <f t="shared" si="13"/>
        <v>0</v>
      </c>
      <c r="J162" t="str">
        <f t="shared" si="14"/>
        <v>-</v>
      </c>
      <c r="L162" s="242">
        <f t="shared" si="12"/>
        <v>0</v>
      </c>
      <c r="M162" s="59"/>
      <c r="N162" s="11"/>
      <c r="O162" s="59"/>
      <c r="P162" s="59"/>
      <c r="Q162" s="59"/>
      <c r="R162" s="59"/>
      <c r="T162" s="59"/>
      <c r="V162" s="59"/>
    </row>
    <row r="163" spans="2:22" hidden="1" x14ac:dyDescent="0.3">
      <c r="B163" s="31">
        <v>159</v>
      </c>
      <c r="C163" s="18">
        <f>IFERROR(Data!C162,"")</f>
        <v>0</v>
      </c>
      <c r="D163" s="19">
        <f>SUMIFS('Heo thịt_Nhập dữ liệu hàng ngày'!$U:$U,'Heo thịt_Nhập dữ liệu hàng ngày'!$M:$M,'Theo dõi khách hàng heo thịt'!C163)</f>
        <v>0</v>
      </c>
      <c r="E163" s="19">
        <f>SUMIFS('Heo thịt_Nhập dữ liệu hàng ngày'!$AB:$AB,'Heo thịt_Nhập dữ liệu hàng ngày'!$M:$M,'Theo dõi khách hàng heo thịt'!C163)</f>
        <v>0</v>
      </c>
      <c r="F163" s="19">
        <f>SUMIFS('Heo thịt_Nhập dữ liệu hàng ngày'!$AC:$AC,'Heo thịt_Nhập dữ liệu hàng ngày'!$M:$M,'Theo dõi khách hàng heo thịt'!C163)</f>
        <v>0</v>
      </c>
      <c r="G163" s="20">
        <f>SUMIFS('Heo thịt_Nhập dữ liệu hàng ngày'!$AD:$AD,'Heo thịt_Nhập dữ liệu hàng ngày'!$M:$M,'Theo dõi khách hàng heo thịt'!C163)</f>
        <v>0</v>
      </c>
      <c r="H163" s="21">
        <f t="shared" si="15"/>
        <v>0</v>
      </c>
      <c r="I163" s="59">
        <f t="shared" si="13"/>
        <v>0</v>
      </c>
      <c r="J163" t="str">
        <f t="shared" si="14"/>
        <v>-</v>
      </c>
      <c r="L163" s="242">
        <f t="shared" si="12"/>
        <v>0</v>
      </c>
      <c r="M163" s="59"/>
      <c r="N163" s="11"/>
      <c r="O163" s="59"/>
      <c r="P163" s="59"/>
      <c r="Q163" s="59"/>
      <c r="R163" s="59"/>
      <c r="T163" s="59"/>
      <c r="V163" s="59"/>
    </row>
    <row r="164" spans="2:22" hidden="1" x14ac:dyDescent="0.3">
      <c r="B164" s="32">
        <v>160</v>
      </c>
      <c r="C164" s="18">
        <f>IFERROR(Data!C163,"")</f>
        <v>0</v>
      </c>
      <c r="D164" s="19">
        <f>SUMIFS('Heo thịt_Nhập dữ liệu hàng ngày'!$U:$U,'Heo thịt_Nhập dữ liệu hàng ngày'!$M:$M,'Theo dõi khách hàng heo thịt'!C164)</f>
        <v>0</v>
      </c>
      <c r="E164" s="19">
        <f>SUMIFS('Heo thịt_Nhập dữ liệu hàng ngày'!$AB:$AB,'Heo thịt_Nhập dữ liệu hàng ngày'!$M:$M,'Theo dõi khách hàng heo thịt'!C164)</f>
        <v>0</v>
      </c>
      <c r="F164" s="19">
        <f>SUMIFS('Heo thịt_Nhập dữ liệu hàng ngày'!$AC:$AC,'Heo thịt_Nhập dữ liệu hàng ngày'!$M:$M,'Theo dõi khách hàng heo thịt'!C164)</f>
        <v>0</v>
      </c>
      <c r="G164" s="20">
        <f>SUMIFS('Heo thịt_Nhập dữ liệu hàng ngày'!$AD:$AD,'Heo thịt_Nhập dữ liệu hàng ngày'!$M:$M,'Theo dõi khách hàng heo thịt'!C164)</f>
        <v>0</v>
      </c>
      <c r="H164" s="21">
        <f t="shared" si="15"/>
        <v>0</v>
      </c>
      <c r="I164" s="59">
        <f t="shared" si="13"/>
        <v>0</v>
      </c>
      <c r="J164" t="str">
        <f t="shared" si="14"/>
        <v>-</v>
      </c>
      <c r="L164" s="242">
        <f t="shared" si="12"/>
        <v>0</v>
      </c>
      <c r="M164" s="59"/>
      <c r="N164" s="11"/>
      <c r="O164" s="59"/>
      <c r="P164" s="59"/>
      <c r="Q164" s="59"/>
      <c r="R164" s="59"/>
      <c r="T164" s="59"/>
      <c r="V164" s="59"/>
    </row>
    <row r="165" spans="2:22" hidden="1" x14ac:dyDescent="0.3">
      <c r="B165" s="31">
        <v>161</v>
      </c>
      <c r="C165" s="18">
        <f>IFERROR(Data!C164,"")</f>
        <v>0</v>
      </c>
      <c r="D165" s="19">
        <f>SUMIFS('Heo thịt_Nhập dữ liệu hàng ngày'!$U:$U,'Heo thịt_Nhập dữ liệu hàng ngày'!$M:$M,'Theo dõi khách hàng heo thịt'!C165)</f>
        <v>0</v>
      </c>
      <c r="E165" s="19">
        <f>SUMIFS('Heo thịt_Nhập dữ liệu hàng ngày'!$AB:$AB,'Heo thịt_Nhập dữ liệu hàng ngày'!$M:$M,'Theo dõi khách hàng heo thịt'!C165)</f>
        <v>0</v>
      </c>
      <c r="F165" s="19">
        <f>SUMIFS('Heo thịt_Nhập dữ liệu hàng ngày'!$AC:$AC,'Heo thịt_Nhập dữ liệu hàng ngày'!$M:$M,'Theo dõi khách hàng heo thịt'!C165)</f>
        <v>0</v>
      </c>
      <c r="G165" s="20">
        <f>SUMIFS('Heo thịt_Nhập dữ liệu hàng ngày'!$AD:$AD,'Heo thịt_Nhập dữ liệu hàng ngày'!$M:$M,'Theo dõi khách hàng heo thịt'!C165)</f>
        <v>0</v>
      </c>
      <c r="H165" s="21">
        <f t="shared" si="15"/>
        <v>0</v>
      </c>
      <c r="I165" s="59">
        <f t="shared" si="13"/>
        <v>0</v>
      </c>
      <c r="J165" t="str">
        <f t="shared" si="14"/>
        <v>-</v>
      </c>
      <c r="L165" s="242">
        <f t="shared" si="12"/>
        <v>0</v>
      </c>
      <c r="M165" s="59"/>
      <c r="N165" s="11"/>
      <c r="O165" s="59"/>
      <c r="P165" s="59"/>
      <c r="Q165" s="59"/>
      <c r="R165" s="59"/>
      <c r="T165" s="59"/>
      <c r="V165" s="59"/>
    </row>
    <row r="166" spans="2:22" hidden="1" x14ac:dyDescent="0.3">
      <c r="B166" s="32">
        <v>162</v>
      </c>
      <c r="C166" s="18">
        <f>IFERROR(Data!C165,"")</f>
        <v>0</v>
      </c>
      <c r="D166" s="19">
        <f>SUMIFS('Heo thịt_Nhập dữ liệu hàng ngày'!$U:$U,'Heo thịt_Nhập dữ liệu hàng ngày'!$M:$M,'Theo dõi khách hàng heo thịt'!C166)</f>
        <v>0</v>
      </c>
      <c r="E166" s="19">
        <f>SUMIFS('Heo thịt_Nhập dữ liệu hàng ngày'!$AB:$AB,'Heo thịt_Nhập dữ liệu hàng ngày'!$M:$M,'Theo dõi khách hàng heo thịt'!C166)</f>
        <v>0</v>
      </c>
      <c r="F166" s="19">
        <f>SUMIFS('Heo thịt_Nhập dữ liệu hàng ngày'!$AC:$AC,'Heo thịt_Nhập dữ liệu hàng ngày'!$M:$M,'Theo dõi khách hàng heo thịt'!C166)</f>
        <v>0</v>
      </c>
      <c r="G166" s="20">
        <f>SUMIFS('Heo thịt_Nhập dữ liệu hàng ngày'!$AD:$AD,'Heo thịt_Nhập dữ liệu hàng ngày'!$M:$M,'Theo dõi khách hàng heo thịt'!C166)</f>
        <v>0</v>
      </c>
      <c r="H166" s="21">
        <f t="shared" si="15"/>
        <v>0</v>
      </c>
      <c r="I166" s="59">
        <f t="shared" si="13"/>
        <v>0</v>
      </c>
      <c r="J166" t="str">
        <f t="shared" si="14"/>
        <v>-</v>
      </c>
      <c r="L166" s="242">
        <f t="shared" si="12"/>
        <v>0</v>
      </c>
      <c r="M166" s="59"/>
      <c r="N166" s="11"/>
      <c r="O166" s="59"/>
      <c r="P166" s="59"/>
      <c r="Q166" s="59"/>
      <c r="R166" s="59"/>
      <c r="T166" s="59"/>
      <c r="V166" s="59"/>
    </row>
    <row r="167" spans="2:22" hidden="1" x14ac:dyDescent="0.3">
      <c r="B167" s="31">
        <v>163</v>
      </c>
      <c r="C167" s="18">
        <f>IFERROR(Data!C166,"")</f>
        <v>0</v>
      </c>
      <c r="D167" s="19">
        <f>SUMIFS('Heo thịt_Nhập dữ liệu hàng ngày'!$U:$U,'Heo thịt_Nhập dữ liệu hàng ngày'!$M:$M,'Theo dõi khách hàng heo thịt'!C167)</f>
        <v>0</v>
      </c>
      <c r="E167" s="19">
        <f>SUMIFS('Heo thịt_Nhập dữ liệu hàng ngày'!$AB:$AB,'Heo thịt_Nhập dữ liệu hàng ngày'!$M:$M,'Theo dõi khách hàng heo thịt'!C167)</f>
        <v>0</v>
      </c>
      <c r="F167" s="19">
        <f>SUMIFS('Heo thịt_Nhập dữ liệu hàng ngày'!$AC:$AC,'Heo thịt_Nhập dữ liệu hàng ngày'!$M:$M,'Theo dõi khách hàng heo thịt'!C167)</f>
        <v>0</v>
      </c>
      <c r="G167" s="20">
        <f>SUMIFS('Heo thịt_Nhập dữ liệu hàng ngày'!$AD:$AD,'Heo thịt_Nhập dữ liệu hàng ngày'!$M:$M,'Theo dõi khách hàng heo thịt'!C167)</f>
        <v>0</v>
      </c>
      <c r="H167" s="21">
        <f t="shared" si="15"/>
        <v>0</v>
      </c>
      <c r="I167" s="59">
        <f t="shared" si="13"/>
        <v>0</v>
      </c>
      <c r="J167" t="str">
        <f t="shared" si="14"/>
        <v>-</v>
      </c>
      <c r="L167" s="242">
        <f t="shared" si="12"/>
        <v>0</v>
      </c>
      <c r="M167" s="59"/>
      <c r="N167" s="11"/>
      <c r="O167" s="59"/>
      <c r="P167" s="59"/>
      <c r="Q167" s="59"/>
      <c r="R167" s="59"/>
      <c r="T167" s="59"/>
      <c r="V167" s="59"/>
    </row>
    <row r="168" spans="2:22" hidden="1" x14ac:dyDescent="0.3">
      <c r="B168" s="32">
        <v>164</v>
      </c>
      <c r="C168" s="18">
        <f>IFERROR(Data!C167,"")</f>
        <v>0</v>
      </c>
      <c r="D168" s="19">
        <f>SUMIFS('Heo thịt_Nhập dữ liệu hàng ngày'!$U:$U,'Heo thịt_Nhập dữ liệu hàng ngày'!$M:$M,'Theo dõi khách hàng heo thịt'!C168)</f>
        <v>0</v>
      </c>
      <c r="E168" s="19">
        <f>SUMIFS('Heo thịt_Nhập dữ liệu hàng ngày'!$AB:$AB,'Heo thịt_Nhập dữ liệu hàng ngày'!$M:$M,'Theo dõi khách hàng heo thịt'!C168)</f>
        <v>0</v>
      </c>
      <c r="F168" s="19">
        <f>SUMIFS('Heo thịt_Nhập dữ liệu hàng ngày'!$AC:$AC,'Heo thịt_Nhập dữ liệu hàng ngày'!$M:$M,'Theo dõi khách hàng heo thịt'!C168)</f>
        <v>0</v>
      </c>
      <c r="G168" s="20">
        <f>SUMIFS('Heo thịt_Nhập dữ liệu hàng ngày'!$AD:$AD,'Heo thịt_Nhập dữ liệu hàng ngày'!$M:$M,'Theo dõi khách hàng heo thịt'!C168)</f>
        <v>0</v>
      </c>
      <c r="H168" s="21">
        <f t="shared" si="15"/>
        <v>0</v>
      </c>
      <c r="I168" s="59">
        <f t="shared" si="13"/>
        <v>0</v>
      </c>
      <c r="J168" t="str">
        <f t="shared" si="14"/>
        <v>-</v>
      </c>
      <c r="L168" s="242">
        <f t="shared" si="12"/>
        <v>0</v>
      </c>
      <c r="M168" s="59"/>
      <c r="N168" s="11"/>
      <c r="O168" s="59"/>
      <c r="P168" s="59"/>
      <c r="Q168" s="59"/>
      <c r="R168" s="59"/>
      <c r="T168" s="59"/>
      <c r="V168" s="59"/>
    </row>
    <row r="169" spans="2:22" hidden="1" x14ac:dyDescent="0.3">
      <c r="B169" s="31">
        <v>165</v>
      </c>
      <c r="C169" s="18">
        <f>IFERROR(Data!C168,"")</f>
        <v>0</v>
      </c>
      <c r="D169" s="19">
        <f>SUMIFS('Heo thịt_Nhập dữ liệu hàng ngày'!$U:$U,'Heo thịt_Nhập dữ liệu hàng ngày'!$M:$M,'Theo dõi khách hàng heo thịt'!C169)</f>
        <v>0</v>
      </c>
      <c r="E169" s="19">
        <f>SUMIFS('Heo thịt_Nhập dữ liệu hàng ngày'!$AB:$AB,'Heo thịt_Nhập dữ liệu hàng ngày'!$M:$M,'Theo dõi khách hàng heo thịt'!C169)</f>
        <v>0</v>
      </c>
      <c r="F169" s="19">
        <f>SUMIFS('Heo thịt_Nhập dữ liệu hàng ngày'!$AC:$AC,'Heo thịt_Nhập dữ liệu hàng ngày'!$M:$M,'Theo dõi khách hàng heo thịt'!C169)</f>
        <v>0</v>
      </c>
      <c r="G169" s="20">
        <f>SUMIFS('Heo thịt_Nhập dữ liệu hàng ngày'!$AD:$AD,'Heo thịt_Nhập dữ liệu hàng ngày'!$M:$M,'Theo dõi khách hàng heo thịt'!C169)</f>
        <v>0</v>
      </c>
      <c r="H169" s="21">
        <f t="shared" si="15"/>
        <v>0</v>
      </c>
      <c r="I169" s="59">
        <f t="shared" si="13"/>
        <v>0</v>
      </c>
      <c r="J169" t="str">
        <f t="shared" si="14"/>
        <v>-</v>
      </c>
      <c r="L169" s="242">
        <f t="shared" si="12"/>
        <v>0</v>
      </c>
      <c r="M169" s="59"/>
      <c r="N169" s="11"/>
      <c r="O169" s="59"/>
      <c r="P169" s="59"/>
      <c r="Q169" s="59"/>
      <c r="R169" s="59"/>
      <c r="T169" s="59"/>
      <c r="V169" s="59"/>
    </row>
    <row r="170" spans="2:22" hidden="1" x14ac:dyDescent="0.3">
      <c r="B170" s="32">
        <v>166</v>
      </c>
      <c r="C170" s="18">
        <f>IFERROR(Data!C169,"")</f>
        <v>0</v>
      </c>
      <c r="D170" s="19">
        <f>SUMIFS('Heo thịt_Nhập dữ liệu hàng ngày'!$U:$U,'Heo thịt_Nhập dữ liệu hàng ngày'!$M:$M,'Theo dõi khách hàng heo thịt'!C170)</f>
        <v>0</v>
      </c>
      <c r="E170" s="19">
        <f>SUMIFS('Heo thịt_Nhập dữ liệu hàng ngày'!$AB:$AB,'Heo thịt_Nhập dữ liệu hàng ngày'!$M:$M,'Theo dõi khách hàng heo thịt'!C170)</f>
        <v>0</v>
      </c>
      <c r="F170" s="19">
        <f>SUMIFS('Heo thịt_Nhập dữ liệu hàng ngày'!$AC:$AC,'Heo thịt_Nhập dữ liệu hàng ngày'!$M:$M,'Theo dõi khách hàng heo thịt'!C170)</f>
        <v>0</v>
      </c>
      <c r="G170" s="20">
        <f>SUMIFS('Heo thịt_Nhập dữ liệu hàng ngày'!$AD:$AD,'Heo thịt_Nhập dữ liệu hàng ngày'!$M:$M,'Theo dõi khách hàng heo thịt'!C170)</f>
        <v>0</v>
      </c>
      <c r="H170" s="21">
        <f t="shared" si="15"/>
        <v>0</v>
      </c>
      <c r="I170" s="59">
        <f t="shared" si="13"/>
        <v>0</v>
      </c>
      <c r="J170" t="str">
        <f t="shared" si="14"/>
        <v>-</v>
      </c>
      <c r="L170" s="242">
        <f t="shared" si="12"/>
        <v>0</v>
      </c>
      <c r="M170" s="59"/>
      <c r="N170" s="11"/>
      <c r="O170" s="59"/>
      <c r="P170" s="59"/>
      <c r="Q170" s="59"/>
      <c r="R170" s="59"/>
      <c r="T170" s="59"/>
      <c r="V170" s="59"/>
    </row>
    <row r="171" spans="2:22" hidden="1" x14ac:dyDescent="0.3">
      <c r="B171" s="31">
        <v>167</v>
      </c>
      <c r="C171" s="18">
        <f>IFERROR(Data!C170,"")</f>
        <v>0</v>
      </c>
      <c r="D171" s="19">
        <f>SUMIFS('Heo thịt_Nhập dữ liệu hàng ngày'!$U:$U,'Heo thịt_Nhập dữ liệu hàng ngày'!$M:$M,'Theo dõi khách hàng heo thịt'!C171)</f>
        <v>0</v>
      </c>
      <c r="E171" s="19">
        <f>SUMIFS('Heo thịt_Nhập dữ liệu hàng ngày'!$AB:$AB,'Heo thịt_Nhập dữ liệu hàng ngày'!$M:$M,'Theo dõi khách hàng heo thịt'!C171)</f>
        <v>0</v>
      </c>
      <c r="F171" s="19">
        <f>SUMIFS('Heo thịt_Nhập dữ liệu hàng ngày'!$AC:$AC,'Heo thịt_Nhập dữ liệu hàng ngày'!$M:$M,'Theo dõi khách hàng heo thịt'!C171)</f>
        <v>0</v>
      </c>
      <c r="G171" s="20">
        <f>SUMIFS('Heo thịt_Nhập dữ liệu hàng ngày'!$AD:$AD,'Heo thịt_Nhập dữ liệu hàng ngày'!$M:$M,'Theo dõi khách hàng heo thịt'!C171)</f>
        <v>0</v>
      </c>
      <c r="H171" s="21">
        <f t="shared" si="15"/>
        <v>0</v>
      </c>
      <c r="I171" s="59">
        <f t="shared" si="13"/>
        <v>0</v>
      </c>
      <c r="J171" t="str">
        <f t="shared" si="14"/>
        <v>-</v>
      </c>
      <c r="L171" s="242">
        <f t="shared" si="12"/>
        <v>0</v>
      </c>
      <c r="M171" s="59"/>
      <c r="N171" s="11"/>
      <c r="O171" s="59"/>
      <c r="P171" s="59"/>
      <c r="Q171" s="59"/>
      <c r="R171" s="59"/>
      <c r="T171" s="59"/>
      <c r="V171" s="59"/>
    </row>
    <row r="172" spans="2:22" hidden="1" x14ac:dyDescent="0.3">
      <c r="B172" s="32">
        <v>168</v>
      </c>
      <c r="C172" s="18">
        <f>IFERROR(Data!C171,"")</f>
        <v>0</v>
      </c>
      <c r="D172" s="19">
        <f>SUMIFS('Heo thịt_Nhập dữ liệu hàng ngày'!$U:$U,'Heo thịt_Nhập dữ liệu hàng ngày'!$M:$M,'Theo dõi khách hàng heo thịt'!C172)</f>
        <v>0</v>
      </c>
      <c r="E172" s="19">
        <f>SUMIFS('Heo thịt_Nhập dữ liệu hàng ngày'!$AB:$AB,'Heo thịt_Nhập dữ liệu hàng ngày'!$M:$M,'Theo dõi khách hàng heo thịt'!C172)</f>
        <v>0</v>
      </c>
      <c r="F172" s="19">
        <f>SUMIFS('Heo thịt_Nhập dữ liệu hàng ngày'!$AC:$AC,'Heo thịt_Nhập dữ liệu hàng ngày'!$M:$M,'Theo dõi khách hàng heo thịt'!C172)</f>
        <v>0</v>
      </c>
      <c r="G172" s="20">
        <f>SUMIFS('Heo thịt_Nhập dữ liệu hàng ngày'!$AD:$AD,'Heo thịt_Nhập dữ liệu hàng ngày'!$M:$M,'Theo dõi khách hàng heo thịt'!C172)</f>
        <v>0</v>
      </c>
      <c r="H172" s="21">
        <f t="shared" si="15"/>
        <v>0</v>
      </c>
      <c r="I172" s="59">
        <f t="shared" si="13"/>
        <v>0</v>
      </c>
      <c r="J172" t="str">
        <f t="shared" si="14"/>
        <v>-</v>
      </c>
      <c r="L172" s="242">
        <f t="shared" si="12"/>
        <v>0</v>
      </c>
      <c r="M172" s="59"/>
      <c r="N172" s="11"/>
      <c r="O172" s="59"/>
      <c r="P172" s="59"/>
      <c r="Q172" s="59"/>
      <c r="R172" s="59"/>
      <c r="T172" s="59"/>
      <c r="V172" s="59"/>
    </row>
    <row r="173" spans="2:22" hidden="1" x14ac:dyDescent="0.3">
      <c r="B173" s="31">
        <v>169</v>
      </c>
      <c r="C173" s="18">
        <f>IFERROR(Data!C172,"")</f>
        <v>0</v>
      </c>
      <c r="D173" s="19">
        <f>SUMIFS('Heo thịt_Nhập dữ liệu hàng ngày'!$U:$U,'Heo thịt_Nhập dữ liệu hàng ngày'!$M:$M,'Theo dõi khách hàng heo thịt'!C173)</f>
        <v>0</v>
      </c>
      <c r="E173" s="19">
        <f>SUMIFS('Heo thịt_Nhập dữ liệu hàng ngày'!$AB:$AB,'Heo thịt_Nhập dữ liệu hàng ngày'!$M:$M,'Theo dõi khách hàng heo thịt'!C173)</f>
        <v>0</v>
      </c>
      <c r="F173" s="19">
        <f>SUMIFS('Heo thịt_Nhập dữ liệu hàng ngày'!$AC:$AC,'Heo thịt_Nhập dữ liệu hàng ngày'!$M:$M,'Theo dõi khách hàng heo thịt'!C173)</f>
        <v>0</v>
      </c>
      <c r="G173" s="20">
        <f>SUMIFS('Heo thịt_Nhập dữ liệu hàng ngày'!$AD:$AD,'Heo thịt_Nhập dữ liệu hàng ngày'!$M:$M,'Theo dõi khách hàng heo thịt'!C173)</f>
        <v>0</v>
      </c>
      <c r="H173" s="21">
        <f t="shared" si="15"/>
        <v>0</v>
      </c>
      <c r="I173" s="59">
        <f t="shared" si="13"/>
        <v>0</v>
      </c>
      <c r="J173" t="str">
        <f t="shared" si="14"/>
        <v>-</v>
      </c>
      <c r="L173" s="242">
        <f t="shared" si="12"/>
        <v>0</v>
      </c>
      <c r="M173" s="59"/>
      <c r="N173" s="11"/>
      <c r="O173" s="59"/>
      <c r="P173" s="59"/>
      <c r="Q173" s="59"/>
      <c r="R173" s="59"/>
      <c r="T173" s="59"/>
      <c r="V173" s="59"/>
    </row>
    <row r="174" spans="2:22" hidden="1" x14ac:dyDescent="0.3">
      <c r="B174" s="32">
        <v>170</v>
      </c>
      <c r="C174" s="18">
        <f>IFERROR(Data!C173,"")</f>
        <v>0</v>
      </c>
      <c r="D174" s="19">
        <f>SUMIFS('Heo thịt_Nhập dữ liệu hàng ngày'!$U:$U,'Heo thịt_Nhập dữ liệu hàng ngày'!$M:$M,'Theo dõi khách hàng heo thịt'!C174)</f>
        <v>0</v>
      </c>
      <c r="E174" s="19">
        <f>SUMIFS('Heo thịt_Nhập dữ liệu hàng ngày'!$AB:$AB,'Heo thịt_Nhập dữ liệu hàng ngày'!$M:$M,'Theo dõi khách hàng heo thịt'!C174)</f>
        <v>0</v>
      </c>
      <c r="F174" s="19">
        <f>SUMIFS('Heo thịt_Nhập dữ liệu hàng ngày'!$AC:$AC,'Heo thịt_Nhập dữ liệu hàng ngày'!$M:$M,'Theo dõi khách hàng heo thịt'!C174)</f>
        <v>0</v>
      </c>
      <c r="G174" s="20">
        <f>SUMIFS('Heo thịt_Nhập dữ liệu hàng ngày'!$AD:$AD,'Heo thịt_Nhập dữ liệu hàng ngày'!$M:$M,'Theo dõi khách hàng heo thịt'!C174)</f>
        <v>0</v>
      </c>
      <c r="H174" s="21">
        <f t="shared" si="15"/>
        <v>0</v>
      </c>
      <c r="I174" s="59">
        <f t="shared" si="13"/>
        <v>0</v>
      </c>
      <c r="J174" t="str">
        <f t="shared" si="14"/>
        <v>-</v>
      </c>
      <c r="L174" s="242">
        <f t="shared" si="12"/>
        <v>0</v>
      </c>
      <c r="M174" s="59"/>
      <c r="N174" s="11"/>
      <c r="O174" s="59"/>
      <c r="P174" s="59"/>
      <c r="Q174" s="59"/>
      <c r="R174" s="59"/>
      <c r="T174" s="59"/>
      <c r="V174" s="59"/>
    </row>
    <row r="175" spans="2:22" hidden="1" x14ac:dyDescent="0.3">
      <c r="L175" s="242">
        <f t="shared" si="12"/>
        <v>0</v>
      </c>
      <c r="M175" s="60"/>
      <c r="N175" s="11"/>
      <c r="O175" s="60"/>
      <c r="P175" s="57"/>
      <c r="Q175" s="58"/>
      <c r="R175" s="58"/>
      <c r="S175" s="58"/>
      <c r="T175" s="58"/>
    </row>
    <row r="176" spans="2:22" hidden="1" x14ac:dyDescent="0.3">
      <c r="L176" s="242">
        <f t="shared" si="12"/>
        <v>0</v>
      </c>
      <c r="M176" s="60"/>
      <c r="N176" s="11"/>
      <c r="O176" s="60"/>
      <c r="P176" s="57"/>
      <c r="Q176" s="58"/>
      <c r="R176" s="58"/>
      <c r="S176" s="58"/>
      <c r="T176" s="58"/>
    </row>
    <row r="177" spans="12:20" x14ac:dyDescent="0.3">
      <c r="M177" s="60"/>
      <c r="N177" s="11"/>
      <c r="O177" s="60"/>
      <c r="P177" s="57"/>
      <c r="Q177" s="58"/>
      <c r="R177" s="58"/>
      <c r="S177" s="58"/>
      <c r="T177" s="58"/>
    </row>
    <row r="178" spans="12:20" x14ac:dyDescent="0.3">
      <c r="L178" s="259"/>
      <c r="M178" s="60"/>
      <c r="N178" s="11"/>
      <c r="O178" s="60"/>
      <c r="P178" s="57"/>
      <c r="Q178" s="58"/>
      <c r="R178" s="58"/>
      <c r="S178" s="58"/>
      <c r="T178" s="58"/>
    </row>
    <row r="179" spans="12:20" x14ac:dyDescent="0.3">
      <c r="L179" s="259"/>
      <c r="M179" s="60"/>
      <c r="N179" s="11"/>
      <c r="O179" s="60"/>
      <c r="P179" s="57"/>
      <c r="Q179" s="58"/>
      <c r="R179" s="58"/>
      <c r="S179" s="58"/>
      <c r="T179" s="58"/>
    </row>
    <row r="180" spans="12:20" x14ac:dyDescent="0.3">
      <c r="L180" s="259"/>
      <c r="M180" s="60"/>
      <c r="N180" s="11"/>
      <c r="O180" s="60"/>
      <c r="P180" s="57"/>
      <c r="Q180" s="58"/>
      <c r="R180" s="58"/>
      <c r="S180" s="58"/>
      <c r="T180" s="58"/>
    </row>
    <row r="181" spans="12:20" x14ac:dyDescent="0.3">
      <c r="M181" s="60"/>
      <c r="N181" s="11"/>
      <c r="O181" s="60"/>
      <c r="P181" s="57"/>
      <c r="Q181" s="58"/>
      <c r="R181" s="58"/>
      <c r="S181" s="58"/>
      <c r="T181" s="58"/>
    </row>
    <row r="182" spans="12:20" x14ac:dyDescent="0.3">
      <c r="M182" s="60"/>
      <c r="N182" s="11"/>
      <c r="O182" s="60"/>
      <c r="P182" s="57"/>
      <c r="Q182" s="58"/>
      <c r="R182" s="58"/>
      <c r="S182" s="58"/>
      <c r="T182" s="58"/>
    </row>
    <row r="183" spans="12:20" x14ac:dyDescent="0.3">
      <c r="M183" s="60"/>
      <c r="N183" s="11"/>
      <c r="O183" s="60"/>
      <c r="P183" s="57"/>
      <c r="Q183" s="58"/>
      <c r="R183" s="58"/>
      <c r="S183" s="58"/>
      <c r="T183" s="58"/>
    </row>
    <row r="184" spans="12:20" x14ac:dyDescent="0.3">
      <c r="M184" s="60"/>
      <c r="N184" s="11"/>
      <c r="O184" s="60"/>
      <c r="P184" s="57"/>
      <c r="Q184" s="58"/>
      <c r="R184" s="58"/>
      <c r="S184" s="58"/>
      <c r="T184" s="58"/>
    </row>
    <row r="185" spans="12:20" x14ac:dyDescent="0.3">
      <c r="M185" s="60"/>
      <c r="N185" s="11"/>
      <c r="O185" s="60"/>
      <c r="P185" s="57"/>
      <c r="Q185" s="58"/>
      <c r="R185" s="58"/>
      <c r="S185" s="58"/>
      <c r="T185" s="58"/>
    </row>
    <row r="186" spans="12:20" x14ac:dyDescent="0.3">
      <c r="M186" s="60"/>
      <c r="N186" s="11"/>
      <c r="O186" s="60"/>
      <c r="P186" s="57"/>
      <c r="Q186" s="58"/>
      <c r="R186" s="58"/>
      <c r="S186" s="58"/>
      <c r="T186" s="58"/>
    </row>
    <row r="187" spans="12:20" x14ac:dyDescent="0.3">
      <c r="M187" s="60"/>
      <c r="N187" s="11"/>
      <c r="O187" s="60"/>
      <c r="P187" s="57"/>
      <c r="Q187" s="58"/>
      <c r="R187" s="58"/>
      <c r="S187" s="58"/>
      <c r="T187" s="58"/>
    </row>
    <row r="188" spans="12:20" x14ac:dyDescent="0.3">
      <c r="M188" s="60"/>
      <c r="N188" s="11"/>
      <c r="O188" s="60"/>
      <c r="P188" s="57"/>
      <c r="Q188" s="58"/>
      <c r="R188" s="58"/>
      <c r="S188" s="58"/>
      <c r="T188" s="58"/>
    </row>
    <row r="189" spans="12:20" x14ac:dyDescent="0.3">
      <c r="M189" s="60"/>
      <c r="N189" s="11"/>
      <c r="O189" s="60"/>
      <c r="P189" s="57"/>
      <c r="Q189" s="58"/>
      <c r="R189" s="58"/>
      <c r="S189" s="58"/>
      <c r="T189" s="58"/>
    </row>
    <row r="190" spans="12:20" x14ac:dyDescent="0.3">
      <c r="M190" s="60"/>
      <c r="N190" s="11"/>
      <c r="O190" s="60"/>
      <c r="P190" s="57"/>
      <c r="Q190" s="58"/>
      <c r="R190" s="58"/>
      <c r="S190" s="58"/>
      <c r="T190" s="58"/>
    </row>
    <row r="191" spans="12:20" x14ac:dyDescent="0.3">
      <c r="M191" s="60"/>
      <c r="N191" s="11"/>
      <c r="O191" s="60"/>
      <c r="P191" s="57"/>
      <c r="Q191" s="58"/>
      <c r="R191" s="58"/>
      <c r="S191" s="58"/>
      <c r="T191" s="58"/>
    </row>
    <row r="192" spans="12:20" x14ac:dyDescent="0.3">
      <c r="M192" s="60"/>
      <c r="N192" s="11"/>
      <c r="O192" s="60"/>
      <c r="P192" s="57"/>
      <c r="Q192" s="58"/>
      <c r="R192" s="58"/>
      <c r="S192" s="58"/>
      <c r="T192" s="58"/>
    </row>
    <row r="193" spans="13:20" x14ac:dyDescent="0.3">
      <c r="M193" s="60"/>
      <c r="N193" s="11"/>
      <c r="O193" s="60"/>
      <c r="P193" s="57"/>
      <c r="Q193" s="58"/>
      <c r="R193" s="58"/>
      <c r="S193" s="58"/>
      <c r="T193" s="58"/>
    </row>
    <row r="194" spans="13:20" x14ac:dyDescent="0.3">
      <c r="M194" s="60"/>
      <c r="N194" s="11"/>
      <c r="O194" s="60"/>
      <c r="P194" s="57"/>
      <c r="Q194" s="58"/>
      <c r="R194" s="58"/>
      <c r="S194" s="58"/>
      <c r="T194" s="58"/>
    </row>
    <row r="195" spans="13:20" x14ac:dyDescent="0.3">
      <c r="M195" s="60"/>
      <c r="N195" s="11"/>
      <c r="O195" s="60"/>
      <c r="P195" s="57"/>
      <c r="Q195" s="58"/>
      <c r="R195" s="58"/>
      <c r="S195" s="58"/>
      <c r="T195" s="58"/>
    </row>
    <row r="196" spans="13:20" x14ac:dyDescent="0.3">
      <c r="M196" s="60"/>
      <c r="N196" s="11"/>
      <c r="O196" s="60"/>
      <c r="P196" s="57"/>
      <c r="Q196" s="58"/>
      <c r="R196" s="58"/>
      <c r="S196" s="58"/>
      <c r="T196" s="58"/>
    </row>
    <row r="197" spans="13:20" x14ac:dyDescent="0.3">
      <c r="M197" s="60"/>
      <c r="N197" s="11"/>
      <c r="O197" s="60"/>
      <c r="P197" s="57"/>
      <c r="Q197" s="58"/>
      <c r="R197" s="58"/>
      <c r="S197" s="58"/>
      <c r="T197" s="58"/>
    </row>
    <row r="198" spans="13:20" x14ac:dyDescent="0.3">
      <c r="M198" s="60"/>
      <c r="N198" s="11"/>
      <c r="O198" s="60"/>
      <c r="P198" s="57"/>
      <c r="Q198" s="58"/>
      <c r="R198" s="58"/>
      <c r="S198" s="58"/>
      <c r="T198" s="58"/>
    </row>
    <row r="199" spans="13:20" x14ac:dyDescent="0.3">
      <c r="M199" s="60"/>
      <c r="N199" s="11"/>
      <c r="O199" s="60"/>
      <c r="P199" s="57"/>
      <c r="Q199" s="58"/>
      <c r="R199" s="58"/>
      <c r="S199" s="58"/>
      <c r="T199" s="58"/>
    </row>
    <row r="200" spans="13:20" x14ac:dyDescent="0.3">
      <c r="M200" s="60"/>
      <c r="N200" s="11"/>
      <c r="O200" s="60"/>
      <c r="P200" s="57"/>
      <c r="Q200" s="58"/>
      <c r="R200" s="58"/>
      <c r="S200" s="58"/>
      <c r="T200" s="58"/>
    </row>
    <row r="201" spans="13:20" x14ac:dyDescent="0.3">
      <c r="M201" s="60"/>
      <c r="N201" s="11"/>
      <c r="O201" s="60"/>
      <c r="P201" s="57"/>
      <c r="Q201" s="58"/>
      <c r="R201" s="58"/>
      <c r="S201" s="58"/>
      <c r="T201" s="58"/>
    </row>
    <row r="202" spans="13:20" x14ac:dyDescent="0.3">
      <c r="M202" s="60"/>
      <c r="N202" s="11"/>
      <c r="O202" s="60"/>
      <c r="P202" s="57"/>
      <c r="Q202" s="58"/>
      <c r="R202" s="58"/>
      <c r="S202" s="58"/>
      <c r="T202" s="58"/>
    </row>
    <row r="203" spans="13:20" x14ac:dyDescent="0.3">
      <c r="M203" s="60"/>
      <c r="N203" s="11"/>
      <c r="O203" s="60"/>
      <c r="P203" s="57"/>
      <c r="Q203" s="58"/>
      <c r="R203" s="58"/>
      <c r="S203" s="58"/>
      <c r="T203" s="58"/>
    </row>
    <row r="204" spans="13:20" x14ac:dyDescent="0.3">
      <c r="M204" s="60"/>
      <c r="N204" s="11"/>
      <c r="O204" s="60"/>
      <c r="P204" s="57"/>
      <c r="Q204" s="58"/>
      <c r="R204" s="58"/>
      <c r="S204" s="58"/>
      <c r="T204" s="58"/>
    </row>
    <row r="205" spans="13:20" x14ac:dyDescent="0.3">
      <c r="M205" s="60"/>
      <c r="N205" s="11"/>
      <c r="O205" s="60"/>
      <c r="P205" s="57"/>
      <c r="Q205" s="58"/>
      <c r="R205" s="58"/>
      <c r="S205" s="58"/>
      <c r="T205" s="58"/>
    </row>
    <row r="206" spans="13:20" x14ac:dyDescent="0.3">
      <c r="M206" s="60"/>
      <c r="N206" s="11"/>
      <c r="O206" s="60"/>
      <c r="P206" s="57"/>
      <c r="Q206" s="58"/>
      <c r="R206" s="58"/>
      <c r="S206" s="58"/>
      <c r="T206" s="58"/>
    </row>
    <row r="207" spans="13:20" x14ac:dyDescent="0.3">
      <c r="M207" s="60"/>
      <c r="N207" s="11"/>
      <c r="O207" s="60"/>
      <c r="P207" s="57"/>
      <c r="Q207" s="58"/>
      <c r="R207" s="58"/>
      <c r="S207" s="58"/>
      <c r="T207" s="58"/>
    </row>
    <row r="208" spans="13:20" x14ac:dyDescent="0.3">
      <c r="M208" s="60"/>
      <c r="N208" s="11"/>
      <c r="O208" s="60"/>
      <c r="P208" s="57"/>
      <c r="Q208" s="58"/>
      <c r="R208" s="58"/>
      <c r="S208" s="58"/>
      <c r="T208" s="58"/>
    </row>
    <row r="209" spans="13:20" x14ac:dyDescent="0.3">
      <c r="M209" s="60"/>
      <c r="N209" s="11"/>
      <c r="O209" s="60"/>
      <c r="P209" s="57"/>
      <c r="Q209" s="58"/>
      <c r="R209" s="58"/>
      <c r="S209" s="58"/>
      <c r="T209" s="58"/>
    </row>
    <row r="210" spans="13:20" x14ac:dyDescent="0.3">
      <c r="M210" s="60"/>
      <c r="N210" s="11"/>
      <c r="O210" s="60"/>
      <c r="P210" s="57"/>
      <c r="Q210" s="58"/>
      <c r="R210" s="58"/>
      <c r="S210" s="58"/>
      <c r="T210" s="58"/>
    </row>
    <row r="211" spans="13:20" x14ac:dyDescent="0.3">
      <c r="M211" s="60"/>
      <c r="N211" s="11"/>
      <c r="O211" s="60"/>
      <c r="P211" s="57"/>
      <c r="Q211" s="58"/>
      <c r="R211" s="58"/>
      <c r="S211" s="58"/>
      <c r="T211" s="58"/>
    </row>
    <row r="212" spans="13:20" x14ac:dyDescent="0.3">
      <c r="M212" s="60"/>
      <c r="N212" s="11"/>
      <c r="O212" s="60"/>
      <c r="P212" s="57"/>
      <c r="Q212" s="58"/>
      <c r="R212" s="58"/>
      <c r="S212" s="58"/>
      <c r="T212" s="58"/>
    </row>
    <row r="213" spans="13:20" x14ac:dyDescent="0.3">
      <c r="M213" s="60"/>
      <c r="N213" s="11"/>
      <c r="O213" s="60"/>
      <c r="P213" s="57"/>
      <c r="Q213" s="58"/>
      <c r="R213" s="58"/>
      <c r="S213" s="58"/>
      <c r="T213" s="58"/>
    </row>
    <row r="214" spans="13:20" x14ac:dyDescent="0.3">
      <c r="M214" s="60"/>
      <c r="N214" s="11"/>
      <c r="O214" s="60"/>
      <c r="P214" s="57"/>
      <c r="Q214" s="58"/>
      <c r="R214" s="58"/>
      <c r="S214" s="58"/>
      <c r="T214" s="58"/>
    </row>
    <row r="215" spans="13:20" x14ac:dyDescent="0.3">
      <c r="M215" s="60"/>
      <c r="N215" s="11"/>
      <c r="O215" s="60"/>
      <c r="P215" s="57"/>
      <c r="Q215" s="58"/>
      <c r="R215" s="58"/>
      <c r="S215" s="58"/>
      <c r="T215" s="58"/>
    </row>
    <row r="216" spans="13:20" x14ac:dyDescent="0.3">
      <c r="M216" s="60"/>
      <c r="N216" s="11"/>
      <c r="O216" s="60"/>
      <c r="P216" s="57"/>
      <c r="Q216" s="58"/>
      <c r="R216" s="58"/>
      <c r="S216" s="58"/>
      <c r="T216" s="58"/>
    </row>
    <row r="217" spans="13:20" x14ac:dyDescent="0.3">
      <c r="M217" s="60"/>
      <c r="N217" s="11"/>
      <c r="O217" s="60"/>
      <c r="P217" s="57"/>
      <c r="Q217" s="58"/>
      <c r="R217" s="58"/>
      <c r="S217" s="58"/>
      <c r="T217" s="58"/>
    </row>
    <row r="218" spans="13:20" x14ac:dyDescent="0.3">
      <c r="M218" s="60"/>
      <c r="N218" s="11"/>
      <c r="O218" s="60"/>
      <c r="P218" s="57"/>
      <c r="Q218" s="58"/>
      <c r="R218" s="58"/>
      <c r="S218" s="58"/>
      <c r="T218" s="58"/>
    </row>
    <row r="219" spans="13:20" x14ac:dyDescent="0.3">
      <c r="M219" s="60"/>
      <c r="N219" s="11"/>
      <c r="O219" s="60"/>
      <c r="P219" s="57"/>
      <c r="Q219" s="58"/>
      <c r="R219" s="58"/>
      <c r="S219" s="58"/>
      <c r="T219" s="58"/>
    </row>
    <row r="220" spans="13:20" x14ac:dyDescent="0.3">
      <c r="M220" s="60"/>
      <c r="N220" s="11"/>
      <c r="O220" s="60"/>
      <c r="P220" s="57"/>
      <c r="Q220" s="58"/>
      <c r="R220" s="58"/>
      <c r="S220" s="58"/>
      <c r="T220" s="58"/>
    </row>
    <row r="221" spans="13:20" x14ac:dyDescent="0.3">
      <c r="M221" s="60"/>
      <c r="N221" s="11"/>
      <c r="O221" s="60"/>
      <c r="P221" s="57"/>
      <c r="Q221" s="58"/>
      <c r="R221" s="58"/>
      <c r="S221" s="58"/>
      <c r="T221" s="58"/>
    </row>
    <row r="222" spans="13:20" x14ac:dyDescent="0.3">
      <c r="M222" s="60"/>
      <c r="N222" s="11"/>
      <c r="O222" s="60"/>
      <c r="P222" s="57"/>
      <c r="Q222" s="58"/>
      <c r="R222" s="58"/>
      <c r="S222" s="58"/>
      <c r="T222" s="58"/>
    </row>
    <row r="223" spans="13:20" x14ac:dyDescent="0.3">
      <c r="M223" s="60"/>
      <c r="N223" s="11"/>
      <c r="O223" s="60"/>
      <c r="P223" s="57"/>
      <c r="Q223" s="58"/>
      <c r="R223" s="58"/>
      <c r="S223" s="58"/>
      <c r="T223" s="58"/>
    </row>
    <row r="224" spans="13:20" x14ac:dyDescent="0.3">
      <c r="M224" s="60"/>
      <c r="N224" s="11"/>
      <c r="O224" s="60"/>
      <c r="P224" s="57"/>
      <c r="Q224" s="58"/>
      <c r="R224" s="58"/>
      <c r="S224" s="58"/>
      <c r="T224" s="58"/>
    </row>
    <row r="225" spans="13:20" x14ac:dyDescent="0.3">
      <c r="M225" s="60"/>
      <c r="N225" s="11"/>
      <c r="O225" s="60"/>
      <c r="P225" s="57"/>
      <c r="Q225" s="58"/>
      <c r="R225" s="58"/>
      <c r="S225" s="58"/>
      <c r="T225" s="58"/>
    </row>
    <row r="226" spans="13:20" x14ac:dyDescent="0.3">
      <c r="M226" s="60"/>
      <c r="N226" s="11"/>
      <c r="O226" s="60"/>
      <c r="P226" s="57"/>
      <c r="Q226" s="58"/>
      <c r="R226" s="58"/>
      <c r="S226" s="58"/>
      <c r="T226" s="58"/>
    </row>
    <row r="227" spans="13:20" x14ac:dyDescent="0.3">
      <c r="M227" s="60"/>
      <c r="N227" s="11"/>
      <c r="O227" s="60"/>
      <c r="P227" s="57"/>
      <c r="Q227" s="58"/>
      <c r="R227" s="58"/>
      <c r="S227" s="58"/>
      <c r="T227" s="58"/>
    </row>
    <row r="228" spans="13:20" x14ac:dyDescent="0.3">
      <c r="M228" s="60"/>
      <c r="N228" s="11"/>
      <c r="O228" s="60"/>
      <c r="P228" s="57"/>
      <c r="Q228" s="58"/>
      <c r="R228" s="58"/>
      <c r="S228" s="58"/>
      <c r="T228" s="58"/>
    </row>
    <row r="229" spans="13:20" x14ac:dyDescent="0.3">
      <c r="M229" s="60"/>
      <c r="N229" s="11"/>
      <c r="O229" s="60"/>
      <c r="P229" s="57"/>
      <c r="Q229" s="58"/>
      <c r="R229" s="58"/>
      <c r="S229" s="58"/>
      <c r="T229" s="58"/>
    </row>
    <row r="230" spans="13:20" x14ac:dyDescent="0.3">
      <c r="M230" s="60"/>
      <c r="N230" s="11"/>
      <c r="O230" s="60"/>
      <c r="P230" s="57"/>
      <c r="Q230" s="58"/>
      <c r="R230" s="58"/>
      <c r="S230" s="58"/>
      <c r="T230" s="58"/>
    </row>
    <row r="231" spans="13:20" x14ac:dyDescent="0.3">
      <c r="M231" s="60"/>
      <c r="N231" s="11"/>
      <c r="O231" s="60"/>
      <c r="P231" s="57"/>
      <c r="Q231" s="58"/>
      <c r="R231" s="58"/>
      <c r="S231" s="58"/>
      <c r="T231" s="58"/>
    </row>
    <row r="232" spans="13:20" x14ac:dyDescent="0.3">
      <c r="M232" s="60"/>
      <c r="N232" s="11"/>
      <c r="O232" s="60"/>
      <c r="P232" s="57"/>
      <c r="Q232" s="58"/>
      <c r="R232" s="58"/>
      <c r="S232" s="58"/>
      <c r="T232" s="58"/>
    </row>
    <row r="233" spans="13:20" x14ac:dyDescent="0.3">
      <c r="M233" s="60"/>
      <c r="N233" s="11"/>
      <c r="O233" s="60"/>
      <c r="P233" s="57"/>
      <c r="Q233" s="58"/>
      <c r="R233" s="58"/>
      <c r="S233" s="58"/>
      <c r="T233" s="58"/>
    </row>
    <row r="234" spans="13:20" x14ac:dyDescent="0.3">
      <c r="M234" s="60"/>
      <c r="N234" s="11"/>
      <c r="O234" s="60"/>
      <c r="P234" s="57"/>
      <c r="Q234" s="58"/>
      <c r="R234" s="58"/>
      <c r="S234" s="58"/>
      <c r="T234" s="58"/>
    </row>
    <row r="235" spans="13:20" x14ac:dyDescent="0.3">
      <c r="M235" s="60"/>
      <c r="N235" s="11"/>
      <c r="O235" s="60"/>
      <c r="P235" s="57"/>
      <c r="Q235" s="58"/>
      <c r="R235" s="58"/>
      <c r="S235" s="58"/>
      <c r="T235" s="58"/>
    </row>
    <row r="236" spans="13:20" x14ac:dyDescent="0.3">
      <c r="M236" s="60"/>
      <c r="N236" s="11"/>
      <c r="O236" s="60"/>
      <c r="P236" s="57"/>
      <c r="Q236" s="58"/>
      <c r="R236" s="58"/>
      <c r="S236" s="58"/>
      <c r="T236" s="58"/>
    </row>
    <row r="237" spans="13:20" x14ac:dyDescent="0.3">
      <c r="M237" s="60"/>
      <c r="N237" s="11"/>
      <c r="O237" s="60"/>
      <c r="P237" s="57"/>
      <c r="Q237" s="58"/>
      <c r="R237" s="58"/>
      <c r="S237" s="58"/>
      <c r="T237" s="58"/>
    </row>
    <row r="238" spans="13:20" x14ac:dyDescent="0.3">
      <c r="M238" s="60"/>
      <c r="N238" s="11"/>
      <c r="O238" s="60"/>
      <c r="P238" s="57"/>
      <c r="Q238" s="58"/>
      <c r="R238" s="58"/>
      <c r="S238" s="58"/>
      <c r="T238" s="58"/>
    </row>
    <row r="239" spans="13:20" x14ac:dyDescent="0.3">
      <c r="M239" s="60"/>
      <c r="N239" s="11"/>
      <c r="O239" s="60"/>
      <c r="P239" s="57"/>
      <c r="Q239" s="58"/>
      <c r="R239" s="58"/>
      <c r="S239" s="58"/>
      <c r="T239" s="58"/>
    </row>
    <row r="240" spans="13:20" x14ac:dyDescent="0.3">
      <c r="M240" s="60"/>
      <c r="N240" s="61"/>
      <c r="O240" s="60"/>
      <c r="P240" s="57"/>
      <c r="Q240" s="58"/>
      <c r="R240" s="58"/>
      <c r="S240" s="58"/>
      <c r="T240" s="58"/>
    </row>
    <row r="241" spans="13:20" x14ac:dyDescent="0.3">
      <c r="M241" s="60"/>
      <c r="N241" s="61"/>
      <c r="O241" s="60"/>
      <c r="P241" s="57"/>
      <c r="Q241" s="58"/>
      <c r="R241" s="58"/>
      <c r="S241" s="58"/>
      <c r="T241" s="58"/>
    </row>
    <row r="242" spans="13:20" x14ac:dyDescent="0.3">
      <c r="M242" s="60"/>
      <c r="N242" s="61"/>
      <c r="O242" s="60"/>
      <c r="P242" s="57"/>
      <c r="Q242" s="58"/>
      <c r="R242" s="58"/>
      <c r="S242" s="58"/>
      <c r="T242" s="58"/>
    </row>
    <row r="243" spans="13:20" x14ac:dyDescent="0.3">
      <c r="M243" s="60"/>
      <c r="N243" s="61"/>
      <c r="O243" s="60"/>
      <c r="P243" s="57"/>
      <c r="Q243" s="58"/>
      <c r="R243" s="58"/>
      <c r="S243" s="58"/>
      <c r="T243" s="58"/>
    </row>
    <row r="244" spans="13:20" x14ac:dyDescent="0.3">
      <c r="M244" s="60"/>
      <c r="N244" s="61"/>
      <c r="O244" s="60"/>
      <c r="P244" s="57"/>
      <c r="Q244" s="58"/>
      <c r="R244" s="58"/>
      <c r="S244" s="58"/>
      <c r="T244" s="58"/>
    </row>
    <row r="245" spans="13:20" x14ac:dyDescent="0.3">
      <c r="M245" s="60"/>
      <c r="N245" s="61"/>
      <c r="O245" s="60"/>
      <c r="P245" s="57"/>
      <c r="Q245" s="58"/>
      <c r="R245" s="58"/>
      <c r="S245" s="58"/>
      <c r="T245" s="58"/>
    </row>
    <row r="246" spans="13:20" x14ac:dyDescent="0.3">
      <c r="M246" s="60"/>
      <c r="N246" s="61"/>
      <c r="O246" s="60"/>
      <c r="P246" s="57"/>
      <c r="Q246" s="58"/>
      <c r="R246" s="58"/>
      <c r="S246" s="58"/>
      <c r="T246" s="58"/>
    </row>
    <row r="247" spans="13:20" x14ac:dyDescent="0.3">
      <c r="M247" s="60"/>
      <c r="N247" s="61"/>
      <c r="O247" s="60"/>
      <c r="P247" s="57"/>
      <c r="Q247" s="58"/>
      <c r="R247" s="58"/>
      <c r="S247" s="58"/>
      <c r="T247" s="58"/>
    </row>
    <row r="248" spans="13:20" x14ac:dyDescent="0.3">
      <c r="M248" s="60"/>
      <c r="N248" s="61"/>
      <c r="O248" s="60"/>
      <c r="P248" s="57"/>
      <c r="Q248" s="58"/>
      <c r="R248" s="58"/>
      <c r="S248" s="58"/>
      <c r="T248" s="58"/>
    </row>
    <row r="249" spans="13:20" x14ac:dyDescent="0.3">
      <c r="M249" s="60"/>
      <c r="N249" s="61"/>
      <c r="O249" s="60"/>
      <c r="P249" s="57"/>
      <c r="Q249" s="58"/>
      <c r="R249" s="58"/>
      <c r="S249" s="58"/>
      <c r="T249" s="58"/>
    </row>
    <row r="250" spans="13:20" x14ac:dyDescent="0.3">
      <c r="M250" s="60"/>
      <c r="N250" s="61"/>
      <c r="O250" s="60"/>
      <c r="P250" s="57"/>
      <c r="Q250" s="58"/>
      <c r="R250" s="58"/>
      <c r="S250" s="58"/>
      <c r="T250" s="58"/>
    </row>
    <row r="251" spans="13:20" x14ac:dyDescent="0.3">
      <c r="M251" s="60"/>
      <c r="N251" s="61"/>
      <c r="O251" s="60"/>
      <c r="P251" s="57"/>
      <c r="Q251" s="58"/>
      <c r="R251" s="58"/>
      <c r="S251" s="58"/>
      <c r="T251" s="58"/>
    </row>
    <row r="252" spans="13:20" x14ac:dyDescent="0.3">
      <c r="M252" s="60"/>
      <c r="N252" s="61"/>
      <c r="O252" s="60"/>
      <c r="P252" s="57"/>
      <c r="Q252" s="58"/>
      <c r="R252" s="58"/>
      <c r="S252" s="58"/>
      <c r="T252" s="58"/>
    </row>
    <row r="253" spans="13:20" x14ac:dyDescent="0.3">
      <c r="M253" s="60"/>
      <c r="N253" s="61"/>
      <c r="O253" s="60"/>
      <c r="P253" s="57"/>
      <c r="Q253" s="58"/>
      <c r="R253" s="58"/>
      <c r="S253" s="58"/>
      <c r="T253" s="58"/>
    </row>
    <row r="254" spans="13:20" x14ac:dyDescent="0.3">
      <c r="M254" s="60"/>
      <c r="N254" s="61"/>
      <c r="O254" s="60"/>
      <c r="P254" s="57"/>
      <c r="Q254" s="58"/>
      <c r="R254" s="58"/>
      <c r="S254" s="58"/>
      <c r="T254" s="58"/>
    </row>
    <row r="255" spans="13:20" x14ac:dyDescent="0.3">
      <c r="M255" s="60"/>
      <c r="N255" s="61"/>
      <c r="O255" s="60"/>
      <c r="P255" s="57"/>
      <c r="Q255" s="58"/>
      <c r="R255" s="58"/>
      <c r="S255" s="58"/>
      <c r="T255" s="58"/>
    </row>
    <row r="256" spans="13:20" x14ac:dyDescent="0.3">
      <c r="M256" s="60"/>
      <c r="N256" s="61"/>
      <c r="O256" s="60"/>
      <c r="P256" s="57"/>
      <c r="Q256" s="58"/>
      <c r="R256" s="58"/>
      <c r="S256" s="58"/>
      <c r="T256" s="58"/>
    </row>
    <row r="257" spans="13:20" x14ac:dyDescent="0.3">
      <c r="M257" s="60"/>
      <c r="N257" s="61"/>
      <c r="O257" s="60"/>
      <c r="P257" s="57"/>
      <c r="Q257" s="58"/>
      <c r="R257" s="58"/>
      <c r="S257" s="58"/>
      <c r="T257" s="58"/>
    </row>
    <row r="258" spans="13:20" x14ac:dyDescent="0.3">
      <c r="M258" s="60"/>
      <c r="N258" s="61"/>
      <c r="O258" s="60"/>
      <c r="P258" s="57"/>
      <c r="Q258" s="58"/>
      <c r="R258" s="58"/>
      <c r="S258" s="58"/>
      <c r="T258" s="58"/>
    </row>
    <row r="259" spans="13:20" x14ac:dyDescent="0.3">
      <c r="M259" s="60"/>
      <c r="N259" s="61"/>
      <c r="O259" s="60"/>
      <c r="P259" s="57"/>
      <c r="Q259" s="58"/>
      <c r="R259" s="58"/>
      <c r="S259" s="58"/>
      <c r="T259" s="58"/>
    </row>
    <row r="260" spans="13:20" x14ac:dyDescent="0.3">
      <c r="M260" s="60"/>
      <c r="N260" s="61"/>
      <c r="O260" s="60"/>
      <c r="P260" s="57"/>
      <c r="Q260" s="58"/>
      <c r="R260" s="58"/>
      <c r="S260" s="58"/>
      <c r="T260" s="58"/>
    </row>
    <row r="261" spans="13:20" x14ac:dyDescent="0.3">
      <c r="M261" s="60"/>
      <c r="N261" s="61"/>
      <c r="O261" s="60"/>
      <c r="P261" s="57"/>
      <c r="Q261" s="58"/>
      <c r="R261" s="58"/>
      <c r="S261" s="58"/>
      <c r="T261" s="58"/>
    </row>
    <row r="262" spans="13:20" x14ac:dyDescent="0.3">
      <c r="M262" s="60"/>
      <c r="N262" s="61"/>
      <c r="O262" s="60"/>
      <c r="P262" s="57"/>
      <c r="Q262" s="58"/>
      <c r="R262" s="58"/>
      <c r="S262" s="58"/>
      <c r="T262" s="58"/>
    </row>
    <row r="263" spans="13:20" x14ac:dyDescent="0.3">
      <c r="M263" s="60"/>
      <c r="N263" s="61"/>
      <c r="O263" s="60"/>
      <c r="P263" s="57"/>
      <c r="Q263" s="58"/>
      <c r="R263" s="58"/>
      <c r="S263" s="58"/>
      <c r="T263" s="58"/>
    </row>
    <row r="264" spans="13:20" x14ac:dyDescent="0.3">
      <c r="M264" s="60"/>
      <c r="N264" s="61"/>
      <c r="O264" s="60"/>
      <c r="P264" s="57"/>
      <c r="Q264" s="58"/>
      <c r="R264" s="58"/>
      <c r="S264" s="58"/>
      <c r="T264" s="58"/>
    </row>
    <row r="265" spans="13:20" x14ac:dyDescent="0.3">
      <c r="M265" s="60"/>
      <c r="N265" s="61"/>
      <c r="O265" s="60"/>
      <c r="P265" s="57"/>
      <c r="Q265" s="58"/>
      <c r="R265" s="58"/>
      <c r="S265" s="58"/>
      <c r="T265" s="58"/>
    </row>
    <row r="266" spans="13:20" x14ac:dyDescent="0.3">
      <c r="M266" s="60"/>
      <c r="N266" s="61"/>
      <c r="O266" s="60"/>
      <c r="P266" s="57"/>
      <c r="Q266" s="58"/>
      <c r="R266" s="58"/>
      <c r="S266" s="58"/>
      <c r="T266" s="58"/>
    </row>
    <row r="267" spans="13:20" x14ac:dyDescent="0.3">
      <c r="M267" s="60"/>
      <c r="N267" s="61"/>
      <c r="O267" s="60"/>
      <c r="P267" s="57"/>
      <c r="Q267" s="58"/>
      <c r="R267" s="58"/>
      <c r="S267" s="58"/>
      <c r="T267" s="58"/>
    </row>
    <row r="268" spans="13:20" x14ac:dyDescent="0.3">
      <c r="M268" s="60"/>
      <c r="N268" s="61"/>
      <c r="O268" s="60"/>
      <c r="P268" s="57"/>
      <c r="Q268" s="58"/>
      <c r="R268" s="58"/>
      <c r="S268" s="58"/>
      <c r="T268" s="58"/>
    </row>
    <row r="269" spans="13:20" x14ac:dyDescent="0.3">
      <c r="M269" s="60"/>
      <c r="N269" s="61"/>
      <c r="O269" s="60"/>
      <c r="P269" s="57"/>
      <c r="Q269" s="58"/>
      <c r="R269" s="58"/>
      <c r="S269" s="58"/>
      <c r="T269" s="58"/>
    </row>
    <row r="270" spans="13:20" x14ac:dyDescent="0.3">
      <c r="M270" s="60"/>
      <c r="N270" s="61"/>
      <c r="O270" s="60"/>
      <c r="P270" s="57"/>
      <c r="Q270" s="58"/>
      <c r="R270" s="58"/>
      <c r="S270" s="58"/>
      <c r="T270" s="58"/>
    </row>
    <row r="271" spans="13:20" x14ac:dyDescent="0.3">
      <c r="M271" s="60"/>
      <c r="N271" s="61"/>
      <c r="O271" s="60"/>
      <c r="P271" s="57"/>
      <c r="Q271" s="58"/>
      <c r="R271" s="58"/>
      <c r="S271" s="58"/>
      <c r="T271" s="58"/>
    </row>
    <row r="272" spans="13:20" x14ac:dyDescent="0.3">
      <c r="M272" s="60"/>
      <c r="N272" s="61"/>
      <c r="O272" s="60"/>
      <c r="P272" s="57"/>
      <c r="Q272" s="58"/>
      <c r="R272" s="58"/>
      <c r="S272" s="58"/>
      <c r="T272" s="58"/>
    </row>
    <row r="273" spans="13:20" x14ac:dyDescent="0.3">
      <c r="M273" s="60"/>
      <c r="N273" s="61"/>
      <c r="O273" s="60"/>
      <c r="P273" s="57"/>
      <c r="Q273" s="58"/>
      <c r="R273" s="58"/>
      <c r="S273" s="58"/>
      <c r="T273" s="58"/>
    </row>
    <row r="274" spans="13:20" x14ac:dyDescent="0.3">
      <c r="M274" s="60"/>
      <c r="N274" s="61"/>
      <c r="O274" s="60"/>
      <c r="P274" s="57"/>
      <c r="Q274" s="58"/>
      <c r="R274" s="58"/>
      <c r="S274" s="58"/>
      <c r="T274" s="58"/>
    </row>
    <row r="275" spans="13:20" x14ac:dyDescent="0.3">
      <c r="M275" s="60"/>
      <c r="N275" s="61"/>
      <c r="O275" s="60"/>
      <c r="P275" s="57"/>
      <c r="Q275" s="58"/>
      <c r="R275" s="58"/>
      <c r="S275" s="58"/>
      <c r="T275" s="58"/>
    </row>
    <row r="276" spans="13:20" x14ac:dyDescent="0.3">
      <c r="M276" s="60"/>
      <c r="N276" s="61"/>
      <c r="O276" s="60"/>
      <c r="P276" s="57"/>
      <c r="Q276" s="58"/>
      <c r="R276" s="58"/>
      <c r="S276" s="58"/>
      <c r="T276" s="58"/>
    </row>
    <row r="277" spans="13:20" x14ac:dyDescent="0.3">
      <c r="M277" s="60"/>
      <c r="N277" s="61"/>
      <c r="O277" s="60"/>
      <c r="P277" s="57"/>
      <c r="Q277" s="58"/>
      <c r="R277" s="58"/>
      <c r="S277" s="58"/>
      <c r="T277" s="58"/>
    </row>
    <row r="278" spans="13:20" x14ac:dyDescent="0.3">
      <c r="M278" s="60"/>
      <c r="N278" s="61"/>
      <c r="O278" s="60"/>
      <c r="P278" s="57"/>
      <c r="Q278" s="58"/>
      <c r="R278" s="58"/>
      <c r="S278" s="58"/>
      <c r="T278" s="58"/>
    </row>
    <row r="279" spans="13:20" x14ac:dyDescent="0.3">
      <c r="M279" s="60"/>
      <c r="N279" s="61"/>
      <c r="O279" s="60"/>
      <c r="P279" s="57"/>
      <c r="Q279" s="58"/>
      <c r="R279" s="58"/>
      <c r="S279" s="58"/>
      <c r="T279" s="58"/>
    </row>
    <row r="280" spans="13:20" x14ac:dyDescent="0.3">
      <c r="M280" s="60"/>
      <c r="N280" s="61"/>
      <c r="O280" s="60"/>
      <c r="P280" s="57"/>
      <c r="Q280" s="58"/>
      <c r="R280" s="58"/>
      <c r="S280" s="58"/>
      <c r="T280" s="58"/>
    </row>
    <row r="281" spans="13:20" x14ac:dyDescent="0.3">
      <c r="M281" s="60"/>
      <c r="N281" s="61"/>
      <c r="O281" s="60"/>
      <c r="P281" s="57"/>
      <c r="Q281" s="58"/>
      <c r="R281" s="58"/>
      <c r="S281" s="58"/>
      <c r="T281" s="58"/>
    </row>
    <row r="282" spans="13:20" x14ac:dyDescent="0.3">
      <c r="M282" s="60"/>
      <c r="N282" s="61"/>
      <c r="O282" s="60"/>
      <c r="P282" s="57"/>
      <c r="Q282" s="58"/>
      <c r="R282" s="58"/>
      <c r="S282" s="58"/>
      <c r="T282" s="58"/>
    </row>
    <row r="283" spans="13:20" x14ac:dyDescent="0.3">
      <c r="M283" s="60"/>
      <c r="N283" s="61"/>
      <c r="O283" s="60"/>
      <c r="P283" s="57"/>
      <c r="Q283" s="58"/>
      <c r="R283" s="58"/>
      <c r="S283" s="58"/>
      <c r="T283" s="58"/>
    </row>
    <row r="284" spans="13:20" x14ac:dyDescent="0.3">
      <c r="M284" s="60"/>
      <c r="N284" s="61"/>
      <c r="O284" s="60"/>
      <c r="P284" s="57"/>
      <c r="Q284" s="58"/>
      <c r="R284" s="58"/>
      <c r="S284" s="58"/>
      <c r="T284" s="58"/>
    </row>
    <row r="285" spans="13:20" x14ac:dyDescent="0.3">
      <c r="M285" s="60"/>
      <c r="N285" s="61"/>
      <c r="O285" s="60"/>
      <c r="P285" s="57"/>
      <c r="Q285" s="58"/>
      <c r="R285" s="58"/>
      <c r="S285" s="58"/>
      <c r="T285" s="58"/>
    </row>
    <row r="286" spans="13:20" x14ac:dyDescent="0.3">
      <c r="M286" s="60"/>
      <c r="N286" s="61"/>
      <c r="O286" s="60"/>
      <c r="P286" s="57"/>
      <c r="Q286" s="58"/>
      <c r="R286" s="58"/>
      <c r="S286" s="58"/>
      <c r="T286" s="58"/>
    </row>
    <row r="287" spans="13:20" x14ac:dyDescent="0.3">
      <c r="M287" s="60"/>
      <c r="N287" s="61"/>
      <c r="O287" s="60"/>
      <c r="P287" s="57"/>
      <c r="Q287" s="58"/>
      <c r="R287" s="58"/>
      <c r="S287" s="58"/>
      <c r="T287" s="58"/>
    </row>
    <row r="288" spans="13:20" x14ac:dyDescent="0.3">
      <c r="M288" s="60"/>
      <c r="N288" s="61"/>
      <c r="O288" s="60"/>
      <c r="P288" s="57"/>
      <c r="Q288" s="58"/>
      <c r="R288" s="58"/>
      <c r="S288" s="58"/>
      <c r="T288" s="58"/>
    </row>
    <row r="289" spans="13:20" x14ac:dyDescent="0.3">
      <c r="M289" s="60"/>
      <c r="N289" s="61"/>
      <c r="O289" s="60"/>
      <c r="P289" s="57"/>
      <c r="Q289" s="58"/>
      <c r="R289" s="58"/>
      <c r="S289" s="58"/>
      <c r="T289" s="58"/>
    </row>
    <row r="290" spans="13:20" x14ac:dyDescent="0.3">
      <c r="M290" s="60"/>
      <c r="N290" s="61"/>
      <c r="O290" s="60"/>
      <c r="P290" s="57"/>
      <c r="Q290" s="58"/>
      <c r="R290" s="58"/>
      <c r="S290" s="58"/>
      <c r="T290" s="58"/>
    </row>
    <row r="291" spans="13:20" x14ac:dyDescent="0.3">
      <c r="M291" s="60"/>
      <c r="N291" s="61"/>
      <c r="O291" s="60"/>
      <c r="P291" s="57"/>
      <c r="Q291" s="58"/>
      <c r="R291" s="58"/>
      <c r="S291" s="58"/>
      <c r="T291" s="58"/>
    </row>
    <row r="292" spans="13:20" x14ac:dyDescent="0.3">
      <c r="M292" s="60"/>
      <c r="N292" s="61"/>
      <c r="O292" s="60"/>
      <c r="P292" s="57"/>
      <c r="Q292" s="58"/>
      <c r="R292" s="58"/>
      <c r="S292" s="58"/>
      <c r="T292" s="58"/>
    </row>
    <row r="293" spans="13:20" x14ac:dyDescent="0.3">
      <c r="M293" s="60"/>
      <c r="N293" s="61"/>
      <c r="O293" s="60"/>
      <c r="P293" s="57"/>
      <c r="Q293" s="58"/>
      <c r="R293" s="58"/>
      <c r="S293" s="58"/>
      <c r="T293" s="58"/>
    </row>
    <row r="294" spans="13:20" x14ac:dyDescent="0.3">
      <c r="M294" s="60"/>
      <c r="N294" s="61"/>
      <c r="O294" s="60"/>
      <c r="P294" s="57"/>
      <c r="Q294" s="58"/>
      <c r="R294" s="58"/>
      <c r="S294" s="58"/>
      <c r="T294" s="58"/>
    </row>
    <row r="295" spans="13:20" x14ac:dyDescent="0.3">
      <c r="M295" s="60"/>
      <c r="N295" s="61"/>
      <c r="O295" s="60"/>
      <c r="P295" s="57"/>
      <c r="Q295" s="58"/>
      <c r="R295" s="58"/>
      <c r="S295" s="58"/>
      <c r="T295" s="58"/>
    </row>
    <row r="296" spans="13:20" x14ac:dyDescent="0.3">
      <c r="M296" s="60"/>
      <c r="N296" s="61"/>
      <c r="O296" s="60"/>
      <c r="P296" s="57"/>
      <c r="Q296" s="58"/>
      <c r="R296" s="58"/>
      <c r="S296" s="58"/>
      <c r="T296" s="58"/>
    </row>
    <row r="297" spans="13:20" x14ac:dyDescent="0.3">
      <c r="M297" s="60"/>
      <c r="N297" s="61"/>
      <c r="O297" s="60"/>
      <c r="P297" s="57"/>
      <c r="Q297" s="58"/>
      <c r="R297" s="58"/>
      <c r="S297" s="58"/>
      <c r="T297" s="58"/>
    </row>
    <row r="298" spans="13:20" x14ac:dyDescent="0.3">
      <c r="M298" s="60"/>
      <c r="N298" s="61"/>
      <c r="O298" s="60"/>
      <c r="P298" s="57"/>
      <c r="Q298" s="58"/>
      <c r="R298" s="58"/>
      <c r="S298" s="58"/>
      <c r="T298" s="58"/>
    </row>
    <row r="299" spans="13:20" x14ac:dyDescent="0.3">
      <c r="M299" s="60"/>
      <c r="N299" s="61"/>
      <c r="O299" s="60"/>
      <c r="P299" s="57"/>
      <c r="Q299" s="58"/>
      <c r="R299" s="58"/>
      <c r="S299" s="58"/>
      <c r="T299" s="58"/>
    </row>
    <row r="300" spans="13:20" x14ac:dyDescent="0.3">
      <c r="M300" s="60"/>
      <c r="N300" s="61"/>
      <c r="O300" s="60"/>
      <c r="P300" s="57"/>
      <c r="Q300" s="58"/>
      <c r="R300" s="58"/>
      <c r="S300" s="58"/>
      <c r="T300" s="58"/>
    </row>
    <row r="301" spans="13:20" x14ac:dyDescent="0.3">
      <c r="M301" s="60"/>
      <c r="N301" s="61"/>
      <c r="O301" s="60"/>
      <c r="P301" s="57"/>
      <c r="Q301" s="58"/>
      <c r="R301" s="58"/>
      <c r="S301" s="58"/>
      <c r="T301" s="58"/>
    </row>
    <row r="302" spans="13:20" x14ac:dyDescent="0.3">
      <c r="M302" s="60"/>
      <c r="N302" s="61"/>
      <c r="O302" s="60"/>
      <c r="P302" s="57"/>
      <c r="Q302" s="58"/>
      <c r="R302" s="58"/>
      <c r="S302" s="58"/>
      <c r="T302" s="58"/>
    </row>
    <row r="303" spans="13:20" x14ac:dyDescent="0.3">
      <c r="M303" s="60"/>
      <c r="N303" s="61"/>
      <c r="O303" s="60"/>
      <c r="P303" s="57"/>
      <c r="Q303" s="58"/>
      <c r="R303" s="58"/>
      <c r="S303" s="58"/>
      <c r="T303" s="58"/>
    </row>
    <row r="304" spans="13:20" x14ac:dyDescent="0.3">
      <c r="M304" s="60"/>
      <c r="N304" s="61"/>
      <c r="O304" s="60"/>
      <c r="P304" s="57"/>
      <c r="Q304" s="58"/>
      <c r="R304" s="58"/>
      <c r="S304" s="58"/>
      <c r="T304" s="58"/>
    </row>
    <row r="305" spans="13:20" x14ac:dyDescent="0.3">
      <c r="M305" s="60"/>
      <c r="N305" s="61"/>
      <c r="O305" s="60"/>
      <c r="P305" s="57"/>
      <c r="Q305" s="58"/>
      <c r="R305" s="58"/>
      <c r="S305" s="58"/>
      <c r="T305" s="58"/>
    </row>
    <row r="306" spans="13:20" x14ac:dyDescent="0.3">
      <c r="M306" s="60"/>
      <c r="N306" s="61"/>
      <c r="O306" s="60"/>
      <c r="P306" s="57"/>
      <c r="Q306" s="58"/>
      <c r="R306" s="58"/>
      <c r="S306" s="58"/>
      <c r="T306" s="58"/>
    </row>
    <row r="307" spans="13:20" x14ac:dyDescent="0.3">
      <c r="M307" s="60"/>
      <c r="N307" s="61"/>
      <c r="O307" s="60"/>
      <c r="P307" s="57"/>
      <c r="Q307" s="58"/>
      <c r="R307" s="58"/>
      <c r="S307" s="58"/>
      <c r="T307" s="58"/>
    </row>
    <row r="308" spans="13:20" x14ac:dyDescent="0.3">
      <c r="M308" s="60"/>
      <c r="N308" s="61"/>
      <c r="O308" s="60"/>
      <c r="P308" s="57"/>
      <c r="Q308" s="58"/>
      <c r="R308" s="58"/>
      <c r="S308" s="58"/>
      <c r="T308" s="58"/>
    </row>
    <row r="309" spans="13:20" x14ac:dyDescent="0.3">
      <c r="M309" s="60"/>
      <c r="N309" s="61"/>
      <c r="O309" s="60"/>
      <c r="P309" s="57"/>
      <c r="Q309" s="58"/>
      <c r="R309" s="58"/>
      <c r="S309" s="58"/>
      <c r="T309" s="58"/>
    </row>
    <row r="310" spans="13:20" x14ac:dyDescent="0.3">
      <c r="M310" s="60"/>
      <c r="N310" s="61"/>
      <c r="O310" s="60"/>
      <c r="P310" s="57"/>
      <c r="Q310" s="58"/>
      <c r="R310" s="58"/>
      <c r="S310" s="58"/>
      <c r="T310" s="58"/>
    </row>
    <row r="311" spans="13:20" x14ac:dyDescent="0.3">
      <c r="M311" s="60"/>
      <c r="N311" s="61"/>
      <c r="O311" s="60"/>
      <c r="P311" s="57"/>
      <c r="Q311" s="58"/>
      <c r="R311" s="58"/>
      <c r="S311" s="58"/>
      <c r="T311" s="58"/>
    </row>
    <row r="312" spans="13:20" x14ac:dyDescent="0.3">
      <c r="M312" s="60"/>
      <c r="N312" s="61"/>
      <c r="O312" s="60"/>
      <c r="P312" s="57"/>
      <c r="Q312" s="58"/>
      <c r="R312" s="58"/>
      <c r="S312" s="58"/>
      <c r="T312" s="58"/>
    </row>
    <row r="313" spans="13:20" x14ac:dyDescent="0.3">
      <c r="M313" s="60"/>
      <c r="N313" s="61"/>
      <c r="O313" s="60"/>
      <c r="P313" s="57"/>
      <c r="Q313" s="58"/>
      <c r="R313" s="58"/>
      <c r="S313" s="58"/>
      <c r="T313" s="58"/>
    </row>
    <row r="314" spans="13:20" x14ac:dyDescent="0.3">
      <c r="M314" s="60"/>
      <c r="N314" s="61"/>
      <c r="O314" s="60"/>
      <c r="P314" s="57"/>
      <c r="Q314" s="58"/>
      <c r="R314" s="58"/>
      <c r="S314" s="58"/>
      <c r="T314" s="58"/>
    </row>
    <row r="315" spans="13:20" x14ac:dyDescent="0.3">
      <c r="M315" s="60"/>
      <c r="N315" s="61"/>
      <c r="O315" s="60"/>
      <c r="P315" s="57"/>
      <c r="Q315" s="58"/>
      <c r="R315" s="58"/>
      <c r="S315" s="58"/>
      <c r="T315" s="58"/>
    </row>
    <row r="316" spans="13:20" x14ac:dyDescent="0.3">
      <c r="M316" s="60"/>
      <c r="N316" s="61"/>
      <c r="O316" s="60"/>
      <c r="P316" s="57"/>
      <c r="Q316" s="58"/>
      <c r="R316" s="58"/>
      <c r="S316" s="58"/>
      <c r="T316" s="58"/>
    </row>
    <row r="317" spans="13:20" x14ac:dyDescent="0.3">
      <c r="M317" s="60"/>
      <c r="N317" s="61"/>
      <c r="O317" s="60"/>
      <c r="P317" s="57"/>
      <c r="Q317" s="58"/>
      <c r="R317" s="58"/>
      <c r="S317" s="58"/>
      <c r="T317" s="58"/>
    </row>
    <row r="318" spans="13:20" x14ac:dyDescent="0.3">
      <c r="M318" s="60"/>
      <c r="N318" s="61"/>
      <c r="O318" s="60"/>
      <c r="P318" s="57"/>
      <c r="Q318" s="58"/>
      <c r="R318" s="58"/>
      <c r="S318" s="58"/>
      <c r="T318" s="58"/>
    </row>
    <row r="319" spans="13:20" x14ac:dyDescent="0.3">
      <c r="M319" s="60"/>
      <c r="N319" s="61"/>
      <c r="O319" s="60"/>
      <c r="P319" s="57"/>
      <c r="Q319" s="58"/>
      <c r="R319" s="58"/>
      <c r="S319" s="58"/>
      <c r="T319" s="58"/>
    </row>
    <row r="320" spans="13:20" x14ac:dyDescent="0.3">
      <c r="M320" s="60"/>
      <c r="N320" s="61"/>
      <c r="O320" s="60"/>
      <c r="P320" s="57"/>
      <c r="Q320" s="58"/>
      <c r="R320" s="58"/>
      <c r="S320" s="58"/>
      <c r="T320" s="58"/>
    </row>
    <row r="321" spans="13:20" x14ac:dyDescent="0.3">
      <c r="M321" s="60"/>
      <c r="N321" s="61"/>
      <c r="O321" s="60"/>
      <c r="P321" s="57"/>
      <c r="Q321" s="58"/>
      <c r="R321" s="58"/>
      <c r="S321" s="58"/>
      <c r="T321" s="58"/>
    </row>
    <row r="322" spans="13:20" x14ac:dyDescent="0.3">
      <c r="M322" s="60"/>
      <c r="N322" s="61"/>
      <c r="O322" s="60"/>
      <c r="P322" s="57"/>
      <c r="Q322" s="58"/>
      <c r="R322" s="58"/>
      <c r="S322" s="58"/>
      <c r="T322" s="58"/>
    </row>
    <row r="323" spans="13:20" x14ac:dyDescent="0.3">
      <c r="M323" s="60"/>
      <c r="N323" s="61"/>
      <c r="O323" s="60"/>
      <c r="P323" s="57"/>
      <c r="Q323" s="58"/>
      <c r="R323" s="58"/>
      <c r="S323" s="58"/>
      <c r="T323" s="58"/>
    </row>
    <row r="324" spans="13:20" x14ac:dyDescent="0.3">
      <c r="M324" s="60"/>
      <c r="N324" s="61"/>
      <c r="O324" s="60"/>
      <c r="P324" s="57"/>
      <c r="Q324" s="58"/>
      <c r="R324" s="58"/>
      <c r="S324" s="58"/>
      <c r="T324" s="58"/>
    </row>
    <row r="325" spans="13:20" x14ac:dyDescent="0.3">
      <c r="M325" s="60"/>
      <c r="N325" s="61"/>
      <c r="O325" s="60"/>
      <c r="P325" s="57"/>
      <c r="Q325" s="58"/>
      <c r="R325" s="58"/>
      <c r="S325" s="58"/>
      <c r="T325" s="58"/>
    </row>
    <row r="326" spans="13:20" x14ac:dyDescent="0.3">
      <c r="M326" s="60"/>
      <c r="N326" s="61"/>
      <c r="O326" s="60"/>
      <c r="P326" s="57"/>
      <c r="Q326" s="58"/>
      <c r="R326" s="58"/>
      <c r="S326" s="58"/>
      <c r="T326" s="58"/>
    </row>
    <row r="327" spans="13:20" x14ac:dyDescent="0.3">
      <c r="M327" s="60"/>
      <c r="N327" s="61"/>
      <c r="O327" s="60"/>
      <c r="P327" s="57"/>
      <c r="Q327" s="58"/>
      <c r="R327" s="58"/>
      <c r="S327" s="58"/>
      <c r="T327" s="58"/>
    </row>
    <row r="328" spans="13:20" x14ac:dyDescent="0.3">
      <c r="M328" s="60"/>
      <c r="N328" s="61"/>
      <c r="O328" s="60"/>
      <c r="P328" s="57"/>
      <c r="Q328" s="58"/>
      <c r="R328" s="58"/>
      <c r="S328" s="58"/>
      <c r="T328" s="58"/>
    </row>
    <row r="329" spans="13:20" x14ac:dyDescent="0.3">
      <c r="M329" s="60"/>
      <c r="N329" s="61"/>
      <c r="O329" s="60"/>
      <c r="P329" s="57"/>
      <c r="Q329" s="58"/>
      <c r="R329" s="58"/>
      <c r="S329" s="58"/>
      <c r="T329" s="58"/>
    </row>
    <row r="330" spans="13:20" x14ac:dyDescent="0.3">
      <c r="M330" s="60"/>
      <c r="N330" s="61"/>
      <c r="O330" s="60"/>
      <c r="P330" s="57"/>
      <c r="Q330" s="58"/>
      <c r="R330" s="58"/>
      <c r="S330" s="58"/>
      <c r="T330" s="58"/>
    </row>
    <row r="331" spans="13:20" x14ac:dyDescent="0.3">
      <c r="M331" s="60"/>
      <c r="N331" s="61"/>
      <c r="O331" s="60"/>
      <c r="P331" s="57"/>
      <c r="Q331" s="58"/>
      <c r="R331" s="58"/>
      <c r="S331" s="58"/>
      <c r="T331" s="58"/>
    </row>
    <row r="332" spans="13:20" x14ac:dyDescent="0.3">
      <c r="M332" s="60"/>
      <c r="N332" s="61"/>
      <c r="O332" s="60"/>
      <c r="P332" s="57"/>
      <c r="Q332" s="58"/>
      <c r="R332" s="58"/>
      <c r="S332" s="58"/>
      <c r="T332" s="58"/>
    </row>
    <row r="333" spans="13:20" x14ac:dyDescent="0.3">
      <c r="M333" s="60"/>
      <c r="N333" s="61"/>
      <c r="O333" s="60"/>
      <c r="P333" s="57"/>
      <c r="Q333" s="58"/>
      <c r="R333" s="58"/>
      <c r="S333" s="58"/>
      <c r="T333" s="58"/>
    </row>
    <row r="334" spans="13:20" x14ac:dyDescent="0.3">
      <c r="M334" s="60"/>
      <c r="N334" s="61"/>
      <c r="O334" s="60"/>
      <c r="P334" s="57"/>
      <c r="Q334" s="58"/>
      <c r="R334" s="58"/>
      <c r="S334" s="58"/>
      <c r="T334" s="58"/>
    </row>
    <row r="335" spans="13:20" x14ac:dyDescent="0.3">
      <c r="M335" s="60"/>
      <c r="N335" s="61"/>
      <c r="O335" s="60"/>
      <c r="P335" s="57"/>
      <c r="Q335" s="58"/>
      <c r="R335" s="58"/>
      <c r="S335" s="58"/>
      <c r="T335" s="58"/>
    </row>
    <row r="336" spans="13:20" x14ac:dyDescent="0.3">
      <c r="M336" s="60"/>
      <c r="N336" s="61"/>
      <c r="O336" s="60"/>
      <c r="P336" s="57"/>
      <c r="Q336" s="58"/>
      <c r="R336" s="58"/>
      <c r="S336" s="58"/>
      <c r="T336" s="58"/>
    </row>
    <row r="337" spans="13:20" x14ac:dyDescent="0.3">
      <c r="M337" s="60"/>
      <c r="N337" s="61"/>
      <c r="O337" s="60"/>
      <c r="P337" s="57"/>
      <c r="Q337" s="58"/>
      <c r="R337" s="58"/>
      <c r="S337" s="58"/>
      <c r="T337" s="58"/>
    </row>
    <row r="338" spans="13:20" x14ac:dyDescent="0.3">
      <c r="M338" s="60"/>
      <c r="N338" s="61"/>
      <c r="O338" s="60"/>
      <c r="P338" s="57"/>
      <c r="Q338" s="58"/>
      <c r="R338" s="58"/>
      <c r="S338" s="58"/>
      <c r="T338" s="58"/>
    </row>
    <row r="339" spans="13:20" x14ac:dyDescent="0.3">
      <c r="M339" s="60"/>
      <c r="N339" s="61"/>
      <c r="O339" s="60"/>
      <c r="P339" s="57"/>
      <c r="Q339" s="58"/>
      <c r="R339" s="58"/>
      <c r="S339" s="58"/>
      <c r="T339" s="58"/>
    </row>
    <row r="340" spans="13:20" x14ac:dyDescent="0.3">
      <c r="M340" s="60"/>
      <c r="N340" s="61"/>
      <c r="O340" s="60"/>
      <c r="P340" s="57"/>
      <c r="Q340" s="58"/>
      <c r="R340" s="58"/>
      <c r="S340" s="58"/>
      <c r="T340" s="58"/>
    </row>
    <row r="341" spans="13:20" x14ac:dyDescent="0.3">
      <c r="M341" s="60"/>
      <c r="N341" s="61"/>
      <c r="O341" s="60"/>
      <c r="P341" s="57"/>
      <c r="Q341" s="58"/>
      <c r="R341" s="58"/>
      <c r="S341" s="58"/>
      <c r="T341" s="58"/>
    </row>
    <row r="342" spans="13:20" x14ac:dyDescent="0.3">
      <c r="M342" s="60"/>
      <c r="N342" s="61"/>
      <c r="O342" s="60"/>
      <c r="P342" s="57"/>
      <c r="Q342" s="58"/>
      <c r="R342" s="58"/>
      <c r="S342" s="58"/>
      <c r="T342" s="58"/>
    </row>
    <row r="343" spans="13:20" x14ac:dyDescent="0.3">
      <c r="M343" s="60"/>
      <c r="N343" s="61"/>
      <c r="O343" s="60"/>
      <c r="P343" s="57"/>
      <c r="Q343" s="58"/>
      <c r="R343" s="58"/>
      <c r="S343" s="58"/>
      <c r="T343" s="58"/>
    </row>
    <row r="344" spans="13:20" x14ac:dyDescent="0.3">
      <c r="M344" s="60"/>
      <c r="N344" s="61"/>
      <c r="O344" s="60"/>
      <c r="P344" s="57"/>
      <c r="Q344" s="58"/>
      <c r="R344" s="58"/>
      <c r="S344" s="58"/>
      <c r="T344" s="58"/>
    </row>
    <row r="345" spans="13:20" x14ac:dyDescent="0.3">
      <c r="M345" s="60"/>
      <c r="N345" s="61"/>
      <c r="O345" s="60"/>
      <c r="P345" s="57"/>
      <c r="Q345" s="58"/>
      <c r="R345" s="58"/>
      <c r="S345" s="58"/>
      <c r="T345" s="58"/>
    </row>
    <row r="346" spans="13:20" x14ac:dyDescent="0.3">
      <c r="M346" s="60"/>
      <c r="N346" s="61"/>
      <c r="O346" s="60"/>
      <c r="P346" s="57"/>
      <c r="Q346" s="58"/>
      <c r="R346" s="58"/>
      <c r="S346" s="58"/>
      <c r="T346" s="58"/>
    </row>
    <row r="347" spans="13:20" x14ac:dyDescent="0.3">
      <c r="M347" s="60"/>
      <c r="N347" s="61"/>
      <c r="O347" s="60"/>
      <c r="P347" s="57"/>
      <c r="Q347" s="58"/>
      <c r="R347" s="58"/>
      <c r="S347" s="58"/>
      <c r="T347" s="58"/>
    </row>
    <row r="348" spans="13:20" x14ac:dyDescent="0.3">
      <c r="M348" s="60"/>
      <c r="N348" s="61"/>
      <c r="O348" s="60"/>
      <c r="P348" s="57"/>
      <c r="Q348" s="58"/>
      <c r="R348" s="58"/>
      <c r="S348" s="58"/>
      <c r="T348" s="58"/>
    </row>
    <row r="349" spans="13:20" x14ac:dyDescent="0.3">
      <c r="M349" s="60"/>
      <c r="N349" s="61"/>
      <c r="O349" s="60"/>
      <c r="P349" s="57"/>
      <c r="Q349" s="58"/>
      <c r="R349" s="58"/>
      <c r="S349" s="58"/>
      <c r="T349" s="58"/>
    </row>
    <row r="350" spans="13:20" x14ac:dyDescent="0.3">
      <c r="M350" s="60"/>
      <c r="N350" s="61"/>
      <c r="O350" s="60"/>
      <c r="P350" s="57"/>
      <c r="Q350" s="58"/>
      <c r="R350" s="58"/>
      <c r="S350" s="58"/>
      <c r="T350" s="58"/>
    </row>
    <row r="351" spans="13:20" x14ac:dyDescent="0.3">
      <c r="M351" s="60"/>
      <c r="N351" s="61"/>
      <c r="O351" s="60"/>
      <c r="P351" s="57"/>
      <c r="Q351" s="58"/>
      <c r="R351" s="58"/>
      <c r="S351" s="58"/>
      <c r="T351" s="58"/>
    </row>
    <row r="352" spans="13:20" x14ac:dyDescent="0.3">
      <c r="M352" s="60"/>
      <c r="N352" s="61"/>
      <c r="O352" s="60"/>
      <c r="P352" s="57"/>
      <c r="Q352" s="58"/>
      <c r="R352" s="58"/>
      <c r="S352" s="58"/>
      <c r="T352" s="58"/>
    </row>
    <row r="353" spans="13:20" x14ac:dyDescent="0.3">
      <c r="M353" s="60"/>
      <c r="N353" s="61"/>
      <c r="O353" s="60"/>
      <c r="P353" s="57"/>
      <c r="Q353" s="58"/>
      <c r="R353" s="58"/>
      <c r="S353" s="58"/>
      <c r="T353" s="58"/>
    </row>
    <row r="354" spans="13:20" x14ac:dyDescent="0.3">
      <c r="M354" s="60"/>
      <c r="N354" s="61"/>
      <c r="O354" s="60"/>
      <c r="P354" s="57"/>
      <c r="Q354" s="58"/>
      <c r="R354" s="58"/>
      <c r="S354" s="58"/>
      <c r="T354" s="58"/>
    </row>
    <row r="355" spans="13:20" x14ac:dyDescent="0.3">
      <c r="M355" s="60"/>
      <c r="N355" s="61"/>
      <c r="O355" s="60"/>
      <c r="P355" s="57"/>
      <c r="Q355" s="58"/>
      <c r="R355" s="58"/>
      <c r="S355" s="58"/>
      <c r="T355" s="58"/>
    </row>
    <row r="356" spans="13:20" x14ac:dyDescent="0.3">
      <c r="M356" s="60"/>
      <c r="N356" s="61"/>
      <c r="O356" s="60"/>
      <c r="P356" s="57"/>
      <c r="Q356" s="58"/>
      <c r="R356" s="58"/>
      <c r="S356" s="58"/>
      <c r="T356" s="58"/>
    </row>
    <row r="357" spans="13:20" x14ac:dyDescent="0.3">
      <c r="M357" s="60"/>
      <c r="N357" s="61"/>
      <c r="O357" s="60"/>
      <c r="P357" s="57"/>
      <c r="Q357" s="58"/>
      <c r="R357" s="58"/>
      <c r="S357" s="58"/>
      <c r="T357" s="58"/>
    </row>
    <row r="358" spans="13:20" x14ac:dyDescent="0.3">
      <c r="M358" s="60"/>
      <c r="N358" s="61"/>
      <c r="O358" s="60"/>
      <c r="P358" s="57"/>
      <c r="Q358" s="58"/>
      <c r="R358" s="58"/>
      <c r="S358" s="58"/>
      <c r="T358" s="58"/>
    </row>
    <row r="359" spans="13:20" x14ac:dyDescent="0.3">
      <c r="M359" s="60"/>
      <c r="N359" s="61"/>
      <c r="O359" s="60"/>
      <c r="P359" s="57"/>
      <c r="Q359" s="58"/>
      <c r="R359" s="58"/>
      <c r="S359" s="58"/>
      <c r="T359" s="58"/>
    </row>
    <row r="360" spans="13:20" x14ac:dyDescent="0.3">
      <c r="M360" s="60"/>
      <c r="N360" s="61"/>
      <c r="O360" s="60"/>
      <c r="P360" s="57"/>
      <c r="Q360" s="58"/>
      <c r="R360" s="58"/>
      <c r="S360" s="58"/>
      <c r="T360" s="58"/>
    </row>
    <row r="361" spans="13:20" x14ac:dyDescent="0.3">
      <c r="M361" s="60"/>
      <c r="N361" s="61"/>
      <c r="O361" s="60"/>
      <c r="P361" s="57"/>
      <c r="Q361" s="58"/>
      <c r="R361" s="58"/>
      <c r="S361" s="58"/>
      <c r="T361" s="58"/>
    </row>
    <row r="362" spans="13:20" x14ac:dyDescent="0.3">
      <c r="M362" s="60"/>
      <c r="N362" s="61"/>
      <c r="O362" s="60"/>
      <c r="P362" s="57"/>
      <c r="Q362" s="58"/>
      <c r="R362" s="58"/>
      <c r="S362" s="58"/>
      <c r="T362" s="58"/>
    </row>
    <row r="363" spans="13:20" x14ac:dyDescent="0.3">
      <c r="M363" s="60"/>
      <c r="N363" s="61"/>
      <c r="O363" s="60"/>
      <c r="P363" s="57"/>
      <c r="Q363" s="58"/>
      <c r="R363" s="58"/>
      <c r="S363" s="58"/>
      <c r="T363" s="58"/>
    </row>
    <row r="364" spans="13:20" x14ac:dyDescent="0.3">
      <c r="M364" s="60"/>
      <c r="N364" s="61"/>
      <c r="O364" s="60"/>
      <c r="P364" s="57"/>
      <c r="Q364" s="58"/>
      <c r="R364" s="58"/>
      <c r="S364" s="58"/>
      <c r="T364" s="58"/>
    </row>
    <row r="365" spans="13:20" x14ac:dyDescent="0.3">
      <c r="M365" s="60"/>
      <c r="N365" s="61"/>
      <c r="O365" s="60"/>
      <c r="P365" s="57"/>
      <c r="Q365" s="58"/>
      <c r="R365" s="58"/>
      <c r="S365" s="58"/>
      <c r="T365" s="58"/>
    </row>
    <row r="366" spans="13:20" x14ac:dyDescent="0.3">
      <c r="M366" s="60"/>
      <c r="N366" s="61"/>
      <c r="O366" s="60"/>
    </row>
  </sheetData>
  <autoFilter ref="B4:V176" xr:uid="{00000000-0009-0000-0000-000001000000}">
    <filterColumn colId="6">
      <filters>
        <filter val="-1,150,961,500"/>
        <filter val="1,444,760,929"/>
        <filter val="-127,256,000"/>
        <filter val="-2,039,416,000"/>
        <filter val="-34,586,000"/>
        <filter val="442,123,500"/>
        <filter val="-495,408,000"/>
        <filter val="-86,040,420"/>
        <filter val="-924,136,000"/>
        <filter val="-983,632,136"/>
      </filters>
    </filterColumn>
  </autoFilter>
  <dataConsolidate/>
  <customSheetViews>
    <customSheetView guid="{0A0B97FA-E3A6-40D6-976A-E2B9E8D894E7}">
      <pane xSplit="4" ySplit="3" topLeftCell="E4" activePane="bottomRight" state="frozen"/>
      <selection pane="bottomRight" activeCell="E13" sqref="E13"/>
      <pageMargins left="0.7" right="0.7" top="0.75" bottom="0.75" header="0.3" footer="0.3"/>
      <pageSetup orientation="portrait" r:id="rId1"/>
    </customSheetView>
  </customSheetViews>
  <mergeCells count="8">
    <mergeCell ref="M31:M55"/>
    <mergeCell ref="N31:N55"/>
    <mergeCell ref="O31:O55"/>
    <mergeCell ref="B3:C3"/>
    <mergeCell ref="M2:P2"/>
    <mergeCell ref="M5:M29"/>
    <mergeCell ref="N5:N29"/>
    <mergeCell ref="O5:O29"/>
  </mergeCells>
  <phoneticPr fontId="25" type="noConversion"/>
  <conditionalFormatting sqref="H5:J174 M161:M174 O161:V174">
    <cfRule type="cellIs" dxfId="120" priority="65" operator="lessThan">
      <formula>0</formula>
    </cfRule>
    <cfRule type="cellIs" dxfId="119" priority="66" operator="greaterThan">
      <formula>0</formula>
    </cfRule>
  </conditionalFormatting>
  <conditionalFormatting sqref="U5:U29">
    <cfRule type="cellIs" dxfId="118" priority="1" operator="lessThan">
      <formula>0</formula>
    </cfRule>
    <cfRule type="cellIs" dxfId="117" priority="2" operator="greaterThan">
      <formula>0</formula>
    </cfRule>
  </conditionalFormatting>
  <conditionalFormatting sqref="U31:U55">
    <cfRule type="cellIs" dxfId="116" priority="29" operator="lessThan">
      <formula>0</formula>
    </cfRule>
    <cfRule type="cellIs" dxfId="115" priority="30" operator="greaterThan">
      <formula>0</formula>
    </cfRule>
  </conditionalFormatting>
  <conditionalFormatting sqref="U175:U365">
    <cfRule type="cellIs" dxfId="114" priority="35" operator="lessThan">
      <formula>0</formula>
    </cfRule>
    <cfRule type="cellIs" dxfId="113" priority="36" operator="greaterThan">
      <formula>0</formula>
    </cfRule>
  </conditionalFormatting>
  <pageMargins left="0.7" right="0.7" top="0.75" bottom="0.75" header="0.3" footer="0.3"/>
  <pageSetup orientation="portrait"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0000000}">
          <x14:formula1>
            <xm:f>Data!$C$4:$C$100</xm:f>
          </x14:formula1>
          <xm:sqref>N5 N31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B1:P1338"/>
  <sheetViews>
    <sheetView zoomScale="90" zoomScaleNormal="90" workbookViewId="0">
      <pane xSplit="5" ySplit="7" topLeftCell="F8" activePane="bottomRight" state="frozen"/>
      <selection pane="topRight" activeCell="F1" sqref="F1"/>
      <selection pane="bottomLeft" activeCell="A8" sqref="A8"/>
      <selection pane="bottomRight" sqref="A1:XFD1048576"/>
    </sheetView>
  </sheetViews>
  <sheetFormatPr defaultColWidth="8.88671875" defaultRowHeight="17.399999999999999" x14ac:dyDescent="0.3"/>
  <cols>
    <col min="1" max="1" width="2.109375" style="118" customWidth="1"/>
    <col min="2" max="2" width="8.88671875" style="118"/>
    <col min="3" max="3" width="14.6640625" style="119" customWidth="1"/>
    <col min="4" max="4" width="19.109375" style="119" bestFit="1" customWidth="1"/>
    <col min="5" max="5" width="22.5546875" style="118" customWidth="1"/>
    <col min="6" max="6" width="30.88671875" style="118" customWidth="1"/>
    <col min="7" max="7" width="21.6640625" style="118" customWidth="1"/>
    <col min="8" max="8" width="15.88671875" style="120" bestFit="1" customWidth="1"/>
    <col min="9" max="9" width="15.44140625" style="154" customWidth="1"/>
    <col min="10" max="10" width="13.109375" style="120" customWidth="1"/>
    <col min="11" max="11" width="22.88671875" style="118" bestFit="1" customWidth="1"/>
    <col min="12" max="12" width="19.44140625" style="120" customWidth="1"/>
    <col min="13" max="13" width="23.44140625" style="120" customWidth="1"/>
    <col min="14" max="14" width="22.5546875" style="120" customWidth="1"/>
    <col min="15" max="15" width="21.33203125" style="120" customWidth="1"/>
    <col min="16" max="16" width="15.109375" style="118" customWidth="1"/>
    <col min="17" max="16384" width="8.88671875" style="118"/>
  </cols>
  <sheetData>
    <row r="1" spans="2:16" ht="7.95" customHeight="1" x14ac:dyDescent="0.3">
      <c r="I1" s="120"/>
    </row>
    <row r="2" spans="2:16" ht="23.4" thickBot="1" x14ac:dyDescent="0.45">
      <c r="B2" s="293" t="s">
        <v>105</v>
      </c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</row>
    <row r="3" spans="2:16" s="129" customFormat="1" ht="33" customHeight="1" x14ac:dyDescent="0.3">
      <c r="B3" s="294" t="s">
        <v>106</v>
      </c>
      <c r="C3" s="295"/>
      <c r="D3" s="295"/>
      <c r="E3" s="295"/>
      <c r="F3" s="295"/>
      <c r="G3" s="295"/>
      <c r="H3" s="121" t="s">
        <v>6</v>
      </c>
      <c r="I3" s="122" t="s">
        <v>107</v>
      </c>
      <c r="J3" s="123" t="s">
        <v>108</v>
      </c>
      <c r="K3" s="124" t="s">
        <v>109</v>
      </c>
      <c r="L3" s="125" t="s">
        <v>9</v>
      </c>
      <c r="M3" s="126" t="s">
        <v>72</v>
      </c>
      <c r="N3" s="127" t="s">
        <v>110</v>
      </c>
      <c r="O3" s="127" t="str">
        <f>+IF(O4&gt;0, "ĐANG NỢ", "ĐANG DƯ")</f>
        <v>ĐANG DƯ</v>
      </c>
      <c r="P3" s="128" t="s">
        <v>111</v>
      </c>
    </row>
    <row r="4" spans="2:16" ht="30.6" customHeight="1" thickBot="1" x14ac:dyDescent="0.35">
      <c r="B4" s="296"/>
      <c r="C4" s="297"/>
      <c r="D4" s="297"/>
      <c r="E4" s="297"/>
      <c r="F4" s="297"/>
      <c r="G4" s="298"/>
      <c r="H4" s="130">
        <f>+SUM(H16:H1048576)</f>
        <v>0</v>
      </c>
      <c r="I4" s="130">
        <f>+IFERROR(SUM(I16:I1048576),"-")</f>
        <v>0</v>
      </c>
      <c r="J4" s="131" t="str">
        <f>IFERROR(+I4/H4,"-")</f>
        <v>-</v>
      </c>
      <c r="K4" s="130">
        <f>+SUM(K16:K1048576)</f>
        <v>0</v>
      </c>
      <c r="L4" s="130">
        <f>+SUM(L16:L1048576)</f>
        <v>0</v>
      </c>
      <c r="M4" s="130">
        <f>+SUM(M8:M1048576)</f>
        <v>0</v>
      </c>
      <c r="N4" s="130">
        <f>+L4+M4</f>
        <v>0</v>
      </c>
      <c r="O4" s="130">
        <f>+K4-N4</f>
        <v>0</v>
      </c>
      <c r="P4" s="132"/>
    </row>
    <row r="5" spans="2:16" ht="27" customHeight="1" thickBot="1" x14ac:dyDescent="0.35">
      <c r="B5" s="299" t="s">
        <v>112</v>
      </c>
      <c r="C5" s="300"/>
      <c r="D5" s="300"/>
      <c r="E5" s="300"/>
      <c r="F5" s="301"/>
      <c r="G5" s="133">
        <v>44593</v>
      </c>
      <c r="H5" s="131">
        <f>IFERROR(SUMIFS(H16:H20000,$C$16:$C$20000,G5),"-")</f>
        <v>0</v>
      </c>
      <c r="I5" s="134">
        <f>IFERROR(+SUMIFS(I16:I20000,$C$16:$C$20000,G5),"_")</f>
        <v>0</v>
      </c>
      <c r="J5" s="134" t="str">
        <f>IFERROR(+I5/H5,"-")</f>
        <v>-</v>
      </c>
      <c r="K5" s="131">
        <f>IFERROR(SUMIFS(K16:K20000,$C$16:$C$20000,G5),"-")</f>
        <v>0</v>
      </c>
      <c r="L5" s="131">
        <f>IFERROR(+SUMIFS(L16:L20000,$C$16:$C$20000,G5),"-")</f>
        <v>0</v>
      </c>
      <c r="M5" s="131">
        <f>IFERROR(+SUMIFS(M16:M20000,$C$16:$C$20000,G5),"-")</f>
        <v>0</v>
      </c>
      <c r="N5" s="131">
        <f>IFERROR(+SUMIFS(N16:N20000,$C$16:$C$20000,H5),"-")</f>
        <v>0</v>
      </c>
      <c r="O5" s="131"/>
      <c r="P5" s="135"/>
    </row>
    <row r="6" spans="2:16" ht="18" thickBot="1" x14ac:dyDescent="0.35">
      <c r="C6" s="118"/>
      <c r="D6" s="118"/>
      <c r="H6" s="118"/>
      <c r="I6" s="118"/>
      <c r="J6" s="118"/>
      <c r="L6" s="118"/>
      <c r="M6" s="118"/>
      <c r="N6" s="118"/>
      <c r="O6" s="118"/>
    </row>
    <row r="7" spans="2:16" s="129" customFormat="1" ht="40.200000000000003" customHeight="1" x14ac:dyDescent="0.3">
      <c r="B7" s="136" t="s">
        <v>2</v>
      </c>
      <c r="C7" s="137" t="s">
        <v>3</v>
      </c>
      <c r="D7" s="137" t="s">
        <v>113</v>
      </c>
      <c r="E7" s="138" t="s">
        <v>114</v>
      </c>
      <c r="F7" s="139" t="s">
        <v>1</v>
      </c>
      <c r="G7" s="140" t="s">
        <v>41</v>
      </c>
      <c r="H7" s="141" t="s">
        <v>6</v>
      </c>
      <c r="I7" s="142" t="s">
        <v>107</v>
      </c>
      <c r="J7" s="123" t="s">
        <v>108</v>
      </c>
      <c r="K7" s="143" t="s">
        <v>109</v>
      </c>
      <c r="L7" s="144" t="s">
        <v>9</v>
      </c>
      <c r="M7" s="144" t="s">
        <v>72</v>
      </c>
      <c r="N7" s="144" t="s">
        <v>115</v>
      </c>
      <c r="O7" s="144" t="s">
        <v>18</v>
      </c>
      <c r="P7" s="145" t="s">
        <v>111</v>
      </c>
    </row>
    <row r="8" spans="2:16" x14ac:dyDescent="0.3">
      <c r="B8" s="146">
        <v>1</v>
      </c>
      <c r="C8" s="147"/>
      <c r="D8" s="147"/>
      <c r="E8" s="146"/>
      <c r="F8" s="148" t="str">
        <f>+IFERROR(VLOOKUP(E8,Data!C4:D99,2,0),"")</f>
        <v/>
      </c>
      <c r="G8" s="146"/>
      <c r="H8" s="149"/>
      <c r="I8" s="150"/>
      <c r="J8" s="151" t="str">
        <f t="shared" ref="J8:J52" si="0">IFERROR(+I8/H8,"-")</f>
        <v>-</v>
      </c>
      <c r="K8" s="152"/>
      <c r="L8" s="149"/>
      <c r="M8" s="149"/>
      <c r="N8" s="153">
        <f t="shared" ref="N8:N52" si="1">+L8+M8</f>
        <v>0</v>
      </c>
      <c r="O8" s="153">
        <f t="shared" ref="O8:O52" si="2">+N8-K8</f>
        <v>0</v>
      </c>
      <c r="P8" s="146"/>
    </row>
    <row r="9" spans="2:16" x14ac:dyDescent="0.3">
      <c r="B9" s="146">
        <v>2</v>
      </c>
      <c r="C9" s="147"/>
      <c r="D9" s="147"/>
      <c r="E9" s="146"/>
      <c r="F9" s="148" t="str">
        <f>+IFERROR(VLOOKUP(E9,Data!C5:D100,2,0),"")</f>
        <v/>
      </c>
      <c r="G9" s="146"/>
      <c r="H9" s="149"/>
      <c r="I9" s="150"/>
      <c r="J9" s="151" t="str">
        <f t="shared" si="0"/>
        <v>-</v>
      </c>
      <c r="K9" s="152"/>
      <c r="L9" s="149"/>
      <c r="M9" s="149"/>
      <c r="N9" s="153">
        <f t="shared" si="1"/>
        <v>0</v>
      </c>
      <c r="O9" s="153">
        <f t="shared" si="2"/>
        <v>0</v>
      </c>
      <c r="P9" s="146"/>
    </row>
    <row r="10" spans="2:16" x14ac:dyDescent="0.3">
      <c r="B10" s="146">
        <v>3</v>
      </c>
      <c r="C10" s="147"/>
      <c r="D10" s="147"/>
      <c r="E10" s="146"/>
      <c r="F10" s="148" t="str">
        <f>+IFERROR(VLOOKUP(E10,Data!C6:D101,2,0),"")</f>
        <v/>
      </c>
      <c r="G10" s="146"/>
      <c r="H10" s="149"/>
      <c r="I10" s="150"/>
      <c r="J10" s="151" t="str">
        <f>IFERROR(+I10/H10,"-")</f>
        <v>-</v>
      </c>
      <c r="K10" s="152"/>
      <c r="L10" s="149"/>
      <c r="M10" s="149"/>
      <c r="N10" s="153">
        <f>+L10+M10</f>
        <v>0</v>
      </c>
      <c r="O10" s="153">
        <f>+N10-K10</f>
        <v>0</v>
      </c>
      <c r="P10" s="146"/>
    </row>
    <row r="11" spans="2:16" x14ac:dyDescent="0.3">
      <c r="B11" s="146">
        <v>4</v>
      </c>
      <c r="C11" s="147"/>
      <c r="D11" s="147"/>
      <c r="E11" s="146"/>
      <c r="F11" s="148" t="str">
        <f>+IFERROR(VLOOKUP(E11,Data!C7:D102,2,0),"")</f>
        <v/>
      </c>
      <c r="G11" s="146"/>
      <c r="H11" s="149"/>
      <c r="I11" s="150"/>
      <c r="J11" s="151" t="str">
        <f>IFERROR(+I11/H11,"-")</f>
        <v>-</v>
      </c>
      <c r="K11" s="152"/>
      <c r="L11" s="149"/>
      <c r="M11" s="149"/>
      <c r="N11" s="153">
        <f>+L11+M11</f>
        <v>0</v>
      </c>
      <c r="O11" s="153">
        <f>+N11-K11</f>
        <v>0</v>
      </c>
      <c r="P11" s="146"/>
    </row>
    <row r="12" spans="2:16" x14ac:dyDescent="0.3">
      <c r="B12" s="146">
        <v>5</v>
      </c>
      <c r="C12" s="147"/>
      <c r="D12" s="147"/>
      <c r="E12" s="146"/>
      <c r="F12" s="148" t="str">
        <f>+IFERROR(VLOOKUP(E12,Data!C8:D103,2,0),"")</f>
        <v/>
      </c>
      <c r="G12" s="146"/>
      <c r="H12" s="149"/>
      <c r="I12" s="150"/>
      <c r="J12" s="151" t="str">
        <f t="shared" si="0"/>
        <v>-</v>
      </c>
      <c r="K12" s="152"/>
      <c r="L12" s="149"/>
      <c r="M12" s="149"/>
      <c r="N12" s="153">
        <f t="shared" si="1"/>
        <v>0</v>
      </c>
      <c r="O12" s="153">
        <f t="shared" si="2"/>
        <v>0</v>
      </c>
      <c r="P12" s="146"/>
    </row>
    <row r="13" spans="2:16" x14ac:dyDescent="0.3">
      <c r="B13" s="146">
        <v>6</v>
      </c>
      <c r="C13" s="147"/>
      <c r="D13" s="147"/>
      <c r="E13" s="146"/>
      <c r="F13" s="148" t="str">
        <f>+IFERROR(VLOOKUP(E13,Data!C9:D104,2,0),"")</f>
        <v/>
      </c>
      <c r="G13" s="146"/>
      <c r="H13" s="149"/>
      <c r="I13" s="150"/>
      <c r="J13" s="151" t="str">
        <f t="shared" si="0"/>
        <v>-</v>
      </c>
      <c r="K13" s="152"/>
      <c r="L13" s="149"/>
      <c r="M13" s="149"/>
      <c r="N13" s="153">
        <f t="shared" si="1"/>
        <v>0</v>
      </c>
      <c r="O13" s="153">
        <f t="shared" si="2"/>
        <v>0</v>
      </c>
      <c r="P13" s="146"/>
    </row>
    <row r="14" spans="2:16" x14ac:dyDescent="0.3">
      <c r="B14" s="146">
        <v>7</v>
      </c>
      <c r="C14" s="147"/>
      <c r="D14" s="147"/>
      <c r="E14" s="146"/>
      <c r="F14" s="148" t="str">
        <f>+IFERROR(VLOOKUP(E14,Data!C10:D105,2,0),"")</f>
        <v/>
      </c>
      <c r="G14" s="146"/>
      <c r="H14" s="149"/>
      <c r="I14" s="150"/>
      <c r="J14" s="151" t="str">
        <f t="shared" si="0"/>
        <v>-</v>
      </c>
      <c r="K14" s="152"/>
      <c r="L14" s="149"/>
      <c r="M14" s="149"/>
      <c r="N14" s="153">
        <f t="shared" si="1"/>
        <v>0</v>
      </c>
      <c r="O14" s="153">
        <f t="shared" si="2"/>
        <v>0</v>
      </c>
      <c r="P14" s="146"/>
    </row>
    <row r="15" spans="2:16" x14ac:dyDescent="0.3">
      <c r="B15" s="146">
        <v>8</v>
      </c>
      <c r="C15" s="147"/>
      <c r="D15" s="147"/>
      <c r="E15" s="146"/>
      <c r="F15" s="148" t="str">
        <f>+IFERROR(VLOOKUP(E15,Data!C11:D106,2,0),"")</f>
        <v/>
      </c>
      <c r="G15" s="146"/>
      <c r="H15" s="149"/>
      <c r="I15" s="150"/>
      <c r="J15" s="151" t="str">
        <f t="shared" si="0"/>
        <v>-</v>
      </c>
      <c r="K15" s="152"/>
      <c r="L15" s="149"/>
      <c r="M15" s="149"/>
      <c r="N15" s="153">
        <f t="shared" si="1"/>
        <v>0</v>
      </c>
      <c r="O15" s="153">
        <f t="shared" si="2"/>
        <v>0</v>
      </c>
      <c r="P15" s="146"/>
    </row>
    <row r="16" spans="2:16" x14ac:dyDescent="0.3">
      <c r="B16" s="146">
        <v>9</v>
      </c>
      <c r="C16" s="147"/>
      <c r="D16" s="147"/>
      <c r="E16" s="146"/>
      <c r="F16" s="148" t="str">
        <f>+IFERROR(VLOOKUP(E16,Data!C12:D107,2,0),"")</f>
        <v/>
      </c>
      <c r="G16" s="146"/>
      <c r="H16" s="149"/>
      <c r="I16" s="150"/>
      <c r="J16" s="151" t="str">
        <f t="shared" si="0"/>
        <v>-</v>
      </c>
      <c r="K16" s="152"/>
      <c r="L16" s="149"/>
      <c r="M16" s="149"/>
      <c r="N16" s="153">
        <f t="shared" si="1"/>
        <v>0</v>
      </c>
      <c r="O16" s="153">
        <f t="shared" si="2"/>
        <v>0</v>
      </c>
      <c r="P16" s="146"/>
    </row>
    <row r="17" spans="2:16" x14ac:dyDescent="0.3">
      <c r="B17" s="146">
        <v>10</v>
      </c>
      <c r="C17" s="147"/>
      <c r="D17" s="147"/>
      <c r="E17" s="146"/>
      <c r="F17" s="148" t="str">
        <f>+IFERROR(VLOOKUP(E17,Data!C13:D108,2,0),"")</f>
        <v/>
      </c>
      <c r="G17" s="146"/>
      <c r="H17" s="149"/>
      <c r="I17" s="150"/>
      <c r="J17" s="151" t="str">
        <f t="shared" si="0"/>
        <v>-</v>
      </c>
      <c r="K17" s="152"/>
      <c r="L17" s="149"/>
      <c r="M17" s="149"/>
      <c r="N17" s="153">
        <f t="shared" si="1"/>
        <v>0</v>
      </c>
      <c r="O17" s="153">
        <f t="shared" si="2"/>
        <v>0</v>
      </c>
      <c r="P17" s="146"/>
    </row>
    <row r="18" spans="2:16" x14ac:dyDescent="0.3">
      <c r="B18" s="146">
        <v>11</v>
      </c>
      <c r="C18" s="147"/>
      <c r="D18" s="147"/>
      <c r="E18" s="146"/>
      <c r="F18" s="148" t="str">
        <f>+IFERROR(VLOOKUP(E18,Data!C14:D109,2,0),"")</f>
        <v/>
      </c>
      <c r="G18" s="146"/>
      <c r="H18" s="149"/>
      <c r="I18" s="150"/>
      <c r="J18" s="151" t="str">
        <f t="shared" si="0"/>
        <v>-</v>
      </c>
      <c r="K18" s="152"/>
      <c r="L18" s="149"/>
      <c r="M18" s="149"/>
      <c r="N18" s="153">
        <f t="shared" si="1"/>
        <v>0</v>
      </c>
      <c r="O18" s="153">
        <f t="shared" si="2"/>
        <v>0</v>
      </c>
      <c r="P18" s="146"/>
    </row>
    <row r="19" spans="2:16" x14ac:dyDescent="0.3">
      <c r="B19" s="146">
        <v>12</v>
      </c>
      <c r="C19" s="147"/>
      <c r="D19" s="147"/>
      <c r="E19" s="146"/>
      <c r="F19" s="148" t="str">
        <f>+IFERROR(VLOOKUP(E19,Data!C15:D110,2,0),"")</f>
        <v/>
      </c>
      <c r="G19" s="146"/>
      <c r="H19" s="149"/>
      <c r="I19" s="150"/>
      <c r="J19" s="151" t="str">
        <f t="shared" si="0"/>
        <v>-</v>
      </c>
      <c r="K19" s="152"/>
      <c r="L19" s="149"/>
      <c r="M19" s="149"/>
      <c r="N19" s="153">
        <f t="shared" si="1"/>
        <v>0</v>
      </c>
      <c r="O19" s="153">
        <f t="shared" si="2"/>
        <v>0</v>
      </c>
      <c r="P19" s="146"/>
    </row>
    <row r="20" spans="2:16" x14ac:dyDescent="0.3">
      <c r="B20" s="146">
        <v>13</v>
      </c>
      <c r="C20" s="147"/>
      <c r="D20" s="147"/>
      <c r="E20" s="146"/>
      <c r="F20" s="148" t="str">
        <f>+IFERROR(VLOOKUP(E20,Data!C16:D111,2,0),"")</f>
        <v/>
      </c>
      <c r="G20" s="146"/>
      <c r="H20" s="149"/>
      <c r="I20" s="150"/>
      <c r="J20" s="151" t="str">
        <f t="shared" si="0"/>
        <v>-</v>
      </c>
      <c r="K20" s="152"/>
      <c r="L20" s="149"/>
      <c r="M20" s="149"/>
      <c r="N20" s="153">
        <f t="shared" si="1"/>
        <v>0</v>
      </c>
      <c r="O20" s="153">
        <f t="shared" si="2"/>
        <v>0</v>
      </c>
      <c r="P20" s="146"/>
    </row>
    <row r="21" spans="2:16" x14ac:dyDescent="0.3">
      <c r="B21" s="146">
        <v>14</v>
      </c>
      <c r="C21" s="147"/>
      <c r="D21" s="147"/>
      <c r="E21" s="146"/>
      <c r="F21" s="148" t="str">
        <f>+IFERROR(VLOOKUP(E21,Data!C17:D112,2,0),"")</f>
        <v/>
      </c>
      <c r="G21" s="146"/>
      <c r="H21" s="149"/>
      <c r="I21" s="150"/>
      <c r="J21" s="151" t="str">
        <f t="shared" si="0"/>
        <v>-</v>
      </c>
      <c r="K21" s="152"/>
      <c r="L21" s="149"/>
      <c r="M21" s="149"/>
      <c r="N21" s="153">
        <f t="shared" si="1"/>
        <v>0</v>
      </c>
      <c r="O21" s="153">
        <f t="shared" si="2"/>
        <v>0</v>
      </c>
      <c r="P21" s="146"/>
    </row>
    <row r="22" spans="2:16" x14ac:dyDescent="0.3">
      <c r="B22" s="146">
        <v>15</v>
      </c>
      <c r="C22" s="147"/>
      <c r="D22" s="147"/>
      <c r="E22" s="146"/>
      <c r="F22" s="148" t="str">
        <f>+IFERROR(VLOOKUP(E22,Data!C18:D113,2,0),"")</f>
        <v/>
      </c>
      <c r="G22" s="146"/>
      <c r="H22" s="149"/>
      <c r="I22" s="150"/>
      <c r="J22" s="151" t="str">
        <f t="shared" si="0"/>
        <v>-</v>
      </c>
      <c r="K22" s="152"/>
      <c r="L22" s="149"/>
      <c r="M22" s="149"/>
      <c r="N22" s="153">
        <f t="shared" si="1"/>
        <v>0</v>
      </c>
      <c r="O22" s="153">
        <f t="shared" si="2"/>
        <v>0</v>
      </c>
      <c r="P22" s="146"/>
    </row>
    <row r="23" spans="2:16" x14ac:dyDescent="0.3">
      <c r="B23" s="146">
        <v>16</v>
      </c>
      <c r="C23" s="147"/>
      <c r="D23" s="147"/>
      <c r="E23" s="146"/>
      <c r="F23" s="148" t="str">
        <f>+IFERROR(VLOOKUP(E23,Data!C19:D114,2,0),"")</f>
        <v/>
      </c>
      <c r="G23" s="146"/>
      <c r="H23" s="149"/>
      <c r="I23" s="150"/>
      <c r="J23" s="151" t="str">
        <f t="shared" si="0"/>
        <v>-</v>
      </c>
      <c r="K23" s="152"/>
      <c r="L23" s="149"/>
      <c r="M23" s="149"/>
      <c r="N23" s="153">
        <f t="shared" si="1"/>
        <v>0</v>
      </c>
      <c r="O23" s="153">
        <f t="shared" si="2"/>
        <v>0</v>
      </c>
      <c r="P23" s="146"/>
    </row>
    <row r="24" spans="2:16" x14ac:dyDescent="0.3">
      <c r="B24" s="146">
        <v>17</v>
      </c>
      <c r="C24" s="147"/>
      <c r="D24" s="147"/>
      <c r="E24" s="146"/>
      <c r="F24" s="148" t="str">
        <f>+IFERROR(VLOOKUP(E24,Data!C20:D115,2,0),"")</f>
        <v/>
      </c>
      <c r="G24" s="146"/>
      <c r="H24" s="149"/>
      <c r="I24" s="150"/>
      <c r="J24" s="151" t="str">
        <f t="shared" si="0"/>
        <v>-</v>
      </c>
      <c r="K24" s="152"/>
      <c r="L24" s="149"/>
      <c r="M24" s="149"/>
      <c r="N24" s="153">
        <f t="shared" si="1"/>
        <v>0</v>
      </c>
      <c r="O24" s="153">
        <f t="shared" si="2"/>
        <v>0</v>
      </c>
      <c r="P24" s="146"/>
    </row>
    <row r="25" spans="2:16" x14ac:dyDescent="0.3">
      <c r="B25" s="146">
        <v>18</v>
      </c>
      <c r="C25" s="147"/>
      <c r="D25" s="147"/>
      <c r="E25" s="146"/>
      <c r="F25" s="148" t="str">
        <f>+IFERROR(VLOOKUP(E25,Data!C21:D116,2,0),"")</f>
        <v/>
      </c>
      <c r="G25" s="146"/>
      <c r="H25" s="149"/>
      <c r="I25" s="150"/>
      <c r="J25" s="151" t="str">
        <f t="shared" si="0"/>
        <v>-</v>
      </c>
      <c r="K25" s="152"/>
      <c r="L25" s="149"/>
      <c r="M25" s="149"/>
      <c r="N25" s="153">
        <f t="shared" si="1"/>
        <v>0</v>
      </c>
      <c r="O25" s="153">
        <f t="shared" si="2"/>
        <v>0</v>
      </c>
      <c r="P25" s="146"/>
    </row>
    <row r="26" spans="2:16" x14ac:dyDescent="0.3">
      <c r="B26" s="146">
        <v>19</v>
      </c>
      <c r="C26" s="147"/>
      <c r="D26" s="147"/>
      <c r="E26" s="146"/>
      <c r="F26" s="148" t="str">
        <f>+IFERROR(VLOOKUP(E26,Data!C22:D117,2,0),"")</f>
        <v/>
      </c>
      <c r="G26" s="146"/>
      <c r="H26" s="149"/>
      <c r="I26" s="150"/>
      <c r="J26" s="151" t="str">
        <f t="shared" si="0"/>
        <v>-</v>
      </c>
      <c r="K26" s="152"/>
      <c r="L26" s="149"/>
      <c r="M26" s="149"/>
      <c r="N26" s="153">
        <f t="shared" si="1"/>
        <v>0</v>
      </c>
      <c r="O26" s="153">
        <f t="shared" si="2"/>
        <v>0</v>
      </c>
      <c r="P26" s="146"/>
    </row>
    <row r="27" spans="2:16" x14ac:dyDescent="0.3">
      <c r="B27" s="146">
        <v>20</v>
      </c>
      <c r="C27" s="147"/>
      <c r="D27" s="147"/>
      <c r="E27" s="146"/>
      <c r="F27" s="148" t="str">
        <f>+IFERROR(VLOOKUP(E27,Data!C23:D118,2,0),"")</f>
        <v/>
      </c>
      <c r="G27" s="146"/>
      <c r="H27" s="149"/>
      <c r="I27" s="150"/>
      <c r="J27" s="151" t="str">
        <f t="shared" si="0"/>
        <v>-</v>
      </c>
      <c r="K27" s="152"/>
      <c r="L27" s="149"/>
      <c r="M27" s="149"/>
      <c r="N27" s="153">
        <f t="shared" si="1"/>
        <v>0</v>
      </c>
      <c r="O27" s="153">
        <f t="shared" si="2"/>
        <v>0</v>
      </c>
      <c r="P27" s="146"/>
    </row>
    <row r="28" spans="2:16" x14ac:dyDescent="0.3">
      <c r="B28" s="146">
        <v>21</v>
      </c>
      <c r="C28" s="147"/>
      <c r="D28" s="147"/>
      <c r="E28" s="146"/>
      <c r="F28" s="148" t="str">
        <f>+IFERROR(VLOOKUP(E28,Data!C24:D119,2,0),"")</f>
        <v/>
      </c>
      <c r="G28" s="146"/>
      <c r="H28" s="149"/>
      <c r="I28" s="150"/>
      <c r="J28" s="151" t="str">
        <f t="shared" si="0"/>
        <v>-</v>
      </c>
      <c r="K28" s="152"/>
      <c r="L28" s="149"/>
      <c r="M28" s="149"/>
      <c r="N28" s="153">
        <f t="shared" si="1"/>
        <v>0</v>
      </c>
      <c r="O28" s="153">
        <f t="shared" si="2"/>
        <v>0</v>
      </c>
      <c r="P28" s="146"/>
    </row>
    <row r="29" spans="2:16" x14ac:dyDescent="0.3">
      <c r="B29" s="146">
        <v>22</v>
      </c>
      <c r="C29" s="147"/>
      <c r="D29" s="147"/>
      <c r="E29" s="146"/>
      <c r="F29" s="148" t="str">
        <f>+IFERROR(VLOOKUP(E29,Data!C25:D120,2,0),"")</f>
        <v/>
      </c>
      <c r="G29" s="146"/>
      <c r="H29" s="149"/>
      <c r="I29" s="150"/>
      <c r="J29" s="151" t="str">
        <f t="shared" si="0"/>
        <v>-</v>
      </c>
      <c r="K29" s="152"/>
      <c r="L29" s="149"/>
      <c r="M29" s="149"/>
      <c r="N29" s="153">
        <f t="shared" si="1"/>
        <v>0</v>
      </c>
      <c r="O29" s="153">
        <f t="shared" si="2"/>
        <v>0</v>
      </c>
      <c r="P29" s="146"/>
    </row>
    <row r="30" spans="2:16" x14ac:dyDescent="0.3">
      <c r="B30" s="146">
        <v>23</v>
      </c>
      <c r="C30" s="147"/>
      <c r="D30" s="147"/>
      <c r="E30" s="146"/>
      <c r="F30" s="148" t="str">
        <f>+IFERROR(VLOOKUP(E30,Data!C26:D121,2,0),"")</f>
        <v/>
      </c>
      <c r="G30" s="146"/>
      <c r="H30" s="149"/>
      <c r="I30" s="150"/>
      <c r="J30" s="151" t="str">
        <f t="shared" si="0"/>
        <v>-</v>
      </c>
      <c r="K30" s="152"/>
      <c r="L30" s="149"/>
      <c r="M30" s="149"/>
      <c r="N30" s="153">
        <f t="shared" si="1"/>
        <v>0</v>
      </c>
      <c r="O30" s="153">
        <f t="shared" si="2"/>
        <v>0</v>
      </c>
      <c r="P30" s="146"/>
    </row>
    <row r="31" spans="2:16" x14ac:dyDescent="0.3">
      <c r="B31" s="146">
        <v>24</v>
      </c>
      <c r="C31" s="147"/>
      <c r="D31" s="147"/>
      <c r="E31" s="146"/>
      <c r="F31" s="148" t="str">
        <f>+IFERROR(VLOOKUP(E31,Data!C27:D122,2,0),"")</f>
        <v/>
      </c>
      <c r="G31" s="146"/>
      <c r="H31" s="149"/>
      <c r="I31" s="150"/>
      <c r="J31" s="151" t="str">
        <f t="shared" si="0"/>
        <v>-</v>
      </c>
      <c r="K31" s="152"/>
      <c r="L31" s="149"/>
      <c r="M31" s="149"/>
      <c r="N31" s="153">
        <f t="shared" si="1"/>
        <v>0</v>
      </c>
      <c r="O31" s="153">
        <f t="shared" si="2"/>
        <v>0</v>
      </c>
      <c r="P31" s="146"/>
    </row>
    <row r="32" spans="2:16" x14ac:dyDescent="0.3">
      <c r="B32" s="146">
        <v>25</v>
      </c>
      <c r="C32" s="147"/>
      <c r="D32" s="147"/>
      <c r="E32" s="146"/>
      <c r="F32" s="148" t="str">
        <f>+IFERROR(VLOOKUP(E32,Data!C28:D123,2,0),"")</f>
        <v/>
      </c>
      <c r="G32" s="146"/>
      <c r="H32" s="149"/>
      <c r="I32" s="150"/>
      <c r="J32" s="151" t="str">
        <f t="shared" si="0"/>
        <v>-</v>
      </c>
      <c r="K32" s="152"/>
      <c r="L32" s="149"/>
      <c r="M32" s="149"/>
      <c r="N32" s="153">
        <f t="shared" si="1"/>
        <v>0</v>
      </c>
      <c r="O32" s="153">
        <f t="shared" si="2"/>
        <v>0</v>
      </c>
      <c r="P32" s="146"/>
    </row>
    <row r="33" spans="2:16" x14ac:dyDescent="0.3">
      <c r="B33" s="146">
        <v>26</v>
      </c>
      <c r="C33" s="147"/>
      <c r="D33" s="147"/>
      <c r="E33" s="146"/>
      <c r="F33" s="148" t="str">
        <f>+IFERROR(VLOOKUP(E33,Data!C29:D124,2,0),"")</f>
        <v/>
      </c>
      <c r="G33" s="146"/>
      <c r="H33" s="149"/>
      <c r="I33" s="150"/>
      <c r="J33" s="151" t="str">
        <f t="shared" si="0"/>
        <v>-</v>
      </c>
      <c r="K33" s="152"/>
      <c r="L33" s="149"/>
      <c r="M33" s="149"/>
      <c r="N33" s="153">
        <f t="shared" si="1"/>
        <v>0</v>
      </c>
      <c r="O33" s="153">
        <f t="shared" si="2"/>
        <v>0</v>
      </c>
      <c r="P33" s="146"/>
    </row>
    <row r="34" spans="2:16" x14ac:dyDescent="0.3">
      <c r="B34" s="146">
        <v>27</v>
      </c>
      <c r="C34" s="147"/>
      <c r="D34" s="147"/>
      <c r="E34" s="146"/>
      <c r="F34" s="148" t="str">
        <f>+IFERROR(VLOOKUP(E34,Data!C30:D125,2,0),"")</f>
        <v/>
      </c>
      <c r="G34" s="146"/>
      <c r="H34" s="149"/>
      <c r="I34" s="150"/>
      <c r="J34" s="151" t="str">
        <f t="shared" si="0"/>
        <v>-</v>
      </c>
      <c r="K34" s="152"/>
      <c r="L34" s="149"/>
      <c r="M34" s="149"/>
      <c r="N34" s="153">
        <f t="shared" si="1"/>
        <v>0</v>
      </c>
      <c r="O34" s="153">
        <f t="shared" si="2"/>
        <v>0</v>
      </c>
      <c r="P34" s="146"/>
    </row>
    <row r="35" spans="2:16" x14ac:dyDescent="0.3">
      <c r="B35" s="146">
        <v>28</v>
      </c>
      <c r="C35" s="147"/>
      <c r="D35" s="147"/>
      <c r="E35" s="146"/>
      <c r="F35" s="148" t="str">
        <f>+IFERROR(VLOOKUP(E35,Data!C31:D126,2,0),"")</f>
        <v/>
      </c>
      <c r="G35" s="146"/>
      <c r="H35" s="149"/>
      <c r="I35" s="150"/>
      <c r="J35" s="151" t="str">
        <f t="shared" si="0"/>
        <v>-</v>
      </c>
      <c r="K35" s="152"/>
      <c r="L35" s="149"/>
      <c r="M35" s="149"/>
      <c r="N35" s="153">
        <f t="shared" si="1"/>
        <v>0</v>
      </c>
      <c r="O35" s="153">
        <f t="shared" si="2"/>
        <v>0</v>
      </c>
      <c r="P35" s="146"/>
    </row>
    <row r="36" spans="2:16" x14ac:dyDescent="0.3">
      <c r="B36" s="146">
        <v>29</v>
      </c>
      <c r="C36" s="147"/>
      <c r="D36" s="147"/>
      <c r="E36" s="146"/>
      <c r="F36" s="148" t="str">
        <f>+IFERROR(VLOOKUP(E36,Data!C32:D127,2,0),"")</f>
        <v/>
      </c>
      <c r="G36" s="146"/>
      <c r="H36" s="149"/>
      <c r="I36" s="150"/>
      <c r="J36" s="151" t="str">
        <f t="shared" si="0"/>
        <v>-</v>
      </c>
      <c r="K36" s="152"/>
      <c r="L36" s="149"/>
      <c r="M36" s="149"/>
      <c r="N36" s="153">
        <f t="shared" si="1"/>
        <v>0</v>
      </c>
      <c r="O36" s="153">
        <f t="shared" si="2"/>
        <v>0</v>
      </c>
      <c r="P36" s="146"/>
    </row>
    <row r="37" spans="2:16" x14ac:dyDescent="0.3">
      <c r="B37" s="146">
        <v>30</v>
      </c>
      <c r="C37" s="147"/>
      <c r="D37" s="147"/>
      <c r="E37" s="146"/>
      <c r="F37" s="148" t="str">
        <f>+IFERROR(VLOOKUP(E37,Data!C33:D128,2,0),"")</f>
        <v/>
      </c>
      <c r="G37" s="146"/>
      <c r="H37" s="149"/>
      <c r="I37" s="150"/>
      <c r="J37" s="151" t="str">
        <f t="shared" si="0"/>
        <v>-</v>
      </c>
      <c r="K37" s="152"/>
      <c r="L37" s="149"/>
      <c r="M37" s="149"/>
      <c r="N37" s="153">
        <f t="shared" si="1"/>
        <v>0</v>
      </c>
      <c r="O37" s="153">
        <f t="shared" si="2"/>
        <v>0</v>
      </c>
      <c r="P37" s="146"/>
    </row>
    <row r="38" spans="2:16" x14ac:dyDescent="0.3">
      <c r="B38" s="146">
        <v>31</v>
      </c>
      <c r="C38" s="147"/>
      <c r="D38" s="147"/>
      <c r="E38" s="146"/>
      <c r="F38" s="148" t="str">
        <f>+IFERROR(VLOOKUP(E38,Data!C34:D129,2,0),"")</f>
        <v/>
      </c>
      <c r="G38" s="146"/>
      <c r="H38" s="149"/>
      <c r="I38" s="150"/>
      <c r="J38" s="151" t="str">
        <f t="shared" si="0"/>
        <v>-</v>
      </c>
      <c r="K38" s="152"/>
      <c r="L38" s="149"/>
      <c r="M38" s="149"/>
      <c r="N38" s="153">
        <f t="shared" si="1"/>
        <v>0</v>
      </c>
      <c r="O38" s="153">
        <f t="shared" si="2"/>
        <v>0</v>
      </c>
      <c r="P38" s="146"/>
    </row>
    <row r="39" spans="2:16" x14ac:dyDescent="0.3">
      <c r="B39" s="146">
        <v>32</v>
      </c>
      <c r="C39" s="147"/>
      <c r="D39" s="147"/>
      <c r="E39" s="146"/>
      <c r="F39" s="148" t="str">
        <f>+IFERROR(VLOOKUP(E39,Data!C35:D130,2,0),"")</f>
        <v/>
      </c>
      <c r="G39" s="146"/>
      <c r="H39" s="149"/>
      <c r="I39" s="150"/>
      <c r="J39" s="151" t="str">
        <f t="shared" si="0"/>
        <v>-</v>
      </c>
      <c r="K39" s="152"/>
      <c r="L39" s="149"/>
      <c r="M39" s="149"/>
      <c r="N39" s="153">
        <f t="shared" si="1"/>
        <v>0</v>
      </c>
      <c r="O39" s="153">
        <f t="shared" si="2"/>
        <v>0</v>
      </c>
      <c r="P39" s="146"/>
    </row>
    <row r="40" spans="2:16" x14ac:dyDescent="0.3">
      <c r="B40" s="146">
        <v>33</v>
      </c>
      <c r="C40" s="147"/>
      <c r="D40" s="147"/>
      <c r="E40" s="146"/>
      <c r="F40" s="148" t="str">
        <f>+IFERROR(VLOOKUP(E40,Data!C36:D131,2,0),"")</f>
        <v/>
      </c>
      <c r="G40" s="146"/>
      <c r="H40" s="149"/>
      <c r="I40" s="150"/>
      <c r="J40" s="151" t="str">
        <f t="shared" si="0"/>
        <v>-</v>
      </c>
      <c r="K40" s="152"/>
      <c r="L40" s="149"/>
      <c r="M40" s="149"/>
      <c r="N40" s="153">
        <f t="shared" si="1"/>
        <v>0</v>
      </c>
      <c r="O40" s="153">
        <f t="shared" si="2"/>
        <v>0</v>
      </c>
      <c r="P40" s="146"/>
    </row>
    <row r="41" spans="2:16" x14ac:dyDescent="0.3">
      <c r="B41" s="146">
        <v>34</v>
      </c>
      <c r="C41" s="147"/>
      <c r="D41" s="147"/>
      <c r="E41" s="146"/>
      <c r="F41" s="148" t="str">
        <f>+IFERROR(VLOOKUP(E41,Data!C37:D132,2,0),"")</f>
        <v/>
      </c>
      <c r="G41" s="146"/>
      <c r="H41" s="149"/>
      <c r="I41" s="150"/>
      <c r="J41" s="151" t="str">
        <f t="shared" si="0"/>
        <v>-</v>
      </c>
      <c r="K41" s="152"/>
      <c r="L41" s="149"/>
      <c r="M41" s="149"/>
      <c r="N41" s="153">
        <f t="shared" si="1"/>
        <v>0</v>
      </c>
      <c r="O41" s="153">
        <f t="shared" si="2"/>
        <v>0</v>
      </c>
      <c r="P41" s="146"/>
    </row>
    <row r="42" spans="2:16" x14ac:dyDescent="0.3">
      <c r="B42" s="146">
        <v>35</v>
      </c>
      <c r="C42" s="147"/>
      <c r="D42" s="147"/>
      <c r="E42" s="146"/>
      <c r="F42" s="148" t="str">
        <f>+IFERROR(VLOOKUP(E42,Data!C38:D133,2,0),"")</f>
        <v/>
      </c>
      <c r="G42" s="146"/>
      <c r="H42" s="149"/>
      <c r="I42" s="150"/>
      <c r="J42" s="151" t="str">
        <f t="shared" si="0"/>
        <v>-</v>
      </c>
      <c r="K42" s="152"/>
      <c r="L42" s="149"/>
      <c r="M42" s="149"/>
      <c r="N42" s="153">
        <f t="shared" si="1"/>
        <v>0</v>
      </c>
      <c r="O42" s="153">
        <f t="shared" si="2"/>
        <v>0</v>
      </c>
      <c r="P42" s="146"/>
    </row>
    <row r="43" spans="2:16" x14ac:dyDescent="0.3">
      <c r="B43" s="146">
        <v>36</v>
      </c>
      <c r="C43" s="147"/>
      <c r="D43" s="147"/>
      <c r="E43" s="146"/>
      <c r="F43" s="148" t="str">
        <f>+IFERROR(VLOOKUP(E43,Data!C39:D134,2,0),"")</f>
        <v/>
      </c>
      <c r="G43" s="146"/>
      <c r="H43" s="149"/>
      <c r="I43" s="150"/>
      <c r="J43" s="151" t="str">
        <f t="shared" si="0"/>
        <v>-</v>
      </c>
      <c r="K43" s="152"/>
      <c r="L43" s="149"/>
      <c r="M43" s="149"/>
      <c r="N43" s="153">
        <f t="shared" si="1"/>
        <v>0</v>
      </c>
      <c r="O43" s="153">
        <f t="shared" si="2"/>
        <v>0</v>
      </c>
      <c r="P43" s="146"/>
    </row>
    <row r="44" spans="2:16" x14ac:dyDescent="0.3">
      <c r="B44" s="146">
        <v>37</v>
      </c>
      <c r="C44" s="147"/>
      <c r="D44" s="147"/>
      <c r="E44" s="146"/>
      <c r="F44" s="148" t="str">
        <f>+IFERROR(VLOOKUP(E44,Data!C40:D135,2,0),"")</f>
        <v/>
      </c>
      <c r="G44" s="146"/>
      <c r="H44" s="149"/>
      <c r="I44" s="150"/>
      <c r="J44" s="151" t="str">
        <f t="shared" si="0"/>
        <v>-</v>
      </c>
      <c r="K44" s="152"/>
      <c r="L44" s="149"/>
      <c r="M44" s="149"/>
      <c r="N44" s="153">
        <f t="shared" si="1"/>
        <v>0</v>
      </c>
      <c r="O44" s="153">
        <f t="shared" si="2"/>
        <v>0</v>
      </c>
      <c r="P44" s="146"/>
    </row>
    <row r="45" spans="2:16" x14ac:dyDescent="0.3">
      <c r="B45" s="146">
        <v>38</v>
      </c>
      <c r="C45" s="147"/>
      <c r="D45" s="147"/>
      <c r="E45" s="146"/>
      <c r="F45" s="148" t="str">
        <f>+IFERROR(VLOOKUP(E45,Data!C41:D136,2,0),"")</f>
        <v/>
      </c>
      <c r="G45" s="146"/>
      <c r="H45" s="149"/>
      <c r="I45" s="150"/>
      <c r="J45" s="151" t="str">
        <f t="shared" si="0"/>
        <v>-</v>
      </c>
      <c r="K45" s="152"/>
      <c r="L45" s="149"/>
      <c r="M45" s="149"/>
      <c r="N45" s="153">
        <f t="shared" si="1"/>
        <v>0</v>
      </c>
      <c r="O45" s="153">
        <f t="shared" si="2"/>
        <v>0</v>
      </c>
      <c r="P45" s="146"/>
    </row>
    <row r="46" spans="2:16" x14ac:dyDescent="0.3">
      <c r="B46" s="146">
        <v>39</v>
      </c>
      <c r="C46" s="147"/>
      <c r="D46" s="147"/>
      <c r="E46" s="146"/>
      <c r="F46" s="148" t="str">
        <f>+IFERROR(VLOOKUP(E46,Data!C42:D137,2,0),"")</f>
        <v/>
      </c>
      <c r="G46" s="146"/>
      <c r="H46" s="149"/>
      <c r="I46" s="150"/>
      <c r="J46" s="151" t="str">
        <f t="shared" si="0"/>
        <v>-</v>
      </c>
      <c r="K46" s="152"/>
      <c r="L46" s="149"/>
      <c r="M46" s="149"/>
      <c r="N46" s="153">
        <f t="shared" si="1"/>
        <v>0</v>
      </c>
      <c r="O46" s="153">
        <f t="shared" si="2"/>
        <v>0</v>
      </c>
      <c r="P46" s="146"/>
    </row>
    <row r="47" spans="2:16" x14ac:dyDescent="0.3">
      <c r="B47" s="146">
        <v>40</v>
      </c>
      <c r="C47" s="147"/>
      <c r="D47" s="147"/>
      <c r="E47" s="146"/>
      <c r="F47" s="148" t="str">
        <f>+IFERROR(VLOOKUP(E47,Data!C43:D138,2,0),"")</f>
        <v/>
      </c>
      <c r="G47" s="146"/>
      <c r="H47" s="149"/>
      <c r="I47" s="150"/>
      <c r="J47" s="151" t="str">
        <f t="shared" si="0"/>
        <v>-</v>
      </c>
      <c r="K47" s="152"/>
      <c r="L47" s="149"/>
      <c r="M47" s="149"/>
      <c r="N47" s="153">
        <f t="shared" si="1"/>
        <v>0</v>
      </c>
      <c r="O47" s="153">
        <f t="shared" si="2"/>
        <v>0</v>
      </c>
      <c r="P47" s="146"/>
    </row>
    <row r="48" spans="2:16" x14ac:dyDescent="0.3">
      <c r="B48" s="146">
        <v>41</v>
      </c>
      <c r="C48" s="147"/>
      <c r="D48" s="147"/>
      <c r="E48" s="146"/>
      <c r="F48" s="148" t="str">
        <f>+IFERROR(VLOOKUP(E48,Data!C44:D139,2,0),"")</f>
        <v/>
      </c>
      <c r="G48" s="146"/>
      <c r="H48" s="149"/>
      <c r="I48" s="150"/>
      <c r="J48" s="151" t="str">
        <f t="shared" si="0"/>
        <v>-</v>
      </c>
      <c r="K48" s="152"/>
      <c r="L48" s="149"/>
      <c r="M48" s="149"/>
      <c r="N48" s="153">
        <f t="shared" si="1"/>
        <v>0</v>
      </c>
      <c r="O48" s="153">
        <f t="shared" si="2"/>
        <v>0</v>
      </c>
      <c r="P48" s="146"/>
    </row>
    <row r="49" spans="2:16" x14ac:dyDescent="0.3">
      <c r="B49" s="146">
        <v>42</v>
      </c>
      <c r="C49" s="147"/>
      <c r="D49" s="147"/>
      <c r="E49" s="146"/>
      <c r="F49" s="148" t="str">
        <f>+IFERROR(VLOOKUP(E49,Data!C45:D140,2,0),"")</f>
        <v/>
      </c>
      <c r="G49" s="146"/>
      <c r="H49" s="149"/>
      <c r="I49" s="150"/>
      <c r="J49" s="151" t="str">
        <f t="shared" si="0"/>
        <v>-</v>
      </c>
      <c r="K49" s="152"/>
      <c r="L49" s="149"/>
      <c r="M49" s="149"/>
      <c r="N49" s="153">
        <f t="shared" si="1"/>
        <v>0</v>
      </c>
      <c r="O49" s="153">
        <f t="shared" si="2"/>
        <v>0</v>
      </c>
      <c r="P49" s="146"/>
    </row>
    <row r="50" spans="2:16" x14ac:dyDescent="0.3">
      <c r="B50" s="146">
        <v>43</v>
      </c>
      <c r="C50" s="147"/>
      <c r="D50" s="147"/>
      <c r="E50" s="146"/>
      <c r="F50" s="148" t="str">
        <f>+IFERROR(VLOOKUP(E50,Data!C46:D141,2,0),"")</f>
        <v/>
      </c>
      <c r="G50" s="146"/>
      <c r="H50" s="149"/>
      <c r="I50" s="150"/>
      <c r="J50" s="151" t="str">
        <f t="shared" si="0"/>
        <v>-</v>
      </c>
      <c r="K50" s="152"/>
      <c r="L50" s="149"/>
      <c r="M50" s="149"/>
      <c r="N50" s="153">
        <f t="shared" si="1"/>
        <v>0</v>
      </c>
      <c r="O50" s="153">
        <f t="shared" si="2"/>
        <v>0</v>
      </c>
      <c r="P50" s="146"/>
    </row>
    <row r="51" spans="2:16" x14ac:dyDescent="0.3">
      <c r="B51" s="146">
        <v>44</v>
      </c>
      <c r="C51" s="147"/>
      <c r="D51" s="147"/>
      <c r="E51" s="146"/>
      <c r="F51" s="148" t="str">
        <f>+IFERROR(VLOOKUP(E51,Data!C47:D142,2,0),"")</f>
        <v/>
      </c>
      <c r="G51" s="146"/>
      <c r="H51" s="149"/>
      <c r="I51" s="150"/>
      <c r="J51" s="151" t="str">
        <f t="shared" si="0"/>
        <v>-</v>
      </c>
      <c r="K51" s="152"/>
      <c r="L51" s="149"/>
      <c r="M51" s="149"/>
      <c r="N51" s="153">
        <f t="shared" si="1"/>
        <v>0</v>
      </c>
      <c r="O51" s="153">
        <f t="shared" si="2"/>
        <v>0</v>
      </c>
      <c r="P51" s="146"/>
    </row>
    <row r="52" spans="2:16" x14ac:dyDescent="0.3">
      <c r="B52" s="146">
        <v>45</v>
      </c>
      <c r="C52" s="147"/>
      <c r="D52" s="147"/>
      <c r="E52" s="146"/>
      <c r="F52" s="148" t="str">
        <f>+IFERROR(VLOOKUP(E52,Data!C48:D143,2,0),"")</f>
        <v/>
      </c>
      <c r="G52" s="146"/>
      <c r="H52" s="149"/>
      <c r="I52" s="150"/>
      <c r="J52" s="151" t="str">
        <f t="shared" si="0"/>
        <v>-</v>
      </c>
      <c r="K52" s="152"/>
      <c r="L52" s="149"/>
      <c r="M52" s="149"/>
      <c r="N52" s="153">
        <f t="shared" si="1"/>
        <v>0</v>
      </c>
      <c r="O52" s="153">
        <f t="shared" si="2"/>
        <v>0</v>
      </c>
      <c r="P52" s="146"/>
    </row>
    <row r="53" spans="2:16" x14ac:dyDescent="0.3">
      <c r="B53" s="146">
        <v>46</v>
      </c>
      <c r="C53" s="147"/>
      <c r="D53" s="147"/>
      <c r="E53" s="146"/>
      <c r="F53" s="148" t="str">
        <f>+IFERROR(VLOOKUP(E53,Data!C49:D144,2,0),"")</f>
        <v/>
      </c>
      <c r="G53" s="146"/>
      <c r="H53" s="149"/>
      <c r="I53" s="150"/>
      <c r="J53" s="151" t="str">
        <f>IFERROR(+I53/H53,"-")</f>
        <v>-</v>
      </c>
      <c r="K53" s="152"/>
      <c r="L53" s="149"/>
      <c r="M53" s="149"/>
      <c r="N53" s="153">
        <f>+L53+M53</f>
        <v>0</v>
      </c>
      <c r="O53" s="153">
        <f>+N53-K53</f>
        <v>0</v>
      </c>
      <c r="P53" s="146"/>
    </row>
    <row r="54" spans="2:16" x14ac:dyDescent="0.3">
      <c r="B54" s="146">
        <v>47</v>
      </c>
      <c r="C54" s="147"/>
      <c r="D54" s="147"/>
      <c r="E54" s="146"/>
      <c r="F54" s="148" t="str">
        <f>+IFERROR(VLOOKUP(E54,Data!C50:D145,2,0),"")</f>
        <v/>
      </c>
      <c r="G54" s="146"/>
      <c r="H54" s="149"/>
      <c r="I54" s="150"/>
      <c r="J54" s="151" t="str">
        <f t="shared" ref="J54:J117" si="3">IFERROR(+I54/H54,"-")</f>
        <v>-</v>
      </c>
      <c r="K54" s="152"/>
      <c r="L54" s="149"/>
      <c r="M54" s="149"/>
      <c r="N54" s="153">
        <f t="shared" ref="N54:N117" si="4">+L54+M54</f>
        <v>0</v>
      </c>
      <c r="O54" s="153">
        <f t="shared" ref="O54:O117" si="5">+N54-K54</f>
        <v>0</v>
      </c>
      <c r="P54" s="146"/>
    </row>
    <row r="55" spans="2:16" x14ac:dyDescent="0.3">
      <c r="B55" s="146">
        <v>48</v>
      </c>
      <c r="C55" s="147"/>
      <c r="D55" s="147"/>
      <c r="E55" s="146"/>
      <c r="F55" s="148" t="str">
        <f>+IFERROR(VLOOKUP(E55,Data!C51:D146,2,0),"")</f>
        <v/>
      </c>
      <c r="G55" s="146"/>
      <c r="H55" s="149"/>
      <c r="I55" s="150"/>
      <c r="J55" s="151" t="str">
        <f t="shared" si="3"/>
        <v>-</v>
      </c>
      <c r="K55" s="152"/>
      <c r="L55" s="149"/>
      <c r="M55" s="149"/>
      <c r="N55" s="153">
        <f t="shared" si="4"/>
        <v>0</v>
      </c>
      <c r="O55" s="153">
        <f t="shared" si="5"/>
        <v>0</v>
      </c>
      <c r="P55" s="146"/>
    </row>
    <row r="56" spans="2:16" x14ac:dyDescent="0.3">
      <c r="B56" s="146">
        <v>49</v>
      </c>
      <c r="C56" s="147"/>
      <c r="D56" s="147"/>
      <c r="E56" s="146"/>
      <c r="F56" s="148" t="str">
        <f>+IFERROR(VLOOKUP(E56,Data!C52:D147,2,0),"")</f>
        <v/>
      </c>
      <c r="G56" s="146"/>
      <c r="H56" s="149"/>
      <c r="I56" s="150"/>
      <c r="J56" s="151" t="str">
        <f t="shared" si="3"/>
        <v>-</v>
      </c>
      <c r="K56" s="152"/>
      <c r="L56" s="149"/>
      <c r="M56" s="149"/>
      <c r="N56" s="153">
        <f t="shared" si="4"/>
        <v>0</v>
      </c>
      <c r="O56" s="153">
        <f t="shared" si="5"/>
        <v>0</v>
      </c>
      <c r="P56" s="146"/>
    </row>
    <row r="57" spans="2:16" x14ac:dyDescent="0.3">
      <c r="B57" s="146">
        <v>50</v>
      </c>
      <c r="C57" s="147"/>
      <c r="D57" s="147"/>
      <c r="E57" s="146"/>
      <c r="F57" s="148" t="str">
        <f>+IFERROR(VLOOKUP(E57,Data!C53:D148,2,0),"")</f>
        <v/>
      </c>
      <c r="G57" s="146"/>
      <c r="H57" s="149"/>
      <c r="I57" s="150"/>
      <c r="J57" s="151" t="str">
        <f t="shared" si="3"/>
        <v>-</v>
      </c>
      <c r="K57" s="152"/>
      <c r="L57" s="149"/>
      <c r="M57" s="149"/>
      <c r="N57" s="153">
        <f t="shared" si="4"/>
        <v>0</v>
      </c>
      <c r="O57" s="153">
        <f t="shared" si="5"/>
        <v>0</v>
      </c>
      <c r="P57" s="146"/>
    </row>
    <row r="58" spans="2:16" x14ac:dyDescent="0.3">
      <c r="B58" s="146">
        <v>51</v>
      </c>
      <c r="C58" s="147"/>
      <c r="D58" s="147"/>
      <c r="E58" s="146"/>
      <c r="F58" s="148" t="str">
        <f>+IFERROR(VLOOKUP(E58,Data!C54:D149,2,0),"")</f>
        <v/>
      </c>
      <c r="G58" s="146"/>
      <c r="H58" s="149"/>
      <c r="I58" s="150"/>
      <c r="J58" s="151" t="str">
        <f t="shared" si="3"/>
        <v>-</v>
      </c>
      <c r="K58" s="152"/>
      <c r="L58" s="149"/>
      <c r="M58" s="149"/>
      <c r="N58" s="153">
        <f t="shared" si="4"/>
        <v>0</v>
      </c>
      <c r="O58" s="153">
        <f t="shared" si="5"/>
        <v>0</v>
      </c>
      <c r="P58" s="146"/>
    </row>
    <row r="59" spans="2:16" x14ac:dyDescent="0.3">
      <c r="B59" s="146">
        <v>52</v>
      </c>
      <c r="C59" s="147"/>
      <c r="D59" s="147"/>
      <c r="E59" s="146"/>
      <c r="F59" s="148" t="str">
        <f>+IFERROR(VLOOKUP(E59,Data!C55:D150,2,0),"")</f>
        <v/>
      </c>
      <c r="G59" s="146"/>
      <c r="H59" s="149"/>
      <c r="I59" s="150"/>
      <c r="J59" s="151" t="str">
        <f t="shared" si="3"/>
        <v>-</v>
      </c>
      <c r="K59" s="152"/>
      <c r="L59" s="149"/>
      <c r="M59" s="149"/>
      <c r="N59" s="153">
        <f t="shared" si="4"/>
        <v>0</v>
      </c>
      <c r="O59" s="153">
        <f t="shared" si="5"/>
        <v>0</v>
      </c>
      <c r="P59" s="146"/>
    </row>
    <row r="60" spans="2:16" x14ac:dyDescent="0.3">
      <c r="B60" s="146">
        <v>53</v>
      </c>
      <c r="C60" s="147"/>
      <c r="D60" s="147"/>
      <c r="E60" s="146"/>
      <c r="F60" s="148" t="str">
        <f>+IFERROR(VLOOKUP(E60,Data!C56:D151,2,0),"")</f>
        <v/>
      </c>
      <c r="G60" s="146"/>
      <c r="H60" s="149"/>
      <c r="I60" s="150"/>
      <c r="J60" s="151" t="str">
        <f t="shared" si="3"/>
        <v>-</v>
      </c>
      <c r="K60" s="152"/>
      <c r="L60" s="149"/>
      <c r="M60" s="149"/>
      <c r="N60" s="153">
        <f t="shared" si="4"/>
        <v>0</v>
      </c>
      <c r="O60" s="153">
        <f t="shared" si="5"/>
        <v>0</v>
      </c>
      <c r="P60" s="146"/>
    </row>
    <row r="61" spans="2:16" x14ac:dyDescent="0.3">
      <c r="B61" s="146">
        <v>54</v>
      </c>
      <c r="C61" s="147"/>
      <c r="D61" s="147"/>
      <c r="E61" s="146"/>
      <c r="F61" s="148" t="str">
        <f>+IFERROR(VLOOKUP(E61,Data!C57:D152,2,0),"")</f>
        <v/>
      </c>
      <c r="G61" s="146"/>
      <c r="H61" s="149"/>
      <c r="I61" s="150"/>
      <c r="J61" s="151" t="str">
        <f t="shared" si="3"/>
        <v>-</v>
      </c>
      <c r="K61" s="152"/>
      <c r="L61" s="149"/>
      <c r="M61" s="149"/>
      <c r="N61" s="153">
        <f t="shared" si="4"/>
        <v>0</v>
      </c>
      <c r="O61" s="153">
        <f t="shared" si="5"/>
        <v>0</v>
      </c>
      <c r="P61" s="146"/>
    </row>
    <row r="62" spans="2:16" x14ac:dyDescent="0.3">
      <c r="B62" s="146">
        <v>55</v>
      </c>
      <c r="C62" s="147"/>
      <c r="D62" s="147"/>
      <c r="E62" s="146"/>
      <c r="F62" s="148" t="str">
        <f>+IFERROR(VLOOKUP(E62,Data!C58:D153,2,0),"")</f>
        <v/>
      </c>
      <c r="G62" s="146"/>
      <c r="H62" s="149"/>
      <c r="I62" s="150"/>
      <c r="J62" s="151" t="str">
        <f t="shared" si="3"/>
        <v>-</v>
      </c>
      <c r="K62" s="152"/>
      <c r="L62" s="149"/>
      <c r="M62" s="149"/>
      <c r="N62" s="153">
        <f t="shared" si="4"/>
        <v>0</v>
      </c>
      <c r="O62" s="153">
        <f t="shared" si="5"/>
        <v>0</v>
      </c>
      <c r="P62" s="146"/>
    </row>
    <row r="63" spans="2:16" x14ac:dyDescent="0.3">
      <c r="B63" s="146">
        <v>56</v>
      </c>
      <c r="C63" s="147"/>
      <c r="D63" s="147"/>
      <c r="E63" s="146"/>
      <c r="F63" s="148" t="str">
        <f>+IFERROR(VLOOKUP(E63,Data!C59:D154,2,0),"")</f>
        <v/>
      </c>
      <c r="G63" s="146"/>
      <c r="H63" s="149"/>
      <c r="I63" s="150"/>
      <c r="J63" s="151" t="str">
        <f t="shared" si="3"/>
        <v>-</v>
      </c>
      <c r="K63" s="152"/>
      <c r="L63" s="149"/>
      <c r="M63" s="149"/>
      <c r="N63" s="153">
        <f t="shared" si="4"/>
        <v>0</v>
      </c>
      <c r="O63" s="153">
        <f t="shared" si="5"/>
        <v>0</v>
      </c>
      <c r="P63" s="146"/>
    </row>
    <row r="64" spans="2:16" x14ac:dyDescent="0.3">
      <c r="B64" s="146">
        <v>57</v>
      </c>
      <c r="C64" s="147"/>
      <c r="D64" s="147"/>
      <c r="E64" s="146"/>
      <c r="F64" s="148" t="str">
        <f>+IFERROR(VLOOKUP(E64,Data!C60:D155,2,0),"")</f>
        <v/>
      </c>
      <c r="G64" s="146"/>
      <c r="H64" s="149"/>
      <c r="I64" s="150"/>
      <c r="J64" s="151" t="str">
        <f t="shared" si="3"/>
        <v>-</v>
      </c>
      <c r="K64" s="152"/>
      <c r="L64" s="149"/>
      <c r="M64" s="149"/>
      <c r="N64" s="153">
        <f t="shared" si="4"/>
        <v>0</v>
      </c>
      <c r="O64" s="153">
        <f t="shared" si="5"/>
        <v>0</v>
      </c>
      <c r="P64" s="146"/>
    </row>
    <row r="65" spans="2:16" x14ac:dyDescent="0.3">
      <c r="B65" s="146">
        <v>58</v>
      </c>
      <c r="C65" s="147"/>
      <c r="D65" s="147"/>
      <c r="E65" s="146"/>
      <c r="F65" s="148" t="str">
        <f>+IFERROR(VLOOKUP(E65,Data!C61:D156,2,0),"")</f>
        <v/>
      </c>
      <c r="G65" s="146"/>
      <c r="H65" s="149"/>
      <c r="I65" s="150"/>
      <c r="J65" s="151" t="str">
        <f t="shared" si="3"/>
        <v>-</v>
      </c>
      <c r="K65" s="152"/>
      <c r="L65" s="149"/>
      <c r="M65" s="149"/>
      <c r="N65" s="153">
        <f t="shared" si="4"/>
        <v>0</v>
      </c>
      <c r="O65" s="153">
        <f t="shared" si="5"/>
        <v>0</v>
      </c>
      <c r="P65" s="146"/>
    </row>
    <row r="66" spans="2:16" x14ac:dyDescent="0.3">
      <c r="B66" s="146">
        <v>59</v>
      </c>
      <c r="C66" s="147"/>
      <c r="D66" s="147"/>
      <c r="E66" s="146"/>
      <c r="F66" s="148" t="str">
        <f>+IFERROR(VLOOKUP(E66,Data!C62:D157,2,0),"")</f>
        <v/>
      </c>
      <c r="G66" s="146"/>
      <c r="H66" s="149"/>
      <c r="I66" s="150"/>
      <c r="J66" s="151" t="str">
        <f t="shared" si="3"/>
        <v>-</v>
      </c>
      <c r="K66" s="152"/>
      <c r="L66" s="149"/>
      <c r="M66" s="149"/>
      <c r="N66" s="153">
        <f t="shared" si="4"/>
        <v>0</v>
      </c>
      <c r="O66" s="153">
        <f t="shared" si="5"/>
        <v>0</v>
      </c>
      <c r="P66" s="146"/>
    </row>
    <row r="67" spans="2:16" x14ac:dyDescent="0.3">
      <c r="B67" s="146">
        <v>60</v>
      </c>
      <c r="C67" s="147"/>
      <c r="D67" s="147"/>
      <c r="E67" s="146"/>
      <c r="F67" s="148" t="str">
        <f>+IFERROR(VLOOKUP(E67,Data!C63:D158,2,0),"")</f>
        <v/>
      </c>
      <c r="G67" s="146"/>
      <c r="H67" s="149"/>
      <c r="I67" s="150"/>
      <c r="J67" s="151" t="str">
        <f t="shared" si="3"/>
        <v>-</v>
      </c>
      <c r="K67" s="152"/>
      <c r="L67" s="149"/>
      <c r="M67" s="149"/>
      <c r="N67" s="153">
        <f t="shared" si="4"/>
        <v>0</v>
      </c>
      <c r="O67" s="153">
        <f t="shared" si="5"/>
        <v>0</v>
      </c>
      <c r="P67" s="146"/>
    </row>
    <row r="68" spans="2:16" x14ac:dyDescent="0.3">
      <c r="B68" s="146">
        <v>61</v>
      </c>
      <c r="C68" s="147"/>
      <c r="D68" s="147"/>
      <c r="E68" s="146"/>
      <c r="F68" s="148" t="str">
        <f>+IFERROR(VLOOKUP(E68,Data!C64:D159,2,0),"")</f>
        <v/>
      </c>
      <c r="G68" s="146"/>
      <c r="H68" s="149"/>
      <c r="I68" s="150"/>
      <c r="J68" s="151" t="str">
        <f t="shared" si="3"/>
        <v>-</v>
      </c>
      <c r="K68" s="152"/>
      <c r="L68" s="149"/>
      <c r="M68" s="149"/>
      <c r="N68" s="153">
        <f t="shared" si="4"/>
        <v>0</v>
      </c>
      <c r="O68" s="153">
        <f t="shared" si="5"/>
        <v>0</v>
      </c>
      <c r="P68" s="146"/>
    </row>
    <row r="69" spans="2:16" x14ac:dyDescent="0.3">
      <c r="B69" s="146">
        <v>62</v>
      </c>
      <c r="C69" s="147"/>
      <c r="D69" s="147"/>
      <c r="E69" s="146"/>
      <c r="F69" s="148" t="str">
        <f>+IFERROR(VLOOKUP(E69,Data!C65:D160,2,0),"")</f>
        <v/>
      </c>
      <c r="G69" s="146"/>
      <c r="H69" s="149"/>
      <c r="I69" s="150"/>
      <c r="J69" s="151" t="str">
        <f t="shared" si="3"/>
        <v>-</v>
      </c>
      <c r="K69" s="152"/>
      <c r="L69" s="149"/>
      <c r="M69" s="149"/>
      <c r="N69" s="153">
        <f t="shared" si="4"/>
        <v>0</v>
      </c>
      <c r="O69" s="153">
        <f t="shared" si="5"/>
        <v>0</v>
      </c>
      <c r="P69" s="146"/>
    </row>
    <row r="70" spans="2:16" x14ac:dyDescent="0.3">
      <c r="B70" s="146">
        <v>63</v>
      </c>
      <c r="C70" s="147"/>
      <c r="D70" s="147"/>
      <c r="E70" s="146"/>
      <c r="F70" s="148" t="str">
        <f>+IFERROR(VLOOKUP(E70,Data!C66:D161,2,0),"")</f>
        <v/>
      </c>
      <c r="G70" s="146"/>
      <c r="H70" s="149"/>
      <c r="I70" s="150"/>
      <c r="J70" s="151" t="str">
        <f t="shared" si="3"/>
        <v>-</v>
      </c>
      <c r="K70" s="152"/>
      <c r="L70" s="149"/>
      <c r="M70" s="149"/>
      <c r="N70" s="153">
        <f t="shared" si="4"/>
        <v>0</v>
      </c>
      <c r="O70" s="153">
        <f t="shared" si="5"/>
        <v>0</v>
      </c>
      <c r="P70" s="146"/>
    </row>
    <row r="71" spans="2:16" x14ac:dyDescent="0.3">
      <c r="B71" s="146">
        <v>64</v>
      </c>
      <c r="C71" s="147"/>
      <c r="D71" s="147"/>
      <c r="E71" s="146"/>
      <c r="F71" s="148" t="str">
        <f>+IFERROR(VLOOKUP(E71,Data!C67:D162,2,0),"")</f>
        <v/>
      </c>
      <c r="G71" s="146"/>
      <c r="H71" s="149"/>
      <c r="I71" s="150"/>
      <c r="J71" s="151" t="str">
        <f t="shared" si="3"/>
        <v>-</v>
      </c>
      <c r="K71" s="152"/>
      <c r="L71" s="149"/>
      <c r="M71" s="149"/>
      <c r="N71" s="153">
        <f t="shared" si="4"/>
        <v>0</v>
      </c>
      <c r="O71" s="153">
        <f t="shared" si="5"/>
        <v>0</v>
      </c>
      <c r="P71" s="146"/>
    </row>
    <row r="72" spans="2:16" x14ac:dyDescent="0.3">
      <c r="B72" s="146">
        <v>65</v>
      </c>
      <c r="C72" s="147"/>
      <c r="D72" s="147"/>
      <c r="E72" s="146"/>
      <c r="F72" s="148" t="str">
        <f>+IFERROR(VLOOKUP(E72,Data!C68:D163,2,0),"")</f>
        <v/>
      </c>
      <c r="G72" s="146"/>
      <c r="H72" s="149"/>
      <c r="I72" s="150"/>
      <c r="J72" s="151" t="str">
        <f t="shared" si="3"/>
        <v>-</v>
      </c>
      <c r="K72" s="152"/>
      <c r="L72" s="149"/>
      <c r="M72" s="149"/>
      <c r="N72" s="153">
        <f t="shared" si="4"/>
        <v>0</v>
      </c>
      <c r="O72" s="153">
        <f t="shared" si="5"/>
        <v>0</v>
      </c>
      <c r="P72" s="146"/>
    </row>
    <row r="73" spans="2:16" x14ac:dyDescent="0.3">
      <c r="B73" s="146">
        <v>66</v>
      </c>
      <c r="C73" s="147"/>
      <c r="D73" s="147"/>
      <c r="E73" s="146"/>
      <c r="F73" s="148" t="str">
        <f>+IFERROR(VLOOKUP(E73,Data!C69:D164,2,0),"")</f>
        <v/>
      </c>
      <c r="G73" s="146"/>
      <c r="H73" s="149"/>
      <c r="I73" s="150"/>
      <c r="J73" s="151" t="str">
        <f t="shared" si="3"/>
        <v>-</v>
      </c>
      <c r="K73" s="152"/>
      <c r="L73" s="149"/>
      <c r="M73" s="149"/>
      <c r="N73" s="153">
        <f t="shared" si="4"/>
        <v>0</v>
      </c>
      <c r="O73" s="153">
        <f t="shared" si="5"/>
        <v>0</v>
      </c>
      <c r="P73" s="146"/>
    </row>
    <row r="74" spans="2:16" x14ac:dyDescent="0.3">
      <c r="B74" s="146">
        <v>67</v>
      </c>
      <c r="C74" s="147"/>
      <c r="D74" s="147"/>
      <c r="E74" s="146"/>
      <c r="F74" s="148" t="str">
        <f>+IFERROR(VLOOKUP(E74,Data!C70:D165,2,0),"")</f>
        <v/>
      </c>
      <c r="G74" s="146"/>
      <c r="H74" s="149"/>
      <c r="I74" s="150"/>
      <c r="J74" s="151" t="str">
        <f t="shared" si="3"/>
        <v>-</v>
      </c>
      <c r="K74" s="152"/>
      <c r="L74" s="149"/>
      <c r="M74" s="149"/>
      <c r="N74" s="153">
        <f t="shared" si="4"/>
        <v>0</v>
      </c>
      <c r="O74" s="153">
        <f t="shared" si="5"/>
        <v>0</v>
      </c>
      <c r="P74" s="146"/>
    </row>
    <row r="75" spans="2:16" x14ac:dyDescent="0.3">
      <c r="B75" s="146">
        <v>68</v>
      </c>
      <c r="C75" s="147"/>
      <c r="D75" s="147"/>
      <c r="E75" s="146"/>
      <c r="F75" s="148" t="str">
        <f>+IFERROR(VLOOKUP(E75,Data!C71:D166,2,0),"")</f>
        <v/>
      </c>
      <c r="G75" s="146"/>
      <c r="H75" s="149"/>
      <c r="I75" s="150"/>
      <c r="J75" s="151" t="str">
        <f t="shared" si="3"/>
        <v>-</v>
      </c>
      <c r="K75" s="152"/>
      <c r="L75" s="149"/>
      <c r="M75" s="149"/>
      <c r="N75" s="153">
        <f t="shared" si="4"/>
        <v>0</v>
      </c>
      <c r="O75" s="153">
        <f t="shared" si="5"/>
        <v>0</v>
      </c>
      <c r="P75" s="146"/>
    </row>
    <row r="76" spans="2:16" x14ac:dyDescent="0.3">
      <c r="B76" s="146">
        <v>69</v>
      </c>
      <c r="C76" s="147"/>
      <c r="D76" s="147"/>
      <c r="E76" s="146"/>
      <c r="F76" s="148" t="str">
        <f>+IFERROR(VLOOKUP(E76,Data!C72:D167,2,0),"")</f>
        <v/>
      </c>
      <c r="G76" s="146"/>
      <c r="H76" s="149"/>
      <c r="I76" s="150"/>
      <c r="J76" s="151" t="str">
        <f t="shared" si="3"/>
        <v>-</v>
      </c>
      <c r="K76" s="152"/>
      <c r="L76" s="149"/>
      <c r="M76" s="149"/>
      <c r="N76" s="153">
        <f t="shared" si="4"/>
        <v>0</v>
      </c>
      <c r="O76" s="153">
        <f t="shared" si="5"/>
        <v>0</v>
      </c>
      <c r="P76" s="146"/>
    </row>
    <row r="77" spans="2:16" x14ac:dyDescent="0.3">
      <c r="B77" s="146">
        <v>70</v>
      </c>
      <c r="C77" s="147"/>
      <c r="D77" s="147"/>
      <c r="E77" s="146"/>
      <c r="F77" s="148" t="str">
        <f>+IFERROR(VLOOKUP(E77,Data!C73:D168,2,0),"")</f>
        <v/>
      </c>
      <c r="G77" s="146"/>
      <c r="H77" s="149"/>
      <c r="I77" s="150"/>
      <c r="J77" s="151" t="str">
        <f t="shared" si="3"/>
        <v>-</v>
      </c>
      <c r="K77" s="152"/>
      <c r="L77" s="149"/>
      <c r="M77" s="149"/>
      <c r="N77" s="153">
        <f t="shared" si="4"/>
        <v>0</v>
      </c>
      <c r="O77" s="153">
        <f t="shared" si="5"/>
        <v>0</v>
      </c>
      <c r="P77" s="146"/>
    </row>
    <row r="78" spans="2:16" x14ac:dyDescent="0.3">
      <c r="B78" s="146">
        <v>71</v>
      </c>
      <c r="C78" s="147"/>
      <c r="D78" s="147"/>
      <c r="E78" s="146"/>
      <c r="F78" s="148" t="str">
        <f>+IFERROR(VLOOKUP(E78,Data!C74:D169,2,0),"")</f>
        <v/>
      </c>
      <c r="G78" s="146"/>
      <c r="H78" s="149"/>
      <c r="I78" s="150"/>
      <c r="J78" s="151" t="str">
        <f t="shared" si="3"/>
        <v>-</v>
      </c>
      <c r="K78" s="152"/>
      <c r="L78" s="149"/>
      <c r="M78" s="149"/>
      <c r="N78" s="153">
        <f t="shared" si="4"/>
        <v>0</v>
      </c>
      <c r="O78" s="153">
        <f t="shared" si="5"/>
        <v>0</v>
      </c>
      <c r="P78" s="146"/>
    </row>
    <row r="79" spans="2:16" x14ac:dyDescent="0.3">
      <c r="B79" s="146">
        <v>72</v>
      </c>
      <c r="C79" s="147"/>
      <c r="D79" s="147"/>
      <c r="E79" s="146"/>
      <c r="F79" s="148" t="str">
        <f>+IFERROR(VLOOKUP(E79,Data!C75:D170,2,0),"")</f>
        <v/>
      </c>
      <c r="G79" s="146"/>
      <c r="H79" s="149"/>
      <c r="I79" s="150"/>
      <c r="J79" s="151" t="str">
        <f t="shared" si="3"/>
        <v>-</v>
      </c>
      <c r="K79" s="152"/>
      <c r="L79" s="149"/>
      <c r="M79" s="149"/>
      <c r="N79" s="153">
        <f t="shared" si="4"/>
        <v>0</v>
      </c>
      <c r="O79" s="153">
        <f t="shared" si="5"/>
        <v>0</v>
      </c>
      <c r="P79" s="146"/>
    </row>
    <row r="80" spans="2:16" x14ac:dyDescent="0.3">
      <c r="B80" s="146">
        <v>73</v>
      </c>
      <c r="C80" s="147"/>
      <c r="D80" s="147"/>
      <c r="E80" s="146"/>
      <c r="F80" s="148" t="str">
        <f>+IFERROR(VLOOKUP(E80,Data!C76:D171,2,0),"")</f>
        <v/>
      </c>
      <c r="G80" s="146"/>
      <c r="H80" s="149"/>
      <c r="I80" s="150"/>
      <c r="J80" s="151" t="str">
        <f t="shared" si="3"/>
        <v>-</v>
      </c>
      <c r="K80" s="152"/>
      <c r="L80" s="149"/>
      <c r="M80" s="149"/>
      <c r="N80" s="153">
        <f t="shared" si="4"/>
        <v>0</v>
      </c>
      <c r="O80" s="153">
        <f t="shared" si="5"/>
        <v>0</v>
      </c>
      <c r="P80" s="146"/>
    </row>
    <row r="81" spans="2:16" x14ac:dyDescent="0.3">
      <c r="B81" s="146">
        <v>74</v>
      </c>
      <c r="C81" s="147"/>
      <c r="D81" s="147"/>
      <c r="E81" s="146"/>
      <c r="F81" s="148" t="str">
        <f>+IFERROR(VLOOKUP(E81,Data!C77:D172,2,0),"")</f>
        <v/>
      </c>
      <c r="G81" s="146"/>
      <c r="H81" s="149"/>
      <c r="I81" s="150"/>
      <c r="J81" s="151" t="str">
        <f t="shared" si="3"/>
        <v>-</v>
      </c>
      <c r="K81" s="152"/>
      <c r="L81" s="149"/>
      <c r="M81" s="149"/>
      <c r="N81" s="153">
        <f t="shared" si="4"/>
        <v>0</v>
      </c>
      <c r="O81" s="153">
        <f t="shared" si="5"/>
        <v>0</v>
      </c>
      <c r="P81" s="146"/>
    </row>
    <row r="82" spans="2:16" x14ac:dyDescent="0.3">
      <c r="B82" s="146">
        <v>75</v>
      </c>
      <c r="C82" s="147"/>
      <c r="D82" s="147"/>
      <c r="E82" s="146"/>
      <c r="F82" s="148" t="str">
        <f>+IFERROR(VLOOKUP(E82,Data!C78:D173,2,0),"")</f>
        <v/>
      </c>
      <c r="G82" s="146"/>
      <c r="H82" s="149"/>
      <c r="I82" s="150"/>
      <c r="J82" s="151" t="str">
        <f t="shared" si="3"/>
        <v>-</v>
      </c>
      <c r="K82" s="152"/>
      <c r="L82" s="149"/>
      <c r="M82" s="149"/>
      <c r="N82" s="153">
        <f t="shared" si="4"/>
        <v>0</v>
      </c>
      <c r="O82" s="153">
        <f t="shared" si="5"/>
        <v>0</v>
      </c>
      <c r="P82" s="146"/>
    </row>
    <row r="83" spans="2:16" x14ac:dyDescent="0.3">
      <c r="B83" s="146">
        <v>76</v>
      </c>
      <c r="C83" s="147"/>
      <c r="D83" s="147"/>
      <c r="E83" s="146"/>
      <c r="F83" s="148" t="str">
        <f>+IFERROR(VLOOKUP(E83,Data!C79:D174,2,0),"")</f>
        <v/>
      </c>
      <c r="G83" s="146"/>
      <c r="H83" s="149"/>
      <c r="I83" s="150"/>
      <c r="J83" s="151" t="str">
        <f t="shared" si="3"/>
        <v>-</v>
      </c>
      <c r="K83" s="152"/>
      <c r="L83" s="149"/>
      <c r="M83" s="149"/>
      <c r="N83" s="153">
        <f t="shared" si="4"/>
        <v>0</v>
      </c>
      <c r="O83" s="153">
        <f t="shared" si="5"/>
        <v>0</v>
      </c>
      <c r="P83" s="146"/>
    </row>
    <row r="84" spans="2:16" x14ac:dyDescent="0.3">
      <c r="B84" s="146">
        <v>77</v>
      </c>
      <c r="C84" s="147"/>
      <c r="D84" s="147"/>
      <c r="E84" s="146"/>
      <c r="F84" s="148" t="str">
        <f>+IFERROR(VLOOKUP(E84,Data!C80:D175,2,0),"")</f>
        <v/>
      </c>
      <c r="G84" s="146"/>
      <c r="H84" s="149"/>
      <c r="I84" s="150"/>
      <c r="J84" s="151" t="str">
        <f t="shared" si="3"/>
        <v>-</v>
      </c>
      <c r="K84" s="152"/>
      <c r="L84" s="149"/>
      <c r="M84" s="149"/>
      <c r="N84" s="153">
        <f t="shared" si="4"/>
        <v>0</v>
      </c>
      <c r="O84" s="153">
        <f t="shared" si="5"/>
        <v>0</v>
      </c>
      <c r="P84" s="146"/>
    </row>
    <row r="85" spans="2:16" x14ac:dyDescent="0.3">
      <c r="B85" s="146">
        <v>78</v>
      </c>
      <c r="C85" s="147"/>
      <c r="D85" s="147"/>
      <c r="E85" s="146"/>
      <c r="F85" s="148" t="str">
        <f>+IFERROR(VLOOKUP(E85,Data!C81:D176,2,0),"")</f>
        <v/>
      </c>
      <c r="G85" s="146"/>
      <c r="H85" s="149"/>
      <c r="I85" s="150"/>
      <c r="J85" s="151" t="str">
        <f t="shared" si="3"/>
        <v>-</v>
      </c>
      <c r="K85" s="152"/>
      <c r="L85" s="149"/>
      <c r="M85" s="149"/>
      <c r="N85" s="153">
        <f t="shared" si="4"/>
        <v>0</v>
      </c>
      <c r="O85" s="153">
        <f t="shared" si="5"/>
        <v>0</v>
      </c>
      <c r="P85" s="146"/>
    </row>
    <row r="86" spans="2:16" x14ac:dyDescent="0.3">
      <c r="B86" s="146">
        <v>79</v>
      </c>
      <c r="C86" s="147"/>
      <c r="D86" s="147"/>
      <c r="E86" s="146"/>
      <c r="F86" s="148" t="str">
        <f>+IFERROR(VLOOKUP(E86,Data!C82:D177,2,0),"")</f>
        <v/>
      </c>
      <c r="G86" s="146"/>
      <c r="H86" s="149"/>
      <c r="I86" s="150"/>
      <c r="J86" s="151" t="str">
        <f t="shared" si="3"/>
        <v>-</v>
      </c>
      <c r="K86" s="152"/>
      <c r="L86" s="149"/>
      <c r="M86" s="149"/>
      <c r="N86" s="153">
        <f t="shared" si="4"/>
        <v>0</v>
      </c>
      <c r="O86" s="153">
        <f t="shared" si="5"/>
        <v>0</v>
      </c>
      <c r="P86" s="146"/>
    </row>
    <row r="87" spans="2:16" x14ac:dyDescent="0.3">
      <c r="B87" s="146">
        <v>80</v>
      </c>
      <c r="C87" s="147"/>
      <c r="D87" s="147"/>
      <c r="E87" s="146"/>
      <c r="F87" s="148" t="str">
        <f>+IFERROR(VLOOKUP(E87,Data!C83:D178,2,0),"")</f>
        <v/>
      </c>
      <c r="G87" s="146"/>
      <c r="H87" s="149"/>
      <c r="I87" s="150"/>
      <c r="J87" s="151" t="str">
        <f t="shared" si="3"/>
        <v>-</v>
      </c>
      <c r="K87" s="152"/>
      <c r="L87" s="149"/>
      <c r="M87" s="149"/>
      <c r="N87" s="153">
        <f t="shared" si="4"/>
        <v>0</v>
      </c>
      <c r="O87" s="153">
        <f t="shared" si="5"/>
        <v>0</v>
      </c>
      <c r="P87" s="146"/>
    </row>
    <row r="88" spans="2:16" x14ac:dyDescent="0.3">
      <c r="B88" s="146">
        <v>81</v>
      </c>
      <c r="C88" s="147"/>
      <c r="D88" s="147"/>
      <c r="E88" s="146"/>
      <c r="F88" s="148" t="str">
        <f>+IFERROR(VLOOKUP(E88,Data!C84:D179,2,0),"")</f>
        <v/>
      </c>
      <c r="G88" s="146"/>
      <c r="H88" s="149"/>
      <c r="I88" s="150"/>
      <c r="J88" s="151" t="str">
        <f t="shared" si="3"/>
        <v>-</v>
      </c>
      <c r="K88" s="152"/>
      <c r="L88" s="149"/>
      <c r="M88" s="149"/>
      <c r="N88" s="153">
        <f t="shared" si="4"/>
        <v>0</v>
      </c>
      <c r="O88" s="153">
        <f t="shared" si="5"/>
        <v>0</v>
      </c>
      <c r="P88" s="146"/>
    </row>
    <row r="89" spans="2:16" x14ac:dyDescent="0.3">
      <c r="B89" s="146">
        <v>82</v>
      </c>
      <c r="C89" s="147"/>
      <c r="D89" s="147"/>
      <c r="E89" s="146"/>
      <c r="F89" s="148" t="str">
        <f>+IFERROR(VLOOKUP(E89,Data!C85:D180,2,0),"")</f>
        <v/>
      </c>
      <c r="G89" s="146"/>
      <c r="H89" s="149"/>
      <c r="I89" s="150"/>
      <c r="J89" s="151" t="str">
        <f t="shared" si="3"/>
        <v>-</v>
      </c>
      <c r="K89" s="152"/>
      <c r="L89" s="149"/>
      <c r="M89" s="149"/>
      <c r="N89" s="153">
        <f t="shared" si="4"/>
        <v>0</v>
      </c>
      <c r="O89" s="153">
        <f t="shared" si="5"/>
        <v>0</v>
      </c>
      <c r="P89" s="146"/>
    </row>
    <row r="90" spans="2:16" x14ac:dyDescent="0.3">
      <c r="B90" s="146">
        <v>83</v>
      </c>
      <c r="C90" s="147"/>
      <c r="D90" s="147"/>
      <c r="E90" s="146"/>
      <c r="F90" s="148" t="str">
        <f>+IFERROR(VLOOKUP(E90,Data!C86:D181,2,0),"")</f>
        <v/>
      </c>
      <c r="G90" s="146"/>
      <c r="H90" s="149"/>
      <c r="I90" s="150"/>
      <c r="J90" s="151" t="str">
        <f t="shared" si="3"/>
        <v>-</v>
      </c>
      <c r="K90" s="152"/>
      <c r="L90" s="149"/>
      <c r="M90" s="149"/>
      <c r="N90" s="153">
        <f t="shared" si="4"/>
        <v>0</v>
      </c>
      <c r="O90" s="153">
        <f t="shared" si="5"/>
        <v>0</v>
      </c>
      <c r="P90" s="146"/>
    </row>
    <row r="91" spans="2:16" x14ac:dyDescent="0.3">
      <c r="B91" s="146">
        <v>84</v>
      </c>
      <c r="C91" s="147"/>
      <c r="D91" s="147"/>
      <c r="E91" s="146"/>
      <c r="F91" s="148" t="str">
        <f>+IFERROR(VLOOKUP(E91,Data!C87:D182,2,0),"")</f>
        <v/>
      </c>
      <c r="G91" s="146"/>
      <c r="H91" s="149"/>
      <c r="I91" s="150"/>
      <c r="J91" s="151" t="str">
        <f t="shared" si="3"/>
        <v>-</v>
      </c>
      <c r="K91" s="152"/>
      <c r="L91" s="149"/>
      <c r="M91" s="149"/>
      <c r="N91" s="153">
        <f t="shared" si="4"/>
        <v>0</v>
      </c>
      <c r="O91" s="153">
        <f t="shared" si="5"/>
        <v>0</v>
      </c>
      <c r="P91" s="146"/>
    </row>
    <row r="92" spans="2:16" x14ac:dyDescent="0.3">
      <c r="B92" s="146">
        <v>85</v>
      </c>
      <c r="C92" s="147"/>
      <c r="D92" s="147"/>
      <c r="E92" s="146"/>
      <c r="F92" s="148" t="str">
        <f>+IFERROR(VLOOKUP(E92,Data!C88:D183,2,0),"")</f>
        <v/>
      </c>
      <c r="G92" s="146"/>
      <c r="H92" s="149"/>
      <c r="I92" s="150"/>
      <c r="J92" s="151" t="str">
        <f t="shared" si="3"/>
        <v>-</v>
      </c>
      <c r="K92" s="152"/>
      <c r="L92" s="149"/>
      <c r="M92" s="149"/>
      <c r="N92" s="153">
        <f t="shared" si="4"/>
        <v>0</v>
      </c>
      <c r="O92" s="153">
        <f t="shared" si="5"/>
        <v>0</v>
      </c>
      <c r="P92" s="146"/>
    </row>
    <row r="93" spans="2:16" x14ac:dyDescent="0.3">
      <c r="B93" s="146">
        <v>86</v>
      </c>
      <c r="C93" s="147"/>
      <c r="D93" s="147"/>
      <c r="E93" s="146"/>
      <c r="F93" s="148" t="str">
        <f>+IFERROR(VLOOKUP(E93,Data!C89:D184,2,0),"")</f>
        <v/>
      </c>
      <c r="G93" s="146"/>
      <c r="H93" s="149"/>
      <c r="I93" s="150"/>
      <c r="J93" s="151" t="str">
        <f t="shared" si="3"/>
        <v>-</v>
      </c>
      <c r="K93" s="152"/>
      <c r="L93" s="149"/>
      <c r="M93" s="149"/>
      <c r="N93" s="153">
        <f t="shared" si="4"/>
        <v>0</v>
      </c>
      <c r="O93" s="153">
        <f t="shared" si="5"/>
        <v>0</v>
      </c>
      <c r="P93" s="146"/>
    </row>
    <row r="94" spans="2:16" x14ac:dyDescent="0.3">
      <c r="B94" s="146">
        <v>87</v>
      </c>
      <c r="C94" s="147"/>
      <c r="D94" s="147"/>
      <c r="E94" s="146"/>
      <c r="F94" s="148" t="str">
        <f>+IFERROR(VLOOKUP(E94,Data!C90:D185,2,0),"")</f>
        <v/>
      </c>
      <c r="G94" s="146"/>
      <c r="H94" s="149"/>
      <c r="I94" s="150"/>
      <c r="J94" s="151" t="str">
        <f t="shared" si="3"/>
        <v>-</v>
      </c>
      <c r="K94" s="152"/>
      <c r="L94" s="149"/>
      <c r="M94" s="149"/>
      <c r="N94" s="153">
        <f t="shared" si="4"/>
        <v>0</v>
      </c>
      <c r="O94" s="153">
        <f t="shared" si="5"/>
        <v>0</v>
      </c>
      <c r="P94" s="146"/>
    </row>
    <row r="95" spans="2:16" x14ac:dyDescent="0.3">
      <c r="B95" s="146">
        <v>88</v>
      </c>
      <c r="C95" s="147"/>
      <c r="D95" s="147"/>
      <c r="E95" s="146"/>
      <c r="F95" s="148" t="str">
        <f>+IFERROR(VLOOKUP(E95,Data!C91:D186,2,0),"")</f>
        <v/>
      </c>
      <c r="G95" s="146"/>
      <c r="H95" s="149"/>
      <c r="I95" s="150"/>
      <c r="J95" s="151" t="str">
        <f t="shared" si="3"/>
        <v>-</v>
      </c>
      <c r="K95" s="152"/>
      <c r="L95" s="149"/>
      <c r="M95" s="149"/>
      <c r="N95" s="153">
        <f t="shared" si="4"/>
        <v>0</v>
      </c>
      <c r="O95" s="153">
        <f t="shared" si="5"/>
        <v>0</v>
      </c>
      <c r="P95" s="146"/>
    </row>
    <row r="96" spans="2:16" x14ac:dyDescent="0.3">
      <c r="B96" s="146">
        <v>89</v>
      </c>
      <c r="C96" s="147"/>
      <c r="D96" s="147"/>
      <c r="E96" s="146"/>
      <c r="F96" s="148" t="str">
        <f>+IFERROR(VLOOKUP(E96,Data!C92:D187,2,0),"")</f>
        <v/>
      </c>
      <c r="G96" s="146"/>
      <c r="H96" s="149"/>
      <c r="I96" s="150"/>
      <c r="J96" s="151" t="str">
        <f t="shared" si="3"/>
        <v>-</v>
      </c>
      <c r="K96" s="152"/>
      <c r="L96" s="149"/>
      <c r="M96" s="149"/>
      <c r="N96" s="153">
        <f t="shared" si="4"/>
        <v>0</v>
      </c>
      <c r="O96" s="153">
        <f t="shared" si="5"/>
        <v>0</v>
      </c>
      <c r="P96" s="146"/>
    </row>
    <row r="97" spans="2:16" x14ac:dyDescent="0.3">
      <c r="B97" s="146">
        <v>90</v>
      </c>
      <c r="C97" s="147"/>
      <c r="D97" s="147"/>
      <c r="E97" s="146"/>
      <c r="F97" s="148" t="str">
        <f>+IFERROR(VLOOKUP(E97,Data!C93:D188,2,0),"")</f>
        <v/>
      </c>
      <c r="G97" s="146"/>
      <c r="H97" s="149"/>
      <c r="I97" s="150"/>
      <c r="J97" s="151" t="str">
        <f t="shared" si="3"/>
        <v>-</v>
      </c>
      <c r="K97" s="152"/>
      <c r="L97" s="149"/>
      <c r="M97" s="149"/>
      <c r="N97" s="153">
        <f t="shared" si="4"/>
        <v>0</v>
      </c>
      <c r="O97" s="153">
        <f t="shared" si="5"/>
        <v>0</v>
      </c>
      <c r="P97" s="146"/>
    </row>
    <row r="98" spans="2:16" x14ac:dyDescent="0.3">
      <c r="B98" s="146">
        <v>91</v>
      </c>
      <c r="C98" s="147"/>
      <c r="D98" s="147"/>
      <c r="E98" s="146"/>
      <c r="F98" s="148" t="str">
        <f>+IFERROR(VLOOKUP(E98,Data!C94:D189,2,0),"")</f>
        <v/>
      </c>
      <c r="G98" s="146"/>
      <c r="H98" s="149"/>
      <c r="I98" s="150"/>
      <c r="J98" s="151" t="str">
        <f t="shared" si="3"/>
        <v>-</v>
      </c>
      <c r="K98" s="152"/>
      <c r="L98" s="149"/>
      <c r="M98" s="149"/>
      <c r="N98" s="153">
        <f t="shared" si="4"/>
        <v>0</v>
      </c>
      <c r="O98" s="153">
        <f t="shared" si="5"/>
        <v>0</v>
      </c>
      <c r="P98" s="146"/>
    </row>
    <row r="99" spans="2:16" x14ac:dyDescent="0.3">
      <c r="B99" s="146">
        <v>92</v>
      </c>
      <c r="C99" s="147"/>
      <c r="D99" s="147"/>
      <c r="E99" s="146"/>
      <c r="F99" s="148" t="str">
        <f>+IFERROR(VLOOKUP(E99,Data!C95:D190,2,0),"")</f>
        <v/>
      </c>
      <c r="G99" s="146"/>
      <c r="H99" s="149"/>
      <c r="I99" s="150"/>
      <c r="J99" s="151" t="str">
        <f t="shared" si="3"/>
        <v>-</v>
      </c>
      <c r="K99" s="152"/>
      <c r="L99" s="149"/>
      <c r="M99" s="149"/>
      <c r="N99" s="153">
        <f t="shared" si="4"/>
        <v>0</v>
      </c>
      <c r="O99" s="153">
        <f t="shared" si="5"/>
        <v>0</v>
      </c>
      <c r="P99" s="146"/>
    </row>
    <row r="100" spans="2:16" x14ac:dyDescent="0.3">
      <c r="B100" s="146">
        <v>93</v>
      </c>
      <c r="C100" s="147"/>
      <c r="D100" s="147"/>
      <c r="E100" s="146"/>
      <c r="F100" s="148" t="str">
        <f>+IFERROR(VLOOKUP(E100,Data!C96:D191,2,0),"")</f>
        <v/>
      </c>
      <c r="G100" s="146"/>
      <c r="H100" s="149"/>
      <c r="I100" s="150"/>
      <c r="J100" s="151" t="str">
        <f t="shared" si="3"/>
        <v>-</v>
      </c>
      <c r="K100" s="152"/>
      <c r="L100" s="149"/>
      <c r="M100" s="149"/>
      <c r="N100" s="153">
        <f t="shared" si="4"/>
        <v>0</v>
      </c>
      <c r="O100" s="153">
        <f t="shared" si="5"/>
        <v>0</v>
      </c>
      <c r="P100" s="146"/>
    </row>
    <row r="101" spans="2:16" x14ac:dyDescent="0.3">
      <c r="B101" s="146">
        <v>94</v>
      </c>
      <c r="C101" s="147"/>
      <c r="D101" s="147"/>
      <c r="E101" s="146"/>
      <c r="F101" s="148" t="str">
        <f>+IFERROR(VLOOKUP(E101,Data!C97:D192,2,0),"")</f>
        <v/>
      </c>
      <c r="G101" s="146"/>
      <c r="H101" s="149"/>
      <c r="I101" s="150"/>
      <c r="J101" s="151" t="str">
        <f t="shared" si="3"/>
        <v>-</v>
      </c>
      <c r="K101" s="152"/>
      <c r="L101" s="149"/>
      <c r="M101" s="149"/>
      <c r="N101" s="153">
        <f t="shared" si="4"/>
        <v>0</v>
      </c>
      <c r="O101" s="153">
        <f t="shared" si="5"/>
        <v>0</v>
      </c>
      <c r="P101" s="146"/>
    </row>
    <row r="102" spans="2:16" x14ac:dyDescent="0.3">
      <c r="B102" s="146">
        <v>95</v>
      </c>
      <c r="C102" s="147"/>
      <c r="D102" s="147"/>
      <c r="E102" s="146"/>
      <c r="F102" s="148" t="str">
        <f>+IFERROR(VLOOKUP(E102,Data!C98:D193,2,0),"")</f>
        <v/>
      </c>
      <c r="G102" s="146"/>
      <c r="H102" s="149"/>
      <c r="I102" s="150"/>
      <c r="J102" s="151" t="str">
        <f t="shared" si="3"/>
        <v>-</v>
      </c>
      <c r="K102" s="152"/>
      <c r="L102" s="149"/>
      <c r="M102" s="149"/>
      <c r="N102" s="153">
        <f t="shared" si="4"/>
        <v>0</v>
      </c>
      <c r="O102" s="153">
        <f t="shared" si="5"/>
        <v>0</v>
      </c>
      <c r="P102" s="146"/>
    </row>
    <row r="103" spans="2:16" x14ac:dyDescent="0.3">
      <c r="B103" s="146">
        <v>96</v>
      </c>
      <c r="C103" s="147"/>
      <c r="D103" s="147"/>
      <c r="E103" s="146"/>
      <c r="F103" s="148" t="str">
        <f>+IFERROR(VLOOKUP(E103,Data!C99:D194,2,0),"")</f>
        <v/>
      </c>
      <c r="G103" s="146"/>
      <c r="H103" s="149"/>
      <c r="I103" s="150"/>
      <c r="J103" s="151" t="str">
        <f t="shared" si="3"/>
        <v>-</v>
      </c>
      <c r="K103" s="152"/>
      <c r="L103" s="149"/>
      <c r="M103" s="149"/>
      <c r="N103" s="153">
        <f t="shared" si="4"/>
        <v>0</v>
      </c>
      <c r="O103" s="153">
        <f t="shared" si="5"/>
        <v>0</v>
      </c>
      <c r="P103" s="146"/>
    </row>
    <row r="104" spans="2:16" x14ac:dyDescent="0.3">
      <c r="B104" s="146">
        <v>97</v>
      </c>
      <c r="C104" s="147"/>
      <c r="D104" s="147"/>
      <c r="E104" s="146"/>
      <c r="F104" s="148" t="str">
        <f>+IFERROR(VLOOKUP(E104,Data!C100:D195,2,0),"")</f>
        <v/>
      </c>
      <c r="G104" s="146"/>
      <c r="H104" s="149"/>
      <c r="I104" s="150"/>
      <c r="J104" s="151" t="str">
        <f t="shared" si="3"/>
        <v>-</v>
      </c>
      <c r="K104" s="152"/>
      <c r="L104" s="149"/>
      <c r="M104" s="149"/>
      <c r="N104" s="153">
        <f t="shared" si="4"/>
        <v>0</v>
      </c>
      <c r="O104" s="153">
        <f t="shared" si="5"/>
        <v>0</v>
      </c>
      <c r="P104" s="146"/>
    </row>
    <row r="105" spans="2:16" x14ac:dyDescent="0.3">
      <c r="B105" s="146">
        <v>98</v>
      </c>
      <c r="C105" s="147"/>
      <c r="D105" s="147"/>
      <c r="E105" s="146"/>
      <c r="F105" s="148" t="str">
        <f>+IFERROR(VLOOKUP(E105,Data!C101:D196,2,0),"")</f>
        <v/>
      </c>
      <c r="G105" s="146"/>
      <c r="H105" s="149"/>
      <c r="I105" s="150"/>
      <c r="J105" s="151" t="str">
        <f t="shared" si="3"/>
        <v>-</v>
      </c>
      <c r="K105" s="152"/>
      <c r="L105" s="149"/>
      <c r="M105" s="149"/>
      <c r="N105" s="153">
        <f t="shared" si="4"/>
        <v>0</v>
      </c>
      <c r="O105" s="153">
        <f t="shared" si="5"/>
        <v>0</v>
      </c>
      <c r="P105" s="146"/>
    </row>
    <row r="106" spans="2:16" x14ac:dyDescent="0.3">
      <c r="B106" s="146">
        <v>99</v>
      </c>
      <c r="C106" s="147"/>
      <c r="D106" s="147"/>
      <c r="E106" s="146"/>
      <c r="F106" s="148" t="str">
        <f>+IFERROR(VLOOKUP(E106,Data!C102:D197,2,0),"")</f>
        <v/>
      </c>
      <c r="G106" s="146"/>
      <c r="H106" s="149"/>
      <c r="I106" s="150"/>
      <c r="J106" s="151" t="str">
        <f t="shared" si="3"/>
        <v>-</v>
      </c>
      <c r="K106" s="152"/>
      <c r="L106" s="149"/>
      <c r="M106" s="149"/>
      <c r="N106" s="153">
        <f t="shared" si="4"/>
        <v>0</v>
      </c>
      <c r="O106" s="153">
        <f t="shared" si="5"/>
        <v>0</v>
      </c>
      <c r="P106" s="146"/>
    </row>
    <row r="107" spans="2:16" x14ac:dyDescent="0.3">
      <c r="B107" s="146">
        <v>100</v>
      </c>
      <c r="C107" s="147"/>
      <c r="D107" s="147"/>
      <c r="E107" s="146"/>
      <c r="F107" s="148" t="str">
        <f>+IFERROR(VLOOKUP(E107,Data!C103:D198,2,0),"")</f>
        <v/>
      </c>
      <c r="G107" s="146"/>
      <c r="H107" s="149"/>
      <c r="I107" s="150"/>
      <c r="J107" s="151" t="str">
        <f t="shared" si="3"/>
        <v>-</v>
      </c>
      <c r="K107" s="152"/>
      <c r="L107" s="149"/>
      <c r="M107" s="149"/>
      <c r="N107" s="153">
        <f t="shared" si="4"/>
        <v>0</v>
      </c>
      <c r="O107" s="153">
        <f t="shared" si="5"/>
        <v>0</v>
      </c>
      <c r="P107" s="146"/>
    </row>
    <row r="108" spans="2:16" x14ac:dyDescent="0.3">
      <c r="B108" s="146">
        <v>101</v>
      </c>
      <c r="C108" s="147"/>
      <c r="D108" s="147"/>
      <c r="E108" s="146"/>
      <c r="F108" s="148" t="str">
        <f>+IFERROR(VLOOKUP(E108,Data!C104:D199,2,0),"")</f>
        <v/>
      </c>
      <c r="G108" s="146"/>
      <c r="H108" s="149"/>
      <c r="I108" s="150"/>
      <c r="J108" s="151" t="str">
        <f t="shared" si="3"/>
        <v>-</v>
      </c>
      <c r="K108" s="152"/>
      <c r="L108" s="149"/>
      <c r="M108" s="149"/>
      <c r="N108" s="153">
        <f t="shared" si="4"/>
        <v>0</v>
      </c>
      <c r="O108" s="153">
        <f t="shared" si="5"/>
        <v>0</v>
      </c>
      <c r="P108" s="146"/>
    </row>
    <row r="109" spans="2:16" x14ac:dyDescent="0.3">
      <c r="B109" s="146">
        <v>102</v>
      </c>
      <c r="C109" s="147"/>
      <c r="D109" s="147"/>
      <c r="E109" s="146"/>
      <c r="F109" s="148" t="str">
        <f>+IFERROR(VLOOKUP(E109,Data!C105:D200,2,0),"")</f>
        <v/>
      </c>
      <c r="G109" s="146"/>
      <c r="H109" s="149"/>
      <c r="I109" s="150"/>
      <c r="J109" s="151" t="str">
        <f t="shared" si="3"/>
        <v>-</v>
      </c>
      <c r="K109" s="152"/>
      <c r="L109" s="149"/>
      <c r="M109" s="149"/>
      <c r="N109" s="153">
        <f t="shared" si="4"/>
        <v>0</v>
      </c>
      <c r="O109" s="153">
        <f t="shared" si="5"/>
        <v>0</v>
      </c>
      <c r="P109" s="146"/>
    </row>
    <row r="110" spans="2:16" x14ac:dyDescent="0.3">
      <c r="B110" s="146">
        <v>103</v>
      </c>
      <c r="C110" s="147"/>
      <c r="D110" s="147"/>
      <c r="E110" s="146"/>
      <c r="F110" s="148" t="str">
        <f>+IFERROR(VLOOKUP(E110,Data!C106:D201,2,0),"")</f>
        <v/>
      </c>
      <c r="G110" s="146"/>
      <c r="H110" s="149"/>
      <c r="I110" s="150"/>
      <c r="J110" s="151" t="str">
        <f t="shared" si="3"/>
        <v>-</v>
      </c>
      <c r="K110" s="152"/>
      <c r="L110" s="149"/>
      <c r="M110" s="149"/>
      <c r="N110" s="153">
        <f t="shared" si="4"/>
        <v>0</v>
      </c>
      <c r="O110" s="153">
        <f t="shared" si="5"/>
        <v>0</v>
      </c>
      <c r="P110" s="146"/>
    </row>
    <row r="111" spans="2:16" x14ac:dyDescent="0.3">
      <c r="B111" s="146">
        <v>104</v>
      </c>
      <c r="C111" s="147"/>
      <c r="D111" s="147"/>
      <c r="E111" s="146"/>
      <c r="F111" s="148" t="str">
        <f>+IFERROR(VLOOKUP(E111,Data!C107:D202,2,0),"")</f>
        <v/>
      </c>
      <c r="G111" s="146"/>
      <c r="H111" s="149"/>
      <c r="I111" s="150"/>
      <c r="J111" s="151" t="str">
        <f t="shared" si="3"/>
        <v>-</v>
      </c>
      <c r="K111" s="152"/>
      <c r="L111" s="149"/>
      <c r="M111" s="149"/>
      <c r="N111" s="153">
        <f t="shared" si="4"/>
        <v>0</v>
      </c>
      <c r="O111" s="153">
        <f t="shared" si="5"/>
        <v>0</v>
      </c>
      <c r="P111" s="146"/>
    </row>
    <row r="112" spans="2:16" x14ac:dyDescent="0.3">
      <c r="B112" s="146">
        <v>105</v>
      </c>
      <c r="C112" s="147"/>
      <c r="D112" s="147"/>
      <c r="E112" s="146"/>
      <c r="F112" s="148" t="str">
        <f>+IFERROR(VLOOKUP(E112,Data!C108:D203,2,0),"")</f>
        <v/>
      </c>
      <c r="G112" s="146"/>
      <c r="H112" s="149"/>
      <c r="I112" s="150"/>
      <c r="J112" s="151" t="str">
        <f t="shared" si="3"/>
        <v>-</v>
      </c>
      <c r="K112" s="152"/>
      <c r="L112" s="149"/>
      <c r="M112" s="149"/>
      <c r="N112" s="153">
        <f t="shared" si="4"/>
        <v>0</v>
      </c>
      <c r="O112" s="153">
        <f t="shared" si="5"/>
        <v>0</v>
      </c>
      <c r="P112" s="146"/>
    </row>
    <row r="113" spans="2:16" x14ac:dyDescent="0.3">
      <c r="B113" s="146">
        <v>106</v>
      </c>
      <c r="C113" s="147"/>
      <c r="D113" s="147"/>
      <c r="E113" s="146"/>
      <c r="F113" s="148" t="str">
        <f>+IFERROR(VLOOKUP(E113,Data!C109:D204,2,0),"")</f>
        <v/>
      </c>
      <c r="G113" s="146"/>
      <c r="H113" s="149"/>
      <c r="I113" s="150"/>
      <c r="J113" s="151" t="str">
        <f t="shared" si="3"/>
        <v>-</v>
      </c>
      <c r="K113" s="152"/>
      <c r="L113" s="149"/>
      <c r="M113" s="149"/>
      <c r="N113" s="153">
        <f t="shared" si="4"/>
        <v>0</v>
      </c>
      <c r="O113" s="153">
        <f t="shared" si="5"/>
        <v>0</v>
      </c>
      <c r="P113" s="146"/>
    </row>
    <row r="114" spans="2:16" x14ac:dyDescent="0.3">
      <c r="B114" s="146">
        <v>107</v>
      </c>
      <c r="C114" s="147"/>
      <c r="D114" s="147"/>
      <c r="E114" s="146"/>
      <c r="F114" s="148" t="str">
        <f>+IFERROR(VLOOKUP(E114,Data!C110:D205,2,0),"")</f>
        <v/>
      </c>
      <c r="G114" s="146"/>
      <c r="H114" s="149"/>
      <c r="I114" s="150"/>
      <c r="J114" s="151" t="str">
        <f t="shared" si="3"/>
        <v>-</v>
      </c>
      <c r="K114" s="152"/>
      <c r="L114" s="149"/>
      <c r="M114" s="149"/>
      <c r="N114" s="153">
        <f t="shared" si="4"/>
        <v>0</v>
      </c>
      <c r="O114" s="153">
        <f t="shared" si="5"/>
        <v>0</v>
      </c>
      <c r="P114" s="146"/>
    </row>
    <row r="115" spans="2:16" x14ac:dyDescent="0.3">
      <c r="B115" s="146">
        <v>108</v>
      </c>
      <c r="C115" s="147"/>
      <c r="D115" s="147"/>
      <c r="E115" s="146"/>
      <c r="F115" s="148" t="str">
        <f>+IFERROR(VLOOKUP(E115,Data!C111:D206,2,0),"")</f>
        <v/>
      </c>
      <c r="G115" s="146"/>
      <c r="H115" s="149"/>
      <c r="I115" s="150"/>
      <c r="J115" s="151" t="str">
        <f t="shared" si="3"/>
        <v>-</v>
      </c>
      <c r="K115" s="152"/>
      <c r="L115" s="149"/>
      <c r="M115" s="149"/>
      <c r="N115" s="153">
        <f t="shared" si="4"/>
        <v>0</v>
      </c>
      <c r="O115" s="153">
        <f t="shared" si="5"/>
        <v>0</v>
      </c>
      <c r="P115" s="146"/>
    </row>
    <row r="116" spans="2:16" x14ac:dyDescent="0.3">
      <c r="B116" s="146">
        <v>109</v>
      </c>
      <c r="C116" s="147"/>
      <c r="D116" s="147"/>
      <c r="E116" s="146"/>
      <c r="F116" s="148" t="str">
        <f>+IFERROR(VLOOKUP(E116,Data!C112:D207,2,0),"")</f>
        <v/>
      </c>
      <c r="G116" s="146"/>
      <c r="H116" s="149"/>
      <c r="I116" s="150"/>
      <c r="J116" s="151" t="str">
        <f t="shared" si="3"/>
        <v>-</v>
      </c>
      <c r="K116" s="152"/>
      <c r="L116" s="149"/>
      <c r="M116" s="149"/>
      <c r="N116" s="153">
        <f t="shared" si="4"/>
        <v>0</v>
      </c>
      <c r="O116" s="153">
        <f t="shared" si="5"/>
        <v>0</v>
      </c>
      <c r="P116" s="146"/>
    </row>
    <row r="117" spans="2:16" x14ac:dyDescent="0.3">
      <c r="B117" s="146">
        <v>110</v>
      </c>
      <c r="C117" s="147"/>
      <c r="D117" s="147"/>
      <c r="E117" s="146"/>
      <c r="F117" s="148" t="str">
        <f>+IFERROR(VLOOKUP(E117,Data!C113:D208,2,0),"")</f>
        <v/>
      </c>
      <c r="G117" s="146"/>
      <c r="H117" s="149"/>
      <c r="I117" s="150"/>
      <c r="J117" s="151" t="str">
        <f t="shared" si="3"/>
        <v>-</v>
      </c>
      <c r="K117" s="152"/>
      <c r="L117" s="149"/>
      <c r="M117" s="149"/>
      <c r="N117" s="153">
        <f t="shared" si="4"/>
        <v>0</v>
      </c>
      <c r="O117" s="153">
        <f t="shared" si="5"/>
        <v>0</v>
      </c>
      <c r="P117" s="146"/>
    </row>
    <row r="118" spans="2:16" x14ac:dyDescent="0.3">
      <c r="B118" s="146">
        <v>111</v>
      </c>
      <c r="C118" s="147"/>
      <c r="D118" s="147"/>
      <c r="E118" s="146"/>
      <c r="F118" s="148" t="str">
        <f>+IFERROR(VLOOKUP(E118,Data!C114:D209,2,0),"")</f>
        <v/>
      </c>
      <c r="G118" s="146"/>
      <c r="H118" s="149"/>
      <c r="I118" s="150"/>
      <c r="J118" s="151" t="str">
        <f t="shared" ref="J118:J181" si="6">IFERROR(+I118/H118,"-")</f>
        <v>-</v>
      </c>
      <c r="K118" s="152"/>
      <c r="L118" s="149"/>
      <c r="M118" s="149"/>
      <c r="N118" s="153">
        <f t="shared" ref="N118:N181" si="7">+L118+M118</f>
        <v>0</v>
      </c>
      <c r="O118" s="153">
        <f t="shared" ref="O118:O181" si="8">+N118-K118</f>
        <v>0</v>
      </c>
      <c r="P118" s="146"/>
    </row>
    <row r="119" spans="2:16" x14ac:dyDescent="0.3">
      <c r="B119" s="146">
        <v>112</v>
      </c>
      <c r="C119" s="147"/>
      <c r="D119" s="147"/>
      <c r="E119" s="146"/>
      <c r="F119" s="148" t="str">
        <f>+IFERROR(VLOOKUP(E119,Data!C115:D210,2,0),"")</f>
        <v/>
      </c>
      <c r="G119" s="146"/>
      <c r="H119" s="149"/>
      <c r="I119" s="150"/>
      <c r="J119" s="151" t="str">
        <f t="shared" si="6"/>
        <v>-</v>
      </c>
      <c r="K119" s="152"/>
      <c r="L119" s="149"/>
      <c r="M119" s="149"/>
      <c r="N119" s="153">
        <f t="shared" si="7"/>
        <v>0</v>
      </c>
      <c r="O119" s="153">
        <f t="shared" si="8"/>
        <v>0</v>
      </c>
      <c r="P119" s="146"/>
    </row>
    <row r="120" spans="2:16" x14ac:dyDescent="0.3">
      <c r="B120" s="146">
        <v>113</v>
      </c>
      <c r="C120" s="147"/>
      <c r="D120" s="147"/>
      <c r="E120" s="146"/>
      <c r="F120" s="148" t="str">
        <f>+IFERROR(VLOOKUP(E120,Data!C116:D211,2,0),"")</f>
        <v/>
      </c>
      <c r="G120" s="146"/>
      <c r="H120" s="149"/>
      <c r="I120" s="150"/>
      <c r="J120" s="151" t="str">
        <f t="shared" si="6"/>
        <v>-</v>
      </c>
      <c r="K120" s="152"/>
      <c r="L120" s="149"/>
      <c r="M120" s="149"/>
      <c r="N120" s="153">
        <f t="shared" si="7"/>
        <v>0</v>
      </c>
      <c r="O120" s="153">
        <f t="shared" si="8"/>
        <v>0</v>
      </c>
      <c r="P120" s="146"/>
    </row>
    <row r="121" spans="2:16" x14ac:dyDescent="0.3">
      <c r="B121" s="146">
        <v>114</v>
      </c>
      <c r="C121" s="147"/>
      <c r="D121" s="147"/>
      <c r="E121" s="146"/>
      <c r="F121" s="148" t="str">
        <f>+IFERROR(VLOOKUP(E121,Data!C117:D212,2,0),"")</f>
        <v/>
      </c>
      <c r="G121" s="146"/>
      <c r="H121" s="149"/>
      <c r="I121" s="150"/>
      <c r="J121" s="151" t="str">
        <f t="shared" si="6"/>
        <v>-</v>
      </c>
      <c r="K121" s="152"/>
      <c r="L121" s="149"/>
      <c r="M121" s="149"/>
      <c r="N121" s="153">
        <f t="shared" si="7"/>
        <v>0</v>
      </c>
      <c r="O121" s="153">
        <f t="shared" si="8"/>
        <v>0</v>
      </c>
      <c r="P121" s="146"/>
    </row>
    <row r="122" spans="2:16" x14ac:dyDescent="0.3">
      <c r="B122" s="146">
        <v>115</v>
      </c>
      <c r="C122" s="147"/>
      <c r="D122" s="147"/>
      <c r="E122" s="146"/>
      <c r="F122" s="148" t="str">
        <f>+IFERROR(VLOOKUP(E122,Data!C118:D213,2,0),"")</f>
        <v/>
      </c>
      <c r="G122" s="146"/>
      <c r="H122" s="149"/>
      <c r="I122" s="150"/>
      <c r="J122" s="151" t="str">
        <f t="shared" si="6"/>
        <v>-</v>
      </c>
      <c r="K122" s="152"/>
      <c r="L122" s="149"/>
      <c r="M122" s="149"/>
      <c r="N122" s="153">
        <f t="shared" si="7"/>
        <v>0</v>
      </c>
      <c r="O122" s="153">
        <f t="shared" si="8"/>
        <v>0</v>
      </c>
      <c r="P122" s="146"/>
    </row>
    <row r="123" spans="2:16" x14ac:dyDescent="0.3">
      <c r="B123" s="146">
        <v>116</v>
      </c>
      <c r="C123" s="147"/>
      <c r="D123" s="147"/>
      <c r="E123" s="146"/>
      <c r="F123" s="148" t="str">
        <f>+IFERROR(VLOOKUP(E123,Data!C119:D214,2,0),"")</f>
        <v/>
      </c>
      <c r="G123" s="146"/>
      <c r="H123" s="149"/>
      <c r="I123" s="150"/>
      <c r="J123" s="151" t="str">
        <f t="shared" si="6"/>
        <v>-</v>
      </c>
      <c r="K123" s="152"/>
      <c r="L123" s="149"/>
      <c r="M123" s="149"/>
      <c r="N123" s="153">
        <f t="shared" si="7"/>
        <v>0</v>
      </c>
      <c r="O123" s="153">
        <f t="shared" si="8"/>
        <v>0</v>
      </c>
      <c r="P123" s="146"/>
    </row>
    <row r="124" spans="2:16" x14ac:dyDescent="0.3">
      <c r="B124" s="146">
        <v>117</v>
      </c>
      <c r="C124" s="147"/>
      <c r="D124" s="147"/>
      <c r="E124" s="146"/>
      <c r="F124" s="148" t="str">
        <f>+IFERROR(VLOOKUP(E124,Data!C120:D215,2,0),"")</f>
        <v/>
      </c>
      <c r="G124" s="146"/>
      <c r="H124" s="149"/>
      <c r="I124" s="150"/>
      <c r="J124" s="151" t="str">
        <f t="shared" si="6"/>
        <v>-</v>
      </c>
      <c r="K124" s="152"/>
      <c r="L124" s="149"/>
      <c r="M124" s="149"/>
      <c r="N124" s="153">
        <f t="shared" si="7"/>
        <v>0</v>
      </c>
      <c r="O124" s="153">
        <f t="shared" si="8"/>
        <v>0</v>
      </c>
      <c r="P124" s="146"/>
    </row>
    <row r="125" spans="2:16" x14ac:dyDescent="0.3">
      <c r="B125" s="146">
        <v>118</v>
      </c>
      <c r="C125" s="147"/>
      <c r="D125" s="147"/>
      <c r="E125" s="146"/>
      <c r="F125" s="148" t="str">
        <f>+IFERROR(VLOOKUP(E125,Data!C121:D216,2,0),"")</f>
        <v/>
      </c>
      <c r="G125" s="146"/>
      <c r="H125" s="149"/>
      <c r="I125" s="150"/>
      <c r="J125" s="151" t="str">
        <f t="shared" si="6"/>
        <v>-</v>
      </c>
      <c r="K125" s="152"/>
      <c r="L125" s="149"/>
      <c r="M125" s="149"/>
      <c r="N125" s="153">
        <f t="shared" si="7"/>
        <v>0</v>
      </c>
      <c r="O125" s="153">
        <f t="shared" si="8"/>
        <v>0</v>
      </c>
      <c r="P125" s="146"/>
    </row>
    <row r="126" spans="2:16" x14ac:dyDescent="0.3">
      <c r="B126" s="146">
        <v>119</v>
      </c>
      <c r="C126" s="147"/>
      <c r="D126" s="147"/>
      <c r="E126" s="146"/>
      <c r="F126" s="148" t="str">
        <f>+IFERROR(VLOOKUP(E126,Data!C122:D217,2,0),"")</f>
        <v/>
      </c>
      <c r="G126" s="146"/>
      <c r="H126" s="149"/>
      <c r="I126" s="150"/>
      <c r="J126" s="151" t="str">
        <f t="shared" si="6"/>
        <v>-</v>
      </c>
      <c r="K126" s="152"/>
      <c r="L126" s="149"/>
      <c r="M126" s="149"/>
      <c r="N126" s="153">
        <f t="shared" si="7"/>
        <v>0</v>
      </c>
      <c r="O126" s="153">
        <f t="shared" si="8"/>
        <v>0</v>
      </c>
      <c r="P126" s="146"/>
    </row>
    <row r="127" spans="2:16" x14ac:dyDescent="0.3">
      <c r="B127" s="146">
        <v>120</v>
      </c>
      <c r="C127" s="147"/>
      <c r="D127" s="147"/>
      <c r="E127" s="146"/>
      <c r="F127" s="148" t="str">
        <f>+IFERROR(VLOOKUP(E127,Data!C123:D218,2,0),"")</f>
        <v/>
      </c>
      <c r="G127" s="146"/>
      <c r="H127" s="149"/>
      <c r="I127" s="150"/>
      <c r="J127" s="151" t="str">
        <f t="shared" si="6"/>
        <v>-</v>
      </c>
      <c r="K127" s="152"/>
      <c r="L127" s="149"/>
      <c r="M127" s="149"/>
      <c r="N127" s="153">
        <f t="shared" si="7"/>
        <v>0</v>
      </c>
      <c r="O127" s="153">
        <f t="shared" si="8"/>
        <v>0</v>
      </c>
      <c r="P127" s="146"/>
    </row>
    <row r="128" spans="2:16" x14ac:dyDescent="0.3">
      <c r="B128" s="146">
        <v>121</v>
      </c>
      <c r="C128" s="147"/>
      <c r="D128" s="147"/>
      <c r="E128" s="146"/>
      <c r="F128" s="148" t="str">
        <f>+IFERROR(VLOOKUP(E128,Data!C124:D219,2,0),"")</f>
        <v/>
      </c>
      <c r="G128" s="146"/>
      <c r="H128" s="149"/>
      <c r="I128" s="150"/>
      <c r="J128" s="151" t="str">
        <f t="shared" si="6"/>
        <v>-</v>
      </c>
      <c r="K128" s="152"/>
      <c r="L128" s="149"/>
      <c r="M128" s="149"/>
      <c r="N128" s="153">
        <f t="shared" si="7"/>
        <v>0</v>
      </c>
      <c r="O128" s="153">
        <f t="shared" si="8"/>
        <v>0</v>
      </c>
      <c r="P128" s="146"/>
    </row>
    <row r="129" spans="2:16" x14ac:dyDescent="0.3">
      <c r="B129" s="146">
        <v>122</v>
      </c>
      <c r="C129" s="147"/>
      <c r="D129" s="147"/>
      <c r="E129" s="146"/>
      <c r="F129" s="148" t="str">
        <f>+IFERROR(VLOOKUP(E129,Data!C125:D220,2,0),"")</f>
        <v/>
      </c>
      <c r="G129" s="146"/>
      <c r="H129" s="149"/>
      <c r="I129" s="150"/>
      <c r="J129" s="151" t="str">
        <f t="shared" si="6"/>
        <v>-</v>
      </c>
      <c r="K129" s="152"/>
      <c r="L129" s="149"/>
      <c r="M129" s="149"/>
      <c r="N129" s="153">
        <f t="shared" si="7"/>
        <v>0</v>
      </c>
      <c r="O129" s="153">
        <f t="shared" si="8"/>
        <v>0</v>
      </c>
      <c r="P129" s="146"/>
    </row>
    <row r="130" spans="2:16" x14ac:dyDescent="0.3">
      <c r="B130" s="146">
        <v>123</v>
      </c>
      <c r="C130" s="147"/>
      <c r="D130" s="147"/>
      <c r="E130" s="146"/>
      <c r="F130" s="148" t="str">
        <f>+IFERROR(VLOOKUP(E130,Data!C126:D221,2,0),"")</f>
        <v/>
      </c>
      <c r="G130" s="146"/>
      <c r="H130" s="149"/>
      <c r="I130" s="150"/>
      <c r="J130" s="151" t="str">
        <f t="shared" si="6"/>
        <v>-</v>
      </c>
      <c r="K130" s="152"/>
      <c r="L130" s="149"/>
      <c r="M130" s="149"/>
      <c r="N130" s="153">
        <f t="shared" si="7"/>
        <v>0</v>
      </c>
      <c r="O130" s="153">
        <f t="shared" si="8"/>
        <v>0</v>
      </c>
      <c r="P130" s="146"/>
    </row>
    <row r="131" spans="2:16" x14ac:dyDescent="0.3">
      <c r="B131" s="146">
        <v>124</v>
      </c>
      <c r="C131" s="147"/>
      <c r="D131" s="147"/>
      <c r="E131" s="146"/>
      <c r="F131" s="148" t="str">
        <f>+IFERROR(VLOOKUP(E131,Data!C127:D222,2,0),"")</f>
        <v/>
      </c>
      <c r="G131" s="146"/>
      <c r="H131" s="149"/>
      <c r="I131" s="150"/>
      <c r="J131" s="151" t="str">
        <f t="shared" si="6"/>
        <v>-</v>
      </c>
      <c r="K131" s="152"/>
      <c r="L131" s="149"/>
      <c r="M131" s="149"/>
      <c r="N131" s="153">
        <f t="shared" si="7"/>
        <v>0</v>
      </c>
      <c r="O131" s="153">
        <f t="shared" si="8"/>
        <v>0</v>
      </c>
      <c r="P131" s="146"/>
    </row>
    <row r="132" spans="2:16" x14ac:dyDescent="0.3">
      <c r="B132" s="146">
        <v>125</v>
      </c>
      <c r="C132" s="147"/>
      <c r="D132" s="147"/>
      <c r="E132" s="146"/>
      <c r="F132" s="148" t="str">
        <f>+IFERROR(VLOOKUP(E132,Data!C128:D223,2,0),"")</f>
        <v/>
      </c>
      <c r="G132" s="146"/>
      <c r="H132" s="149"/>
      <c r="I132" s="150"/>
      <c r="J132" s="151" t="str">
        <f t="shared" si="6"/>
        <v>-</v>
      </c>
      <c r="K132" s="152"/>
      <c r="L132" s="149"/>
      <c r="M132" s="149"/>
      <c r="N132" s="153">
        <f t="shared" si="7"/>
        <v>0</v>
      </c>
      <c r="O132" s="153">
        <f t="shared" si="8"/>
        <v>0</v>
      </c>
      <c r="P132" s="146"/>
    </row>
    <row r="133" spans="2:16" x14ac:dyDescent="0.3">
      <c r="B133" s="146">
        <v>126</v>
      </c>
      <c r="C133" s="147"/>
      <c r="D133" s="147"/>
      <c r="E133" s="146"/>
      <c r="F133" s="148" t="str">
        <f>+IFERROR(VLOOKUP(E133,Data!C129:D224,2,0),"")</f>
        <v/>
      </c>
      <c r="G133" s="146"/>
      <c r="H133" s="149"/>
      <c r="I133" s="150"/>
      <c r="J133" s="151" t="str">
        <f t="shared" si="6"/>
        <v>-</v>
      </c>
      <c r="K133" s="152"/>
      <c r="L133" s="149"/>
      <c r="M133" s="149"/>
      <c r="N133" s="153">
        <f t="shared" si="7"/>
        <v>0</v>
      </c>
      <c r="O133" s="153">
        <f t="shared" si="8"/>
        <v>0</v>
      </c>
      <c r="P133" s="146"/>
    </row>
    <row r="134" spans="2:16" x14ac:dyDescent="0.3">
      <c r="B134" s="146">
        <v>127</v>
      </c>
      <c r="C134" s="147"/>
      <c r="D134" s="147"/>
      <c r="E134" s="146"/>
      <c r="F134" s="148" t="str">
        <f>+IFERROR(VLOOKUP(E134,Data!C130:D225,2,0),"")</f>
        <v/>
      </c>
      <c r="G134" s="146"/>
      <c r="H134" s="149"/>
      <c r="I134" s="150"/>
      <c r="J134" s="151" t="str">
        <f t="shared" si="6"/>
        <v>-</v>
      </c>
      <c r="K134" s="152"/>
      <c r="L134" s="149"/>
      <c r="M134" s="149"/>
      <c r="N134" s="153">
        <f t="shared" si="7"/>
        <v>0</v>
      </c>
      <c r="O134" s="153">
        <f t="shared" si="8"/>
        <v>0</v>
      </c>
      <c r="P134" s="146"/>
    </row>
    <row r="135" spans="2:16" x14ac:dyDescent="0.3">
      <c r="B135" s="146">
        <v>128</v>
      </c>
      <c r="C135" s="147"/>
      <c r="D135" s="147"/>
      <c r="E135" s="146"/>
      <c r="F135" s="148" t="str">
        <f>+IFERROR(VLOOKUP(E135,Data!C131:D226,2,0),"")</f>
        <v/>
      </c>
      <c r="G135" s="146"/>
      <c r="H135" s="149"/>
      <c r="I135" s="150"/>
      <c r="J135" s="151" t="str">
        <f t="shared" si="6"/>
        <v>-</v>
      </c>
      <c r="K135" s="152"/>
      <c r="L135" s="149"/>
      <c r="M135" s="149"/>
      <c r="N135" s="153">
        <f t="shared" si="7"/>
        <v>0</v>
      </c>
      <c r="O135" s="153">
        <f t="shared" si="8"/>
        <v>0</v>
      </c>
      <c r="P135" s="146"/>
    </row>
    <row r="136" spans="2:16" x14ac:dyDescent="0.3">
      <c r="B136" s="146">
        <v>129</v>
      </c>
      <c r="C136" s="147"/>
      <c r="D136" s="147"/>
      <c r="E136" s="146"/>
      <c r="F136" s="148" t="str">
        <f>+IFERROR(VLOOKUP(E136,Data!C132:D227,2,0),"")</f>
        <v/>
      </c>
      <c r="G136" s="146"/>
      <c r="H136" s="149"/>
      <c r="I136" s="150"/>
      <c r="J136" s="151" t="str">
        <f t="shared" si="6"/>
        <v>-</v>
      </c>
      <c r="K136" s="152"/>
      <c r="L136" s="149"/>
      <c r="M136" s="149"/>
      <c r="N136" s="153">
        <f t="shared" si="7"/>
        <v>0</v>
      </c>
      <c r="O136" s="153">
        <f t="shared" si="8"/>
        <v>0</v>
      </c>
      <c r="P136" s="146"/>
    </row>
    <row r="137" spans="2:16" x14ac:dyDescent="0.3">
      <c r="B137" s="146">
        <v>130</v>
      </c>
      <c r="C137" s="147"/>
      <c r="D137" s="147"/>
      <c r="E137" s="146"/>
      <c r="F137" s="148" t="str">
        <f>+IFERROR(VLOOKUP(E137,Data!C133:D228,2,0),"")</f>
        <v/>
      </c>
      <c r="G137" s="146"/>
      <c r="H137" s="149"/>
      <c r="I137" s="150"/>
      <c r="J137" s="151" t="str">
        <f t="shared" si="6"/>
        <v>-</v>
      </c>
      <c r="K137" s="152"/>
      <c r="L137" s="149"/>
      <c r="M137" s="149"/>
      <c r="N137" s="153">
        <f t="shared" si="7"/>
        <v>0</v>
      </c>
      <c r="O137" s="153">
        <f t="shared" si="8"/>
        <v>0</v>
      </c>
      <c r="P137" s="146"/>
    </row>
    <row r="138" spans="2:16" x14ac:dyDescent="0.3">
      <c r="B138" s="146">
        <v>131</v>
      </c>
      <c r="C138" s="147"/>
      <c r="D138" s="147"/>
      <c r="E138" s="146"/>
      <c r="F138" s="148" t="str">
        <f>+IFERROR(VLOOKUP(E138,Data!C134:D229,2,0),"")</f>
        <v/>
      </c>
      <c r="G138" s="146"/>
      <c r="H138" s="149"/>
      <c r="I138" s="150"/>
      <c r="J138" s="151" t="str">
        <f t="shared" si="6"/>
        <v>-</v>
      </c>
      <c r="K138" s="152"/>
      <c r="L138" s="149"/>
      <c r="M138" s="149"/>
      <c r="N138" s="153">
        <f t="shared" si="7"/>
        <v>0</v>
      </c>
      <c r="O138" s="153">
        <f t="shared" si="8"/>
        <v>0</v>
      </c>
      <c r="P138" s="146"/>
    </row>
    <row r="139" spans="2:16" x14ac:dyDescent="0.3">
      <c r="B139" s="146">
        <v>132</v>
      </c>
      <c r="C139" s="147"/>
      <c r="D139" s="147"/>
      <c r="E139" s="146"/>
      <c r="F139" s="148" t="str">
        <f>+IFERROR(VLOOKUP(E139,Data!C135:D230,2,0),"")</f>
        <v/>
      </c>
      <c r="G139" s="146"/>
      <c r="H139" s="149"/>
      <c r="I139" s="150"/>
      <c r="J139" s="151" t="str">
        <f t="shared" si="6"/>
        <v>-</v>
      </c>
      <c r="K139" s="152"/>
      <c r="L139" s="149"/>
      <c r="M139" s="149"/>
      <c r="N139" s="153">
        <f t="shared" si="7"/>
        <v>0</v>
      </c>
      <c r="O139" s="153">
        <f t="shared" si="8"/>
        <v>0</v>
      </c>
      <c r="P139" s="146"/>
    </row>
    <row r="140" spans="2:16" x14ac:dyDescent="0.3">
      <c r="B140" s="146">
        <v>133</v>
      </c>
      <c r="C140" s="147"/>
      <c r="D140" s="147"/>
      <c r="E140" s="146"/>
      <c r="F140" s="148" t="str">
        <f>+IFERROR(VLOOKUP(E140,Data!C136:D231,2,0),"")</f>
        <v/>
      </c>
      <c r="G140" s="146"/>
      <c r="H140" s="149"/>
      <c r="I140" s="150"/>
      <c r="J140" s="151" t="str">
        <f t="shared" si="6"/>
        <v>-</v>
      </c>
      <c r="K140" s="152"/>
      <c r="L140" s="149"/>
      <c r="M140" s="149"/>
      <c r="N140" s="153">
        <f t="shared" si="7"/>
        <v>0</v>
      </c>
      <c r="O140" s="153">
        <f t="shared" si="8"/>
        <v>0</v>
      </c>
      <c r="P140" s="146"/>
    </row>
    <row r="141" spans="2:16" x14ac:dyDescent="0.3">
      <c r="B141" s="146">
        <v>134</v>
      </c>
      <c r="C141" s="147"/>
      <c r="D141" s="147"/>
      <c r="E141" s="146"/>
      <c r="F141" s="148" t="str">
        <f>+IFERROR(VLOOKUP(E141,Data!C137:D232,2,0),"")</f>
        <v/>
      </c>
      <c r="G141" s="146"/>
      <c r="H141" s="149"/>
      <c r="I141" s="150"/>
      <c r="J141" s="151" t="str">
        <f t="shared" si="6"/>
        <v>-</v>
      </c>
      <c r="K141" s="152"/>
      <c r="L141" s="149"/>
      <c r="M141" s="149"/>
      <c r="N141" s="153">
        <f t="shared" si="7"/>
        <v>0</v>
      </c>
      <c r="O141" s="153">
        <f t="shared" si="8"/>
        <v>0</v>
      </c>
      <c r="P141" s="146"/>
    </row>
    <row r="142" spans="2:16" x14ac:dyDescent="0.3">
      <c r="B142" s="146">
        <v>135</v>
      </c>
      <c r="C142" s="147"/>
      <c r="D142" s="147"/>
      <c r="E142" s="146"/>
      <c r="F142" s="148" t="str">
        <f>+IFERROR(VLOOKUP(E142,Data!C138:D233,2,0),"")</f>
        <v/>
      </c>
      <c r="G142" s="146"/>
      <c r="H142" s="149"/>
      <c r="I142" s="150"/>
      <c r="J142" s="151" t="str">
        <f t="shared" si="6"/>
        <v>-</v>
      </c>
      <c r="K142" s="152"/>
      <c r="L142" s="149"/>
      <c r="M142" s="149"/>
      <c r="N142" s="153">
        <f t="shared" si="7"/>
        <v>0</v>
      </c>
      <c r="O142" s="153">
        <f t="shared" si="8"/>
        <v>0</v>
      </c>
      <c r="P142" s="146"/>
    </row>
    <row r="143" spans="2:16" x14ac:dyDescent="0.3">
      <c r="B143" s="146">
        <v>136</v>
      </c>
      <c r="C143" s="147"/>
      <c r="D143" s="147"/>
      <c r="E143" s="146"/>
      <c r="F143" s="148" t="str">
        <f>+IFERROR(VLOOKUP(E143,Data!C139:D234,2,0),"")</f>
        <v/>
      </c>
      <c r="G143" s="146"/>
      <c r="H143" s="149"/>
      <c r="I143" s="150"/>
      <c r="J143" s="151" t="str">
        <f t="shared" si="6"/>
        <v>-</v>
      </c>
      <c r="K143" s="152"/>
      <c r="L143" s="149"/>
      <c r="M143" s="149"/>
      <c r="N143" s="153">
        <f t="shared" si="7"/>
        <v>0</v>
      </c>
      <c r="O143" s="153">
        <f t="shared" si="8"/>
        <v>0</v>
      </c>
      <c r="P143" s="146"/>
    </row>
    <row r="144" spans="2:16" x14ac:dyDescent="0.3">
      <c r="B144" s="146">
        <v>137</v>
      </c>
      <c r="C144" s="147"/>
      <c r="D144" s="147"/>
      <c r="E144" s="146"/>
      <c r="F144" s="148" t="str">
        <f>+IFERROR(VLOOKUP(E144,Data!C140:D235,2,0),"")</f>
        <v/>
      </c>
      <c r="G144" s="146"/>
      <c r="H144" s="149"/>
      <c r="I144" s="150"/>
      <c r="J144" s="151" t="str">
        <f t="shared" si="6"/>
        <v>-</v>
      </c>
      <c r="K144" s="152"/>
      <c r="L144" s="149"/>
      <c r="M144" s="149"/>
      <c r="N144" s="153">
        <f t="shared" si="7"/>
        <v>0</v>
      </c>
      <c r="O144" s="153">
        <f t="shared" si="8"/>
        <v>0</v>
      </c>
      <c r="P144" s="146"/>
    </row>
    <row r="145" spans="2:16" x14ac:dyDescent="0.3">
      <c r="B145" s="146">
        <v>138</v>
      </c>
      <c r="C145" s="147"/>
      <c r="D145" s="147"/>
      <c r="E145" s="146"/>
      <c r="F145" s="148" t="str">
        <f>+IFERROR(VLOOKUP(E145,Data!C141:D236,2,0),"")</f>
        <v/>
      </c>
      <c r="G145" s="146"/>
      <c r="H145" s="149"/>
      <c r="I145" s="150"/>
      <c r="J145" s="151" t="str">
        <f t="shared" si="6"/>
        <v>-</v>
      </c>
      <c r="K145" s="152"/>
      <c r="L145" s="149"/>
      <c r="M145" s="149"/>
      <c r="N145" s="153">
        <f t="shared" si="7"/>
        <v>0</v>
      </c>
      <c r="O145" s="153">
        <f t="shared" si="8"/>
        <v>0</v>
      </c>
      <c r="P145" s="146"/>
    </row>
    <row r="146" spans="2:16" x14ac:dyDescent="0.3">
      <c r="B146" s="146">
        <v>139</v>
      </c>
      <c r="C146" s="147"/>
      <c r="D146" s="147"/>
      <c r="E146" s="146"/>
      <c r="F146" s="148" t="str">
        <f>+IFERROR(VLOOKUP(E146,Data!C142:D237,2,0),"")</f>
        <v/>
      </c>
      <c r="G146" s="146"/>
      <c r="H146" s="149"/>
      <c r="I146" s="150"/>
      <c r="J146" s="151" t="str">
        <f t="shared" si="6"/>
        <v>-</v>
      </c>
      <c r="K146" s="152"/>
      <c r="L146" s="149"/>
      <c r="M146" s="149"/>
      <c r="N146" s="153">
        <f t="shared" si="7"/>
        <v>0</v>
      </c>
      <c r="O146" s="153">
        <f t="shared" si="8"/>
        <v>0</v>
      </c>
      <c r="P146" s="146"/>
    </row>
    <row r="147" spans="2:16" x14ac:dyDescent="0.3">
      <c r="B147" s="146">
        <v>140</v>
      </c>
      <c r="C147" s="147"/>
      <c r="D147" s="147"/>
      <c r="E147" s="146"/>
      <c r="F147" s="148" t="str">
        <f>+IFERROR(VLOOKUP(E147,Data!C143:D238,2,0),"")</f>
        <v/>
      </c>
      <c r="G147" s="146"/>
      <c r="H147" s="149"/>
      <c r="I147" s="150"/>
      <c r="J147" s="151" t="str">
        <f t="shared" si="6"/>
        <v>-</v>
      </c>
      <c r="K147" s="152"/>
      <c r="L147" s="149"/>
      <c r="M147" s="149"/>
      <c r="N147" s="153">
        <f t="shared" si="7"/>
        <v>0</v>
      </c>
      <c r="O147" s="153">
        <f t="shared" si="8"/>
        <v>0</v>
      </c>
      <c r="P147" s="146"/>
    </row>
    <row r="148" spans="2:16" x14ac:dyDescent="0.3">
      <c r="B148" s="146">
        <v>141</v>
      </c>
      <c r="C148" s="147"/>
      <c r="D148" s="147"/>
      <c r="E148" s="146"/>
      <c r="F148" s="148" t="str">
        <f>+IFERROR(VLOOKUP(E148,Data!C144:D239,2,0),"")</f>
        <v/>
      </c>
      <c r="G148" s="146"/>
      <c r="H148" s="149"/>
      <c r="I148" s="150"/>
      <c r="J148" s="151" t="str">
        <f t="shared" si="6"/>
        <v>-</v>
      </c>
      <c r="K148" s="152"/>
      <c r="L148" s="149"/>
      <c r="M148" s="149"/>
      <c r="N148" s="153">
        <f t="shared" si="7"/>
        <v>0</v>
      </c>
      <c r="O148" s="153">
        <f t="shared" si="8"/>
        <v>0</v>
      </c>
      <c r="P148" s="146"/>
    </row>
    <row r="149" spans="2:16" x14ac:dyDescent="0.3">
      <c r="B149" s="146">
        <v>142</v>
      </c>
      <c r="C149" s="147"/>
      <c r="D149" s="147"/>
      <c r="E149" s="146"/>
      <c r="F149" s="148" t="str">
        <f>+IFERROR(VLOOKUP(E149,Data!C145:D240,2,0),"")</f>
        <v/>
      </c>
      <c r="G149" s="146"/>
      <c r="H149" s="149"/>
      <c r="I149" s="150"/>
      <c r="J149" s="151" t="str">
        <f t="shared" si="6"/>
        <v>-</v>
      </c>
      <c r="K149" s="152"/>
      <c r="L149" s="149"/>
      <c r="M149" s="149"/>
      <c r="N149" s="153">
        <f t="shared" si="7"/>
        <v>0</v>
      </c>
      <c r="O149" s="153">
        <f t="shared" si="8"/>
        <v>0</v>
      </c>
      <c r="P149" s="146"/>
    </row>
    <row r="150" spans="2:16" x14ac:dyDescent="0.3">
      <c r="B150" s="146">
        <v>143</v>
      </c>
      <c r="C150" s="147"/>
      <c r="D150" s="147"/>
      <c r="E150" s="146"/>
      <c r="F150" s="148" t="str">
        <f>+IFERROR(VLOOKUP(E150,Data!C146:D241,2,0),"")</f>
        <v/>
      </c>
      <c r="G150" s="146"/>
      <c r="H150" s="149"/>
      <c r="I150" s="150"/>
      <c r="J150" s="151" t="str">
        <f t="shared" si="6"/>
        <v>-</v>
      </c>
      <c r="K150" s="152"/>
      <c r="L150" s="149"/>
      <c r="M150" s="149"/>
      <c r="N150" s="153">
        <f t="shared" si="7"/>
        <v>0</v>
      </c>
      <c r="O150" s="153">
        <f t="shared" si="8"/>
        <v>0</v>
      </c>
      <c r="P150" s="146"/>
    </row>
    <row r="151" spans="2:16" x14ac:dyDescent="0.3">
      <c r="B151" s="146">
        <v>144</v>
      </c>
      <c r="C151" s="147"/>
      <c r="D151" s="147"/>
      <c r="E151" s="146"/>
      <c r="F151" s="148" t="str">
        <f>+IFERROR(VLOOKUP(E151,Data!C147:D242,2,0),"")</f>
        <v/>
      </c>
      <c r="G151" s="146"/>
      <c r="H151" s="149"/>
      <c r="I151" s="150"/>
      <c r="J151" s="151" t="str">
        <f t="shared" si="6"/>
        <v>-</v>
      </c>
      <c r="K151" s="152"/>
      <c r="L151" s="149"/>
      <c r="M151" s="149"/>
      <c r="N151" s="153">
        <f t="shared" si="7"/>
        <v>0</v>
      </c>
      <c r="O151" s="153">
        <f t="shared" si="8"/>
        <v>0</v>
      </c>
      <c r="P151" s="146"/>
    </row>
    <row r="152" spans="2:16" x14ac:dyDescent="0.3">
      <c r="B152" s="146">
        <v>145</v>
      </c>
      <c r="C152" s="147"/>
      <c r="D152" s="147"/>
      <c r="E152" s="146"/>
      <c r="F152" s="148" t="str">
        <f>+IFERROR(VLOOKUP(E152,Data!C148:D243,2,0),"")</f>
        <v/>
      </c>
      <c r="G152" s="146"/>
      <c r="H152" s="149"/>
      <c r="I152" s="150"/>
      <c r="J152" s="151" t="str">
        <f t="shared" si="6"/>
        <v>-</v>
      </c>
      <c r="K152" s="152"/>
      <c r="L152" s="149"/>
      <c r="M152" s="149"/>
      <c r="N152" s="153">
        <f t="shared" si="7"/>
        <v>0</v>
      </c>
      <c r="O152" s="153">
        <f t="shared" si="8"/>
        <v>0</v>
      </c>
      <c r="P152" s="146"/>
    </row>
    <row r="153" spans="2:16" x14ac:dyDescent="0.3">
      <c r="B153" s="146">
        <v>146</v>
      </c>
      <c r="C153" s="147"/>
      <c r="D153" s="147"/>
      <c r="E153" s="146"/>
      <c r="F153" s="148" t="str">
        <f>+IFERROR(VLOOKUP(E153,Data!C149:D244,2,0),"")</f>
        <v/>
      </c>
      <c r="G153" s="146"/>
      <c r="H153" s="149"/>
      <c r="I153" s="150"/>
      <c r="J153" s="151" t="str">
        <f t="shared" si="6"/>
        <v>-</v>
      </c>
      <c r="K153" s="152"/>
      <c r="L153" s="149"/>
      <c r="M153" s="149"/>
      <c r="N153" s="153">
        <f t="shared" si="7"/>
        <v>0</v>
      </c>
      <c r="O153" s="153">
        <f t="shared" si="8"/>
        <v>0</v>
      </c>
      <c r="P153" s="146"/>
    </row>
    <row r="154" spans="2:16" x14ac:dyDescent="0.3">
      <c r="B154" s="146">
        <v>147</v>
      </c>
      <c r="C154" s="147"/>
      <c r="D154" s="147"/>
      <c r="E154" s="146"/>
      <c r="F154" s="148" t="str">
        <f>+IFERROR(VLOOKUP(E154,Data!C150:D245,2,0),"")</f>
        <v/>
      </c>
      <c r="G154" s="146"/>
      <c r="H154" s="149"/>
      <c r="I154" s="150"/>
      <c r="J154" s="151" t="str">
        <f t="shared" si="6"/>
        <v>-</v>
      </c>
      <c r="K154" s="152"/>
      <c r="L154" s="149"/>
      <c r="M154" s="149"/>
      <c r="N154" s="153">
        <f t="shared" si="7"/>
        <v>0</v>
      </c>
      <c r="O154" s="153">
        <f t="shared" si="8"/>
        <v>0</v>
      </c>
      <c r="P154" s="146"/>
    </row>
    <row r="155" spans="2:16" x14ac:dyDescent="0.3">
      <c r="B155" s="146">
        <v>148</v>
      </c>
      <c r="C155" s="147"/>
      <c r="D155" s="147"/>
      <c r="E155" s="146"/>
      <c r="F155" s="148" t="str">
        <f>+IFERROR(VLOOKUP(E155,Data!C151:D246,2,0),"")</f>
        <v/>
      </c>
      <c r="G155" s="146"/>
      <c r="H155" s="149"/>
      <c r="I155" s="150"/>
      <c r="J155" s="151" t="str">
        <f t="shared" si="6"/>
        <v>-</v>
      </c>
      <c r="K155" s="152"/>
      <c r="L155" s="149"/>
      <c r="M155" s="149"/>
      <c r="N155" s="153">
        <f t="shared" si="7"/>
        <v>0</v>
      </c>
      <c r="O155" s="153">
        <f t="shared" si="8"/>
        <v>0</v>
      </c>
      <c r="P155" s="146"/>
    </row>
    <row r="156" spans="2:16" x14ac:dyDescent="0.3">
      <c r="B156" s="146">
        <v>149</v>
      </c>
      <c r="C156" s="147"/>
      <c r="D156" s="147"/>
      <c r="E156" s="146"/>
      <c r="F156" s="148" t="str">
        <f>+IFERROR(VLOOKUP(E156,Data!C152:D247,2,0),"")</f>
        <v/>
      </c>
      <c r="G156" s="146"/>
      <c r="H156" s="149"/>
      <c r="I156" s="150"/>
      <c r="J156" s="151" t="str">
        <f t="shared" si="6"/>
        <v>-</v>
      </c>
      <c r="K156" s="152"/>
      <c r="L156" s="149"/>
      <c r="M156" s="149"/>
      <c r="N156" s="153">
        <f t="shared" si="7"/>
        <v>0</v>
      </c>
      <c r="O156" s="153">
        <f t="shared" si="8"/>
        <v>0</v>
      </c>
      <c r="P156" s="146"/>
    </row>
    <row r="157" spans="2:16" x14ac:dyDescent="0.3">
      <c r="B157" s="146">
        <v>150</v>
      </c>
      <c r="C157" s="147"/>
      <c r="D157" s="147"/>
      <c r="E157" s="146"/>
      <c r="F157" s="148" t="str">
        <f>+IFERROR(VLOOKUP(E157,Data!C153:D248,2,0),"")</f>
        <v/>
      </c>
      <c r="G157" s="146"/>
      <c r="H157" s="149"/>
      <c r="I157" s="150"/>
      <c r="J157" s="151" t="str">
        <f t="shared" si="6"/>
        <v>-</v>
      </c>
      <c r="K157" s="152"/>
      <c r="L157" s="149"/>
      <c r="M157" s="149"/>
      <c r="N157" s="153">
        <f t="shared" si="7"/>
        <v>0</v>
      </c>
      <c r="O157" s="153">
        <f t="shared" si="8"/>
        <v>0</v>
      </c>
      <c r="P157" s="146"/>
    </row>
    <row r="158" spans="2:16" x14ac:dyDescent="0.3">
      <c r="B158" s="146">
        <v>151</v>
      </c>
      <c r="C158" s="147"/>
      <c r="D158" s="147"/>
      <c r="E158" s="146"/>
      <c r="F158" s="148" t="str">
        <f>+IFERROR(VLOOKUP(E158,Data!C154:D249,2,0),"")</f>
        <v/>
      </c>
      <c r="G158" s="146"/>
      <c r="H158" s="149"/>
      <c r="I158" s="150"/>
      <c r="J158" s="151" t="str">
        <f t="shared" si="6"/>
        <v>-</v>
      </c>
      <c r="K158" s="152"/>
      <c r="L158" s="149"/>
      <c r="M158" s="149"/>
      <c r="N158" s="153">
        <f t="shared" si="7"/>
        <v>0</v>
      </c>
      <c r="O158" s="153">
        <f t="shared" si="8"/>
        <v>0</v>
      </c>
      <c r="P158" s="146"/>
    </row>
    <row r="159" spans="2:16" x14ac:dyDescent="0.3">
      <c r="B159" s="146">
        <v>152</v>
      </c>
      <c r="C159" s="147"/>
      <c r="D159" s="147"/>
      <c r="E159" s="146"/>
      <c r="F159" s="148" t="str">
        <f>+IFERROR(VLOOKUP(E159,Data!C155:D250,2,0),"")</f>
        <v/>
      </c>
      <c r="G159" s="146"/>
      <c r="H159" s="149"/>
      <c r="I159" s="150"/>
      <c r="J159" s="151" t="str">
        <f t="shared" si="6"/>
        <v>-</v>
      </c>
      <c r="K159" s="152"/>
      <c r="L159" s="149"/>
      <c r="M159" s="149"/>
      <c r="N159" s="153">
        <f t="shared" si="7"/>
        <v>0</v>
      </c>
      <c r="O159" s="153">
        <f t="shared" si="8"/>
        <v>0</v>
      </c>
      <c r="P159" s="146"/>
    </row>
    <row r="160" spans="2:16" x14ac:dyDescent="0.3">
      <c r="B160" s="146">
        <v>153</v>
      </c>
      <c r="C160" s="147"/>
      <c r="D160" s="147"/>
      <c r="E160" s="146"/>
      <c r="F160" s="148" t="str">
        <f>+IFERROR(VLOOKUP(E160,Data!C156:D251,2,0),"")</f>
        <v/>
      </c>
      <c r="G160" s="146"/>
      <c r="H160" s="149"/>
      <c r="I160" s="150"/>
      <c r="J160" s="151" t="str">
        <f t="shared" si="6"/>
        <v>-</v>
      </c>
      <c r="K160" s="152"/>
      <c r="L160" s="149"/>
      <c r="M160" s="149"/>
      <c r="N160" s="153">
        <f t="shared" si="7"/>
        <v>0</v>
      </c>
      <c r="O160" s="153">
        <f t="shared" si="8"/>
        <v>0</v>
      </c>
      <c r="P160" s="146"/>
    </row>
    <row r="161" spans="2:16" x14ac:dyDescent="0.3">
      <c r="B161" s="146">
        <v>154</v>
      </c>
      <c r="C161" s="147"/>
      <c r="D161" s="147"/>
      <c r="E161" s="146"/>
      <c r="F161" s="148" t="str">
        <f>+IFERROR(VLOOKUP(E161,Data!C157:D252,2,0),"")</f>
        <v/>
      </c>
      <c r="G161" s="146"/>
      <c r="H161" s="149"/>
      <c r="I161" s="150"/>
      <c r="J161" s="151" t="str">
        <f t="shared" si="6"/>
        <v>-</v>
      </c>
      <c r="K161" s="152"/>
      <c r="L161" s="149"/>
      <c r="M161" s="149"/>
      <c r="N161" s="153">
        <f t="shared" si="7"/>
        <v>0</v>
      </c>
      <c r="O161" s="153">
        <f t="shared" si="8"/>
        <v>0</v>
      </c>
      <c r="P161" s="146"/>
    </row>
    <row r="162" spans="2:16" x14ac:dyDescent="0.3">
      <c r="B162" s="146">
        <v>155</v>
      </c>
      <c r="C162" s="147"/>
      <c r="D162" s="147"/>
      <c r="E162" s="146"/>
      <c r="F162" s="148" t="str">
        <f>+IFERROR(VLOOKUP(E162,Data!C158:D253,2,0),"")</f>
        <v/>
      </c>
      <c r="G162" s="146"/>
      <c r="H162" s="149"/>
      <c r="I162" s="150"/>
      <c r="J162" s="151" t="str">
        <f t="shared" si="6"/>
        <v>-</v>
      </c>
      <c r="K162" s="152"/>
      <c r="L162" s="149"/>
      <c r="M162" s="149"/>
      <c r="N162" s="153">
        <f t="shared" si="7"/>
        <v>0</v>
      </c>
      <c r="O162" s="153">
        <f t="shared" si="8"/>
        <v>0</v>
      </c>
      <c r="P162" s="146"/>
    </row>
    <row r="163" spans="2:16" x14ac:dyDescent="0.3">
      <c r="B163" s="146">
        <v>156</v>
      </c>
      <c r="C163" s="147"/>
      <c r="D163" s="147"/>
      <c r="E163" s="146"/>
      <c r="F163" s="148" t="str">
        <f>+IFERROR(VLOOKUP(E163,Data!C159:D254,2,0),"")</f>
        <v/>
      </c>
      <c r="G163" s="146"/>
      <c r="H163" s="149"/>
      <c r="I163" s="150"/>
      <c r="J163" s="151" t="str">
        <f t="shared" si="6"/>
        <v>-</v>
      </c>
      <c r="K163" s="152"/>
      <c r="L163" s="149"/>
      <c r="M163" s="149"/>
      <c r="N163" s="153">
        <f t="shared" si="7"/>
        <v>0</v>
      </c>
      <c r="O163" s="153">
        <f t="shared" si="8"/>
        <v>0</v>
      </c>
      <c r="P163" s="146"/>
    </row>
    <row r="164" spans="2:16" x14ac:dyDescent="0.3">
      <c r="B164" s="146">
        <v>157</v>
      </c>
      <c r="C164" s="147"/>
      <c r="D164" s="147"/>
      <c r="E164" s="146"/>
      <c r="F164" s="148" t="str">
        <f>+IFERROR(VLOOKUP(E164,Data!C160:D255,2,0),"")</f>
        <v/>
      </c>
      <c r="G164" s="146"/>
      <c r="H164" s="149"/>
      <c r="I164" s="150"/>
      <c r="J164" s="151" t="str">
        <f t="shared" si="6"/>
        <v>-</v>
      </c>
      <c r="K164" s="152"/>
      <c r="L164" s="149"/>
      <c r="M164" s="149"/>
      <c r="N164" s="153">
        <f t="shared" si="7"/>
        <v>0</v>
      </c>
      <c r="O164" s="153">
        <f t="shared" si="8"/>
        <v>0</v>
      </c>
      <c r="P164" s="146"/>
    </row>
    <row r="165" spans="2:16" x14ac:dyDescent="0.3">
      <c r="B165" s="146">
        <v>158</v>
      </c>
      <c r="C165" s="147"/>
      <c r="D165" s="147"/>
      <c r="E165" s="146"/>
      <c r="F165" s="148" t="str">
        <f>+IFERROR(VLOOKUP(E165,Data!C161:D256,2,0),"")</f>
        <v/>
      </c>
      <c r="G165" s="146"/>
      <c r="H165" s="149"/>
      <c r="I165" s="150"/>
      <c r="J165" s="151" t="str">
        <f t="shared" si="6"/>
        <v>-</v>
      </c>
      <c r="K165" s="152"/>
      <c r="L165" s="149"/>
      <c r="M165" s="149"/>
      <c r="N165" s="153">
        <f t="shared" si="7"/>
        <v>0</v>
      </c>
      <c r="O165" s="153">
        <f t="shared" si="8"/>
        <v>0</v>
      </c>
      <c r="P165" s="146"/>
    </row>
    <row r="166" spans="2:16" x14ac:dyDescent="0.3">
      <c r="B166" s="146">
        <v>159</v>
      </c>
      <c r="C166" s="147"/>
      <c r="D166" s="147"/>
      <c r="E166" s="146"/>
      <c r="F166" s="148" t="str">
        <f>+IFERROR(VLOOKUP(E166,Data!C162:D257,2,0),"")</f>
        <v/>
      </c>
      <c r="G166" s="146"/>
      <c r="H166" s="149"/>
      <c r="I166" s="150"/>
      <c r="J166" s="151" t="str">
        <f t="shared" si="6"/>
        <v>-</v>
      </c>
      <c r="K166" s="152"/>
      <c r="L166" s="149"/>
      <c r="M166" s="149"/>
      <c r="N166" s="153">
        <f t="shared" si="7"/>
        <v>0</v>
      </c>
      <c r="O166" s="153">
        <f t="shared" si="8"/>
        <v>0</v>
      </c>
      <c r="P166" s="146"/>
    </row>
    <row r="167" spans="2:16" x14ac:dyDescent="0.3">
      <c r="B167" s="146">
        <v>160</v>
      </c>
      <c r="C167" s="147"/>
      <c r="D167" s="147"/>
      <c r="E167" s="146"/>
      <c r="F167" s="148" t="str">
        <f>+IFERROR(VLOOKUP(E167,Data!C163:D258,2,0),"")</f>
        <v/>
      </c>
      <c r="G167" s="146"/>
      <c r="H167" s="149"/>
      <c r="I167" s="150"/>
      <c r="J167" s="151" t="str">
        <f t="shared" si="6"/>
        <v>-</v>
      </c>
      <c r="K167" s="152"/>
      <c r="L167" s="149"/>
      <c r="M167" s="149"/>
      <c r="N167" s="153">
        <f t="shared" si="7"/>
        <v>0</v>
      </c>
      <c r="O167" s="153">
        <f t="shared" si="8"/>
        <v>0</v>
      </c>
      <c r="P167" s="146"/>
    </row>
    <row r="168" spans="2:16" x14ac:dyDescent="0.3">
      <c r="B168" s="146">
        <v>161</v>
      </c>
      <c r="C168" s="147"/>
      <c r="D168" s="147"/>
      <c r="E168" s="146"/>
      <c r="F168" s="148" t="str">
        <f>+IFERROR(VLOOKUP(E168,Data!C164:D259,2,0),"")</f>
        <v/>
      </c>
      <c r="G168" s="146"/>
      <c r="H168" s="149"/>
      <c r="I168" s="150"/>
      <c r="J168" s="151" t="str">
        <f t="shared" si="6"/>
        <v>-</v>
      </c>
      <c r="K168" s="152"/>
      <c r="L168" s="149"/>
      <c r="M168" s="149"/>
      <c r="N168" s="153">
        <f t="shared" si="7"/>
        <v>0</v>
      </c>
      <c r="O168" s="153">
        <f t="shared" si="8"/>
        <v>0</v>
      </c>
      <c r="P168" s="146"/>
    </row>
    <row r="169" spans="2:16" x14ac:dyDescent="0.3">
      <c r="B169" s="146">
        <v>162</v>
      </c>
      <c r="C169" s="147"/>
      <c r="D169" s="147"/>
      <c r="E169" s="146"/>
      <c r="F169" s="148" t="str">
        <f>+IFERROR(VLOOKUP(E169,Data!C165:D260,2,0),"")</f>
        <v/>
      </c>
      <c r="G169" s="146"/>
      <c r="H169" s="149"/>
      <c r="I169" s="150"/>
      <c r="J169" s="151" t="str">
        <f t="shared" si="6"/>
        <v>-</v>
      </c>
      <c r="K169" s="152"/>
      <c r="L169" s="149"/>
      <c r="M169" s="149"/>
      <c r="N169" s="153">
        <f t="shared" si="7"/>
        <v>0</v>
      </c>
      <c r="O169" s="153">
        <f t="shared" si="8"/>
        <v>0</v>
      </c>
      <c r="P169" s="146"/>
    </row>
    <row r="170" spans="2:16" x14ac:dyDescent="0.3">
      <c r="B170" s="146">
        <v>163</v>
      </c>
      <c r="C170" s="147"/>
      <c r="D170" s="147"/>
      <c r="E170" s="146"/>
      <c r="F170" s="148" t="str">
        <f>+IFERROR(VLOOKUP(E170,Data!C166:D261,2,0),"")</f>
        <v/>
      </c>
      <c r="G170" s="146"/>
      <c r="H170" s="149"/>
      <c r="I170" s="150"/>
      <c r="J170" s="151" t="str">
        <f t="shared" si="6"/>
        <v>-</v>
      </c>
      <c r="K170" s="152"/>
      <c r="L170" s="149"/>
      <c r="M170" s="149"/>
      <c r="N170" s="153">
        <f t="shared" si="7"/>
        <v>0</v>
      </c>
      <c r="O170" s="153">
        <f t="shared" si="8"/>
        <v>0</v>
      </c>
      <c r="P170" s="146"/>
    </row>
    <row r="171" spans="2:16" x14ac:dyDescent="0.3">
      <c r="B171" s="146">
        <v>164</v>
      </c>
      <c r="C171" s="147"/>
      <c r="D171" s="147"/>
      <c r="E171" s="146"/>
      <c r="F171" s="148" t="str">
        <f>+IFERROR(VLOOKUP(E171,Data!C167:D262,2,0),"")</f>
        <v/>
      </c>
      <c r="G171" s="146"/>
      <c r="H171" s="149"/>
      <c r="I171" s="150"/>
      <c r="J171" s="151" t="str">
        <f t="shared" si="6"/>
        <v>-</v>
      </c>
      <c r="K171" s="152"/>
      <c r="L171" s="149"/>
      <c r="M171" s="149"/>
      <c r="N171" s="153">
        <f t="shared" si="7"/>
        <v>0</v>
      </c>
      <c r="O171" s="153">
        <f t="shared" si="8"/>
        <v>0</v>
      </c>
      <c r="P171" s="146"/>
    </row>
    <row r="172" spans="2:16" x14ac:dyDescent="0.3">
      <c r="B172" s="146">
        <v>165</v>
      </c>
      <c r="C172" s="147"/>
      <c r="D172" s="147"/>
      <c r="E172" s="146"/>
      <c r="F172" s="148" t="str">
        <f>+IFERROR(VLOOKUP(E172,Data!C168:D263,2,0),"")</f>
        <v/>
      </c>
      <c r="G172" s="146"/>
      <c r="H172" s="149"/>
      <c r="I172" s="150"/>
      <c r="J172" s="151" t="str">
        <f t="shared" si="6"/>
        <v>-</v>
      </c>
      <c r="K172" s="152"/>
      <c r="L172" s="149"/>
      <c r="M172" s="149"/>
      <c r="N172" s="153">
        <f t="shared" si="7"/>
        <v>0</v>
      </c>
      <c r="O172" s="153">
        <f t="shared" si="8"/>
        <v>0</v>
      </c>
      <c r="P172" s="146"/>
    </row>
    <row r="173" spans="2:16" x14ac:dyDescent="0.3">
      <c r="B173" s="146">
        <v>166</v>
      </c>
      <c r="C173" s="147"/>
      <c r="D173" s="147"/>
      <c r="E173" s="146"/>
      <c r="F173" s="148" t="str">
        <f>+IFERROR(VLOOKUP(E173,Data!C169:D264,2,0),"")</f>
        <v/>
      </c>
      <c r="G173" s="146"/>
      <c r="H173" s="149"/>
      <c r="I173" s="150"/>
      <c r="J173" s="151" t="str">
        <f t="shared" si="6"/>
        <v>-</v>
      </c>
      <c r="K173" s="152"/>
      <c r="L173" s="149"/>
      <c r="M173" s="149"/>
      <c r="N173" s="153">
        <f t="shared" si="7"/>
        <v>0</v>
      </c>
      <c r="O173" s="153">
        <f t="shared" si="8"/>
        <v>0</v>
      </c>
      <c r="P173" s="146"/>
    </row>
    <row r="174" spans="2:16" x14ac:dyDescent="0.3">
      <c r="B174" s="146">
        <v>167</v>
      </c>
      <c r="C174" s="147"/>
      <c r="D174" s="147"/>
      <c r="E174" s="146"/>
      <c r="F174" s="148" t="str">
        <f>+IFERROR(VLOOKUP(E174,Data!C170:D265,2,0),"")</f>
        <v/>
      </c>
      <c r="G174" s="146"/>
      <c r="H174" s="149"/>
      <c r="I174" s="150"/>
      <c r="J174" s="151" t="str">
        <f t="shared" si="6"/>
        <v>-</v>
      </c>
      <c r="K174" s="152"/>
      <c r="L174" s="149"/>
      <c r="M174" s="149"/>
      <c r="N174" s="153">
        <f t="shared" si="7"/>
        <v>0</v>
      </c>
      <c r="O174" s="153">
        <f t="shared" si="8"/>
        <v>0</v>
      </c>
      <c r="P174" s="146"/>
    </row>
    <row r="175" spans="2:16" x14ac:dyDescent="0.3">
      <c r="B175" s="146">
        <v>168</v>
      </c>
      <c r="C175" s="147"/>
      <c r="D175" s="147"/>
      <c r="E175" s="146"/>
      <c r="F175" s="148" t="str">
        <f>+IFERROR(VLOOKUP(E175,Data!C171:D266,2,0),"")</f>
        <v/>
      </c>
      <c r="G175" s="146"/>
      <c r="H175" s="149"/>
      <c r="I175" s="150"/>
      <c r="J175" s="151" t="str">
        <f t="shared" si="6"/>
        <v>-</v>
      </c>
      <c r="K175" s="152"/>
      <c r="L175" s="149"/>
      <c r="M175" s="149"/>
      <c r="N175" s="153">
        <f t="shared" si="7"/>
        <v>0</v>
      </c>
      <c r="O175" s="153">
        <f t="shared" si="8"/>
        <v>0</v>
      </c>
      <c r="P175" s="146"/>
    </row>
    <row r="176" spans="2:16" x14ac:dyDescent="0.3">
      <c r="B176" s="146">
        <v>169</v>
      </c>
      <c r="C176" s="147"/>
      <c r="D176" s="147"/>
      <c r="E176" s="146"/>
      <c r="F176" s="148" t="str">
        <f>+IFERROR(VLOOKUP(E176,Data!C172:D267,2,0),"")</f>
        <v/>
      </c>
      <c r="G176" s="146"/>
      <c r="H176" s="149"/>
      <c r="I176" s="150"/>
      <c r="J176" s="151" t="str">
        <f t="shared" si="6"/>
        <v>-</v>
      </c>
      <c r="K176" s="152"/>
      <c r="L176" s="149"/>
      <c r="M176" s="149"/>
      <c r="N176" s="153">
        <f t="shared" si="7"/>
        <v>0</v>
      </c>
      <c r="O176" s="153">
        <f t="shared" si="8"/>
        <v>0</v>
      </c>
      <c r="P176" s="146"/>
    </row>
    <row r="177" spans="2:16" x14ac:dyDescent="0.3">
      <c r="B177" s="146">
        <v>170</v>
      </c>
      <c r="C177" s="147"/>
      <c r="D177" s="147"/>
      <c r="E177" s="146"/>
      <c r="F177" s="148" t="str">
        <f>+IFERROR(VLOOKUP(E177,Data!C173:D268,2,0),"")</f>
        <v/>
      </c>
      <c r="G177" s="146"/>
      <c r="H177" s="149"/>
      <c r="I177" s="150"/>
      <c r="J177" s="151" t="str">
        <f t="shared" si="6"/>
        <v>-</v>
      </c>
      <c r="K177" s="152"/>
      <c r="L177" s="149"/>
      <c r="M177" s="149"/>
      <c r="N177" s="153">
        <f t="shared" si="7"/>
        <v>0</v>
      </c>
      <c r="O177" s="153">
        <f t="shared" si="8"/>
        <v>0</v>
      </c>
      <c r="P177" s="146"/>
    </row>
    <row r="178" spans="2:16" x14ac:dyDescent="0.3">
      <c r="B178" s="146">
        <v>171</v>
      </c>
      <c r="C178" s="147"/>
      <c r="D178" s="147"/>
      <c r="E178" s="146"/>
      <c r="F178" s="148" t="str">
        <f>+IFERROR(VLOOKUP(E178,Data!C174:D269,2,0),"")</f>
        <v/>
      </c>
      <c r="G178" s="146"/>
      <c r="H178" s="149"/>
      <c r="I178" s="150"/>
      <c r="J178" s="151" t="str">
        <f t="shared" si="6"/>
        <v>-</v>
      </c>
      <c r="K178" s="152"/>
      <c r="L178" s="149"/>
      <c r="M178" s="149"/>
      <c r="N178" s="153">
        <f t="shared" si="7"/>
        <v>0</v>
      </c>
      <c r="O178" s="153">
        <f t="shared" si="8"/>
        <v>0</v>
      </c>
      <c r="P178" s="146"/>
    </row>
    <row r="179" spans="2:16" x14ac:dyDescent="0.3">
      <c r="B179" s="146">
        <v>172</v>
      </c>
      <c r="C179" s="147"/>
      <c r="D179" s="147"/>
      <c r="E179" s="146"/>
      <c r="F179" s="148" t="str">
        <f>+IFERROR(VLOOKUP(E179,Data!C175:D270,2,0),"")</f>
        <v/>
      </c>
      <c r="G179" s="146"/>
      <c r="H179" s="149"/>
      <c r="I179" s="150"/>
      <c r="J179" s="151" t="str">
        <f t="shared" si="6"/>
        <v>-</v>
      </c>
      <c r="K179" s="152"/>
      <c r="L179" s="149"/>
      <c r="M179" s="149"/>
      <c r="N179" s="153">
        <f t="shared" si="7"/>
        <v>0</v>
      </c>
      <c r="O179" s="153">
        <f t="shared" si="8"/>
        <v>0</v>
      </c>
      <c r="P179" s="146"/>
    </row>
    <row r="180" spans="2:16" x14ac:dyDescent="0.3">
      <c r="B180" s="146">
        <v>173</v>
      </c>
      <c r="C180" s="147"/>
      <c r="D180" s="147"/>
      <c r="E180" s="146"/>
      <c r="F180" s="148" t="str">
        <f>+IFERROR(VLOOKUP(E180,Data!C176:D271,2,0),"")</f>
        <v/>
      </c>
      <c r="G180" s="146"/>
      <c r="H180" s="149"/>
      <c r="I180" s="150"/>
      <c r="J180" s="151" t="str">
        <f t="shared" si="6"/>
        <v>-</v>
      </c>
      <c r="K180" s="152"/>
      <c r="L180" s="149"/>
      <c r="M180" s="149"/>
      <c r="N180" s="153">
        <f t="shared" si="7"/>
        <v>0</v>
      </c>
      <c r="O180" s="153">
        <f t="shared" si="8"/>
        <v>0</v>
      </c>
      <c r="P180" s="146"/>
    </row>
    <row r="181" spans="2:16" x14ac:dyDescent="0.3">
      <c r="B181" s="146">
        <v>174</v>
      </c>
      <c r="C181" s="147"/>
      <c r="D181" s="147"/>
      <c r="E181" s="146"/>
      <c r="F181" s="148" t="str">
        <f>+IFERROR(VLOOKUP(E181,Data!C177:D272,2,0),"")</f>
        <v/>
      </c>
      <c r="G181" s="146"/>
      <c r="H181" s="149"/>
      <c r="I181" s="150"/>
      <c r="J181" s="151" t="str">
        <f t="shared" si="6"/>
        <v>-</v>
      </c>
      <c r="K181" s="152"/>
      <c r="L181" s="149"/>
      <c r="M181" s="149"/>
      <c r="N181" s="153">
        <f t="shared" si="7"/>
        <v>0</v>
      </c>
      <c r="O181" s="153">
        <f t="shared" si="8"/>
        <v>0</v>
      </c>
      <c r="P181" s="146"/>
    </row>
    <row r="182" spans="2:16" x14ac:dyDescent="0.3">
      <c r="B182" s="146">
        <v>175</v>
      </c>
      <c r="C182" s="147"/>
      <c r="D182" s="147"/>
      <c r="E182" s="146"/>
      <c r="F182" s="148" t="str">
        <f>+IFERROR(VLOOKUP(E182,Data!C178:D273,2,0),"")</f>
        <v/>
      </c>
      <c r="G182" s="146"/>
      <c r="H182" s="149"/>
      <c r="I182" s="150"/>
      <c r="J182" s="151" t="str">
        <f t="shared" ref="J182:J245" si="9">IFERROR(+I182/H182,"-")</f>
        <v>-</v>
      </c>
      <c r="K182" s="152"/>
      <c r="L182" s="149"/>
      <c r="M182" s="149"/>
      <c r="N182" s="153">
        <f t="shared" ref="N182:N245" si="10">+L182+M182</f>
        <v>0</v>
      </c>
      <c r="O182" s="153">
        <f t="shared" ref="O182:O245" si="11">+N182-K182</f>
        <v>0</v>
      </c>
      <c r="P182" s="146"/>
    </row>
    <row r="183" spans="2:16" x14ac:dyDescent="0.3">
      <c r="B183" s="146">
        <v>176</v>
      </c>
      <c r="C183" s="147"/>
      <c r="D183" s="147"/>
      <c r="E183" s="146"/>
      <c r="F183" s="148" t="str">
        <f>+IFERROR(VLOOKUP(E183,Data!C179:D274,2,0),"")</f>
        <v/>
      </c>
      <c r="G183" s="146"/>
      <c r="H183" s="149"/>
      <c r="I183" s="150"/>
      <c r="J183" s="151" t="str">
        <f t="shared" si="9"/>
        <v>-</v>
      </c>
      <c r="K183" s="152"/>
      <c r="L183" s="149"/>
      <c r="M183" s="149"/>
      <c r="N183" s="153">
        <f t="shared" si="10"/>
        <v>0</v>
      </c>
      <c r="O183" s="153">
        <f t="shared" si="11"/>
        <v>0</v>
      </c>
      <c r="P183" s="146"/>
    </row>
    <row r="184" spans="2:16" x14ac:dyDescent="0.3">
      <c r="B184" s="146">
        <v>177</v>
      </c>
      <c r="C184" s="147"/>
      <c r="D184" s="147"/>
      <c r="E184" s="146"/>
      <c r="F184" s="148" t="str">
        <f>+IFERROR(VLOOKUP(E184,Data!C180:D275,2,0),"")</f>
        <v/>
      </c>
      <c r="G184" s="146"/>
      <c r="H184" s="149"/>
      <c r="I184" s="150"/>
      <c r="J184" s="151" t="str">
        <f t="shared" si="9"/>
        <v>-</v>
      </c>
      <c r="K184" s="152"/>
      <c r="L184" s="149"/>
      <c r="M184" s="149"/>
      <c r="N184" s="153">
        <f t="shared" si="10"/>
        <v>0</v>
      </c>
      <c r="O184" s="153">
        <f t="shared" si="11"/>
        <v>0</v>
      </c>
      <c r="P184" s="146"/>
    </row>
    <row r="185" spans="2:16" x14ac:dyDescent="0.3">
      <c r="B185" s="146">
        <v>178</v>
      </c>
      <c r="C185" s="147"/>
      <c r="D185" s="147"/>
      <c r="E185" s="146"/>
      <c r="F185" s="148" t="str">
        <f>+IFERROR(VLOOKUP(E185,Data!C181:D276,2,0),"")</f>
        <v/>
      </c>
      <c r="G185" s="146"/>
      <c r="H185" s="149"/>
      <c r="I185" s="150"/>
      <c r="J185" s="151" t="str">
        <f t="shared" si="9"/>
        <v>-</v>
      </c>
      <c r="K185" s="152"/>
      <c r="L185" s="149"/>
      <c r="M185" s="149"/>
      <c r="N185" s="153">
        <f t="shared" si="10"/>
        <v>0</v>
      </c>
      <c r="O185" s="153">
        <f t="shared" si="11"/>
        <v>0</v>
      </c>
      <c r="P185" s="146"/>
    </row>
    <row r="186" spans="2:16" x14ac:dyDescent="0.3">
      <c r="B186" s="146">
        <v>179</v>
      </c>
      <c r="C186" s="147"/>
      <c r="D186" s="147"/>
      <c r="E186" s="146"/>
      <c r="F186" s="148" t="str">
        <f>+IFERROR(VLOOKUP(E186,Data!C182:D277,2,0),"")</f>
        <v/>
      </c>
      <c r="G186" s="146"/>
      <c r="H186" s="149"/>
      <c r="I186" s="150"/>
      <c r="J186" s="151" t="str">
        <f t="shared" si="9"/>
        <v>-</v>
      </c>
      <c r="K186" s="152"/>
      <c r="L186" s="149"/>
      <c r="M186" s="149"/>
      <c r="N186" s="153">
        <f t="shared" si="10"/>
        <v>0</v>
      </c>
      <c r="O186" s="153">
        <f t="shared" si="11"/>
        <v>0</v>
      </c>
      <c r="P186" s="146"/>
    </row>
    <row r="187" spans="2:16" x14ac:dyDescent="0.3">
      <c r="B187" s="146">
        <v>180</v>
      </c>
      <c r="C187" s="147"/>
      <c r="D187" s="147"/>
      <c r="E187" s="146"/>
      <c r="F187" s="148" t="str">
        <f>+IFERROR(VLOOKUP(E187,Data!C183:D278,2,0),"")</f>
        <v/>
      </c>
      <c r="G187" s="146"/>
      <c r="H187" s="149"/>
      <c r="I187" s="150"/>
      <c r="J187" s="151" t="str">
        <f t="shared" si="9"/>
        <v>-</v>
      </c>
      <c r="K187" s="152"/>
      <c r="L187" s="149"/>
      <c r="M187" s="149"/>
      <c r="N187" s="153">
        <f t="shared" si="10"/>
        <v>0</v>
      </c>
      <c r="O187" s="153">
        <f t="shared" si="11"/>
        <v>0</v>
      </c>
      <c r="P187" s="146"/>
    </row>
    <row r="188" spans="2:16" x14ac:dyDescent="0.3">
      <c r="B188" s="146">
        <v>181</v>
      </c>
      <c r="C188" s="147"/>
      <c r="D188" s="147"/>
      <c r="E188" s="146"/>
      <c r="F188" s="148" t="str">
        <f>+IFERROR(VLOOKUP(E188,Data!C184:D279,2,0),"")</f>
        <v/>
      </c>
      <c r="G188" s="146"/>
      <c r="H188" s="149"/>
      <c r="I188" s="150"/>
      <c r="J188" s="151" t="str">
        <f t="shared" si="9"/>
        <v>-</v>
      </c>
      <c r="K188" s="152"/>
      <c r="L188" s="149"/>
      <c r="M188" s="149"/>
      <c r="N188" s="153">
        <f t="shared" si="10"/>
        <v>0</v>
      </c>
      <c r="O188" s="153">
        <f t="shared" si="11"/>
        <v>0</v>
      </c>
      <c r="P188" s="146"/>
    </row>
    <row r="189" spans="2:16" x14ac:dyDescent="0.3">
      <c r="B189" s="146">
        <v>182</v>
      </c>
      <c r="C189" s="147"/>
      <c r="D189" s="147"/>
      <c r="E189" s="146"/>
      <c r="F189" s="148" t="str">
        <f>+IFERROR(VLOOKUP(E189,Data!C185:D280,2,0),"")</f>
        <v/>
      </c>
      <c r="G189" s="146"/>
      <c r="H189" s="149"/>
      <c r="I189" s="150"/>
      <c r="J189" s="151" t="str">
        <f t="shared" si="9"/>
        <v>-</v>
      </c>
      <c r="K189" s="152"/>
      <c r="L189" s="149"/>
      <c r="M189" s="149"/>
      <c r="N189" s="153">
        <f t="shared" si="10"/>
        <v>0</v>
      </c>
      <c r="O189" s="153">
        <f t="shared" si="11"/>
        <v>0</v>
      </c>
      <c r="P189" s="146"/>
    </row>
    <row r="190" spans="2:16" x14ac:dyDescent="0.3">
      <c r="B190" s="146">
        <v>183</v>
      </c>
      <c r="C190" s="147"/>
      <c r="D190" s="147"/>
      <c r="E190" s="146"/>
      <c r="F190" s="148" t="str">
        <f>+IFERROR(VLOOKUP(E190,Data!C186:D281,2,0),"")</f>
        <v/>
      </c>
      <c r="G190" s="146"/>
      <c r="H190" s="149"/>
      <c r="I190" s="150"/>
      <c r="J190" s="151" t="str">
        <f t="shared" si="9"/>
        <v>-</v>
      </c>
      <c r="K190" s="152"/>
      <c r="L190" s="149"/>
      <c r="M190" s="149"/>
      <c r="N190" s="153">
        <f t="shared" si="10"/>
        <v>0</v>
      </c>
      <c r="O190" s="153">
        <f t="shared" si="11"/>
        <v>0</v>
      </c>
      <c r="P190" s="146"/>
    </row>
    <row r="191" spans="2:16" x14ac:dyDescent="0.3">
      <c r="B191" s="146">
        <v>184</v>
      </c>
      <c r="C191" s="147"/>
      <c r="D191" s="147"/>
      <c r="E191" s="146"/>
      <c r="F191" s="148" t="str">
        <f>+IFERROR(VLOOKUP(E191,Data!C187:D282,2,0),"")</f>
        <v/>
      </c>
      <c r="G191" s="146"/>
      <c r="H191" s="149"/>
      <c r="I191" s="150"/>
      <c r="J191" s="151" t="str">
        <f t="shared" si="9"/>
        <v>-</v>
      </c>
      <c r="K191" s="152"/>
      <c r="L191" s="149"/>
      <c r="M191" s="149"/>
      <c r="N191" s="153">
        <f t="shared" si="10"/>
        <v>0</v>
      </c>
      <c r="O191" s="153">
        <f t="shared" si="11"/>
        <v>0</v>
      </c>
      <c r="P191" s="146"/>
    </row>
    <row r="192" spans="2:16" x14ac:dyDescent="0.3">
      <c r="B192" s="146">
        <v>185</v>
      </c>
      <c r="C192" s="147"/>
      <c r="D192" s="147"/>
      <c r="E192" s="146"/>
      <c r="F192" s="148" t="str">
        <f>+IFERROR(VLOOKUP(E192,Data!C188:D283,2,0),"")</f>
        <v/>
      </c>
      <c r="G192" s="146"/>
      <c r="H192" s="149"/>
      <c r="I192" s="150"/>
      <c r="J192" s="151" t="str">
        <f t="shared" si="9"/>
        <v>-</v>
      </c>
      <c r="K192" s="152"/>
      <c r="L192" s="149"/>
      <c r="M192" s="149"/>
      <c r="N192" s="153">
        <f t="shared" si="10"/>
        <v>0</v>
      </c>
      <c r="O192" s="153">
        <f t="shared" si="11"/>
        <v>0</v>
      </c>
      <c r="P192" s="146"/>
    </row>
    <row r="193" spans="2:16" x14ac:dyDescent="0.3">
      <c r="B193" s="146">
        <v>186</v>
      </c>
      <c r="C193" s="147"/>
      <c r="D193" s="147"/>
      <c r="E193" s="146"/>
      <c r="F193" s="148" t="str">
        <f>+IFERROR(VLOOKUP(E193,Data!C189:D284,2,0),"")</f>
        <v/>
      </c>
      <c r="G193" s="146"/>
      <c r="H193" s="149"/>
      <c r="I193" s="150"/>
      <c r="J193" s="151" t="str">
        <f t="shared" si="9"/>
        <v>-</v>
      </c>
      <c r="K193" s="152"/>
      <c r="L193" s="149"/>
      <c r="M193" s="149"/>
      <c r="N193" s="153">
        <f t="shared" si="10"/>
        <v>0</v>
      </c>
      <c r="O193" s="153">
        <f t="shared" si="11"/>
        <v>0</v>
      </c>
      <c r="P193" s="146"/>
    </row>
    <row r="194" spans="2:16" x14ac:dyDescent="0.3">
      <c r="B194" s="146">
        <v>187</v>
      </c>
      <c r="C194" s="147"/>
      <c r="D194" s="147"/>
      <c r="E194" s="146"/>
      <c r="F194" s="148" t="str">
        <f>+IFERROR(VLOOKUP(E194,Data!C190:D285,2,0),"")</f>
        <v/>
      </c>
      <c r="G194" s="146"/>
      <c r="H194" s="149"/>
      <c r="I194" s="150"/>
      <c r="J194" s="151" t="str">
        <f t="shared" si="9"/>
        <v>-</v>
      </c>
      <c r="K194" s="152"/>
      <c r="L194" s="149"/>
      <c r="M194" s="149"/>
      <c r="N194" s="153">
        <f t="shared" si="10"/>
        <v>0</v>
      </c>
      <c r="O194" s="153">
        <f t="shared" si="11"/>
        <v>0</v>
      </c>
      <c r="P194" s="146"/>
    </row>
    <row r="195" spans="2:16" x14ac:dyDescent="0.3">
      <c r="B195" s="146">
        <v>188</v>
      </c>
      <c r="C195" s="147"/>
      <c r="D195" s="147"/>
      <c r="E195" s="146"/>
      <c r="F195" s="148" t="str">
        <f>+IFERROR(VLOOKUP(E195,Data!C191:D286,2,0),"")</f>
        <v/>
      </c>
      <c r="G195" s="146"/>
      <c r="H195" s="149"/>
      <c r="I195" s="150"/>
      <c r="J195" s="151" t="str">
        <f t="shared" si="9"/>
        <v>-</v>
      </c>
      <c r="K195" s="152"/>
      <c r="L195" s="149"/>
      <c r="M195" s="149"/>
      <c r="N195" s="153">
        <f t="shared" si="10"/>
        <v>0</v>
      </c>
      <c r="O195" s="153">
        <f t="shared" si="11"/>
        <v>0</v>
      </c>
      <c r="P195" s="146"/>
    </row>
    <row r="196" spans="2:16" x14ac:dyDescent="0.3">
      <c r="B196" s="146">
        <v>189</v>
      </c>
      <c r="C196" s="147"/>
      <c r="D196" s="147"/>
      <c r="E196" s="146"/>
      <c r="F196" s="148" t="str">
        <f>+IFERROR(VLOOKUP(E196,Data!C192:D287,2,0),"")</f>
        <v/>
      </c>
      <c r="G196" s="146"/>
      <c r="H196" s="149"/>
      <c r="I196" s="150"/>
      <c r="J196" s="151" t="str">
        <f t="shared" si="9"/>
        <v>-</v>
      </c>
      <c r="K196" s="152"/>
      <c r="L196" s="149"/>
      <c r="M196" s="149"/>
      <c r="N196" s="153">
        <f t="shared" si="10"/>
        <v>0</v>
      </c>
      <c r="O196" s="153">
        <f t="shared" si="11"/>
        <v>0</v>
      </c>
      <c r="P196" s="146"/>
    </row>
    <row r="197" spans="2:16" x14ac:dyDescent="0.3">
      <c r="B197" s="146">
        <v>190</v>
      </c>
      <c r="C197" s="147"/>
      <c r="D197" s="147"/>
      <c r="E197" s="146"/>
      <c r="F197" s="148" t="str">
        <f>+IFERROR(VLOOKUP(E197,Data!C193:D288,2,0),"")</f>
        <v/>
      </c>
      <c r="G197" s="146"/>
      <c r="H197" s="149"/>
      <c r="I197" s="150"/>
      <c r="J197" s="151" t="str">
        <f t="shared" si="9"/>
        <v>-</v>
      </c>
      <c r="K197" s="152"/>
      <c r="L197" s="149"/>
      <c r="M197" s="149"/>
      <c r="N197" s="153">
        <f t="shared" si="10"/>
        <v>0</v>
      </c>
      <c r="O197" s="153">
        <f t="shared" si="11"/>
        <v>0</v>
      </c>
      <c r="P197" s="146"/>
    </row>
    <row r="198" spans="2:16" x14ac:dyDescent="0.3">
      <c r="B198" s="146">
        <v>191</v>
      </c>
      <c r="C198" s="147"/>
      <c r="D198" s="147"/>
      <c r="E198" s="146"/>
      <c r="F198" s="148" t="str">
        <f>+IFERROR(VLOOKUP(E198,Data!C194:D289,2,0),"")</f>
        <v/>
      </c>
      <c r="G198" s="146"/>
      <c r="H198" s="149"/>
      <c r="I198" s="150"/>
      <c r="J198" s="151" t="str">
        <f t="shared" si="9"/>
        <v>-</v>
      </c>
      <c r="K198" s="152"/>
      <c r="L198" s="149"/>
      <c r="M198" s="149"/>
      <c r="N198" s="153">
        <f t="shared" si="10"/>
        <v>0</v>
      </c>
      <c r="O198" s="153">
        <f t="shared" si="11"/>
        <v>0</v>
      </c>
      <c r="P198" s="146"/>
    </row>
    <row r="199" spans="2:16" x14ac:dyDescent="0.3">
      <c r="B199" s="146">
        <v>192</v>
      </c>
      <c r="C199" s="147"/>
      <c r="D199" s="147"/>
      <c r="E199" s="146"/>
      <c r="F199" s="148" t="str">
        <f>+IFERROR(VLOOKUP(E199,Data!C195:D290,2,0),"")</f>
        <v/>
      </c>
      <c r="G199" s="146"/>
      <c r="H199" s="149"/>
      <c r="I199" s="150"/>
      <c r="J199" s="151" t="str">
        <f t="shared" si="9"/>
        <v>-</v>
      </c>
      <c r="K199" s="152"/>
      <c r="L199" s="149"/>
      <c r="M199" s="149"/>
      <c r="N199" s="153">
        <f t="shared" si="10"/>
        <v>0</v>
      </c>
      <c r="O199" s="153">
        <f t="shared" si="11"/>
        <v>0</v>
      </c>
      <c r="P199" s="146"/>
    </row>
    <row r="200" spans="2:16" x14ac:dyDescent="0.3">
      <c r="B200" s="146">
        <v>193</v>
      </c>
      <c r="C200" s="147"/>
      <c r="D200" s="147"/>
      <c r="E200" s="146"/>
      <c r="F200" s="148" t="str">
        <f>+IFERROR(VLOOKUP(E200,Data!C196:D291,2,0),"")</f>
        <v/>
      </c>
      <c r="G200" s="146"/>
      <c r="H200" s="149"/>
      <c r="I200" s="150"/>
      <c r="J200" s="151" t="str">
        <f t="shared" si="9"/>
        <v>-</v>
      </c>
      <c r="K200" s="152"/>
      <c r="L200" s="149"/>
      <c r="M200" s="149"/>
      <c r="N200" s="153">
        <f t="shared" si="10"/>
        <v>0</v>
      </c>
      <c r="O200" s="153">
        <f t="shared" si="11"/>
        <v>0</v>
      </c>
      <c r="P200" s="146"/>
    </row>
    <row r="201" spans="2:16" x14ac:dyDescent="0.3">
      <c r="B201" s="146">
        <v>194</v>
      </c>
      <c r="C201" s="147"/>
      <c r="D201" s="147"/>
      <c r="E201" s="146"/>
      <c r="F201" s="148" t="str">
        <f>+IFERROR(VLOOKUP(E201,Data!C197:D292,2,0),"")</f>
        <v/>
      </c>
      <c r="G201" s="146"/>
      <c r="H201" s="149"/>
      <c r="I201" s="150"/>
      <c r="J201" s="151" t="str">
        <f t="shared" si="9"/>
        <v>-</v>
      </c>
      <c r="K201" s="152"/>
      <c r="L201" s="149"/>
      <c r="M201" s="149"/>
      <c r="N201" s="153">
        <f t="shared" si="10"/>
        <v>0</v>
      </c>
      <c r="O201" s="153">
        <f t="shared" si="11"/>
        <v>0</v>
      </c>
      <c r="P201" s="146"/>
    </row>
    <row r="202" spans="2:16" x14ac:dyDescent="0.3">
      <c r="B202" s="146">
        <v>195</v>
      </c>
      <c r="C202" s="147"/>
      <c r="D202" s="147"/>
      <c r="E202" s="146"/>
      <c r="F202" s="148" t="str">
        <f>+IFERROR(VLOOKUP(E202,Data!C198:D293,2,0),"")</f>
        <v/>
      </c>
      <c r="G202" s="146"/>
      <c r="H202" s="149"/>
      <c r="I202" s="150"/>
      <c r="J202" s="151" t="str">
        <f t="shared" si="9"/>
        <v>-</v>
      </c>
      <c r="K202" s="152"/>
      <c r="L202" s="149"/>
      <c r="M202" s="149"/>
      <c r="N202" s="153">
        <f t="shared" si="10"/>
        <v>0</v>
      </c>
      <c r="O202" s="153">
        <f t="shared" si="11"/>
        <v>0</v>
      </c>
      <c r="P202" s="146"/>
    </row>
    <row r="203" spans="2:16" x14ac:dyDescent="0.3">
      <c r="B203" s="146">
        <v>196</v>
      </c>
      <c r="C203" s="147"/>
      <c r="D203" s="147"/>
      <c r="E203" s="146"/>
      <c r="F203" s="148" t="str">
        <f>+IFERROR(VLOOKUP(E203,Data!C199:D294,2,0),"")</f>
        <v/>
      </c>
      <c r="G203" s="146"/>
      <c r="H203" s="149"/>
      <c r="I203" s="150"/>
      <c r="J203" s="151" t="str">
        <f t="shared" si="9"/>
        <v>-</v>
      </c>
      <c r="K203" s="152"/>
      <c r="L203" s="149"/>
      <c r="M203" s="149"/>
      <c r="N203" s="153">
        <f t="shared" si="10"/>
        <v>0</v>
      </c>
      <c r="O203" s="153">
        <f t="shared" si="11"/>
        <v>0</v>
      </c>
      <c r="P203" s="146"/>
    </row>
    <row r="204" spans="2:16" x14ac:dyDescent="0.3">
      <c r="B204" s="146">
        <v>197</v>
      </c>
      <c r="C204" s="147"/>
      <c r="D204" s="147"/>
      <c r="E204" s="146"/>
      <c r="F204" s="148" t="str">
        <f>+IFERROR(VLOOKUP(E204,Data!C200:D295,2,0),"")</f>
        <v/>
      </c>
      <c r="G204" s="146"/>
      <c r="H204" s="149"/>
      <c r="I204" s="150"/>
      <c r="J204" s="151" t="str">
        <f t="shared" si="9"/>
        <v>-</v>
      </c>
      <c r="K204" s="152"/>
      <c r="L204" s="149"/>
      <c r="M204" s="149"/>
      <c r="N204" s="153">
        <f t="shared" si="10"/>
        <v>0</v>
      </c>
      <c r="O204" s="153">
        <f t="shared" si="11"/>
        <v>0</v>
      </c>
      <c r="P204" s="146"/>
    </row>
    <row r="205" spans="2:16" x14ac:dyDescent="0.3">
      <c r="B205" s="146">
        <v>198</v>
      </c>
      <c r="C205" s="147"/>
      <c r="D205" s="147"/>
      <c r="E205" s="146"/>
      <c r="F205" s="148" t="str">
        <f>+IFERROR(VLOOKUP(E205,Data!C201:D296,2,0),"")</f>
        <v/>
      </c>
      <c r="G205" s="146"/>
      <c r="H205" s="149"/>
      <c r="I205" s="150"/>
      <c r="J205" s="151" t="str">
        <f t="shared" si="9"/>
        <v>-</v>
      </c>
      <c r="K205" s="152"/>
      <c r="L205" s="149"/>
      <c r="M205" s="149"/>
      <c r="N205" s="153">
        <f t="shared" si="10"/>
        <v>0</v>
      </c>
      <c r="O205" s="153">
        <f t="shared" si="11"/>
        <v>0</v>
      </c>
      <c r="P205" s="146"/>
    </row>
    <row r="206" spans="2:16" x14ac:dyDescent="0.3">
      <c r="B206" s="146">
        <v>199</v>
      </c>
      <c r="C206" s="147"/>
      <c r="D206" s="147"/>
      <c r="E206" s="146"/>
      <c r="F206" s="148" t="str">
        <f>+IFERROR(VLOOKUP(E206,Data!C202:D297,2,0),"")</f>
        <v/>
      </c>
      <c r="G206" s="146"/>
      <c r="H206" s="149"/>
      <c r="I206" s="150"/>
      <c r="J206" s="151" t="str">
        <f t="shared" si="9"/>
        <v>-</v>
      </c>
      <c r="K206" s="152"/>
      <c r="L206" s="149"/>
      <c r="M206" s="149"/>
      <c r="N206" s="153">
        <f t="shared" si="10"/>
        <v>0</v>
      </c>
      <c r="O206" s="153">
        <f t="shared" si="11"/>
        <v>0</v>
      </c>
      <c r="P206" s="146"/>
    </row>
    <row r="207" spans="2:16" x14ac:dyDescent="0.3">
      <c r="B207" s="146">
        <v>200</v>
      </c>
      <c r="C207" s="147"/>
      <c r="D207" s="147"/>
      <c r="E207" s="146"/>
      <c r="F207" s="148" t="str">
        <f>+IFERROR(VLOOKUP(E207,Data!C203:D298,2,0),"")</f>
        <v/>
      </c>
      <c r="G207" s="146"/>
      <c r="H207" s="149"/>
      <c r="I207" s="150"/>
      <c r="J207" s="151" t="str">
        <f t="shared" si="9"/>
        <v>-</v>
      </c>
      <c r="K207" s="152"/>
      <c r="L207" s="149"/>
      <c r="M207" s="149"/>
      <c r="N207" s="153">
        <f t="shared" si="10"/>
        <v>0</v>
      </c>
      <c r="O207" s="153">
        <f t="shared" si="11"/>
        <v>0</v>
      </c>
      <c r="P207" s="146"/>
    </row>
    <row r="208" spans="2:16" x14ac:dyDescent="0.3">
      <c r="B208" s="146">
        <v>201</v>
      </c>
      <c r="C208" s="147"/>
      <c r="D208" s="147"/>
      <c r="E208" s="146"/>
      <c r="F208" s="148" t="str">
        <f>+IFERROR(VLOOKUP(E208,Data!C204:D299,2,0),"")</f>
        <v/>
      </c>
      <c r="G208" s="146"/>
      <c r="H208" s="149"/>
      <c r="I208" s="150"/>
      <c r="J208" s="151" t="str">
        <f t="shared" si="9"/>
        <v>-</v>
      </c>
      <c r="K208" s="152"/>
      <c r="L208" s="149"/>
      <c r="M208" s="149"/>
      <c r="N208" s="153">
        <f t="shared" si="10"/>
        <v>0</v>
      </c>
      <c r="O208" s="153">
        <f t="shared" si="11"/>
        <v>0</v>
      </c>
      <c r="P208" s="146"/>
    </row>
    <row r="209" spans="2:16" x14ac:dyDescent="0.3">
      <c r="B209" s="146">
        <v>202</v>
      </c>
      <c r="C209" s="147"/>
      <c r="D209" s="147"/>
      <c r="E209" s="146"/>
      <c r="F209" s="148" t="str">
        <f>+IFERROR(VLOOKUP(E209,Data!C205:D300,2,0),"")</f>
        <v/>
      </c>
      <c r="G209" s="146"/>
      <c r="H209" s="149"/>
      <c r="I209" s="150"/>
      <c r="J209" s="151" t="str">
        <f t="shared" si="9"/>
        <v>-</v>
      </c>
      <c r="K209" s="152"/>
      <c r="L209" s="149"/>
      <c r="M209" s="149"/>
      <c r="N209" s="153">
        <f t="shared" si="10"/>
        <v>0</v>
      </c>
      <c r="O209" s="153">
        <f t="shared" si="11"/>
        <v>0</v>
      </c>
      <c r="P209" s="146"/>
    </row>
    <row r="210" spans="2:16" x14ac:dyDescent="0.3">
      <c r="B210" s="146">
        <v>203</v>
      </c>
      <c r="C210" s="147"/>
      <c r="D210" s="147"/>
      <c r="E210" s="146"/>
      <c r="F210" s="148" t="str">
        <f>+IFERROR(VLOOKUP(E210,Data!C206:D301,2,0),"")</f>
        <v/>
      </c>
      <c r="G210" s="146"/>
      <c r="H210" s="149"/>
      <c r="I210" s="150"/>
      <c r="J210" s="151" t="str">
        <f t="shared" si="9"/>
        <v>-</v>
      </c>
      <c r="K210" s="152"/>
      <c r="L210" s="149"/>
      <c r="M210" s="149"/>
      <c r="N210" s="153">
        <f t="shared" si="10"/>
        <v>0</v>
      </c>
      <c r="O210" s="153">
        <f t="shared" si="11"/>
        <v>0</v>
      </c>
      <c r="P210" s="146"/>
    </row>
    <row r="211" spans="2:16" x14ac:dyDescent="0.3">
      <c r="B211" s="146">
        <v>204</v>
      </c>
      <c r="C211" s="147"/>
      <c r="D211" s="147"/>
      <c r="E211" s="146"/>
      <c r="F211" s="148" t="str">
        <f>+IFERROR(VLOOKUP(E211,Data!C207:D302,2,0),"")</f>
        <v/>
      </c>
      <c r="G211" s="146"/>
      <c r="H211" s="149"/>
      <c r="I211" s="150"/>
      <c r="J211" s="151" t="str">
        <f t="shared" si="9"/>
        <v>-</v>
      </c>
      <c r="K211" s="152"/>
      <c r="L211" s="149"/>
      <c r="M211" s="149"/>
      <c r="N211" s="153">
        <f t="shared" si="10"/>
        <v>0</v>
      </c>
      <c r="O211" s="153">
        <f t="shared" si="11"/>
        <v>0</v>
      </c>
      <c r="P211" s="146"/>
    </row>
    <row r="212" spans="2:16" x14ac:dyDescent="0.3">
      <c r="B212" s="146">
        <v>205</v>
      </c>
      <c r="C212" s="147"/>
      <c r="D212" s="147"/>
      <c r="E212" s="146"/>
      <c r="F212" s="148" t="str">
        <f>+IFERROR(VLOOKUP(E212,Data!C208:D303,2,0),"")</f>
        <v/>
      </c>
      <c r="G212" s="146"/>
      <c r="H212" s="149"/>
      <c r="I212" s="150"/>
      <c r="J212" s="151" t="str">
        <f t="shared" si="9"/>
        <v>-</v>
      </c>
      <c r="K212" s="152"/>
      <c r="L212" s="149"/>
      <c r="M212" s="149"/>
      <c r="N212" s="153">
        <f t="shared" si="10"/>
        <v>0</v>
      </c>
      <c r="O212" s="153">
        <f t="shared" si="11"/>
        <v>0</v>
      </c>
      <c r="P212" s="146"/>
    </row>
    <row r="213" spans="2:16" x14ac:dyDescent="0.3">
      <c r="B213" s="146">
        <v>206</v>
      </c>
      <c r="C213" s="147"/>
      <c r="D213" s="147"/>
      <c r="E213" s="146"/>
      <c r="F213" s="148" t="str">
        <f>+IFERROR(VLOOKUP(E213,Data!C209:D304,2,0),"")</f>
        <v/>
      </c>
      <c r="G213" s="146"/>
      <c r="H213" s="149"/>
      <c r="I213" s="150"/>
      <c r="J213" s="151" t="str">
        <f t="shared" si="9"/>
        <v>-</v>
      </c>
      <c r="K213" s="152"/>
      <c r="L213" s="149"/>
      <c r="M213" s="149"/>
      <c r="N213" s="153">
        <f t="shared" si="10"/>
        <v>0</v>
      </c>
      <c r="O213" s="153">
        <f t="shared" si="11"/>
        <v>0</v>
      </c>
      <c r="P213" s="146"/>
    </row>
    <row r="214" spans="2:16" x14ac:dyDescent="0.3">
      <c r="B214" s="146">
        <v>207</v>
      </c>
      <c r="C214" s="147"/>
      <c r="D214" s="147"/>
      <c r="E214" s="146"/>
      <c r="F214" s="148" t="str">
        <f>+IFERROR(VLOOKUP(E214,Data!C210:D305,2,0),"")</f>
        <v/>
      </c>
      <c r="G214" s="146"/>
      <c r="H214" s="149"/>
      <c r="I214" s="150"/>
      <c r="J214" s="151" t="str">
        <f t="shared" si="9"/>
        <v>-</v>
      </c>
      <c r="K214" s="152"/>
      <c r="L214" s="149"/>
      <c r="M214" s="149"/>
      <c r="N214" s="153">
        <f t="shared" si="10"/>
        <v>0</v>
      </c>
      <c r="O214" s="153">
        <f t="shared" si="11"/>
        <v>0</v>
      </c>
      <c r="P214" s="146"/>
    </row>
    <row r="215" spans="2:16" x14ac:dyDescent="0.3">
      <c r="B215" s="146">
        <v>208</v>
      </c>
      <c r="C215" s="147"/>
      <c r="D215" s="147"/>
      <c r="E215" s="146"/>
      <c r="F215" s="148" t="str">
        <f>+IFERROR(VLOOKUP(E215,Data!C211:D306,2,0),"")</f>
        <v/>
      </c>
      <c r="G215" s="146"/>
      <c r="H215" s="149"/>
      <c r="I215" s="150"/>
      <c r="J215" s="151" t="str">
        <f t="shared" si="9"/>
        <v>-</v>
      </c>
      <c r="K215" s="152"/>
      <c r="L215" s="149"/>
      <c r="M215" s="149"/>
      <c r="N215" s="153">
        <f t="shared" si="10"/>
        <v>0</v>
      </c>
      <c r="O215" s="153">
        <f t="shared" si="11"/>
        <v>0</v>
      </c>
      <c r="P215" s="146"/>
    </row>
    <row r="216" spans="2:16" x14ac:dyDescent="0.3">
      <c r="B216" s="146">
        <v>209</v>
      </c>
      <c r="C216" s="147"/>
      <c r="D216" s="147"/>
      <c r="E216" s="146"/>
      <c r="F216" s="148" t="str">
        <f>+IFERROR(VLOOKUP(E216,Data!C212:D307,2,0),"")</f>
        <v/>
      </c>
      <c r="G216" s="146"/>
      <c r="H216" s="149"/>
      <c r="I216" s="150"/>
      <c r="J216" s="151" t="str">
        <f t="shared" si="9"/>
        <v>-</v>
      </c>
      <c r="K216" s="152"/>
      <c r="L216" s="149"/>
      <c r="M216" s="149"/>
      <c r="N216" s="153">
        <f t="shared" si="10"/>
        <v>0</v>
      </c>
      <c r="O216" s="153">
        <f t="shared" si="11"/>
        <v>0</v>
      </c>
      <c r="P216" s="146"/>
    </row>
    <row r="217" spans="2:16" x14ac:dyDescent="0.3">
      <c r="B217" s="146">
        <v>210</v>
      </c>
      <c r="C217" s="147"/>
      <c r="D217" s="147"/>
      <c r="E217" s="146"/>
      <c r="F217" s="148" t="str">
        <f>+IFERROR(VLOOKUP(E217,Data!C213:D308,2,0),"")</f>
        <v/>
      </c>
      <c r="G217" s="146"/>
      <c r="H217" s="149"/>
      <c r="I217" s="150"/>
      <c r="J217" s="151" t="str">
        <f t="shared" si="9"/>
        <v>-</v>
      </c>
      <c r="K217" s="152"/>
      <c r="L217" s="149"/>
      <c r="M217" s="149"/>
      <c r="N217" s="153">
        <f t="shared" si="10"/>
        <v>0</v>
      </c>
      <c r="O217" s="153">
        <f t="shared" si="11"/>
        <v>0</v>
      </c>
      <c r="P217" s="146"/>
    </row>
    <row r="218" spans="2:16" x14ac:dyDescent="0.3">
      <c r="B218" s="146">
        <v>211</v>
      </c>
      <c r="C218" s="147"/>
      <c r="D218" s="147"/>
      <c r="E218" s="146"/>
      <c r="F218" s="148" t="str">
        <f>+IFERROR(VLOOKUP(E218,Data!C214:D309,2,0),"")</f>
        <v/>
      </c>
      <c r="G218" s="146"/>
      <c r="H218" s="149"/>
      <c r="I218" s="150"/>
      <c r="J218" s="151" t="str">
        <f t="shared" si="9"/>
        <v>-</v>
      </c>
      <c r="K218" s="152"/>
      <c r="L218" s="149"/>
      <c r="M218" s="149"/>
      <c r="N218" s="153">
        <f t="shared" si="10"/>
        <v>0</v>
      </c>
      <c r="O218" s="153">
        <f t="shared" si="11"/>
        <v>0</v>
      </c>
      <c r="P218" s="146"/>
    </row>
    <row r="219" spans="2:16" x14ac:dyDescent="0.3">
      <c r="B219" s="146">
        <v>212</v>
      </c>
      <c r="C219" s="147"/>
      <c r="D219" s="147"/>
      <c r="E219" s="146"/>
      <c r="F219" s="148" t="str">
        <f>+IFERROR(VLOOKUP(E219,Data!C215:D310,2,0),"")</f>
        <v/>
      </c>
      <c r="G219" s="146"/>
      <c r="H219" s="149"/>
      <c r="I219" s="150"/>
      <c r="J219" s="151" t="str">
        <f t="shared" si="9"/>
        <v>-</v>
      </c>
      <c r="K219" s="152"/>
      <c r="L219" s="149"/>
      <c r="M219" s="149"/>
      <c r="N219" s="153">
        <f t="shared" si="10"/>
        <v>0</v>
      </c>
      <c r="O219" s="153">
        <f t="shared" si="11"/>
        <v>0</v>
      </c>
      <c r="P219" s="146"/>
    </row>
    <row r="220" spans="2:16" x14ac:dyDescent="0.3">
      <c r="B220" s="146">
        <v>213</v>
      </c>
      <c r="C220" s="147"/>
      <c r="D220" s="147"/>
      <c r="E220" s="146"/>
      <c r="F220" s="148" t="str">
        <f>+IFERROR(VLOOKUP(E220,Data!C216:D311,2,0),"")</f>
        <v/>
      </c>
      <c r="G220" s="146"/>
      <c r="H220" s="149"/>
      <c r="I220" s="150"/>
      <c r="J220" s="151" t="str">
        <f t="shared" si="9"/>
        <v>-</v>
      </c>
      <c r="K220" s="152"/>
      <c r="L220" s="149"/>
      <c r="M220" s="149"/>
      <c r="N220" s="153">
        <f t="shared" si="10"/>
        <v>0</v>
      </c>
      <c r="O220" s="153">
        <f t="shared" si="11"/>
        <v>0</v>
      </c>
      <c r="P220" s="146"/>
    </row>
    <row r="221" spans="2:16" x14ac:dyDescent="0.3">
      <c r="B221" s="146">
        <v>214</v>
      </c>
      <c r="C221" s="147"/>
      <c r="D221" s="147"/>
      <c r="E221" s="146"/>
      <c r="F221" s="148" t="str">
        <f>+IFERROR(VLOOKUP(E221,Data!C217:D312,2,0),"")</f>
        <v/>
      </c>
      <c r="G221" s="146"/>
      <c r="H221" s="149"/>
      <c r="I221" s="150"/>
      <c r="J221" s="151" t="str">
        <f t="shared" si="9"/>
        <v>-</v>
      </c>
      <c r="K221" s="152"/>
      <c r="L221" s="149"/>
      <c r="M221" s="149"/>
      <c r="N221" s="153">
        <f t="shared" si="10"/>
        <v>0</v>
      </c>
      <c r="O221" s="153">
        <f t="shared" si="11"/>
        <v>0</v>
      </c>
      <c r="P221" s="146"/>
    </row>
    <row r="222" spans="2:16" x14ac:dyDescent="0.3">
      <c r="B222" s="146">
        <v>215</v>
      </c>
      <c r="C222" s="147"/>
      <c r="D222" s="147"/>
      <c r="E222" s="146"/>
      <c r="F222" s="148" t="str">
        <f>+IFERROR(VLOOKUP(E222,Data!C218:D313,2,0),"")</f>
        <v/>
      </c>
      <c r="G222" s="146"/>
      <c r="H222" s="149"/>
      <c r="I222" s="150"/>
      <c r="J222" s="151" t="str">
        <f t="shared" si="9"/>
        <v>-</v>
      </c>
      <c r="K222" s="152"/>
      <c r="L222" s="149"/>
      <c r="M222" s="149"/>
      <c r="N222" s="153">
        <f t="shared" si="10"/>
        <v>0</v>
      </c>
      <c r="O222" s="153">
        <f t="shared" si="11"/>
        <v>0</v>
      </c>
      <c r="P222" s="146"/>
    </row>
    <row r="223" spans="2:16" x14ac:dyDescent="0.3">
      <c r="B223" s="146">
        <v>216</v>
      </c>
      <c r="C223" s="147"/>
      <c r="D223" s="147"/>
      <c r="E223" s="146"/>
      <c r="F223" s="148" t="str">
        <f>+IFERROR(VLOOKUP(E223,Data!C219:D314,2,0),"")</f>
        <v/>
      </c>
      <c r="G223" s="146"/>
      <c r="H223" s="149"/>
      <c r="I223" s="150"/>
      <c r="J223" s="151" t="str">
        <f t="shared" si="9"/>
        <v>-</v>
      </c>
      <c r="K223" s="152"/>
      <c r="L223" s="149"/>
      <c r="M223" s="149"/>
      <c r="N223" s="153">
        <f t="shared" si="10"/>
        <v>0</v>
      </c>
      <c r="O223" s="153">
        <f t="shared" si="11"/>
        <v>0</v>
      </c>
      <c r="P223" s="146"/>
    </row>
    <row r="224" spans="2:16" x14ac:dyDescent="0.3">
      <c r="B224" s="146">
        <v>217</v>
      </c>
      <c r="C224" s="147"/>
      <c r="D224" s="147"/>
      <c r="E224" s="146"/>
      <c r="F224" s="148" t="str">
        <f>+IFERROR(VLOOKUP(E224,Data!C220:D315,2,0),"")</f>
        <v/>
      </c>
      <c r="G224" s="146"/>
      <c r="H224" s="149"/>
      <c r="I224" s="150"/>
      <c r="J224" s="151" t="str">
        <f t="shared" si="9"/>
        <v>-</v>
      </c>
      <c r="K224" s="152"/>
      <c r="L224" s="149"/>
      <c r="M224" s="149"/>
      <c r="N224" s="153">
        <f t="shared" si="10"/>
        <v>0</v>
      </c>
      <c r="O224" s="153">
        <f t="shared" si="11"/>
        <v>0</v>
      </c>
      <c r="P224" s="146"/>
    </row>
    <row r="225" spans="2:16" x14ac:dyDescent="0.3">
      <c r="B225" s="146">
        <v>218</v>
      </c>
      <c r="C225" s="147"/>
      <c r="D225" s="147"/>
      <c r="E225" s="146"/>
      <c r="F225" s="148" t="str">
        <f>+IFERROR(VLOOKUP(E225,Data!C221:D316,2,0),"")</f>
        <v/>
      </c>
      <c r="G225" s="146"/>
      <c r="H225" s="149"/>
      <c r="I225" s="150"/>
      <c r="J225" s="151" t="str">
        <f t="shared" si="9"/>
        <v>-</v>
      </c>
      <c r="K225" s="152"/>
      <c r="L225" s="149"/>
      <c r="M225" s="149"/>
      <c r="N225" s="153">
        <f t="shared" si="10"/>
        <v>0</v>
      </c>
      <c r="O225" s="153">
        <f t="shared" si="11"/>
        <v>0</v>
      </c>
      <c r="P225" s="146"/>
    </row>
    <row r="226" spans="2:16" x14ac:dyDescent="0.3">
      <c r="B226" s="146">
        <v>219</v>
      </c>
      <c r="C226" s="147"/>
      <c r="D226" s="147"/>
      <c r="E226" s="146"/>
      <c r="F226" s="148" t="str">
        <f>+IFERROR(VLOOKUP(E226,Data!C222:D317,2,0),"")</f>
        <v/>
      </c>
      <c r="G226" s="146"/>
      <c r="H226" s="149"/>
      <c r="I226" s="150"/>
      <c r="J226" s="151" t="str">
        <f t="shared" si="9"/>
        <v>-</v>
      </c>
      <c r="K226" s="152"/>
      <c r="L226" s="149"/>
      <c r="M226" s="149"/>
      <c r="N226" s="153">
        <f t="shared" si="10"/>
        <v>0</v>
      </c>
      <c r="O226" s="153">
        <f t="shared" si="11"/>
        <v>0</v>
      </c>
      <c r="P226" s="146"/>
    </row>
    <row r="227" spans="2:16" x14ac:dyDescent="0.3">
      <c r="B227" s="146">
        <v>220</v>
      </c>
      <c r="C227" s="147"/>
      <c r="D227" s="147"/>
      <c r="E227" s="146"/>
      <c r="F227" s="148" t="str">
        <f>+IFERROR(VLOOKUP(E227,Data!C223:D318,2,0),"")</f>
        <v/>
      </c>
      <c r="G227" s="146"/>
      <c r="H227" s="149"/>
      <c r="I227" s="150"/>
      <c r="J227" s="151" t="str">
        <f t="shared" si="9"/>
        <v>-</v>
      </c>
      <c r="K227" s="152"/>
      <c r="L227" s="149"/>
      <c r="M227" s="149"/>
      <c r="N227" s="153">
        <f t="shared" si="10"/>
        <v>0</v>
      </c>
      <c r="O227" s="153">
        <f t="shared" si="11"/>
        <v>0</v>
      </c>
      <c r="P227" s="146"/>
    </row>
    <row r="228" spans="2:16" x14ac:dyDescent="0.3">
      <c r="B228" s="146">
        <v>221</v>
      </c>
      <c r="C228" s="147"/>
      <c r="D228" s="147"/>
      <c r="E228" s="146"/>
      <c r="F228" s="148" t="str">
        <f>+IFERROR(VLOOKUP(E228,Data!C224:D319,2,0),"")</f>
        <v/>
      </c>
      <c r="G228" s="146"/>
      <c r="H228" s="149"/>
      <c r="I228" s="150"/>
      <c r="J228" s="151" t="str">
        <f t="shared" si="9"/>
        <v>-</v>
      </c>
      <c r="K228" s="152"/>
      <c r="L228" s="149"/>
      <c r="M228" s="149"/>
      <c r="N228" s="153">
        <f t="shared" si="10"/>
        <v>0</v>
      </c>
      <c r="O228" s="153">
        <f t="shared" si="11"/>
        <v>0</v>
      </c>
      <c r="P228" s="146"/>
    </row>
    <row r="229" spans="2:16" x14ac:dyDescent="0.3">
      <c r="B229" s="146">
        <v>222</v>
      </c>
      <c r="C229" s="147"/>
      <c r="D229" s="147"/>
      <c r="E229" s="146"/>
      <c r="F229" s="148" t="str">
        <f>+IFERROR(VLOOKUP(E229,Data!C225:D320,2,0),"")</f>
        <v/>
      </c>
      <c r="G229" s="146"/>
      <c r="H229" s="149"/>
      <c r="I229" s="150"/>
      <c r="J229" s="151" t="str">
        <f t="shared" si="9"/>
        <v>-</v>
      </c>
      <c r="K229" s="152"/>
      <c r="L229" s="149"/>
      <c r="M229" s="149"/>
      <c r="N229" s="153">
        <f t="shared" si="10"/>
        <v>0</v>
      </c>
      <c r="O229" s="153">
        <f t="shared" si="11"/>
        <v>0</v>
      </c>
      <c r="P229" s="146"/>
    </row>
    <row r="230" spans="2:16" x14ac:dyDescent="0.3">
      <c r="B230" s="146">
        <v>223</v>
      </c>
      <c r="C230" s="147"/>
      <c r="D230" s="147"/>
      <c r="E230" s="146"/>
      <c r="F230" s="148" t="str">
        <f>+IFERROR(VLOOKUP(E230,Data!C226:D321,2,0),"")</f>
        <v/>
      </c>
      <c r="G230" s="146"/>
      <c r="H230" s="149"/>
      <c r="I230" s="150"/>
      <c r="J230" s="151" t="str">
        <f t="shared" si="9"/>
        <v>-</v>
      </c>
      <c r="K230" s="152"/>
      <c r="L230" s="149"/>
      <c r="M230" s="149"/>
      <c r="N230" s="153">
        <f t="shared" si="10"/>
        <v>0</v>
      </c>
      <c r="O230" s="153">
        <f t="shared" si="11"/>
        <v>0</v>
      </c>
      <c r="P230" s="146"/>
    </row>
    <row r="231" spans="2:16" x14ac:dyDescent="0.3">
      <c r="B231" s="146">
        <v>224</v>
      </c>
      <c r="C231" s="147"/>
      <c r="D231" s="147"/>
      <c r="E231" s="146"/>
      <c r="F231" s="148" t="str">
        <f>+IFERROR(VLOOKUP(E231,Data!C227:D322,2,0),"")</f>
        <v/>
      </c>
      <c r="G231" s="146"/>
      <c r="H231" s="149"/>
      <c r="I231" s="150"/>
      <c r="J231" s="151" t="str">
        <f t="shared" si="9"/>
        <v>-</v>
      </c>
      <c r="K231" s="152"/>
      <c r="L231" s="149"/>
      <c r="M231" s="149"/>
      <c r="N231" s="153">
        <f t="shared" si="10"/>
        <v>0</v>
      </c>
      <c r="O231" s="153">
        <f t="shared" si="11"/>
        <v>0</v>
      </c>
      <c r="P231" s="146"/>
    </row>
    <row r="232" spans="2:16" x14ac:dyDescent="0.3">
      <c r="B232" s="146">
        <v>225</v>
      </c>
      <c r="C232" s="147"/>
      <c r="D232" s="147"/>
      <c r="E232" s="146"/>
      <c r="F232" s="148" t="str">
        <f>+IFERROR(VLOOKUP(E232,Data!C228:D323,2,0),"")</f>
        <v/>
      </c>
      <c r="G232" s="146"/>
      <c r="H232" s="149"/>
      <c r="I232" s="150"/>
      <c r="J232" s="151" t="str">
        <f t="shared" si="9"/>
        <v>-</v>
      </c>
      <c r="K232" s="152"/>
      <c r="L232" s="149"/>
      <c r="M232" s="149"/>
      <c r="N232" s="153">
        <f t="shared" si="10"/>
        <v>0</v>
      </c>
      <c r="O232" s="153">
        <f t="shared" si="11"/>
        <v>0</v>
      </c>
      <c r="P232" s="146"/>
    </row>
    <row r="233" spans="2:16" x14ac:dyDescent="0.3">
      <c r="B233" s="146">
        <v>226</v>
      </c>
      <c r="C233" s="147"/>
      <c r="D233" s="147"/>
      <c r="E233" s="146"/>
      <c r="F233" s="148" t="str">
        <f>+IFERROR(VLOOKUP(E233,Data!C229:D324,2,0),"")</f>
        <v/>
      </c>
      <c r="G233" s="146"/>
      <c r="H233" s="149"/>
      <c r="I233" s="150"/>
      <c r="J233" s="151" t="str">
        <f t="shared" si="9"/>
        <v>-</v>
      </c>
      <c r="K233" s="152"/>
      <c r="L233" s="149"/>
      <c r="M233" s="149"/>
      <c r="N233" s="153">
        <f t="shared" si="10"/>
        <v>0</v>
      </c>
      <c r="O233" s="153">
        <f t="shared" si="11"/>
        <v>0</v>
      </c>
      <c r="P233" s="146"/>
    </row>
    <row r="234" spans="2:16" x14ac:dyDescent="0.3">
      <c r="B234" s="146">
        <v>227</v>
      </c>
      <c r="C234" s="147"/>
      <c r="D234" s="147"/>
      <c r="E234" s="146"/>
      <c r="F234" s="148" t="str">
        <f>+IFERROR(VLOOKUP(E234,Data!C230:D325,2,0),"")</f>
        <v/>
      </c>
      <c r="G234" s="146"/>
      <c r="H234" s="149"/>
      <c r="I234" s="150"/>
      <c r="J234" s="151" t="str">
        <f t="shared" si="9"/>
        <v>-</v>
      </c>
      <c r="K234" s="152"/>
      <c r="L234" s="149"/>
      <c r="M234" s="149"/>
      <c r="N234" s="153">
        <f t="shared" si="10"/>
        <v>0</v>
      </c>
      <c r="O234" s="153">
        <f t="shared" si="11"/>
        <v>0</v>
      </c>
      <c r="P234" s="146"/>
    </row>
    <row r="235" spans="2:16" x14ac:dyDescent="0.3">
      <c r="B235" s="146">
        <v>228</v>
      </c>
      <c r="C235" s="147"/>
      <c r="D235" s="147"/>
      <c r="E235" s="146"/>
      <c r="F235" s="148" t="str">
        <f>+IFERROR(VLOOKUP(E235,Data!C231:D326,2,0),"")</f>
        <v/>
      </c>
      <c r="G235" s="146"/>
      <c r="H235" s="149"/>
      <c r="I235" s="150"/>
      <c r="J235" s="151" t="str">
        <f t="shared" si="9"/>
        <v>-</v>
      </c>
      <c r="K235" s="152"/>
      <c r="L235" s="149"/>
      <c r="M235" s="149"/>
      <c r="N235" s="153">
        <f t="shared" si="10"/>
        <v>0</v>
      </c>
      <c r="O235" s="153">
        <f t="shared" si="11"/>
        <v>0</v>
      </c>
      <c r="P235" s="146"/>
    </row>
    <row r="236" spans="2:16" x14ac:dyDescent="0.3">
      <c r="B236" s="146">
        <v>229</v>
      </c>
      <c r="C236" s="147"/>
      <c r="D236" s="147"/>
      <c r="E236" s="146"/>
      <c r="F236" s="148" t="str">
        <f>+IFERROR(VLOOKUP(E236,Data!C232:D327,2,0),"")</f>
        <v/>
      </c>
      <c r="G236" s="146"/>
      <c r="H236" s="149"/>
      <c r="I236" s="150"/>
      <c r="J236" s="151" t="str">
        <f t="shared" si="9"/>
        <v>-</v>
      </c>
      <c r="K236" s="152"/>
      <c r="L236" s="149"/>
      <c r="M236" s="149"/>
      <c r="N236" s="153">
        <f t="shared" si="10"/>
        <v>0</v>
      </c>
      <c r="O236" s="153">
        <f t="shared" si="11"/>
        <v>0</v>
      </c>
      <c r="P236" s="146"/>
    </row>
    <row r="237" spans="2:16" x14ac:dyDescent="0.3">
      <c r="B237" s="146">
        <v>230</v>
      </c>
      <c r="C237" s="147"/>
      <c r="D237" s="147"/>
      <c r="E237" s="146"/>
      <c r="F237" s="148" t="str">
        <f>+IFERROR(VLOOKUP(E237,Data!C233:D328,2,0),"")</f>
        <v/>
      </c>
      <c r="G237" s="146"/>
      <c r="H237" s="149"/>
      <c r="I237" s="150"/>
      <c r="J237" s="151" t="str">
        <f t="shared" si="9"/>
        <v>-</v>
      </c>
      <c r="K237" s="152"/>
      <c r="L237" s="149"/>
      <c r="M237" s="149"/>
      <c r="N237" s="153">
        <f t="shared" si="10"/>
        <v>0</v>
      </c>
      <c r="O237" s="153">
        <f t="shared" si="11"/>
        <v>0</v>
      </c>
      <c r="P237" s="146"/>
    </row>
    <row r="238" spans="2:16" x14ac:dyDescent="0.3">
      <c r="B238" s="146">
        <v>231</v>
      </c>
      <c r="C238" s="147"/>
      <c r="D238" s="147"/>
      <c r="E238" s="146"/>
      <c r="F238" s="148" t="str">
        <f>+IFERROR(VLOOKUP(E238,Data!C234:D329,2,0),"")</f>
        <v/>
      </c>
      <c r="G238" s="146"/>
      <c r="H238" s="149"/>
      <c r="I238" s="150"/>
      <c r="J238" s="151" t="str">
        <f t="shared" si="9"/>
        <v>-</v>
      </c>
      <c r="K238" s="152"/>
      <c r="L238" s="149"/>
      <c r="M238" s="149"/>
      <c r="N238" s="153">
        <f t="shared" si="10"/>
        <v>0</v>
      </c>
      <c r="O238" s="153">
        <f t="shared" si="11"/>
        <v>0</v>
      </c>
      <c r="P238" s="146"/>
    </row>
    <row r="239" spans="2:16" x14ac:dyDescent="0.3">
      <c r="B239" s="146">
        <v>232</v>
      </c>
      <c r="C239" s="147"/>
      <c r="D239" s="147"/>
      <c r="E239" s="146"/>
      <c r="F239" s="148" t="str">
        <f>+IFERROR(VLOOKUP(E239,Data!C235:D330,2,0),"")</f>
        <v/>
      </c>
      <c r="G239" s="146"/>
      <c r="H239" s="149"/>
      <c r="I239" s="150"/>
      <c r="J239" s="151" t="str">
        <f t="shared" si="9"/>
        <v>-</v>
      </c>
      <c r="K239" s="152"/>
      <c r="L239" s="149"/>
      <c r="M239" s="149"/>
      <c r="N239" s="153">
        <f t="shared" si="10"/>
        <v>0</v>
      </c>
      <c r="O239" s="153">
        <f t="shared" si="11"/>
        <v>0</v>
      </c>
      <c r="P239" s="146"/>
    </row>
    <row r="240" spans="2:16" x14ac:dyDescent="0.3">
      <c r="B240" s="146">
        <v>233</v>
      </c>
      <c r="C240" s="147"/>
      <c r="D240" s="147"/>
      <c r="E240" s="146"/>
      <c r="F240" s="148" t="str">
        <f>+IFERROR(VLOOKUP(E240,Data!C236:D331,2,0),"")</f>
        <v/>
      </c>
      <c r="G240" s="146"/>
      <c r="H240" s="149"/>
      <c r="I240" s="150"/>
      <c r="J240" s="151" t="str">
        <f t="shared" si="9"/>
        <v>-</v>
      </c>
      <c r="K240" s="152"/>
      <c r="L240" s="149"/>
      <c r="M240" s="149"/>
      <c r="N240" s="153">
        <f t="shared" si="10"/>
        <v>0</v>
      </c>
      <c r="O240" s="153">
        <f t="shared" si="11"/>
        <v>0</v>
      </c>
      <c r="P240" s="146"/>
    </row>
    <row r="241" spans="2:16" x14ac:dyDescent="0.3">
      <c r="B241" s="146">
        <v>234</v>
      </c>
      <c r="C241" s="147"/>
      <c r="D241" s="147"/>
      <c r="E241" s="146"/>
      <c r="F241" s="148" t="str">
        <f>+IFERROR(VLOOKUP(E241,Data!C237:D332,2,0),"")</f>
        <v/>
      </c>
      <c r="G241" s="146"/>
      <c r="H241" s="149"/>
      <c r="I241" s="150"/>
      <c r="J241" s="151" t="str">
        <f t="shared" si="9"/>
        <v>-</v>
      </c>
      <c r="K241" s="152"/>
      <c r="L241" s="149"/>
      <c r="M241" s="149"/>
      <c r="N241" s="153">
        <f t="shared" si="10"/>
        <v>0</v>
      </c>
      <c r="O241" s="153">
        <f t="shared" si="11"/>
        <v>0</v>
      </c>
      <c r="P241" s="146"/>
    </row>
    <row r="242" spans="2:16" x14ac:dyDescent="0.3">
      <c r="B242" s="146">
        <v>235</v>
      </c>
      <c r="C242" s="147"/>
      <c r="D242" s="147"/>
      <c r="E242" s="146"/>
      <c r="F242" s="148" t="str">
        <f>+IFERROR(VLOOKUP(E242,Data!C238:D333,2,0),"")</f>
        <v/>
      </c>
      <c r="G242" s="146"/>
      <c r="H242" s="149"/>
      <c r="I242" s="150"/>
      <c r="J242" s="151" t="str">
        <f t="shared" si="9"/>
        <v>-</v>
      </c>
      <c r="K242" s="152"/>
      <c r="L242" s="149"/>
      <c r="M242" s="149"/>
      <c r="N242" s="153">
        <f t="shared" si="10"/>
        <v>0</v>
      </c>
      <c r="O242" s="153">
        <f t="shared" si="11"/>
        <v>0</v>
      </c>
      <c r="P242" s="146"/>
    </row>
    <row r="243" spans="2:16" x14ac:dyDescent="0.3">
      <c r="B243" s="146">
        <v>236</v>
      </c>
      <c r="C243" s="147"/>
      <c r="D243" s="147"/>
      <c r="E243" s="146"/>
      <c r="F243" s="148" t="str">
        <f>+IFERROR(VLOOKUP(E243,Data!C239:D334,2,0),"")</f>
        <v/>
      </c>
      <c r="G243" s="146"/>
      <c r="H243" s="149"/>
      <c r="I243" s="150"/>
      <c r="J243" s="151" t="str">
        <f t="shared" si="9"/>
        <v>-</v>
      </c>
      <c r="K243" s="152"/>
      <c r="L243" s="149"/>
      <c r="M243" s="149"/>
      <c r="N243" s="153">
        <f t="shared" si="10"/>
        <v>0</v>
      </c>
      <c r="O243" s="153">
        <f t="shared" si="11"/>
        <v>0</v>
      </c>
      <c r="P243" s="146"/>
    </row>
    <row r="244" spans="2:16" x14ac:dyDescent="0.3">
      <c r="B244" s="146">
        <v>237</v>
      </c>
      <c r="C244" s="147"/>
      <c r="D244" s="147"/>
      <c r="E244" s="146"/>
      <c r="F244" s="148" t="str">
        <f>+IFERROR(VLOOKUP(E244,Data!C240:D335,2,0),"")</f>
        <v/>
      </c>
      <c r="G244" s="146"/>
      <c r="H244" s="149"/>
      <c r="I244" s="150"/>
      <c r="J244" s="151" t="str">
        <f t="shared" si="9"/>
        <v>-</v>
      </c>
      <c r="K244" s="152"/>
      <c r="L244" s="149"/>
      <c r="M244" s="149"/>
      <c r="N244" s="153">
        <f t="shared" si="10"/>
        <v>0</v>
      </c>
      <c r="O244" s="153">
        <f t="shared" si="11"/>
        <v>0</v>
      </c>
      <c r="P244" s="146"/>
    </row>
    <row r="245" spans="2:16" x14ac:dyDescent="0.3">
      <c r="B245" s="146">
        <v>238</v>
      </c>
      <c r="C245" s="147"/>
      <c r="D245" s="147"/>
      <c r="E245" s="146"/>
      <c r="F245" s="148" t="str">
        <f>+IFERROR(VLOOKUP(E245,Data!C241:D336,2,0),"")</f>
        <v/>
      </c>
      <c r="G245" s="146"/>
      <c r="H245" s="149"/>
      <c r="I245" s="150"/>
      <c r="J245" s="151" t="str">
        <f t="shared" si="9"/>
        <v>-</v>
      </c>
      <c r="K245" s="152"/>
      <c r="L245" s="149"/>
      <c r="M245" s="149"/>
      <c r="N245" s="153">
        <f t="shared" si="10"/>
        <v>0</v>
      </c>
      <c r="O245" s="153">
        <f t="shared" si="11"/>
        <v>0</v>
      </c>
      <c r="P245" s="146"/>
    </row>
    <row r="246" spans="2:16" x14ac:dyDescent="0.3">
      <c r="B246" s="146">
        <v>239</v>
      </c>
      <c r="C246" s="147"/>
      <c r="D246" s="147"/>
      <c r="E246" s="146"/>
      <c r="F246" s="148" t="str">
        <f>+IFERROR(VLOOKUP(E246,Data!C242:D337,2,0),"")</f>
        <v/>
      </c>
      <c r="G246" s="146"/>
      <c r="H246" s="149"/>
      <c r="I246" s="150"/>
      <c r="J246" s="151" t="str">
        <f t="shared" ref="J246:J309" si="12">IFERROR(+I246/H246,"-")</f>
        <v>-</v>
      </c>
      <c r="K246" s="152"/>
      <c r="L246" s="149"/>
      <c r="M246" s="149"/>
      <c r="N246" s="153">
        <f t="shared" ref="N246:N309" si="13">+L246+M246</f>
        <v>0</v>
      </c>
      <c r="O246" s="153">
        <f t="shared" ref="O246:O309" si="14">+N246-K246</f>
        <v>0</v>
      </c>
      <c r="P246" s="146"/>
    </row>
    <row r="247" spans="2:16" x14ac:dyDescent="0.3">
      <c r="B247" s="146">
        <v>240</v>
      </c>
      <c r="C247" s="147"/>
      <c r="D247" s="147"/>
      <c r="E247" s="146"/>
      <c r="F247" s="148" t="str">
        <f>+IFERROR(VLOOKUP(E247,Data!C243:D338,2,0),"")</f>
        <v/>
      </c>
      <c r="G247" s="146"/>
      <c r="H247" s="149"/>
      <c r="I247" s="150"/>
      <c r="J247" s="151" t="str">
        <f t="shared" si="12"/>
        <v>-</v>
      </c>
      <c r="K247" s="152"/>
      <c r="L247" s="149"/>
      <c r="M247" s="149"/>
      <c r="N247" s="153">
        <f t="shared" si="13"/>
        <v>0</v>
      </c>
      <c r="O247" s="153">
        <f t="shared" si="14"/>
        <v>0</v>
      </c>
      <c r="P247" s="146"/>
    </row>
    <row r="248" spans="2:16" x14ac:dyDescent="0.3">
      <c r="B248" s="146">
        <v>241</v>
      </c>
      <c r="C248" s="147"/>
      <c r="D248" s="147"/>
      <c r="E248" s="146"/>
      <c r="F248" s="148" t="str">
        <f>+IFERROR(VLOOKUP(E248,Data!C244:D339,2,0),"")</f>
        <v/>
      </c>
      <c r="G248" s="146"/>
      <c r="H248" s="149"/>
      <c r="I248" s="150"/>
      <c r="J248" s="151" t="str">
        <f t="shared" si="12"/>
        <v>-</v>
      </c>
      <c r="K248" s="152"/>
      <c r="L248" s="149"/>
      <c r="M248" s="149"/>
      <c r="N248" s="153">
        <f t="shared" si="13"/>
        <v>0</v>
      </c>
      <c r="O248" s="153">
        <f t="shared" si="14"/>
        <v>0</v>
      </c>
      <c r="P248" s="146"/>
    </row>
    <row r="249" spans="2:16" x14ac:dyDescent="0.3">
      <c r="B249" s="146">
        <v>242</v>
      </c>
      <c r="C249" s="147"/>
      <c r="D249" s="147"/>
      <c r="E249" s="146"/>
      <c r="F249" s="148" t="str">
        <f>+IFERROR(VLOOKUP(E249,Data!C245:D340,2,0),"")</f>
        <v/>
      </c>
      <c r="G249" s="146"/>
      <c r="H249" s="149"/>
      <c r="I249" s="150"/>
      <c r="J249" s="151" t="str">
        <f t="shared" si="12"/>
        <v>-</v>
      </c>
      <c r="K249" s="152"/>
      <c r="L249" s="149"/>
      <c r="M249" s="149"/>
      <c r="N249" s="153">
        <f t="shared" si="13"/>
        <v>0</v>
      </c>
      <c r="O249" s="153">
        <f t="shared" si="14"/>
        <v>0</v>
      </c>
      <c r="P249" s="146"/>
    </row>
    <row r="250" spans="2:16" x14ac:dyDescent="0.3">
      <c r="B250" s="146">
        <v>243</v>
      </c>
      <c r="C250" s="147"/>
      <c r="D250" s="147"/>
      <c r="E250" s="146"/>
      <c r="F250" s="148" t="str">
        <f>+IFERROR(VLOOKUP(E250,Data!C246:D341,2,0),"")</f>
        <v/>
      </c>
      <c r="G250" s="146"/>
      <c r="H250" s="149"/>
      <c r="I250" s="150"/>
      <c r="J250" s="151" t="str">
        <f t="shared" si="12"/>
        <v>-</v>
      </c>
      <c r="K250" s="152"/>
      <c r="L250" s="149"/>
      <c r="M250" s="149"/>
      <c r="N250" s="153">
        <f t="shared" si="13"/>
        <v>0</v>
      </c>
      <c r="O250" s="153">
        <f t="shared" si="14"/>
        <v>0</v>
      </c>
      <c r="P250" s="146"/>
    </row>
    <row r="251" spans="2:16" x14ac:dyDescent="0.3">
      <c r="B251" s="146">
        <v>244</v>
      </c>
      <c r="C251" s="147"/>
      <c r="D251" s="147"/>
      <c r="E251" s="146"/>
      <c r="F251" s="148" t="str">
        <f>+IFERROR(VLOOKUP(E251,Data!C247:D342,2,0),"")</f>
        <v/>
      </c>
      <c r="G251" s="146"/>
      <c r="H251" s="149"/>
      <c r="I251" s="150"/>
      <c r="J251" s="151" t="str">
        <f t="shared" si="12"/>
        <v>-</v>
      </c>
      <c r="K251" s="152"/>
      <c r="L251" s="149"/>
      <c r="M251" s="149"/>
      <c r="N251" s="153">
        <f t="shared" si="13"/>
        <v>0</v>
      </c>
      <c r="O251" s="153">
        <f t="shared" si="14"/>
        <v>0</v>
      </c>
      <c r="P251" s="146"/>
    </row>
    <row r="252" spans="2:16" x14ac:dyDescent="0.3">
      <c r="B252" s="146">
        <v>245</v>
      </c>
      <c r="C252" s="147"/>
      <c r="D252" s="147"/>
      <c r="E252" s="146"/>
      <c r="F252" s="148" t="str">
        <f>+IFERROR(VLOOKUP(E252,Data!C248:D343,2,0),"")</f>
        <v/>
      </c>
      <c r="G252" s="146"/>
      <c r="H252" s="149"/>
      <c r="I252" s="150"/>
      <c r="J252" s="151" t="str">
        <f t="shared" si="12"/>
        <v>-</v>
      </c>
      <c r="K252" s="152"/>
      <c r="L252" s="149"/>
      <c r="M252" s="149"/>
      <c r="N252" s="153">
        <f t="shared" si="13"/>
        <v>0</v>
      </c>
      <c r="O252" s="153">
        <f t="shared" si="14"/>
        <v>0</v>
      </c>
      <c r="P252" s="146"/>
    </row>
    <row r="253" spans="2:16" x14ac:dyDescent="0.3">
      <c r="B253" s="146">
        <v>246</v>
      </c>
      <c r="C253" s="147"/>
      <c r="D253" s="147"/>
      <c r="E253" s="146"/>
      <c r="F253" s="148" t="str">
        <f>+IFERROR(VLOOKUP(E253,Data!C249:D344,2,0),"")</f>
        <v/>
      </c>
      <c r="G253" s="146"/>
      <c r="H253" s="149"/>
      <c r="I253" s="150"/>
      <c r="J253" s="151" t="str">
        <f t="shared" si="12"/>
        <v>-</v>
      </c>
      <c r="K253" s="152"/>
      <c r="L253" s="149"/>
      <c r="M253" s="149"/>
      <c r="N253" s="153">
        <f t="shared" si="13"/>
        <v>0</v>
      </c>
      <c r="O253" s="153">
        <f t="shared" si="14"/>
        <v>0</v>
      </c>
      <c r="P253" s="146"/>
    </row>
    <row r="254" spans="2:16" x14ac:dyDescent="0.3">
      <c r="B254" s="146">
        <v>247</v>
      </c>
      <c r="C254" s="147"/>
      <c r="D254" s="147"/>
      <c r="E254" s="146"/>
      <c r="F254" s="148" t="str">
        <f>+IFERROR(VLOOKUP(E254,Data!C250:D345,2,0),"")</f>
        <v/>
      </c>
      <c r="G254" s="146"/>
      <c r="H254" s="149"/>
      <c r="I254" s="150"/>
      <c r="J254" s="151" t="str">
        <f t="shared" si="12"/>
        <v>-</v>
      </c>
      <c r="K254" s="152"/>
      <c r="L254" s="149"/>
      <c r="M254" s="149"/>
      <c r="N254" s="153">
        <f t="shared" si="13"/>
        <v>0</v>
      </c>
      <c r="O254" s="153">
        <f t="shared" si="14"/>
        <v>0</v>
      </c>
      <c r="P254" s="146"/>
    </row>
    <row r="255" spans="2:16" x14ac:dyDescent="0.3">
      <c r="B255" s="146">
        <v>248</v>
      </c>
      <c r="C255" s="147"/>
      <c r="D255" s="147"/>
      <c r="E255" s="146"/>
      <c r="F255" s="148" t="str">
        <f>+IFERROR(VLOOKUP(E255,Data!C251:D346,2,0),"")</f>
        <v/>
      </c>
      <c r="G255" s="146"/>
      <c r="H255" s="149"/>
      <c r="I255" s="150"/>
      <c r="J255" s="151" t="str">
        <f t="shared" si="12"/>
        <v>-</v>
      </c>
      <c r="K255" s="152"/>
      <c r="L255" s="149"/>
      <c r="M255" s="149"/>
      <c r="N255" s="153">
        <f t="shared" si="13"/>
        <v>0</v>
      </c>
      <c r="O255" s="153">
        <f t="shared" si="14"/>
        <v>0</v>
      </c>
      <c r="P255" s="146"/>
    </row>
    <row r="256" spans="2:16" x14ac:dyDescent="0.3">
      <c r="B256" s="146">
        <v>249</v>
      </c>
      <c r="C256" s="147"/>
      <c r="D256" s="147"/>
      <c r="E256" s="146"/>
      <c r="F256" s="148" t="str">
        <f>+IFERROR(VLOOKUP(E256,Data!C252:D347,2,0),"")</f>
        <v/>
      </c>
      <c r="G256" s="146"/>
      <c r="H256" s="149"/>
      <c r="I256" s="150"/>
      <c r="J256" s="151" t="str">
        <f t="shared" si="12"/>
        <v>-</v>
      </c>
      <c r="K256" s="152"/>
      <c r="L256" s="149"/>
      <c r="M256" s="149"/>
      <c r="N256" s="153">
        <f t="shared" si="13"/>
        <v>0</v>
      </c>
      <c r="O256" s="153">
        <f t="shared" si="14"/>
        <v>0</v>
      </c>
      <c r="P256" s="146"/>
    </row>
    <row r="257" spans="2:16" x14ac:dyDescent="0.3">
      <c r="B257" s="146">
        <v>250</v>
      </c>
      <c r="C257" s="147"/>
      <c r="D257" s="147"/>
      <c r="E257" s="146"/>
      <c r="F257" s="148" t="str">
        <f>+IFERROR(VLOOKUP(E257,Data!C253:D348,2,0),"")</f>
        <v/>
      </c>
      <c r="G257" s="146"/>
      <c r="H257" s="149"/>
      <c r="I257" s="150"/>
      <c r="J257" s="151" t="str">
        <f t="shared" si="12"/>
        <v>-</v>
      </c>
      <c r="K257" s="152"/>
      <c r="L257" s="149"/>
      <c r="M257" s="149"/>
      <c r="N257" s="153">
        <f t="shared" si="13"/>
        <v>0</v>
      </c>
      <c r="O257" s="153">
        <f t="shared" si="14"/>
        <v>0</v>
      </c>
      <c r="P257" s="146"/>
    </row>
    <row r="258" spans="2:16" x14ac:dyDescent="0.3">
      <c r="B258" s="146">
        <v>251</v>
      </c>
      <c r="C258" s="147"/>
      <c r="D258" s="147"/>
      <c r="E258" s="146"/>
      <c r="F258" s="148" t="str">
        <f>+IFERROR(VLOOKUP(E258,Data!C254:D349,2,0),"")</f>
        <v/>
      </c>
      <c r="G258" s="146"/>
      <c r="H258" s="149"/>
      <c r="I258" s="150"/>
      <c r="J258" s="151" t="str">
        <f t="shared" si="12"/>
        <v>-</v>
      </c>
      <c r="K258" s="152"/>
      <c r="L258" s="149"/>
      <c r="M258" s="149"/>
      <c r="N258" s="153">
        <f t="shared" si="13"/>
        <v>0</v>
      </c>
      <c r="O258" s="153">
        <f t="shared" si="14"/>
        <v>0</v>
      </c>
      <c r="P258" s="146"/>
    </row>
    <row r="259" spans="2:16" x14ac:dyDescent="0.3">
      <c r="B259" s="146">
        <v>252</v>
      </c>
      <c r="C259" s="147"/>
      <c r="D259" s="147"/>
      <c r="E259" s="146"/>
      <c r="F259" s="148" t="str">
        <f>+IFERROR(VLOOKUP(E259,Data!C255:D350,2,0),"")</f>
        <v/>
      </c>
      <c r="G259" s="146"/>
      <c r="H259" s="149"/>
      <c r="I259" s="150"/>
      <c r="J259" s="151" t="str">
        <f t="shared" si="12"/>
        <v>-</v>
      </c>
      <c r="K259" s="152"/>
      <c r="L259" s="149"/>
      <c r="M259" s="149"/>
      <c r="N259" s="153">
        <f t="shared" si="13"/>
        <v>0</v>
      </c>
      <c r="O259" s="153">
        <f t="shared" si="14"/>
        <v>0</v>
      </c>
      <c r="P259" s="146"/>
    </row>
    <row r="260" spans="2:16" x14ac:dyDescent="0.3">
      <c r="B260" s="146">
        <v>253</v>
      </c>
      <c r="C260" s="147"/>
      <c r="D260" s="147"/>
      <c r="E260" s="146"/>
      <c r="F260" s="148" t="str">
        <f>+IFERROR(VLOOKUP(E260,Data!C256:D351,2,0),"")</f>
        <v/>
      </c>
      <c r="G260" s="146"/>
      <c r="H260" s="149"/>
      <c r="I260" s="150"/>
      <c r="J260" s="151" t="str">
        <f t="shared" si="12"/>
        <v>-</v>
      </c>
      <c r="K260" s="152"/>
      <c r="L260" s="149"/>
      <c r="M260" s="149"/>
      <c r="N260" s="153">
        <f t="shared" si="13"/>
        <v>0</v>
      </c>
      <c r="O260" s="153">
        <f t="shared" si="14"/>
        <v>0</v>
      </c>
      <c r="P260" s="146"/>
    </row>
    <row r="261" spans="2:16" x14ac:dyDescent="0.3">
      <c r="B261" s="146">
        <v>254</v>
      </c>
      <c r="C261" s="147"/>
      <c r="D261" s="147"/>
      <c r="E261" s="146"/>
      <c r="F261" s="148" t="str">
        <f>+IFERROR(VLOOKUP(E261,Data!C257:D352,2,0),"")</f>
        <v/>
      </c>
      <c r="G261" s="146"/>
      <c r="H261" s="149"/>
      <c r="I261" s="150"/>
      <c r="J261" s="151" t="str">
        <f t="shared" si="12"/>
        <v>-</v>
      </c>
      <c r="K261" s="152"/>
      <c r="L261" s="149"/>
      <c r="M261" s="149"/>
      <c r="N261" s="153">
        <f t="shared" si="13"/>
        <v>0</v>
      </c>
      <c r="O261" s="153">
        <f t="shared" si="14"/>
        <v>0</v>
      </c>
      <c r="P261" s="146"/>
    </row>
    <row r="262" spans="2:16" x14ac:dyDescent="0.3">
      <c r="B262" s="146">
        <v>255</v>
      </c>
      <c r="C262" s="147"/>
      <c r="D262" s="147"/>
      <c r="E262" s="146"/>
      <c r="F262" s="148" t="str">
        <f>+IFERROR(VLOOKUP(E262,Data!C258:D353,2,0),"")</f>
        <v/>
      </c>
      <c r="G262" s="146"/>
      <c r="H262" s="149"/>
      <c r="I262" s="150"/>
      <c r="J262" s="151" t="str">
        <f t="shared" si="12"/>
        <v>-</v>
      </c>
      <c r="K262" s="152"/>
      <c r="L262" s="149"/>
      <c r="M262" s="149"/>
      <c r="N262" s="153">
        <f t="shared" si="13"/>
        <v>0</v>
      </c>
      <c r="O262" s="153">
        <f t="shared" si="14"/>
        <v>0</v>
      </c>
      <c r="P262" s="146"/>
    </row>
    <row r="263" spans="2:16" x14ac:dyDescent="0.3">
      <c r="B263" s="146">
        <v>256</v>
      </c>
      <c r="C263" s="147"/>
      <c r="D263" s="147"/>
      <c r="E263" s="146"/>
      <c r="F263" s="148" t="str">
        <f>+IFERROR(VLOOKUP(E263,Data!C259:D354,2,0),"")</f>
        <v/>
      </c>
      <c r="G263" s="146"/>
      <c r="H263" s="149"/>
      <c r="I263" s="150"/>
      <c r="J263" s="151" t="str">
        <f t="shared" si="12"/>
        <v>-</v>
      </c>
      <c r="K263" s="152"/>
      <c r="L263" s="149"/>
      <c r="M263" s="149"/>
      <c r="N263" s="153">
        <f t="shared" si="13"/>
        <v>0</v>
      </c>
      <c r="O263" s="153">
        <f t="shared" si="14"/>
        <v>0</v>
      </c>
      <c r="P263" s="146"/>
    </row>
    <row r="264" spans="2:16" x14ac:dyDescent="0.3">
      <c r="B264" s="146">
        <v>257</v>
      </c>
      <c r="C264" s="147"/>
      <c r="D264" s="147"/>
      <c r="E264" s="146"/>
      <c r="F264" s="148" t="str">
        <f>+IFERROR(VLOOKUP(E264,Data!C260:D355,2,0),"")</f>
        <v/>
      </c>
      <c r="G264" s="146"/>
      <c r="H264" s="149"/>
      <c r="I264" s="150"/>
      <c r="J264" s="151" t="str">
        <f t="shared" si="12"/>
        <v>-</v>
      </c>
      <c r="K264" s="152"/>
      <c r="L264" s="149"/>
      <c r="M264" s="149"/>
      <c r="N264" s="153">
        <f t="shared" si="13"/>
        <v>0</v>
      </c>
      <c r="O264" s="153">
        <f t="shared" si="14"/>
        <v>0</v>
      </c>
      <c r="P264" s="146"/>
    </row>
    <row r="265" spans="2:16" x14ac:dyDescent="0.3">
      <c r="B265" s="146">
        <v>258</v>
      </c>
      <c r="C265" s="147"/>
      <c r="D265" s="147"/>
      <c r="E265" s="146"/>
      <c r="F265" s="148" t="str">
        <f>+IFERROR(VLOOKUP(E265,Data!C261:D356,2,0),"")</f>
        <v/>
      </c>
      <c r="G265" s="146"/>
      <c r="H265" s="149"/>
      <c r="I265" s="150"/>
      <c r="J265" s="151" t="str">
        <f t="shared" si="12"/>
        <v>-</v>
      </c>
      <c r="K265" s="152"/>
      <c r="L265" s="149"/>
      <c r="M265" s="149"/>
      <c r="N265" s="153">
        <f t="shared" si="13"/>
        <v>0</v>
      </c>
      <c r="O265" s="153">
        <f t="shared" si="14"/>
        <v>0</v>
      </c>
      <c r="P265" s="146"/>
    </row>
    <row r="266" spans="2:16" x14ac:dyDescent="0.3">
      <c r="B266" s="146">
        <v>259</v>
      </c>
      <c r="C266" s="147"/>
      <c r="D266" s="147"/>
      <c r="E266" s="146"/>
      <c r="F266" s="148" t="str">
        <f>+IFERROR(VLOOKUP(E266,Data!C262:D357,2,0),"")</f>
        <v/>
      </c>
      <c r="G266" s="146"/>
      <c r="H266" s="149"/>
      <c r="I266" s="150"/>
      <c r="J266" s="151" t="str">
        <f t="shared" si="12"/>
        <v>-</v>
      </c>
      <c r="K266" s="152"/>
      <c r="L266" s="149"/>
      <c r="M266" s="149"/>
      <c r="N266" s="153">
        <f t="shared" si="13"/>
        <v>0</v>
      </c>
      <c r="O266" s="153">
        <f t="shared" si="14"/>
        <v>0</v>
      </c>
      <c r="P266" s="146"/>
    </row>
    <row r="267" spans="2:16" x14ac:dyDescent="0.3">
      <c r="B267" s="146">
        <v>260</v>
      </c>
      <c r="C267" s="147"/>
      <c r="D267" s="147"/>
      <c r="E267" s="146"/>
      <c r="F267" s="148" t="str">
        <f>+IFERROR(VLOOKUP(E267,Data!C263:D358,2,0),"")</f>
        <v/>
      </c>
      <c r="G267" s="146"/>
      <c r="H267" s="149"/>
      <c r="I267" s="150"/>
      <c r="J267" s="151" t="str">
        <f t="shared" si="12"/>
        <v>-</v>
      </c>
      <c r="K267" s="152"/>
      <c r="L267" s="149"/>
      <c r="M267" s="149"/>
      <c r="N267" s="153">
        <f t="shared" si="13"/>
        <v>0</v>
      </c>
      <c r="O267" s="153">
        <f t="shared" si="14"/>
        <v>0</v>
      </c>
      <c r="P267" s="146"/>
    </row>
    <row r="268" spans="2:16" x14ac:dyDescent="0.3">
      <c r="B268" s="146">
        <v>261</v>
      </c>
      <c r="C268" s="147"/>
      <c r="D268" s="147"/>
      <c r="E268" s="146"/>
      <c r="F268" s="148" t="str">
        <f>+IFERROR(VLOOKUP(E268,Data!C264:D359,2,0),"")</f>
        <v/>
      </c>
      <c r="G268" s="146"/>
      <c r="H268" s="149"/>
      <c r="I268" s="150"/>
      <c r="J268" s="151" t="str">
        <f t="shared" si="12"/>
        <v>-</v>
      </c>
      <c r="K268" s="152"/>
      <c r="L268" s="149"/>
      <c r="M268" s="149"/>
      <c r="N268" s="153">
        <f t="shared" si="13"/>
        <v>0</v>
      </c>
      <c r="O268" s="153">
        <f t="shared" si="14"/>
        <v>0</v>
      </c>
      <c r="P268" s="146"/>
    </row>
    <row r="269" spans="2:16" x14ac:dyDescent="0.3">
      <c r="B269" s="146">
        <v>262</v>
      </c>
      <c r="C269" s="147"/>
      <c r="D269" s="147"/>
      <c r="E269" s="146"/>
      <c r="F269" s="148" t="str">
        <f>+IFERROR(VLOOKUP(E269,Data!C265:D360,2,0),"")</f>
        <v/>
      </c>
      <c r="G269" s="146"/>
      <c r="H269" s="149"/>
      <c r="I269" s="150"/>
      <c r="J269" s="151" t="str">
        <f t="shared" si="12"/>
        <v>-</v>
      </c>
      <c r="K269" s="152"/>
      <c r="L269" s="149"/>
      <c r="M269" s="149"/>
      <c r="N269" s="153">
        <f t="shared" si="13"/>
        <v>0</v>
      </c>
      <c r="O269" s="153">
        <f t="shared" si="14"/>
        <v>0</v>
      </c>
      <c r="P269" s="146"/>
    </row>
    <row r="270" spans="2:16" x14ac:dyDescent="0.3">
      <c r="B270" s="146">
        <v>263</v>
      </c>
      <c r="C270" s="147"/>
      <c r="D270" s="147"/>
      <c r="E270" s="146"/>
      <c r="F270" s="148" t="str">
        <f>+IFERROR(VLOOKUP(E270,Data!C266:D361,2,0),"")</f>
        <v/>
      </c>
      <c r="G270" s="146"/>
      <c r="H270" s="149"/>
      <c r="I270" s="150"/>
      <c r="J270" s="151" t="str">
        <f t="shared" si="12"/>
        <v>-</v>
      </c>
      <c r="K270" s="152"/>
      <c r="L270" s="149"/>
      <c r="M270" s="149"/>
      <c r="N270" s="153">
        <f t="shared" si="13"/>
        <v>0</v>
      </c>
      <c r="O270" s="153">
        <f t="shared" si="14"/>
        <v>0</v>
      </c>
      <c r="P270" s="146"/>
    </row>
    <row r="271" spans="2:16" x14ac:dyDescent="0.3">
      <c r="B271" s="146">
        <v>264</v>
      </c>
      <c r="C271" s="147"/>
      <c r="D271" s="147"/>
      <c r="E271" s="146"/>
      <c r="F271" s="148" t="str">
        <f>+IFERROR(VLOOKUP(E271,Data!C267:D362,2,0),"")</f>
        <v/>
      </c>
      <c r="G271" s="146"/>
      <c r="H271" s="149"/>
      <c r="I271" s="150"/>
      <c r="J271" s="151" t="str">
        <f t="shared" si="12"/>
        <v>-</v>
      </c>
      <c r="K271" s="152"/>
      <c r="L271" s="149"/>
      <c r="M271" s="149"/>
      <c r="N271" s="153">
        <f t="shared" si="13"/>
        <v>0</v>
      </c>
      <c r="O271" s="153">
        <f t="shared" si="14"/>
        <v>0</v>
      </c>
      <c r="P271" s="146"/>
    </row>
    <row r="272" spans="2:16" x14ac:dyDescent="0.3">
      <c r="B272" s="146">
        <v>265</v>
      </c>
      <c r="C272" s="147"/>
      <c r="D272" s="147"/>
      <c r="E272" s="146"/>
      <c r="F272" s="148" t="str">
        <f>+IFERROR(VLOOKUP(E272,Data!C268:D363,2,0),"")</f>
        <v/>
      </c>
      <c r="G272" s="146"/>
      <c r="H272" s="149"/>
      <c r="I272" s="150"/>
      <c r="J272" s="151" t="str">
        <f t="shared" si="12"/>
        <v>-</v>
      </c>
      <c r="K272" s="152"/>
      <c r="L272" s="149"/>
      <c r="M272" s="149"/>
      <c r="N272" s="153">
        <f t="shared" si="13"/>
        <v>0</v>
      </c>
      <c r="O272" s="153">
        <f t="shared" si="14"/>
        <v>0</v>
      </c>
      <c r="P272" s="146"/>
    </row>
    <row r="273" spans="2:16" x14ac:dyDescent="0.3">
      <c r="B273" s="146">
        <v>266</v>
      </c>
      <c r="C273" s="147"/>
      <c r="D273" s="147"/>
      <c r="E273" s="146"/>
      <c r="F273" s="148" t="str">
        <f>+IFERROR(VLOOKUP(E273,Data!C269:D364,2,0),"")</f>
        <v/>
      </c>
      <c r="G273" s="146"/>
      <c r="H273" s="149"/>
      <c r="I273" s="150"/>
      <c r="J273" s="151" t="str">
        <f t="shared" si="12"/>
        <v>-</v>
      </c>
      <c r="K273" s="152"/>
      <c r="L273" s="149"/>
      <c r="M273" s="149"/>
      <c r="N273" s="153">
        <f t="shared" si="13"/>
        <v>0</v>
      </c>
      <c r="O273" s="153">
        <f t="shared" si="14"/>
        <v>0</v>
      </c>
      <c r="P273" s="146"/>
    </row>
    <row r="274" spans="2:16" x14ac:dyDescent="0.3">
      <c r="B274" s="146">
        <v>267</v>
      </c>
      <c r="C274" s="147"/>
      <c r="D274" s="147"/>
      <c r="E274" s="146"/>
      <c r="F274" s="148" t="str">
        <f>+IFERROR(VLOOKUP(E274,Data!C270:D365,2,0),"")</f>
        <v/>
      </c>
      <c r="G274" s="146"/>
      <c r="H274" s="149"/>
      <c r="I274" s="150"/>
      <c r="J274" s="151" t="str">
        <f t="shared" si="12"/>
        <v>-</v>
      </c>
      <c r="K274" s="152"/>
      <c r="L274" s="149"/>
      <c r="M274" s="149"/>
      <c r="N274" s="153">
        <f t="shared" si="13"/>
        <v>0</v>
      </c>
      <c r="O274" s="153">
        <f t="shared" si="14"/>
        <v>0</v>
      </c>
      <c r="P274" s="146"/>
    </row>
    <row r="275" spans="2:16" x14ac:dyDescent="0.3">
      <c r="B275" s="146">
        <v>268</v>
      </c>
      <c r="C275" s="147"/>
      <c r="D275" s="147"/>
      <c r="E275" s="146"/>
      <c r="F275" s="148" t="str">
        <f>+IFERROR(VLOOKUP(E275,Data!C271:D366,2,0),"")</f>
        <v/>
      </c>
      <c r="G275" s="146"/>
      <c r="H275" s="149"/>
      <c r="I275" s="150"/>
      <c r="J275" s="151" t="str">
        <f t="shared" si="12"/>
        <v>-</v>
      </c>
      <c r="K275" s="152"/>
      <c r="L275" s="149"/>
      <c r="M275" s="149"/>
      <c r="N275" s="153">
        <f t="shared" si="13"/>
        <v>0</v>
      </c>
      <c r="O275" s="153">
        <f t="shared" si="14"/>
        <v>0</v>
      </c>
      <c r="P275" s="146"/>
    </row>
    <row r="276" spans="2:16" x14ac:dyDescent="0.3">
      <c r="B276" s="146">
        <v>269</v>
      </c>
      <c r="C276" s="147"/>
      <c r="D276" s="147"/>
      <c r="E276" s="146"/>
      <c r="F276" s="148" t="str">
        <f>+IFERROR(VLOOKUP(E276,Data!C272:D367,2,0),"")</f>
        <v/>
      </c>
      <c r="G276" s="146"/>
      <c r="H276" s="149"/>
      <c r="I276" s="150"/>
      <c r="J276" s="151" t="str">
        <f t="shared" si="12"/>
        <v>-</v>
      </c>
      <c r="K276" s="152"/>
      <c r="L276" s="149"/>
      <c r="M276" s="149"/>
      <c r="N276" s="153">
        <f t="shared" si="13"/>
        <v>0</v>
      </c>
      <c r="O276" s="153">
        <f t="shared" si="14"/>
        <v>0</v>
      </c>
      <c r="P276" s="146"/>
    </row>
    <row r="277" spans="2:16" x14ac:dyDescent="0.3">
      <c r="B277" s="146">
        <v>270</v>
      </c>
      <c r="C277" s="147"/>
      <c r="D277" s="147"/>
      <c r="E277" s="146"/>
      <c r="F277" s="148" t="str">
        <f>+IFERROR(VLOOKUP(E277,Data!C273:D368,2,0),"")</f>
        <v/>
      </c>
      <c r="G277" s="146"/>
      <c r="H277" s="149"/>
      <c r="I277" s="150"/>
      <c r="J277" s="151" t="str">
        <f t="shared" si="12"/>
        <v>-</v>
      </c>
      <c r="K277" s="152"/>
      <c r="L277" s="149"/>
      <c r="M277" s="149"/>
      <c r="N277" s="153">
        <f t="shared" si="13"/>
        <v>0</v>
      </c>
      <c r="O277" s="153">
        <f t="shared" si="14"/>
        <v>0</v>
      </c>
      <c r="P277" s="146"/>
    </row>
    <row r="278" spans="2:16" x14ac:dyDescent="0.3">
      <c r="B278" s="146">
        <v>271</v>
      </c>
      <c r="C278" s="147"/>
      <c r="D278" s="147"/>
      <c r="E278" s="146"/>
      <c r="F278" s="148" t="str">
        <f>+IFERROR(VLOOKUP(E278,Data!C274:D369,2,0),"")</f>
        <v/>
      </c>
      <c r="G278" s="146"/>
      <c r="H278" s="149"/>
      <c r="I278" s="150"/>
      <c r="J278" s="151" t="str">
        <f t="shared" si="12"/>
        <v>-</v>
      </c>
      <c r="K278" s="152"/>
      <c r="L278" s="149"/>
      <c r="M278" s="149"/>
      <c r="N278" s="153">
        <f t="shared" si="13"/>
        <v>0</v>
      </c>
      <c r="O278" s="153">
        <f t="shared" si="14"/>
        <v>0</v>
      </c>
      <c r="P278" s="146"/>
    </row>
    <row r="279" spans="2:16" x14ac:dyDescent="0.3">
      <c r="B279" s="146">
        <v>272</v>
      </c>
      <c r="C279" s="147"/>
      <c r="D279" s="147"/>
      <c r="E279" s="146"/>
      <c r="F279" s="148" t="str">
        <f>+IFERROR(VLOOKUP(E279,Data!C275:D370,2,0),"")</f>
        <v/>
      </c>
      <c r="G279" s="146"/>
      <c r="H279" s="149"/>
      <c r="I279" s="150"/>
      <c r="J279" s="151" t="str">
        <f t="shared" si="12"/>
        <v>-</v>
      </c>
      <c r="K279" s="152"/>
      <c r="L279" s="149"/>
      <c r="M279" s="149"/>
      <c r="N279" s="153">
        <f t="shared" si="13"/>
        <v>0</v>
      </c>
      <c r="O279" s="153">
        <f t="shared" si="14"/>
        <v>0</v>
      </c>
      <c r="P279" s="146"/>
    </row>
    <row r="280" spans="2:16" x14ac:dyDescent="0.3">
      <c r="B280" s="146">
        <v>273</v>
      </c>
      <c r="C280" s="147"/>
      <c r="D280" s="147"/>
      <c r="E280" s="146"/>
      <c r="F280" s="148" t="str">
        <f>+IFERROR(VLOOKUP(E280,Data!C276:D371,2,0),"")</f>
        <v/>
      </c>
      <c r="G280" s="146"/>
      <c r="H280" s="149"/>
      <c r="I280" s="150"/>
      <c r="J280" s="151" t="str">
        <f t="shared" si="12"/>
        <v>-</v>
      </c>
      <c r="K280" s="152"/>
      <c r="L280" s="149"/>
      <c r="M280" s="149"/>
      <c r="N280" s="153">
        <f t="shared" si="13"/>
        <v>0</v>
      </c>
      <c r="O280" s="153">
        <f t="shared" si="14"/>
        <v>0</v>
      </c>
      <c r="P280" s="146"/>
    </row>
    <row r="281" spans="2:16" x14ac:dyDescent="0.3">
      <c r="B281" s="146">
        <v>274</v>
      </c>
      <c r="C281" s="147"/>
      <c r="D281" s="147"/>
      <c r="E281" s="146"/>
      <c r="F281" s="148" t="str">
        <f>+IFERROR(VLOOKUP(E281,Data!C277:D372,2,0),"")</f>
        <v/>
      </c>
      <c r="G281" s="146"/>
      <c r="H281" s="149"/>
      <c r="I281" s="150"/>
      <c r="J281" s="151" t="str">
        <f t="shared" si="12"/>
        <v>-</v>
      </c>
      <c r="K281" s="152"/>
      <c r="L281" s="149"/>
      <c r="M281" s="149"/>
      <c r="N281" s="153">
        <f t="shared" si="13"/>
        <v>0</v>
      </c>
      <c r="O281" s="153">
        <f t="shared" si="14"/>
        <v>0</v>
      </c>
      <c r="P281" s="146"/>
    </row>
    <row r="282" spans="2:16" x14ac:dyDescent="0.3">
      <c r="B282" s="146">
        <v>275</v>
      </c>
      <c r="C282" s="147"/>
      <c r="D282" s="147"/>
      <c r="E282" s="146"/>
      <c r="F282" s="148" t="str">
        <f>+IFERROR(VLOOKUP(E282,Data!C278:D373,2,0),"")</f>
        <v/>
      </c>
      <c r="G282" s="146"/>
      <c r="H282" s="149"/>
      <c r="I282" s="150"/>
      <c r="J282" s="151" t="str">
        <f t="shared" si="12"/>
        <v>-</v>
      </c>
      <c r="K282" s="152"/>
      <c r="L282" s="149"/>
      <c r="M282" s="149"/>
      <c r="N282" s="153">
        <f t="shared" si="13"/>
        <v>0</v>
      </c>
      <c r="O282" s="153">
        <f t="shared" si="14"/>
        <v>0</v>
      </c>
      <c r="P282" s="146"/>
    </row>
    <row r="283" spans="2:16" x14ac:dyDescent="0.3">
      <c r="B283" s="146">
        <v>276</v>
      </c>
      <c r="C283" s="147"/>
      <c r="D283" s="147"/>
      <c r="E283" s="146"/>
      <c r="F283" s="148" t="str">
        <f>+IFERROR(VLOOKUP(E283,Data!C279:D374,2,0),"")</f>
        <v/>
      </c>
      <c r="G283" s="146"/>
      <c r="H283" s="149"/>
      <c r="I283" s="150"/>
      <c r="J283" s="151" t="str">
        <f t="shared" si="12"/>
        <v>-</v>
      </c>
      <c r="K283" s="152"/>
      <c r="L283" s="149"/>
      <c r="M283" s="149"/>
      <c r="N283" s="153">
        <f t="shared" si="13"/>
        <v>0</v>
      </c>
      <c r="O283" s="153">
        <f t="shared" si="14"/>
        <v>0</v>
      </c>
      <c r="P283" s="146"/>
    </row>
    <row r="284" spans="2:16" x14ac:dyDescent="0.3">
      <c r="B284" s="146">
        <v>277</v>
      </c>
      <c r="C284" s="147"/>
      <c r="D284" s="147"/>
      <c r="E284" s="146"/>
      <c r="F284" s="148" t="str">
        <f>+IFERROR(VLOOKUP(E284,Data!C280:D375,2,0),"")</f>
        <v/>
      </c>
      <c r="G284" s="146"/>
      <c r="H284" s="149"/>
      <c r="I284" s="150"/>
      <c r="J284" s="151" t="str">
        <f t="shared" si="12"/>
        <v>-</v>
      </c>
      <c r="K284" s="152"/>
      <c r="L284" s="149"/>
      <c r="M284" s="149"/>
      <c r="N284" s="153">
        <f t="shared" si="13"/>
        <v>0</v>
      </c>
      <c r="O284" s="153">
        <f t="shared" si="14"/>
        <v>0</v>
      </c>
      <c r="P284" s="146"/>
    </row>
    <row r="285" spans="2:16" x14ac:dyDescent="0.3">
      <c r="B285" s="146">
        <v>278</v>
      </c>
      <c r="C285" s="147"/>
      <c r="D285" s="147"/>
      <c r="E285" s="146"/>
      <c r="F285" s="148" t="str">
        <f>+IFERROR(VLOOKUP(E285,Data!C281:D376,2,0),"")</f>
        <v/>
      </c>
      <c r="G285" s="146"/>
      <c r="H285" s="149"/>
      <c r="I285" s="150"/>
      <c r="J285" s="151" t="str">
        <f t="shared" si="12"/>
        <v>-</v>
      </c>
      <c r="K285" s="152"/>
      <c r="L285" s="149"/>
      <c r="M285" s="149"/>
      <c r="N285" s="153">
        <f t="shared" si="13"/>
        <v>0</v>
      </c>
      <c r="O285" s="153">
        <f t="shared" si="14"/>
        <v>0</v>
      </c>
      <c r="P285" s="146"/>
    </row>
    <row r="286" spans="2:16" x14ac:dyDescent="0.3">
      <c r="B286" s="146">
        <v>279</v>
      </c>
      <c r="C286" s="147"/>
      <c r="D286" s="147"/>
      <c r="E286" s="146"/>
      <c r="F286" s="148" t="str">
        <f>+IFERROR(VLOOKUP(E286,Data!C282:D377,2,0),"")</f>
        <v/>
      </c>
      <c r="G286" s="146"/>
      <c r="H286" s="149"/>
      <c r="I286" s="150"/>
      <c r="J286" s="151" t="str">
        <f t="shared" si="12"/>
        <v>-</v>
      </c>
      <c r="K286" s="152"/>
      <c r="L286" s="149"/>
      <c r="M286" s="149"/>
      <c r="N286" s="153">
        <f t="shared" si="13"/>
        <v>0</v>
      </c>
      <c r="O286" s="153">
        <f t="shared" si="14"/>
        <v>0</v>
      </c>
      <c r="P286" s="146"/>
    </row>
    <row r="287" spans="2:16" x14ac:dyDescent="0.3">
      <c r="B287" s="146">
        <v>280</v>
      </c>
      <c r="C287" s="147"/>
      <c r="D287" s="147"/>
      <c r="E287" s="146"/>
      <c r="F287" s="148" t="str">
        <f>+IFERROR(VLOOKUP(E287,Data!C283:D378,2,0),"")</f>
        <v/>
      </c>
      <c r="G287" s="146"/>
      <c r="H287" s="149"/>
      <c r="I287" s="150"/>
      <c r="J287" s="151" t="str">
        <f t="shared" si="12"/>
        <v>-</v>
      </c>
      <c r="K287" s="152"/>
      <c r="L287" s="149"/>
      <c r="M287" s="149"/>
      <c r="N287" s="153">
        <f t="shared" si="13"/>
        <v>0</v>
      </c>
      <c r="O287" s="153">
        <f t="shared" si="14"/>
        <v>0</v>
      </c>
      <c r="P287" s="146"/>
    </row>
    <row r="288" spans="2:16" x14ac:dyDescent="0.3">
      <c r="B288" s="146">
        <v>281</v>
      </c>
      <c r="C288" s="147"/>
      <c r="D288" s="147"/>
      <c r="E288" s="146"/>
      <c r="F288" s="148" t="str">
        <f>+IFERROR(VLOOKUP(E288,Data!C284:D379,2,0),"")</f>
        <v/>
      </c>
      <c r="G288" s="146"/>
      <c r="H288" s="149"/>
      <c r="I288" s="150"/>
      <c r="J288" s="151" t="str">
        <f t="shared" si="12"/>
        <v>-</v>
      </c>
      <c r="K288" s="152"/>
      <c r="L288" s="149"/>
      <c r="M288" s="149"/>
      <c r="N288" s="153">
        <f t="shared" si="13"/>
        <v>0</v>
      </c>
      <c r="O288" s="153">
        <f t="shared" si="14"/>
        <v>0</v>
      </c>
      <c r="P288" s="146"/>
    </row>
    <row r="289" spans="2:16" x14ac:dyDescent="0.3">
      <c r="B289" s="146">
        <v>282</v>
      </c>
      <c r="C289" s="147"/>
      <c r="D289" s="147"/>
      <c r="E289" s="146"/>
      <c r="F289" s="148" t="str">
        <f>+IFERROR(VLOOKUP(E289,Data!C285:D380,2,0),"")</f>
        <v/>
      </c>
      <c r="G289" s="146"/>
      <c r="H289" s="149"/>
      <c r="I289" s="150"/>
      <c r="J289" s="151" t="str">
        <f t="shared" si="12"/>
        <v>-</v>
      </c>
      <c r="K289" s="152"/>
      <c r="L289" s="149"/>
      <c r="M289" s="149"/>
      <c r="N289" s="153">
        <f t="shared" si="13"/>
        <v>0</v>
      </c>
      <c r="O289" s="153">
        <f t="shared" si="14"/>
        <v>0</v>
      </c>
      <c r="P289" s="146"/>
    </row>
    <row r="290" spans="2:16" x14ac:dyDescent="0.3">
      <c r="B290" s="146">
        <v>283</v>
      </c>
      <c r="C290" s="147"/>
      <c r="D290" s="147"/>
      <c r="E290" s="146"/>
      <c r="F290" s="148" t="str">
        <f>+IFERROR(VLOOKUP(E290,Data!C286:D381,2,0),"")</f>
        <v/>
      </c>
      <c r="G290" s="146"/>
      <c r="H290" s="149"/>
      <c r="I290" s="150"/>
      <c r="J290" s="151" t="str">
        <f t="shared" si="12"/>
        <v>-</v>
      </c>
      <c r="K290" s="152"/>
      <c r="L290" s="149"/>
      <c r="M290" s="149"/>
      <c r="N290" s="153">
        <f t="shared" si="13"/>
        <v>0</v>
      </c>
      <c r="O290" s="153">
        <f t="shared" si="14"/>
        <v>0</v>
      </c>
      <c r="P290" s="146"/>
    </row>
    <row r="291" spans="2:16" x14ac:dyDescent="0.3">
      <c r="B291" s="146">
        <v>284</v>
      </c>
      <c r="C291" s="147"/>
      <c r="D291" s="147"/>
      <c r="E291" s="146"/>
      <c r="F291" s="148" t="str">
        <f>+IFERROR(VLOOKUP(E291,Data!C287:D382,2,0),"")</f>
        <v/>
      </c>
      <c r="G291" s="146"/>
      <c r="H291" s="149"/>
      <c r="I291" s="150"/>
      <c r="J291" s="151" t="str">
        <f t="shared" si="12"/>
        <v>-</v>
      </c>
      <c r="K291" s="152"/>
      <c r="L291" s="149"/>
      <c r="M291" s="149"/>
      <c r="N291" s="153">
        <f t="shared" si="13"/>
        <v>0</v>
      </c>
      <c r="O291" s="153">
        <f t="shared" si="14"/>
        <v>0</v>
      </c>
      <c r="P291" s="146"/>
    </row>
    <row r="292" spans="2:16" x14ac:dyDescent="0.3">
      <c r="B292" s="146">
        <v>285</v>
      </c>
      <c r="C292" s="147"/>
      <c r="D292" s="147"/>
      <c r="E292" s="146"/>
      <c r="F292" s="148" t="str">
        <f>+IFERROR(VLOOKUP(E292,Data!C288:D383,2,0),"")</f>
        <v/>
      </c>
      <c r="G292" s="146"/>
      <c r="H292" s="149"/>
      <c r="I292" s="150"/>
      <c r="J292" s="151" t="str">
        <f t="shared" si="12"/>
        <v>-</v>
      </c>
      <c r="K292" s="152"/>
      <c r="L292" s="149"/>
      <c r="M292" s="149"/>
      <c r="N292" s="153">
        <f t="shared" si="13"/>
        <v>0</v>
      </c>
      <c r="O292" s="153">
        <f t="shared" si="14"/>
        <v>0</v>
      </c>
      <c r="P292" s="146"/>
    </row>
    <row r="293" spans="2:16" x14ac:dyDescent="0.3">
      <c r="B293" s="146">
        <v>286</v>
      </c>
      <c r="C293" s="147"/>
      <c r="D293" s="147"/>
      <c r="E293" s="146"/>
      <c r="F293" s="148" t="str">
        <f>+IFERROR(VLOOKUP(E293,Data!C289:D384,2,0),"")</f>
        <v/>
      </c>
      <c r="G293" s="146"/>
      <c r="H293" s="149"/>
      <c r="I293" s="150"/>
      <c r="J293" s="151" t="str">
        <f t="shared" si="12"/>
        <v>-</v>
      </c>
      <c r="K293" s="152"/>
      <c r="L293" s="149"/>
      <c r="M293" s="149"/>
      <c r="N293" s="153">
        <f t="shared" si="13"/>
        <v>0</v>
      </c>
      <c r="O293" s="153">
        <f t="shared" si="14"/>
        <v>0</v>
      </c>
      <c r="P293" s="146"/>
    </row>
    <row r="294" spans="2:16" x14ac:dyDescent="0.3">
      <c r="B294" s="146">
        <v>287</v>
      </c>
      <c r="C294" s="147"/>
      <c r="D294" s="147"/>
      <c r="E294" s="146"/>
      <c r="F294" s="148" t="str">
        <f>+IFERROR(VLOOKUP(E294,Data!C290:D385,2,0),"")</f>
        <v/>
      </c>
      <c r="G294" s="146"/>
      <c r="H294" s="149"/>
      <c r="I294" s="150"/>
      <c r="J294" s="151" t="str">
        <f t="shared" si="12"/>
        <v>-</v>
      </c>
      <c r="K294" s="152"/>
      <c r="L294" s="149"/>
      <c r="M294" s="149"/>
      <c r="N294" s="153">
        <f t="shared" si="13"/>
        <v>0</v>
      </c>
      <c r="O294" s="153">
        <f t="shared" si="14"/>
        <v>0</v>
      </c>
      <c r="P294" s="146"/>
    </row>
    <row r="295" spans="2:16" x14ac:dyDescent="0.3">
      <c r="B295" s="146">
        <v>288</v>
      </c>
      <c r="C295" s="147"/>
      <c r="D295" s="147"/>
      <c r="E295" s="146"/>
      <c r="F295" s="148" t="str">
        <f>+IFERROR(VLOOKUP(E295,Data!C291:D386,2,0),"")</f>
        <v/>
      </c>
      <c r="G295" s="146"/>
      <c r="H295" s="149"/>
      <c r="I295" s="150"/>
      <c r="J295" s="151" t="str">
        <f t="shared" si="12"/>
        <v>-</v>
      </c>
      <c r="K295" s="152"/>
      <c r="L295" s="149"/>
      <c r="M295" s="149"/>
      <c r="N295" s="153">
        <f t="shared" si="13"/>
        <v>0</v>
      </c>
      <c r="O295" s="153">
        <f t="shared" si="14"/>
        <v>0</v>
      </c>
      <c r="P295" s="146"/>
    </row>
    <row r="296" spans="2:16" x14ac:dyDescent="0.3">
      <c r="B296" s="146">
        <v>289</v>
      </c>
      <c r="C296" s="147"/>
      <c r="D296" s="147"/>
      <c r="E296" s="146"/>
      <c r="F296" s="148" t="str">
        <f>+IFERROR(VLOOKUP(E296,Data!C292:D387,2,0),"")</f>
        <v/>
      </c>
      <c r="G296" s="146"/>
      <c r="H296" s="149"/>
      <c r="I296" s="150"/>
      <c r="J296" s="151" t="str">
        <f t="shared" si="12"/>
        <v>-</v>
      </c>
      <c r="K296" s="152"/>
      <c r="L296" s="149"/>
      <c r="M296" s="149"/>
      <c r="N296" s="153">
        <f t="shared" si="13"/>
        <v>0</v>
      </c>
      <c r="O296" s="153">
        <f t="shared" si="14"/>
        <v>0</v>
      </c>
      <c r="P296" s="146"/>
    </row>
    <row r="297" spans="2:16" x14ac:dyDescent="0.3">
      <c r="B297" s="146">
        <v>290</v>
      </c>
      <c r="C297" s="147"/>
      <c r="D297" s="147"/>
      <c r="E297" s="146"/>
      <c r="F297" s="148" t="str">
        <f>+IFERROR(VLOOKUP(E297,Data!C293:D388,2,0),"")</f>
        <v/>
      </c>
      <c r="G297" s="146"/>
      <c r="H297" s="149"/>
      <c r="I297" s="150"/>
      <c r="J297" s="151" t="str">
        <f t="shared" si="12"/>
        <v>-</v>
      </c>
      <c r="K297" s="152"/>
      <c r="L297" s="149"/>
      <c r="M297" s="149"/>
      <c r="N297" s="153">
        <f t="shared" si="13"/>
        <v>0</v>
      </c>
      <c r="O297" s="153">
        <f t="shared" si="14"/>
        <v>0</v>
      </c>
      <c r="P297" s="146"/>
    </row>
    <row r="298" spans="2:16" x14ac:dyDescent="0.3">
      <c r="B298" s="146">
        <v>291</v>
      </c>
      <c r="C298" s="147"/>
      <c r="D298" s="147"/>
      <c r="E298" s="146"/>
      <c r="F298" s="148" t="str">
        <f>+IFERROR(VLOOKUP(E298,Data!C294:D389,2,0),"")</f>
        <v/>
      </c>
      <c r="G298" s="146"/>
      <c r="H298" s="149"/>
      <c r="I298" s="150"/>
      <c r="J298" s="151" t="str">
        <f t="shared" si="12"/>
        <v>-</v>
      </c>
      <c r="K298" s="152"/>
      <c r="L298" s="149"/>
      <c r="M298" s="149"/>
      <c r="N298" s="153">
        <f t="shared" si="13"/>
        <v>0</v>
      </c>
      <c r="O298" s="153">
        <f t="shared" si="14"/>
        <v>0</v>
      </c>
      <c r="P298" s="146"/>
    </row>
    <row r="299" spans="2:16" x14ac:dyDescent="0.3">
      <c r="B299" s="146">
        <v>292</v>
      </c>
      <c r="C299" s="147"/>
      <c r="D299" s="147"/>
      <c r="E299" s="146"/>
      <c r="F299" s="148" t="str">
        <f>+IFERROR(VLOOKUP(E299,Data!C295:D390,2,0),"")</f>
        <v/>
      </c>
      <c r="G299" s="146"/>
      <c r="H299" s="149"/>
      <c r="I299" s="150"/>
      <c r="J299" s="151" t="str">
        <f t="shared" si="12"/>
        <v>-</v>
      </c>
      <c r="K299" s="152"/>
      <c r="L299" s="149"/>
      <c r="M299" s="149"/>
      <c r="N299" s="153">
        <f t="shared" si="13"/>
        <v>0</v>
      </c>
      <c r="O299" s="153">
        <f t="shared" si="14"/>
        <v>0</v>
      </c>
      <c r="P299" s="146"/>
    </row>
    <row r="300" spans="2:16" x14ac:dyDescent="0.3">
      <c r="B300" s="146">
        <v>293</v>
      </c>
      <c r="C300" s="147"/>
      <c r="D300" s="147"/>
      <c r="E300" s="146"/>
      <c r="F300" s="148" t="str">
        <f>+IFERROR(VLOOKUP(E300,Data!C296:D391,2,0),"")</f>
        <v/>
      </c>
      <c r="G300" s="146"/>
      <c r="H300" s="149"/>
      <c r="I300" s="150"/>
      <c r="J300" s="151" t="str">
        <f t="shared" si="12"/>
        <v>-</v>
      </c>
      <c r="K300" s="152"/>
      <c r="L300" s="149"/>
      <c r="M300" s="149"/>
      <c r="N300" s="153">
        <f t="shared" si="13"/>
        <v>0</v>
      </c>
      <c r="O300" s="153">
        <f t="shared" si="14"/>
        <v>0</v>
      </c>
      <c r="P300" s="146"/>
    </row>
    <row r="301" spans="2:16" x14ac:dyDescent="0.3">
      <c r="B301" s="146">
        <v>294</v>
      </c>
      <c r="C301" s="147"/>
      <c r="D301" s="147"/>
      <c r="E301" s="146"/>
      <c r="F301" s="148" t="str">
        <f>+IFERROR(VLOOKUP(E301,Data!C297:D392,2,0),"")</f>
        <v/>
      </c>
      <c r="G301" s="146"/>
      <c r="H301" s="149"/>
      <c r="I301" s="150"/>
      <c r="J301" s="151" t="str">
        <f t="shared" si="12"/>
        <v>-</v>
      </c>
      <c r="K301" s="152"/>
      <c r="L301" s="149"/>
      <c r="M301" s="149"/>
      <c r="N301" s="153">
        <f t="shared" si="13"/>
        <v>0</v>
      </c>
      <c r="O301" s="153">
        <f t="shared" si="14"/>
        <v>0</v>
      </c>
      <c r="P301" s="146"/>
    </row>
    <row r="302" spans="2:16" x14ac:dyDescent="0.3">
      <c r="B302" s="146">
        <v>295</v>
      </c>
      <c r="C302" s="147"/>
      <c r="D302" s="147"/>
      <c r="E302" s="146"/>
      <c r="F302" s="148" t="str">
        <f>+IFERROR(VLOOKUP(E302,Data!C298:D393,2,0),"")</f>
        <v/>
      </c>
      <c r="G302" s="146"/>
      <c r="H302" s="149"/>
      <c r="I302" s="150"/>
      <c r="J302" s="151" t="str">
        <f t="shared" si="12"/>
        <v>-</v>
      </c>
      <c r="K302" s="152"/>
      <c r="L302" s="149"/>
      <c r="M302" s="149"/>
      <c r="N302" s="153">
        <f t="shared" si="13"/>
        <v>0</v>
      </c>
      <c r="O302" s="153">
        <f t="shared" si="14"/>
        <v>0</v>
      </c>
      <c r="P302" s="146"/>
    </row>
    <row r="303" spans="2:16" x14ac:dyDescent="0.3">
      <c r="B303" s="146">
        <v>296</v>
      </c>
      <c r="C303" s="147"/>
      <c r="D303" s="147"/>
      <c r="E303" s="146"/>
      <c r="F303" s="148" t="str">
        <f>+IFERROR(VLOOKUP(E303,Data!C299:D394,2,0),"")</f>
        <v/>
      </c>
      <c r="G303" s="146"/>
      <c r="H303" s="149"/>
      <c r="I303" s="150"/>
      <c r="J303" s="151" t="str">
        <f t="shared" si="12"/>
        <v>-</v>
      </c>
      <c r="K303" s="152"/>
      <c r="L303" s="149"/>
      <c r="M303" s="149"/>
      <c r="N303" s="153">
        <f t="shared" si="13"/>
        <v>0</v>
      </c>
      <c r="O303" s="153">
        <f t="shared" si="14"/>
        <v>0</v>
      </c>
      <c r="P303" s="146"/>
    </row>
    <row r="304" spans="2:16" x14ac:dyDescent="0.3">
      <c r="B304" s="146">
        <v>297</v>
      </c>
      <c r="C304" s="147"/>
      <c r="D304" s="147"/>
      <c r="E304" s="146"/>
      <c r="F304" s="148" t="str">
        <f>+IFERROR(VLOOKUP(E304,Data!C300:D395,2,0),"")</f>
        <v/>
      </c>
      <c r="G304" s="146"/>
      <c r="H304" s="149"/>
      <c r="I304" s="150"/>
      <c r="J304" s="151" t="str">
        <f t="shared" si="12"/>
        <v>-</v>
      </c>
      <c r="K304" s="152"/>
      <c r="L304" s="149"/>
      <c r="M304" s="149"/>
      <c r="N304" s="153">
        <f t="shared" si="13"/>
        <v>0</v>
      </c>
      <c r="O304" s="153">
        <f t="shared" si="14"/>
        <v>0</v>
      </c>
      <c r="P304" s="146"/>
    </row>
    <row r="305" spans="2:16" x14ac:dyDescent="0.3">
      <c r="B305" s="146">
        <v>298</v>
      </c>
      <c r="C305" s="147"/>
      <c r="D305" s="147"/>
      <c r="E305" s="146"/>
      <c r="F305" s="148" t="str">
        <f>+IFERROR(VLOOKUP(E305,Data!C301:D396,2,0),"")</f>
        <v/>
      </c>
      <c r="G305" s="146"/>
      <c r="H305" s="149"/>
      <c r="I305" s="150"/>
      <c r="J305" s="151" t="str">
        <f t="shared" si="12"/>
        <v>-</v>
      </c>
      <c r="K305" s="152"/>
      <c r="L305" s="149"/>
      <c r="M305" s="149"/>
      <c r="N305" s="153">
        <f t="shared" si="13"/>
        <v>0</v>
      </c>
      <c r="O305" s="153">
        <f t="shared" si="14"/>
        <v>0</v>
      </c>
      <c r="P305" s="146"/>
    </row>
    <row r="306" spans="2:16" x14ac:dyDescent="0.3">
      <c r="B306" s="146">
        <v>299</v>
      </c>
      <c r="C306" s="147"/>
      <c r="D306" s="147"/>
      <c r="E306" s="146"/>
      <c r="F306" s="148" t="str">
        <f>+IFERROR(VLOOKUP(E306,Data!C302:D397,2,0),"")</f>
        <v/>
      </c>
      <c r="G306" s="146"/>
      <c r="H306" s="149"/>
      <c r="I306" s="150"/>
      <c r="J306" s="151" t="str">
        <f t="shared" si="12"/>
        <v>-</v>
      </c>
      <c r="K306" s="152"/>
      <c r="L306" s="149"/>
      <c r="M306" s="149"/>
      <c r="N306" s="153">
        <f t="shared" si="13"/>
        <v>0</v>
      </c>
      <c r="O306" s="153">
        <f t="shared" si="14"/>
        <v>0</v>
      </c>
      <c r="P306" s="146"/>
    </row>
    <row r="307" spans="2:16" x14ac:dyDescent="0.3">
      <c r="B307" s="146">
        <v>300</v>
      </c>
      <c r="C307" s="147"/>
      <c r="D307" s="147"/>
      <c r="E307" s="146"/>
      <c r="F307" s="148" t="str">
        <f>+IFERROR(VLOOKUP(E307,Data!C303:D398,2,0),"")</f>
        <v/>
      </c>
      <c r="G307" s="146"/>
      <c r="H307" s="149"/>
      <c r="I307" s="150"/>
      <c r="J307" s="151" t="str">
        <f t="shared" si="12"/>
        <v>-</v>
      </c>
      <c r="K307" s="152"/>
      <c r="L307" s="149"/>
      <c r="M307" s="149"/>
      <c r="N307" s="153">
        <f t="shared" si="13"/>
        <v>0</v>
      </c>
      <c r="O307" s="153">
        <f t="shared" si="14"/>
        <v>0</v>
      </c>
      <c r="P307" s="146"/>
    </row>
    <row r="308" spans="2:16" x14ac:dyDescent="0.3">
      <c r="B308" s="146">
        <v>301</v>
      </c>
      <c r="C308" s="147"/>
      <c r="D308" s="147"/>
      <c r="E308" s="146"/>
      <c r="F308" s="148" t="str">
        <f>+IFERROR(VLOOKUP(E308,Data!C304:D399,2,0),"")</f>
        <v/>
      </c>
      <c r="G308" s="146"/>
      <c r="H308" s="149"/>
      <c r="I308" s="150"/>
      <c r="J308" s="151" t="str">
        <f t="shared" si="12"/>
        <v>-</v>
      </c>
      <c r="K308" s="152"/>
      <c r="L308" s="149"/>
      <c r="M308" s="149"/>
      <c r="N308" s="153">
        <f t="shared" si="13"/>
        <v>0</v>
      </c>
      <c r="O308" s="153">
        <f t="shared" si="14"/>
        <v>0</v>
      </c>
      <c r="P308" s="146"/>
    </row>
    <row r="309" spans="2:16" x14ac:dyDescent="0.3">
      <c r="B309" s="146">
        <v>302</v>
      </c>
      <c r="C309" s="147"/>
      <c r="D309" s="147"/>
      <c r="E309" s="146"/>
      <c r="F309" s="148" t="str">
        <f>+IFERROR(VLOOKUP(E309,Data!C305:D400,2,0),"")</f>
        <v/>
      </c>
      <c r="G309" s="146"/>
      <c r="H309" s="149"/>
      <c r="I309" s="150"/>
      <c r="J309" s="151" t="str">
        <f t="shared" si="12"/>
        <v>-</v>
      </c>
      <c r="K309" s="152"/>
      <c r="L309" s="149"/>
      <c r="M309" s="149"/>
      <c r="N309" s="153">
        <f t="shared" si="13"/>
        <v>0</v>
      </c>
      <c r="O309" s="153">
        <f t="shared" si="14"/>
        <v>0</v>
      </c>
      <c r="P309" s="146"/>
    </row>
    <row r="310" spans="2:16" x14ac:dyDescent="0.3">
      <c r="B310" s="146">
        <v>303</v>
      </c>
      <c r="C310" s="147"/>
      <c r="D310" s="147"/>
      <c r="E310" s="146"/>
      <c r="F310" s="148" t="str">
        <f>+IFERROR(VLOOKUP(E310,Data!C306:D401,2,0),"")</f>
        <v/>
      </c>
      <c r="G310" s="146"/>
      <c r="H310" s="149"/>
      <c r="I310" s="150"/>
      <c r="J310" s="151" t="str">
        <f t="shared" ref="J310:J373" si="15">IFERROR(+I310/H310,"-")</f>
        <v>-</v>
      </c>
      <c r="K310" s="152"/>
      <c r="L310" s="149"/>
      <c r="M310" s="149"/>
      <c r="N310" s="153">
        <f t="shared" ref="N310:N373" si="16">+L310+M310</f>
        <v>0</v>
      </c>
      <c r="O310" s="153">
        <f t="shared" ref="O310:O373" si="17">+N310-K310</f>
        <v>0</v>
      </c>
      <c r="P310" s="146"/>
    </row>
    <row r="311" spans="2:16" x14ac:dyDescent="0.3">
      <c r="B311" s="146">
        <v>304</v>
      </c>
      <c r="C311" s="147"/>
      <c r="D311" s="147"/>
      <c r="E311" s="146"/>
      <c r="F311" s="148" t="str">
        <f>+IFERROR(VLOOKUP(E311,Data!C307:D402,2,0),"")</f>
        <v/>
      </c>
      <c r="G311" s="146"/>
      <c r="H311" s="149"/>
      <c r="I311" s="150"/>
      <c r="J311" s="151" t="str">
        <f t="shared" si="15"/>
        <v>-</v>
      </c>
      <c r="K311" s="152"/>
      <c r="L311" s="149"/>
      <c r="M311" s="149"/>
      <c r="N311" s="153">
        <f t="shared" si="16"/>
        <v>0</v>
      </c>
      <c r="O311" s="153">
        <f t="shared" si="17"/>
        <v>0</v>
      </c>
      <c r="P311" s="146"/>
    </row>
    <row r="312" spans="2:16" x14ac:dyDescent="0.3">
      <c r="B312" s="146">
        <v>305</v>
      </c>
      <c r="C312" s="147"/>
      <c r="D312" s="147"/>
      <c r="E312" s="146"/>
      <c r="F312" s="148" t="str">
        <f>+IFERROR(VLOOKUP(E312,Data!C308:D403,2,0),"")</f>
        <v/>
      </c>
      <c r="G312" s="146"/>
      <c r="H312" s="149"/>
      <c r="I312" s="150"/>
      <c r="J312" s="151" t="str">
        <f t="shared" si="15"/>
        <v>-</v>
      </c>
      <c r="K312" s="152"/>
      <c r="L312" s="149"/>
      <c r="M312" s="149"/>
      <c r="N312" s="153">
        <f t="shared" si="16"/>
        <v>0</v>
      </c>
      <c r="O312" s="153">
        <f t="shared" si="17"/>
        <v>0</v>
      </c>
      <c r="P312" s="146"/>
    </row>
    <row r="313" spans="2:16" x14ac:dyDescent="0.3">
      <c r="B313" s="146">
        <v>306</v>
      </c>
      <c r="C313" s="147"/>
      <c r="D313" s="147"/>
      <c r="E313" s="146"/>
      <c r="F313" s="148" t="str">
        <f>+IFERROR(VLOOKUP(E313,Data!C309:D404,2,0),"")</f>
        <v/>
      </c>
      <c r="G313" s="146"/>
      <c r="H313" s="149"/>
      <c r="I313" s="150"/>
      <c r="J313" s="151" t="str">
        <f t="shared" si="15"/>
        <v>-</v>
      </c>
      <c r="K313" s="152"/>
      <c r="L313" s="149"/>
      <c r="M313" s="149"/>
      <c r="N313" s="153">
        <f t="shared" si="16"/>
        <v>0</v>
      </c>
      <c r="O313" s="153">
        <f t="shared" si="17"/>
        <v>0</v>
      </c>
      <c r="P313" s="146"/>
    </row>
    <row r="314" spans="2:16" x14ac:dyDescent="0.3">
      <c r="B314" s="146">
        <v>307</v>
      </c>
      <c r="C314" s="147"/>
      <c r="D314" s="147"/>
      <c r="E314" s="146"/>
      <c r="F314" s="148" t="str">
        <f>+IFERROR(VLOOKUP(E314,Data!C310:D405,2,0),"")</f>
        <v/>
      </c>
      <c r="G314" s="146"/>
      <c r="H314" s="149"/>
      <c r="I314" s="150"/>
      <c r="J314" s="151" t="str">
        <f t="shared" si="15"/>
        <v>-</v>
      </c>
      <c r="K314" s="152"/>
      <c r="L314" s="149"/>
      <c r="M314" s="149"/>
      <c r="N314" s="153">
        <f t="shared" si="16"/>
        <v>0</v>
      </c>
      <c r="O314" s="153">
        <f t="shared" si="17"/>
        <v>0</v>
      </c>
      <c r="P314" s="146"/>
    </row>
    <row r="315" spans="2:16" x14ac:dyDescent="0.3">
      <c r="B315" s="146">
        <v>308</v>
      </c>
      <c r="C315" s="147"/>
      <c r="D315" s="147"/>
      <c r="E315" s="146"/>
      <c r="F315" s="148" t="str">
        <f>+IFERROR(VLOOKUP(E315,Data!C311:D406,2,0),"")</f>
        <v/>
      </c>
      <c r="G315" s="146"/>
      <c r="H315" s="149"/>
      <c r="I315" s="150"/>
      <c r="J315" s="151" t="str">
        <f t="shared" si="15"/>
        <v>-</v>
      </c>
      <c r="K315" s="152"/>
      <c r="L315" s="149"/>
      <c r="M315" s="149"/>
      <c r="N315" s="153">
        <f t="shared" si="16"/>
        <v>0</v>
      </c>
      <c r="O315" s="153">
        <f t="shared" si="17"/>
        <v>0</v>
      </c>
      <c r="P315" s="146"/>
    </row>
    <row r="316" spans="2:16" x14ac:dyDescent="0.3">
      <c r="B316" s="146">
        <v>309</v>
      </c>
      <c r="C316" s="147"/>
      <c r="D316" s="147"/>
      <c r="E316" s="146"/>
      <c r="F316" s="148" t="str">
        <f>+IFERROR(VLOOKUP(E316,Data!C312:D407,2,0),"")</f>
        <v/>
      </c>
      <c r="G316" s="146"/>
      <c r="H316" s="149"/>
      <c r="I316" s="150"/>
      <c r="J316" s="151" t="str">
        <f t="shared" si="15"/>
        <v>-</v>
      </c>
      <c r="K316" s="152"/>
      <c r="L316" s="149"/>
      <c r="M316" s="149"/>
      <c r="N316" s="153">
        <f t="shared" si="16"/>
        <v>0</v>
      </c>
      <c r="O316" s="153">
        <f t="shared" si="17"/>
        <v>0</v>
      </c>
      <c r="P316" s="146"/>
    </row>
    <row r="317" spans="2:16" x14ac:dyDescent="0.3">
      <c r="B317" s="146">
        <v>310</v>
      </c>
      <c r="C317" s="147"/>
      <c r="D317" s="147"/>
      <c r="E317" s="146"/>
      <c r="F317" s="148" t="str">
        <f>+IFERROR(VLOOKUP(E317,Data!C313:D408,2,0),"")</f>
        <v/>
      </c>
      <c r="G317" s="146"/>
      <c r="H317" s="149"/>
      <c r="I317" s="150"/>
      <c r="J317" s="151" t="str">
        <f t="shared" si="15"/>
        <v>-</v>
      </c>
      <c r="K317" s="152"/>
      <c r="L317" s="149"/>
      <c r="M317" s="149"/>
      <c r="N317" s="153">
        <f t="shared" si="16"/>
        <v>0</v>
      </c>
      <c r="O317" s="153">
        <f t="shared" si="17"/>
        <v>0</v>
      </c>
      <c r="P317" s="146"/>
    </row>
    <row r="318" spans="2:16" x14ac:dyDescent="0.3">
      <c r="B318" s="146">
        <v>311</v>
      </c>
      <c r="C318" s="147"/>
      <c r="D318" s="147"/>
      <c r="E318" s="146"/>
      <c r="F318" s="148" t="str">
        <f>+IFERROR(VLOOKUP(E318,Data!C314:D409,2,0),"")</f>
        <v/>
      </c>
      <c r="G318" s="146"/>
      <c r="H318" s="149"/>
      <c r="I318" s="150"/>
      <c r="J318" s="151" t="str">
        <f t="shared" si="15"/>
        <v>-</v>
      </c>
      <c r="K318" s="152"/>
      <c r="L318" s="149"/>
      <c r="M318" s="149"/>
      <c r="N318" s="153">
        <f t="shared" si="16"/>
        <v>0</v>
      </c>
      <c r="O318" s="153">
        <f t="shared" si="17"/>
        <v>0</v>
      </c>
      <c r="P318" s="146"/>
    </row>
    <row r="319" spans="2:16" x14ac:dyDescent="0.3">
      <c r="B319" s="146">
        <v>312</v>
      </c>
      <c r="C319" s="147"/>
      <c r="D319" s="147"/>
      <c r="E319" s="146"/>
      <c r="F319" s="148" t="str">
        <f>+IFERROR(VLOOKUP(E319,Data!C315:D410,2,0),"")</f>
        <v/>
      </c>
      <c r="G319" s="146"/>
      <c r="H319" s="149"/>
      <c r="I319" s="150"/>
      <c r="J319" s="151" t="str">
        <f t="shared" si="15"/>
        <v>-</v>
      </c>
      <c r="K319" s="152"/>
      <c r="L319" s="149"/>
      <c r="M319" s="149"/>
      <c r="N319" s="153">
        <f t="shared" si="16"/>
        <v>0</v>
      </c>
      <c r="O319" s="153">
        <f t="shared" si="17"/>
        <v>0</v>
      </c>
      <c r="P319" s="146"/>
    </row>
    <row r="320" spans="2:16" x14ac:dyDescent="0.3">
      <c r="B320" s="146">
        <v>313</v>
      </c>
      <c r="C320" s="147"/>
      <c r="D320" s="147"/>
      <c r="E320" s="146"/>
      <c r="F320" s="148" t="str">
        <f>+IFERROR(VLOOKUP(E320,Data!C316:D411,2,0),"")</f>
        <v/>
      </c>
      <c r="G320" s="146"/>
      <c r="H320" s="149"/>
      <c r="I320" s="150"/>
      <c r="J320" s="151" t="str">
        <f t="shared" si="15"/>
        <v>-</v>
      </c>
      <c r="K320" s="152"/>
      <c r="L320" s="149"/>
      <c r="M320" s="149"/>
      <c r="N320" s="153">
        <f t="shared" si="16"/>
        <v>0</v>
      </c>
      <c r="O320" s="153">
        <f t="shared" si="17"/>
        <v>0</v>
      </c>
      <c r="P320" s="146"/>
    </row>
    <row r="321" spans="2:16" x14ac:dyDescent="0.3">
      <c r="B321" s="146">
        <v>314</v>
      </c>
      <c r="C321" s="147"/>
      <c r="D321" s="147"/>
      <c r="E321" s="146"/>
      <c r="F321" s="148" t="str">
        <f>+IFERROR(VLOOKUP(E321,Data!C317:D412,2,0),"")</f>
        <v/>
      </c>
      <c r="G321" s="146"/>
      <c r="H321" s="149"/>
      <c r="I321" s="150"/>
      <c r="J321" s="151" t="str">
        <f t="shared" si="15"/>
        <v>-</v>
      </c>
      <c r="K321" s="152"/>
      <c r="L321" s="149"/>
      <c r="M321" s="149"/>
      <c r="N321" s="153">
        <f t="shared" si="16"/>
        <v>0</v>
      </c>
      <c r="O321" s="153">
        <f t="shared" si="17"/>
        <v>0</v>
      </c>
      <c r="P321" s="146"/>
    </row>
    <row r="322" spans="2:16" x14ac:dyDescent="0.3">
      <c r="B322" s="146">
        <v>315</v>
      </c>
      <c r="C322" s="147"/>
      <c r="D322" s="147"/>
      <c r="E322" s="146"/>
      <c r="F322" s="148" t="str">
        <f>+IFERROR(VLOOKUP(E322,Data!C318:D413,2,0),"")</f>
        <v/>
      </c>
      <c r="G322" s="146"/>
      <c r="H322" s="149"/>
      <c r="I322" s="150"/>
      <c r="J322" s="151" t="str">
        <f t="shared" si="15"/>
        <v>-</v>
      </c>
      <c r="K322" s="152"/>
      <c r="L322" s="149"/>
      <c r="M322" s="149"/>
      <c r="N322" s="153">
        <f t="shared" si="16"/>
        <v>0</v>
      </c>
      <c r="O322" s="153">
        <f t="shared" si="17"/>
        <v>0</v>
      </c>
      <c r="P322" s="146"/>
    </row>
    <row r="323" spans="2:16" x14ac:dyDescent="0.3">
      <c r="B323" s="146">
        <v>316</v>
      </c>
      <c r="C323" s="147"/>
      <c r="D323" s="147"/>
      <c r="E323" s="146"/>
      <c r="F323" s="148" t="str">
        <f>+IFERROR(VLOOKUP(E323,Data!C319:D414,2,0),"")</f>
        <v/>
      </c>
      <c r="G323" s="146"/>
      <c r="H323" s="149"/>
      <c r="I323" s="150"/>
      <c r="J323" s="151" t="str">
        <f t="shared" si="15"/>
        <v>-</v>
      </c>
      <c r="K323" s="152"/>
      <c r="L323" s="149"/>
      <c r="M323" s="149"/>
      <c r="N323" s="153">
        <f t="shared" si="16"/>
        <v>0</v>
      </c>
      <c r="O323" s="153">
        <f t="shared" si="17"/>
        <v>0</v>
      </c>
      <c r="P323" s="146"/>
    </row>
    <row r="324" spans="2:16" x14ac:dyDescent="0.3">
      <c r="B324" s="146">
        <v>317</v>
      </c>
      <c r="C324" s="147"/>
      <c r="D324" s="147"/>
      <c r="E324" s="146"/>
      <c r="F324" s="148" t="str">
        <f>+IFERROR(VLOOKUP(E324,Data!C320:D415,2,0),"")</f>
        <v/>
      </c>
      <c r="G324" s="146"/>
      <c r="H324" s="149"/>
      <c r="I324" s="150"/>
      <c r="J324" s="151" t="str">
        <f t="shared" si="15"/>
        <v>-</v>
      </c>
      <c r="K324" s="152"/>
      <c r="L324" s="149"/>
      <c r="M324" s="149"/>
      <c r="N324" s="153">
        <f t="shared" si="16"/>
        <v>0</v>
      </c>
      <c r="O324" s="153">
        <f t="shared" si="17"/>
        <v>0</v>
      </c>
      <c r="P324" s="146"/>
    </row>
    <row r="325" spans="2:16" x14ac:dyDescent="0.3">
      <c r="B325" s="146">
        <v>318</v>
      </c>
      <c r="C325" s="147"/>
      <c r="D325" s="147"/>
      <c r="E325" s="146"/>
      <c r="F325" s="148" t="str">
        <f>+IFERROR(VLOOKUP(E325,Data!C321:D416,2,0),"")</f>
        <v/>
      </c>
      <c r="G325" s="146"/>
      <c r="H325" s="149"/>
      <c r="I325" s="150"/>
      <c r="J325" s="151" t="str">
        <f t="shared" si="15"/>
        <v>-</v>
      </c>
      <c r="K325" s="152"/>
      <c r="L325" s="149"/>
      <c r="M325" s="149"/>
      <c r="N325" s="153">
        <f t="shared" si="16"/>
        <v>0</v>
      </c>
      <c r="O325" s="153">
        <f t="shared" si="17"/>
        <v>0</v>
      </c>
      <c r="P325" s="146"/>
    </row>
    <row r="326" spans="2:16" x14ac:dyDescent="0.3">
      <c r="B326" s="146">
        <v>319</v>
      </c>
      <c r="C326" s="147"/>
      <c r="D326" s="147"/>
      <c r="E326" s="146"/>
      <c r="F326" s="148" t="str">
        <f>+IFERROR(VLOOKUP(E326,Data!C322:D417,2,0),"")</f>
        <v/>
      </c>
      <c r="G326" s="146"/>
      <c r="H326" s="149"/>
      <c r="I326" s="150"/>
      <c r="J326" s="151" t="str">
        <f t="shared" si="15"/>
        <v>-</v>
      </c>
      <c r="K326" s="152"/>
      <c r="L326" s="149"/>
      <c r="M326" s="149"/>
      <c r="N326" s="153">
        <f t="shared" si="16"/>
        <v>0</v>
      </c>
      <c r="O326" s="153">
        <f t="shared" si="17"/>
        <v>0</v>
      </c>
      <c r="P326" s="146"/>
    </row>
    <row r="327" spans="2:16" x14ac:dyDescent="0.3">
      <c r="B327" s="146">
        <v>320</v>
      </c>
      <c r="C327" s="147"/>
      <c r="D327" s="147"/>
      <c r="E327" s="146"/>
      <c r="F327" s="148" t="str">
        <f>+IFERROR(VLOOKUP(E327,Data!C323:D418,2,0),"")</f>
        <v/>
      </c>
      <c r="G327" s="146"/>
      <c r="H327" s="149"/>
      <c r="I327" s="150"/>
      <c r="J327" s="151" t="str">
        <f t="shared" si="15"/>
        <v>-</v>
      </c>
      <c r="K327" s="152"/>
      <c r="L327" s="149"/>
      <c r="M327" s="149"/>
      <c r="N327" s="153">
        <f t="shared" si="16"/>
        <v>0</v>
      </c>
      <c r="O327" s="153">
        <f t="shared" si="17"/>
        <v>0</v>
      </c>
      <c r="P327" s="146"/>
    </row>
    <row r="328" spans="2:16" x14ac:dyDescent="0.3">
      <c r="B328" s="146">
        <v>321</v>
      </c>
      <c r="C328" s="147"/>
      <c r="D328" s="147"/>
      <c r="E328" s="146"/>
      <c r="F328" s="148" t="str">
        <f>+IFERROR(VLOOKUP(E328,Data!C324:D419,2,0),"")</f>
        <v/>
      </c>
      <c r="G328" s="146"/>
      <c r="H328" s="149"/>
      <c r="I328" s="150"/>
      <c r="J328" s="151" t="str">
        <f t="shared" si="15"/>
        <v>-</v>
      </c>
      <c r="K328" s="152"/>
      <c r="L328" s="149"/>
      <c r="M328" s="149"/>
      <c r="N328" s="153">
        <f t="shared" si="16"/>
        <v>0</v>
      </c>
      <c r="O328" s="153">
        <f t="shared" si="17"/>
        <v>0</v>
      </c>
      <c r="P328" s="146"/>
    </row>
    <row r="329" spans="2:16" x14ac:dyDescent="0.3">
      <c r="B329" s="146">
        <v>322</v>
      </c>
      <c r="C329" s="147"/>
      <c r="D329" s="147"/>
      <c r="E329" s="146"/>
      <c r="F329" s="148" t="str">
        <f>+IFERROR(VLOOKUP(E329,Data!C325:D420,2,0),"")</f>
        <v/>
      </c>
      <c r="G329" s="146"/>
      <c r="H329" s="149"/>
      <c r="I329" s="150"/>
      <c r="J329" s="151" t="str">
        <f t="shared" si="15"/>
        <v>-</v>
      </c>
      <c r="K329" s="152"/>
      <c r="L329" s="149"/>
      <c r="M329" s="149"/>
      <c r="N329" s="153">
        <f t="shared" si="16"/>
        <v>0</v>
      </c>
      <c r="O329" s="153">
        <f t="shared" si="17"/>
        <v>0</v>
      </c>
      <c r="P329" s="146"/>
    </row>
    <row r="330" spans="2:16" x14ac:dyDescent="0.3">
      <c r="B330" s="146">
        <v>323</v>
      </c>
      <c r="C330" s="147"/>
      <c r="D330" s="147"/>
      <c r="E330" s="146"/>
      <c r="F330" s="148" t="str">
        <f>+IFERROR(VLOOKUP(E330,Data!C326:D421,2,0),"")</f>
        <v/>
      </c>
      <c r="G330" s="146"/>
      <c r="H330" s="149"/>
      <c r="I330" s="150"/>
      <c r="J330" s="151" t="str">
        <f t="shared" si="15"/>
        <v>-</v>
      </c>
      <c r="K330" s="152"/>
      <c r="L330" s="149"/>
      <c r="M330" s="149"/>
      <c r="N330" s="153">
        <f t="shared" si="16"/>
        <v>0</v>
      </c>
      <c r="O330" s="153">
        <f t="shared" si="17"/>
        <v>0</v>
      </c>
      <c r="P330" s="146"/>
    </row>
    <row r="331" spans="2:16" x14ac:dyDescent="0.3">
      <c r="B331" s="146">
        <v>324</v>
      </c>
      <c r="C331" s="147"/>
      <c r="D331" s="147"/>
      <c r="E331" s="146"/>
      <c r="F331" s="148" t="str">
        <f>+IFERROR(VLOOKUP(E331,Data!C327:D422,2,0),"")</f>
        <v/>
      </c>
      <c r="G331" s="146"/>
      <c r="H331" s="149"/>
      <c r="I331" s="150"/>
      <c r="J331" s="151" t="str">
        <f t="shared" si="15"/>
        <v>-</v>
      </c>
      <c r="K331" s="152"/>
      <c r="L331" s="149"/>
      <c r="M331" s="149"/>
      <c r="N331" s="153">
        <f t="shared" si="16"/>
        <v>0</v>
      </c>
      <c r="O331" s="153">
        <f t="shared" si="17"/>
        <v>0</v>
      </c>
      <c r="P331" s="146"/>
    </row>
    <row r="332" spans="2:16" x14ac:dyDescent="0.3">
      <c r="B332" s="146">
        <v>325</v>
      </c>
      <c r="C332" s="147"/>
      <c r="D332" s="147"/>
      <c r="E332" s="146"/>
      <c r="F332" s="148" t="str">
        <f>+IFERROR(VLOOKUP(E332,Data!C328:D423,2,0),"")</f>
        <v/>
      </c>
      <c r="G332" s="146"/>
      <c r="H332" s="149"/>
      <c r="I332" s="150"/>
      <c r="J332" s="151" t="str">
        <f t="shared" si="15"/>
        <v>-</v>
      </c>
      <c r="K332" s="152"/>
      <c r="L332" s="149"/>
      <c r="M332" s="149"/>
      <c r="N332" s="153">
        <f t="shared" si="16"/>
        <v>0</v>
      </c>
      <c r="O332" s="153">
        <f t="shared" si="17"/>
        <v>0</v>
      </c>
      <c r="P332" s="146"/>
    </row>
    <row r="333" spans="2:16" x14ac:dyDescent="0.3">
      <c r="B333" s="146">
        <v>326</v>
      </c>
      <c r="C333" s="147"/>
      <c r="D333" s="147"/>
      <c r="E333" s="146"/>
      <c r="F333" s="148" t="str">
        <f>+IFERROR(VLOOKUP(E333,Data!C329:D424,2,0),"")</f>
        <v/>
      </c>
      <c r="G333" s="146"/>
      <c r="H333" s="149"/>
      <c r="I333" s="150"/>
      <c r="J333" s="151" t="str">
        <f t="shared" si="15"/>
        <v>-</v>
      </c>
      <c r="K333" s="152"/>
      <c r="L333" s="149"/>
      <c r="M333" s="149"/>
      <c r="N333" s="153">
        <f t="shared" si="16"/>
        <v>0</v>
      </c>
      <c r="O333" s="153">
        <f t="shared" si="17"/>
        <v>0</v>
      </c>
      <c r="P333" s="146"/>
    </row>
    <row r="334" spans="2:16" x14ac:dyDescent="0.3">
      <c r="B334" s="146">
        <v>327</v>
      </c>
      <c r="C334" s="147"/>
      <c r="D334" s="147"/>
      <c r="E334" s="146"/>
      <c r="F334" s="148" t="str">
        <f>+IFERROR(VLOOKUP(E334,Data!C330:D425,2,0),"")</f>
        <v/>
      </c>
      <c r="G334" s="146"/>
      <c r="H334" s="149"/>
      <c r="I334" s="150"/>
      <c r="J334" s="151" t="str">
        <f t="shared" si="15"/>
        <v>-</v>
      </c>
      <c r="K334" s="152"/>
      <c r="L334" s="149"/>
      <c r="M334" s="149"/>
      <c r="N334" s="153">
        <f t="shared" si="16"/>
        <v>0</v>
      </c>
      <c r="O334" s="153">
        <f t="shared" si="17"/>
        <v>0</v>
      </c>
      <c r="P334" s="146"/>
    </row>
    <row r="335" spans="2:16" x14ac:dyDescent="0.3">
      <c r="B335" s="146">
        <v>328</v>
      </c>
      <c r="C335" s="147"/>
      <c r="D335" s="147"/>
      <c r="E335" s="146"/>
      <c r="F335" s="148" t="str">
        <f>+IFERROR(VLOOKUP(E335,Data!C331:D426,2,0),"")</f>
        <v/>
      </c>
      <c r="G335" s="146"/>
      <c r="H335" s="149"/>
      <c r="I335" s="150"/>
      <c r="J335" s="151" t="str">
        <f t="shared" si="15"/>
        <v>-</v>
      </c>
      <c r="K335" s="152"/>
      <c r="L335" s="149"/>
      <c r="M335" s="149"/>
      <c r="N335" s="153">
        <f t="shared" si="16"/>
        <v>0</v>
      </c>
      <c r="O335" s="153">
        <f t="shared" si="17"/>
        <v>0</v>
      </c>
      <c r="P335" s="146"/>
    </row>
    <row r="336" spans="2:16" x14ac:dyDescent="0.3">
      <c r="B336" s="146">
        <v>329</v>
      </c>
      <c r="C336" s="147"/>
      <c r="D336" s="147"/>
      <c r="E336" s="146"/>
      <c r="F336" s="148" t="str">
        <f>+IFERROR(VLOOKUP(E336,Data!C332:D427,2,0),"")</f>
        <v/>
      </c>
      <c r="G336" s="146"/>
      <c r="H336" s="149"/>
      <c r="I336" s="150"/>
      <c r="J336" s="151" t="str">
        <f t="shared" si="15"/>
        <v>-</v>
      </c>
      <c r="K336" s="152"/>
      <c r="L336" s="149"/>
      <c r="M336" s="149"/>
      <c r="N336" s="153">
        <f t="shared" si="16"/>
        <v>0</v>
      </c>
      <c r="O336" s="153">
        <f t="shared" si="17"/>
        <v>0</v>
      </c>
      <c r="P336" s="146"/>
    </row>
    <row r="337" spans="2:16" x14ac:dyDescent="0.3">
      <c r="B337" s="146">
        <v>330</v>
      </c>
      <c r="C337" s="147"/>
      <c r="D337" s="147"/>
      <c r="E337" s="146"/>
      <c r="F337" s="148" t="str">
        <f>+IFERROR(VLOOKUP(E337,Data!C333:D428,2,0),"")</f>
        <v/>
      </c>
      <c r="G337" s="146"/>
      <c r="H337" s="149"/>
      <c r="I337" s="150"/>
      <c r="J337" s="151" t="str">
        <f t="shared" si="15"/>
        <v>-</v>
      </c>
      <c r="K337" s="152"/>
      <c r="L337" s="149"/>
      <c r="M337" s="149"/>
      <c r="N337" s="153">
        <f t="shared" si="16"/>
        <v>0</v>
      </c>
      <c r="O337" s="153">
        <f t="shared" si="17"/>
        <v>0</v>
      </c>
      <c r="P337" s="146"/>
    </row>
    <row r="338" spans="2:16" x14ac:dyDescent="0.3">
      <c r="B338" s="146">
        <v>331</v>
      </c>
      <c r="C338" s="147"/>
      <c r="D338" s="147"/>
      <c r="E338" s="146"/>
      <c r="F338" s="148" t="str">
        <f>+IFERROR(VLOOKUP(E338,Data!C334:D429,2,0),"")</f>
        <v/>
      </c>
      <c r="G338" s="146"/>
      <c r="H338" s="149"/>
      <c r="I338" s="150"/>
      <c r="J338" s="151" t="str">
        <f t="shared" si="15"/>
        <v>-</v>
      </c>
      <c r="K338" s="152"/>
      <c r="L338" s="149"/>
      <c r="M338" s="149"/>
      <c r="N338" s="153">
        <f t="shared" si="16"/>
        <v>0</v>
      </c>
      <c r="O338" s="153">
        <f t="shared" si="17"/>
        <v>0</v>
      </c>
      <c r="P338" s="146"/>
    </row>
    <row r="339" spans="2:16" x14ac:dyDescent="0.3">
      <c r="B339" s="146">
        <v>332</v>
      </c>
      <c r="C339" s="147"/>
      <c r="D339" s="147"/>
      <c r="E339" s="146"/>
      <c r="F339" s="148" t="str">
        <f>+IFERROR(VLOOKUP(E339,Data!C335:D430,2,0),"")</f>
        <v/>
      </c>
      <c r="G339" s="146"/>
      <c r="H339" s="149"/>
      <c r="I339" s="150"/>
      <c r="J339" s="151" t="str">
        <f t="shared" si="15"/>
        <v>-</v>
      </c>
      <c r="K339" s="152"/>
      <c r="L339" s="149"/>
      <c r="M339" s="149"/>
      <c r="N339" s="153">
        <f t="shared" si="16"/>
        <v>0</v>
      </c>
      <c r="O339" s="153">
        <f t="shared" si="17"/>
        <v>0</v>
      </c>
      <c r="P339" s="146"/>
    </row>
    <row r="340" spans="2:16" x14ac:dyDescent="0.3">
      <c r="B340" s="146">
        <v>333</v>
      </c>
      <c r="C340" s="147"/>
      <c r="D340" s="147"/>
      <c r="E340" s="146"/>
      <c r="F340" s="148" t="str">
        <f>+IFERROR(VLOOKUP(E340,Data!C336:D431,2,0),"")</f>
        <v/>
      </c>
      <c r="G340" s="146"/>
      <c r="H340" s="149"/>
      <c r="I340" s="150"/>
      <c r="J340" s="151" t="str">
        <f t="shared" si="15"/>
        <v>-</v>
      </c>
      <c r="K340" s="152"/>
      <c r="L340" s="149"/>
      <c r="M340" s="149"/>
      <c r="N340" s="153">
        <f t="shared" si="16"/>
        <v>0</v>
      </c>
      <c r="O340" s="153">
        <f t="shared" si="17"/>
        <v>0</v>
      </c>
      <c r="P340" s="146"/>
    </row>
    <row r="341" spans="2:16" x14ac:dyDescent="0.3">
      <c r="B341" s="146">
        <v>334</v>
      </c>
      <c r="C341" s="147"/>
      <c r="D341" s="147"/>
      <c r="E341" s="146"/>
      <c r="F341" s="148" t="str">
        <f>+IFERROR(VLOOKUP(E341,Data!C337:D432,2,0),"")</f>
        <v/>
      </c>
      <c r="G341" s="146"/>
      <c r="H341" s="149"/>
      <c r="I341" s="150"/>
      <c r="J341" s="151" t="str">
        <f t="shared" si="15"/>
        <v>-</v>
      </c>
      <c r="K341" s="152"/>
      <c r="L341" s="149"/>
      <c r="M341" s="149"/>
      <c r="N341" s="153">
        <f t="shared" si="16"/>
        <v>0</v>
      </c>
      <c r="O341" s="153">
        <f t="shared" si="17"/>
        <v>0</v>
      </c>
      <c r="P341" s="146"/>
    </row>
    <row r="342" spans="2:16" x14ac:dyDescent="0.3">
      <c r="B342" s="146">
        <v>335</v>
      </c>
      <c r="C342" s="147"/>
      <c r="D342" s="147"/>
      <c r="E342" s="146"/>
      <c r="F342" s="148" t="str">
        <f>+IFERROR(VLOOKUP(E342,Data!C338:D433,2,0),"")</f>
        <v/>
      </c>
      <c r="G342" s="146"/>
      <c r="H342" s="149"/>
      <c r="I342" s="150"/>
      <c r="J342" s="151" t="str">
        <f t="shared" si="15"/>
        <v>-</v>
      </c>
      <c r="K342" s="152"/>
      <c r="L342" s="149"/>
      <c r="M342" s="149"/>
      <c r="N342" s="153">
        <f t="shared" si="16"/>
        <v>0</v>
      </c>
      <c r="O342" s="153">
        <f t="shared" si="17"/>
        <v>0</v>
      </c>
      <c r="P342" s="146"/>
    </row>
    <row r="343" spans="2:16" x14ac:dyDescent="0.3">
      <c r="B343" s="146">
        <v>336</v>
      </c>
      <c r="C343" s="147"/>
      <c r="D343" s="147"/>
      <c r="E343" s="146"/>
      <c r="F343" s="148" t="str">
        <f>+IFERROR(VLOOKUP(E343,Data!C339:D434,2,0),"")</f>
        <v/>
      </c>
      <c r="G343" s="146"/>
      <c r="H343" s="149"/>
      <c r="I343" s="150"/>
      <c r="J343" s="151" t="str">
        <f t="shared" si="15"/>
        <v>-</v>
      </c>
      <c r="K343" s="152"/>
      <c r="L343" s="149"/>
      <c r="M343" s="149"/>
      <c r="N343" s="153">
        <f t="shared" si="16"/>
        <v>0</v>
      </c>
      <c r="O343" s="153">
        <f t="shared" si="17"/>
        <v>0</v>
      </c>
      <c r="P343" s="146"/>
    </row>
    <row r="344" spans="2:16" x14ac:dyDescent="0.3">
      <c r="B344" s="146">
        <v>337</v>
      </c>
      <c r="C344" s="147"/>
      <c r="D344" s="147"/>
      <c r="E344" s="146"/>
      <c r="F344" s="148" t="str">
        <f>+IFERROR(VLOOKUP(E344,Data!C340:D435,2,0),"")</f>
        <v/>
      </c>
      <c r="G344" s="146"/>
      <c r="H344" s="149"/>
      <c r="I344" s="150"/>
      <c r="J344" s="151" t="str">
        <f t="shared" si="15"/>
        <v>-</v>
      </c>
      <c r="K344" s="152"/>
      <c r="L344" s="149"/>
      <c r="M344" s="149"/>
      <c r="N344" s="153">
        <f t="shared" si="16"/>
        <v>0</v>
      </c>
      <c r="O344" s="153">
        <f t="shared" si="17"/>
        <v>0</v>
      </c>
      <c r="P344" s="146"/>
    </row>
    <row r="345" spans="2:16" x14ac:dyDescent="0.3">
      <c r="B345" s="146">
        <v>338</v>
      </c>
      <c r="C345" s="147"/>
      <c r="D345" s="147"/>
      <c r="E345" s="146"/>
      <c r="F345" s="148" t="str">
        <f>+IFERROR(VLOOKUP(E345,Data!C341:D436,2,0),"")</f>
        <v/>
      </c>
      <c r="G345" s="146"/>
      <c r="H345" s="149"/>
      <c r="I345" s="150"/>
      <c r="J345" s="151" t="str">
        <f t="shared" si="15"/>
        <v>-</v>
      </c>
      <c r="K345" s="152"/>
      <c r="L345" s="149"/>
      <c r="M345" s="149"/>
      <c r="N345" s="153">
        <f t="shared" si="16"/>
        <v>0</v>
      </c>
      <c r="O345" s="153">
        <f t="shared" si="17"/>
        <v>0</v>
      </c>
      <c r="P345" s="146"/>
    </row>
    <row r="346" spans="2:16" x14ac:dyDescent="0.3">
      <c r="B346" s="146">
        <v>339</v>
      </c>
      <c r="C346" s="147"/>
      <c r="D346" s="147"/>
      <c r="E346" s="146"/>
      <c r="F346" s="148" t="str">
        <f>+IFERROR(VLOOKUP(E346,Data!C342:D437,2,0),"")</f>
        <v/>
      </c>
      <c r="G346" s="146"/>
      <c r="H346" s="149"/>
      <c r="I346" s="150"/>
      <c r="J346" s="151" t="str">
        <f t="shared" si="15"/>
        <v>-</v>
      </c>
      <c r="K346" s="152"/>
      <c r="L346" s="149"/>
      <c r="M346" s="149"/>
      <c r="N346" s="153">
        <f t="shared" si="16"/>
        <v>0</v>
      </c>
      <c r="O346" s="153">
        <f t="shared" si="17"/>
        <v>0</v>
      </c>
      <c r="P346" s="146"/>
    </row>
    <row r="347" spans="2:16" x14ac:dyDescent="0.3">
      <c r="B347" s="146">
        <v>340</v>
      </c>
      <c r="C347" s="147"/>
      <c r="D347" s="147"/>
      <c r="E347" s="146"/>
      <c r="F347" s="148" t="str">
        <f>+IFERROR(VLOOKUP(E347,Data!C343:D438,2,0),"")</f>
        <v/>
      </c>
      <c r="G347" s="146"/>
      <c r="H347" s="149"/>
      <c r="I347" s="150"/>
      <c r="J347" s="151" t="str">
        <f t="shared" si="15"/>
        <v>-</v>
      </c>
      <c r="K347" s="152"/>
      <c r="L347" s="149"/>
      <c r="M347" s="149"/>
      <c r="N347" s="153">
        <f t="shared" si="16"/>
        <v>0</v>
      </c>
      <c r="O347" s="153">
        <f t="shared" si="17"/>
        <v>0</v>
      </c>
      <c r="P347" s="146"/>
    </row>
    <row r="348" spans="2:16" x14ac:dyDescent="0.3">
      <c r="B348" s="146">
        <v>341</v>
      </c>
      <c r="C348" s="147"/>
      <c r="D348" s="147"/>
      <c r="E348" s="146"/>
      <c r="F348" s="148" t="str">
        <f>+IFERROR(VLOOKUP(E348,Data!C344:D439,2,0),"")</f>
        <v/>
      </c>
      <c r="G348" s="146"/>
      <c r="H348" s="149"/>
      <c r="I348" s="150"/>
      <c r="J348" s="151" t="str">
        <f t="shared" si="15"/>
        <v>-</v>
      </c>
      <c r="K348" s="152"/>
      <c r="L348" s="149"/>
      <c r="M348" s="149"/>
      <c r="N348" s="153">
        <f t="shared" si="16"/>
        <v>0</v>
      </c>
      <c r="O348" s="153">
        <f t="shared" si="17"/>
        <v>0</v>
      </c>
      <c r="P348" s="146"/>
    </row>
    <row r="349" spans="2:16" x14ac:dyDescent="0.3">
      <c r="B349" s="146">
        <v>342</v>
      </c>
      <c r="C349" s="147"/>
      <c r="D349" s="147"/>
      <c r="E349" s="146"/>
      <c r="F349" s="148" t="str">
        <f>+IFERROR(VLOOKUP(E349,Data!C345:D440,2,0),"")</f>
        <v/>
      </c>
      <c r="G349" s="146"/>
      <c r="H349" s="149"/>
      <c r="I349" s="150"/>
      <c r="J349" s="151" t="str">
        <f t="shared" si="15"/>
        <v>-</v>
      </c>
      <c r="K349" s="152"/>
      <c r="L349" s="149"/>
      <c r="M349" s="149"/>
      <c r="N349" s="153">
        <f t="shared" si="16"/>
        <v>0</v>
      </c>
      <c r="O349" s="153">
        <f t="shared" si="17"/>
        <v>0</v>
      </c>
      <c r="P349" s="146"/>
    </row>
    <row r="350" spans="2:16" x14ac:dyDescent="0.3">
      <c r="B350" s="146">
        <v>343</v>
      </c>
      <c r="C350" s="147"/>
      <c r="D350" s="147"/>
      <c r="E350" s="146"/>
      <c r="F350" s="148" t="str">
        <f>+IFERROR(VLOOKUP(E350,Data!C346:D441,2,0),"")</f>
        <v/>
      </c>
      <c r="G350" s="146"/>
      <c r="H350" s="149"/>
      <c r="I350" s="150"/>
      <c r="J350" s="151" t="str">
        <f t="shared" si="15"/>
        <v>-</v>
      </c>
      <c r="K350" s="152"/>
      <c r="L350" s="149"/>
      <c r="M350" s="149"/>
      <c r="N350" s="153">
        <f t="shared" si="16"/>
        <v>0</v>
      </c>
      <c r="O350" s="153">
        <f t="shared" si="17"/>
        <v>0</v>
      </c>
      <c r="P350" s="146"/>
    </row>
    <row r="351" spans="2:16" x14ac:dyDescent="0.3">
      <c r="B351" s="146">
        <v>344</v>
      </c>
      <c r="C351" s="147"/>
      <c r="D351" s="147"/>
      <c r="E351" s="146"/>
      <c r="F351" s="148" t="str">
        <f>+IFERROR(VLOOKUP(E351,Data!C347:D442,2,0),"")</f>
        <v/>
      </c>
      <c r="G351" s="146"/>
      <c r="H351" s="149"/>
      <c r="I351" s="150"/>
      <c r="J351" s="151" t="str">
        <f t="shared" si="15"/>
        <v>-</v>
      </c>
      <c r="K351" s="152"/>
      <c r="L351" s="149"/>
      <c r="M351" s="149"/>
      <c r="N351" s="153">
        <f t="shared" si="16"/>
        <v>0</v>
      </c>
      <c r="O351" s="153">
        <f t="shared" si="17"/>
        <v>0</v>
      </c>
      <c r="P351" s="146"/>
    </row>
    <row r="352" spans="2:16" x14ac:dyDescent="0.3">
      <c r="B352" s="146">
        <v>345</v>
      </c>
      <c r="C352" s="147"/>
      <c r="D352" s="147"/>
      <c r="E352" s="146"/>
      <c r="F352" s="148" t="str">
        <f>+IFERROR(VLOOKUP(E352,Data!C348:D443,2,0),"")</f>
        <v/>
      </c>
      <c r="G352" s="146"/>
      <c r="H352" s="149"/>
      <c r="I352" s="150"/>
      <c r="J352" s="151" t="str">
        <f t="shared" si="15"/>
        <v>-</v>
      </c>
      <c r="K352" s="152"/>
      <c r="L352" s="149"/>
      <c r="M352" s="149"/>
      <c r="N352" s="153">
        <f t="shared" si="16"/>
        <v>0</v>
      </c>
      <c r="O352" s="153">
        <f t="shared" si="17"/>
        <v>0</v>
      </c>
      <c r="P352" s="146"/>
    </row>
    <row r="353" spans="2:16" x14ac:dyDescent="0.3">
      <c r="B353" s="146">
        <v>346</v>
      </c>
      <c r="C353" s="147"/>
      <c r="D353" s="147"/>
      <c r="E353" s="146"/>
      <c r="F353" s="148" t="str">
        <f>+IFERROR(VLOOKUP(E353,Data!C349:D444,2,0),"")</f>
        <v/>
      </c>
      <c r="G353" s="146"/>
      <c r="H353" s="149"/>
      <c r="I353" s="150"/>
      <c r="J353" s="151" t="str">
        <f t="shared" si="15"/>
        <v>-</v>
      </c>
      <c r="K353" s="152"/>
      <c r="L353" s="149"/>
      <c r="M353" s="149"/>
      <c r="N353" s="153">
        <f t="shared" si="16"/>
        <v>0</v>
      </c>
      <c r="O353" s="153">
        <f t="shared" si="17"/>
        <v>0</v>
      </c>
      <c r="P353" s="146"/>
    </row>
    <row r="354" spans="2:16" x14ac:dyDescent="0.3">
      <c r="B354" s="146">
        <v>347</v>
      </c>
      <c r="C354" s="147"/>
      <c r="D354" s="147"/>
      <c r="E354" s="146"/>
      <c r="F354" s="148" t="str">
        <f>+IFERROR(VLOOKUP(E354,Data!C350:D445,2,0),"")</f>
        <v/>
      </c>
      <c r="G354" s="146"/>
      <c r="H354" s="149"/>
      <c r="I354" s="150"/>
      <c r="J354" s="151" t="str">
        <f t="shared" si="15"/>
        <v>-</v>
      </c>
      <c r="K354" s="152"/>
      <c r="L354" s="149"/>
      <c r="M354" s="149"/>
      <c r="N354" s="153">
        <f t="shared" si="16"/>
        <v>0</v>
      </c>
      <c r="O354" s="153">
        <f t="shared" si="17"/>
        <v>0</v>
      </c>
      <c r="P354" s="146"/>
    </row>
    <row r="355" spans="2:16" x14ac:dyDescent="0.3">
      <c r="B355" s="146">
        <v>348</v>
      </c>
      <c r="C355" s="147"/>
      <c r="D355" s="147"/>
      <c r="E355" s="146"/>
      <c r="F355" s="148" t="str">
        <f>+IFERROR(VLOOKUP(E355,Data!C351:D446,2,0),"")</f>
        <v/>
      </c>
      <c r="G355" s="146"/>
      <c r="H355" s="149"/>
      <c r="I355" s="150"/>
      <c r="J355" s="151" t="str">
        <f t="shared" si="15"/>
        <v>-</v>
      </c>
      <c r="K355" s="152"/>
      <c r="L355" s="149"/>
      <c r="M355" s="149"/>
      <c r="N355" s="153">
        <f t="shared" si="16"/>
        <v>0</v>
      </c>
      <c r="O355" s="153">
        <f t="shared" si="17"/>
        <v>0</v>
      </c>
      <c r="P355" s="146"/>
    </row>
    <row r="356" spans="2:16" x14ac:dyDescent="0.3">
      <c r="B356" s="146">
        <v>349</v>
      </c>
      <c r="C356" s="147"/>
      <c r="D356" s="147"/>
      <c r="E356" s="146"/>
      <c r="F356" s="148" t="str">
        <f>+IFERROR(VLOOKUP(E356,Data!C352:D447,2,0),"")</f>
        <v/>
      </c>
      <c r="G356" s="146"/>
      <c r="H356" s="149"/>
      <c r="I356" s="150"/>
      <c r="J356" s="151" t="str">
        <f t="shared" si="15"/>
        <v>-</v>
      </c>
      <c r="K356" s="152"/>
      <c r="L356" s="149"/>
      <c r="M356" s="149"/>
      <c r="N356" s="153">
        <f t="shared" si="16"/>
        <v>0</v>
      </c>
      <c r="O356" s="153">
        <f t="shared" si="17"/>
        <v>0</v>
      </c>
      <c r="P356" s="146"/>
    </row>
    <row r="357" spans="2:16" x14ac:dyDescent="0.3">
      <c r="B357" s="146">
        <v>350</v>
      </c>
      <c r="C357" s="147"/>
      <c r="D357" s="147"/>
      <c r="E357" s="146"/>
      <c r="F357" s="148" t="str">
        <f>+IFERROR(VLOOKUP(E357,Data!C353:D448,2,0),"")</f>
        <v/>
      </c>
      <c r="G357" s="146"/>
      <c r="H357" s="149"/>
      <c r="I357" s="150"/>
      <c r="J357" s="151" t="str">
        <f t="shared" si="15"/>
        <v>-</v>
      </c>
      <c r="K357" s="152"/>
      <c r="L357" s="149"/>
      <c r="M357" s="149"/>
      <c r="N357" s="153">
        <f t="shared" si="16"/>
        <v>0</v>
      </c>
      <c r="O357" s="153">
        <f t="shared" si="17"/>
        <v>0</v>
      </c>
      <c r="P357" s="146"/>
    </row>
    <row r="358" spans="2:16" x14ac:dyDescent="0.3">
      <c r="B358" s="146">
        <v>351</v>
      </c>
      <c r="C358" s="147"/>
      <c r="D358" s="147"/>
      <c r="E358" s="146"/>
      <c r="F358" s="148" t="str">
        <f>+IFERROR(VLOOKUP(E358,Data!C354:D449,2,0),"")</f>
        <v/>
      </c>
      <c r="G358" s="146"/>
      <c r="H358" s="149"/>
      <c r="I358" s="150"/>
      <c r="J358" s="151" t="str">
        <f t="shared" si="15"/>
        <v>-</v>
      </c>
      <c r="K358" s="152"/>
      <c r="L358" s="149"/>
      <c r="M358" s="149"/>
      <c r="N358" s="153">
        <f t="shared" si="16"/>
        <v>0</v>
      </c>
      <c r="O358" s="153">
        <f t="shared" si="17"/>
        <v>0</v>
      </c>
      <c r="P358" s="146"/>
    </row>
    <row r="359" spans="2:16" x14ac:dyDescent="0.3">
      <c r="B359" s="146">
        <v>352</v>
      </c>
      <c r="C359" s="147"/>
      <c r="D359" s="147"/>
      <c r="E359" s="146"/>
      <c r="F359" s="148" t="str">
        <f>+IFERROR(VLOOKUP(E359,Data!C355:D450,2,0),"")</f>
        <v/>
      </c>
      <c r="G359" s="146"/>
      <c r="H359" s="149"/>
      <c r="I359" s="150"/>
      <c r="J359" s="151" t="str">
        <f t="shared" si="15"/>
        <v>-</v>
      </c>
      <c r="K359" s="152"/>
      <c r="L359" s="149"/>
      <c r="M359" s="149"/>
      <c r="N359" s="153">
        <f t="shared" si="16"/>
        <v>0</v>
      </c>
      <c r="O359" s="153">
        <f t="shared" si="17"/>
        <v>0</v>
      </c>
      <c r="P359" s="146"/>
    </row>
    <row r="360" spans="2:16" x14ac:dyDescent="0.3">
      <c r="B360" s="146">
        <v>353</v>
      </c>
      <c r="C360" s="147"/>
      <c r="D360" s="147"/>
      <c r="E360" s="146"/>
      <c r="F360" s="148" t="str">
        <f>+IFERROR(VLOOKUP(E360,Data!C356:D451,2,0),"")</f>
        <v/>
      </c>
      <c r="G360" s="146"/>
      <c r="H360" s="149"/>
      <c r="I360" s="150"/>
      <c r="J360" s="151" t="str">
        <f t="shared" si="15"/>
        <v>-</v>
      </c>
      <c r="K360" s="152"/>
      <c r="L360" s="149"/>
      <c r="M360" s="149"/>
      <c r="N360" s="153">
        <f t="shared" si="16"/>
        <v>0</v>
      </c>
      <c r="O360" s="153">
        <f t="shared" si="17"/>
        <v>0</v>
      </c>
      <c r="P360" s="146"/>
    </row>
    <row r="361" spans="2:16" x14ac:dyDescent="0.3">
      <c r="B361" s="146">
        <v>354</v>
      </c>
      <c r="C361" s="147"/>
      <c r="D361" s="147"/>
      <c r="E361" s="146"/>
      <c r="F361" s="148" t="str">
        <f>+IFERROR(VLOOKUP(E361,Data!C357:D452,2,0),"")</f>
        <v/>
      </c>
      <c r="G361" s="146"/>
      <c r="H361" s="149"/>
      <c r="I361" s="150"/>
      <c r="J361" s="151" t="str">
        <f t="shared" si="15"/>
        <v>-</v>
      </c>
      <c r="K361" s="152"/>
      <c r="L361" s="149"/>
      <c r="M361" s="149"/>
      <c r="N361" s="153">
        <f t="shared" si="16"/>
        <v>0</v>
      </c>
      <c r="O361" s="153">
        <f t="shared" si="17"/>
        <v>0</v>
      </c>
      <c r="P361" s="146"/>
    </row>
    <row r="362" spans="2:16" x14ac:dyDescent="0.3">
      <c r="B362" s="146">
        <v>355</v>
      </c>
      <c r="C362" s="147"/>
      <c r="D362" s="147"/>
      <c r="E362" s="146"/>
      <c r="F362" s="148" t="str">
        <f>+IFERROR(VLOOKUP(E362,Data!C358:D453,2,0),"")</f>
        <v/>
      </c>
      <c r="G362" s="146"/>
      <c r="H362" s="149"/>
      <c r="I362" s="150"/>
      <c r="J362" s="151" t="str">
        <f t="shared" si="15"/>
        <v>-</v>
      </c>
      <c r="K362" s="152"/>
      <c r="L362" s="149"/>
      <c r="M362" s="149"/>
      <c r="N362" s="153">
        <f t="shared" si="16"/>
        <v>0</v>
      </c>
      <c r="O362" s="153">
        <f t="shared" si="17"/>
        <v>0</v>
      </c>
      <c r="P362" s="146"/>
    </row>
    <row r="363" spans="2:16" x14ac:dyDescent="0.3">
      <c r="B363" s="146">
        <v>356</v>
      </c>
      <c r="C363" s="147"/>
      <c r="D363" s="147"/>
      <c r="E363" s="146"/>
      <c r="F363" s="148" t="str">
        <f>+IFERROR(VLOOKUP(E363,Data!C359:D454,2,0),"")</f>
        <v/>
      </c>
      <c r="G363" s="146"/>
      <c r="H363" s="149"/>
      <c r="I363" s="150"/>
      <c r="J363" s="151" t="str">
        <f t="shared" si="15"/>
        <v>-</v>
      </c>
      <c r="K363" s="152"/>
      <c r="L363" s="149"/>
      <c r="M363" s="149"/>
      <c r="N363" s="153">
        <f t="shared" si="16"/>
        <v>0</v>
      </c>
      <c r="O363" s="153">
        <f t="shared" si="17"/>
        <v>0</v>
      </c>
      <c r="P363" s="146"/>
    </row>
    <row r="364" spans="2:16" x14ac:dyDescent="0.3">
      <c r="B364" s="146">
        <v>357</v>
      </c>
      <c r="C364" s="147"/>
      <c r="D364" s="147"/>
      <c r="E364" s="146"/>
      <c r="F364" s="148" t="str">
        <f>+IFERROR(VLOOKUP(E364,Data!C360:D455,2,0),"")</f>
        <v/>
      </c>
      <c r="G364" s="146"/>
      <c r="H364" s="149"/>
      <c r="I364" s="150"/>
      <c r="J364" s="151" t="str">
        <f t="shared" si="15"/>
        <v>-</v>
      </c>
      <c r="K364" s="152"/>
      <c r="L364" s="149"/>
      <c r="M364" s="149"/>
      <c r="N364" s="153">
        <f t="shared" si="16"/>
        <v>0</v>
      </c>
      <c r="O364" s="153">
        <f t="shared" si="17"/>
        <v>0</v>
      </c>
      <c r="P364" s="146"/>
    </row>
    <row r="365" spans="2:16" x14ac:dyDescent="0.3">
      <c r="B365" s="146">
        <v>358</v>
      </c>
      <c r="C365" s="147"/>
      <c r="D365" s="147"/>
      <c r="E365" s="146"/>
      <c r="F365" s="148" t="str">
        <f>+IFERROR(VLOOKUP(E365,Data!C361:D456,2,0),"")</f>
        <v/>
      </c>
      <c r="G365" s="146"/>
      <c r="H365" s="149"/>
      <c r="I365" s="150"/>
      <c r="J365" s="151" t="str">
        <f t="shared" si="15"/>
        <v>-</v>
      </c>
      <c r="K365" s="152"/>
      <c r="L365" s="149"/>
      <c r="M365" s="149"/>
      <c r="N365" s="153">
        <f t="shared" si="16"/>
        <v>0</v>
      </c>
      <c r="O365" s="153">
        <f t="shared" si="17"/>
        <v>0</v>
      </c>
      <c r="P365" s="146"/>
    </row>
    <row r="366" spans="2:16" x14ac:dyDescent="0.3">
      <c r="B366" s="146">
        <v>359</v>
      </c>
      <c r="C366" s="147"/>
      <c r="D366" s="147"/>
      <c r="E366" s="146"/>
      <c r="F366" s="148" t="str">
        <f>+IFERROR(VLOOKUP(E366,Data!C362:D457,2,0),"")</f>
        <v/>
      </c>
      <c r="G366" s="146"/>
      <c r="H366" s="149"/>
      <c r="I366" s="150"/>
      <c r="J366" s="151" t="str">
        <f t="shared" si="15"/>
        <v>-</v>
      </c>
      <c r="K366" s="152"/>
      <c r="L366" s="149"/>
      <c r="M366" s="149"/>
      <c r="N366" s="153">
        <f t="shared" si="16"/>
        <v>0</v>
      </c>
      <c r="O366" s="153">
        <f t="shared" si="17"/>
        <v>0</v>
      </c>
      <c r="P366" s="146"/>
    </row>
    <row r="367" spans="2:16" x14ac:dyDescent="0.3">
      <c r="B367" s="146">
        <v>360</v>
      </c>
      <c r="C367" s="147"/>
      <c r="D367" s="147"/>
      <c r="E367" s="146"/>
      <c r="F367" s="148" t="str">
        <f>+IFERROR(VLOOKUP(E367,Data!C363:D458,2,0),"")</f>
        <v/>
      </c>
      <c r="G367" s="146"/>
      <c r="H367" s="149"/>
      <c r="I367" s="150"/>
      <c r="J367" s="151" t="str">
        <f t="shared" si="15"/>
        <v>-</v>
      </c>
      <c r="K367" s="152"/>
      <c r="L367" s="149"/>
      <c r="M367" s="149"/>
      <c r="N367" s="153">
        <f t="shared" si="16"/>
        <v>0</v>
      </c>
      <c r="O367" s="153">
        <f t="shared" si="17"/>
        <v>0</v>
      </c>
      <c r="P367" s="146"/>
    </row>
    <row r="368" spans="2:16" x14ac:dyDescent="0.3">
      <c r="B368" s="146">
        <v>361</v>
      </c>
      <c r="C368" s="147"/>
      <c r="D368" s="147"/>
      <c r="E368" s="146"/>
      <c r="F368" s="148" t="str">
        <f>+IFERROR(VLOOKUP(E368,Data!C364:D459,2,0),"")</f>
        <v/>
      </c>
      <c r="G368" s="146"/>
      <c r="H368" s="149"/>
      <c r="I368" s="150"/>
      <c r="J368" s="151" t="str">
        <f t="shared" si="15"/>
        <v>-</v>
      </c>
      <c r="K368" s="152"/>
      <c r="L368" s="149"/>
      <c r="M368" s="149"/>
      <c r="N368" s="153">
        <f t="shared" si="16"/>
        <v>0</v>
      </c>
      <c r="O368" s="153">
        <f t="shared" si="17"/>
        <v>0</v>
      </c>
      <c r="P368" s="146"/>
    </row>
    <row r="369" spans="2:16" x14ac:dyDescent="0.3">
      <c r="B369" s="146">
        <v>362</v>
      </c>
      <c r="C369" s="147"/>
      <c r="D369" s="147"/>
      <c r="E369" s="146"/>
      <c r="F369" s="148" t="str">
        <f>+IFERROR(VLOOKUP(E369,Data!C365:D460,2,0),"")</f>
        <v/>
      </c>
      <c r="G369" s="146"/>
      <c r="H369" s="149"/>
      <c r="I369" s="150"/>
      <c r="J369" s="151" t="str">
        <f t="shared" si="15"/>
        <v>-</v>
      </c>
      <c r="K369" s="152"/>
      <c r="L369" s="149"/>
      <c r="M369" s="149"/>
      <c r="N369" s="153">
        <f t="shared" si="16"/>
        <v>0</v>
      </c>
      <c r="O369" s="153">
        <f t="shared" si="17"/>
        <v>0</v>
      </c>
      <c r="P369" s="146"/>
    </row>
    <row r="370" spans="2:16" x14ac:dyDescent="0.3">
      <c r="B370" s="146">
        <v>363</v>
      </c>
      <c r="C370" s="147"/>
      <c r="D370" s="147"/>
      <c r="E370" s="146"/>
      <c r="F370" s="148" t="str">
        <f>+IFERROR(VLOOKUP(E370,Data!C366:D461,2,0),"")</f>
        <v/>
      </c>
      <c r="G370" s="146"/>
      <c r="H370" s="149"/>
      <c r="I370" s="150"/>
      <c r="J370" s="151" t="str">
        <f t="shared" si="15"/>
        <v>-</v>
      </c>
      <c r="K370" s="152"/>
      <c r="L370" s="149"/>
      <c r="M370" s="149"/>
      <c r="N370" s="153">
        <f t="shared" si="16"/>
        <v>0</v>
      </c>
      <c r="O370" s="153">
        <f t="shared" si="17"/>
        <v>0</v>
      </c>
      <c r="P370" s="146"/>
    </row>
    <row r="371" spans="2:16" x14ac:dyDescent="0.3">
      <c r="B371" s="146">
        <v>364</v>
      </c>
      <c r="C371" s="147"/>
      <c r="D371" s="147"/>
      <c r="E371" s="146"/>
      <c r="F371" s="148" t="str">
        <f>+IFERROR(VLOOKUP(E371,Data!C367:D462,2,0),"")</f>
        <v/>
      </c>
      <c r="G371" s="146"/>
      <c r="H371" s="149"/>
      <c r="I371" s="150"/>
      <c r="J371" s="151" t="str">
        <f t="shared" si="15"/>
        <v>-</v>
      </c>
      <c r="K371" s="152"/>
      <c r="L371" s="149"/>
      <c r="M371" s="149"/>
      <c r="N371" s="153">
        <f t="shared" si="16"/>
        <v>0</v>
      </c>
      <c r="O371" s="153">
        <f t="shared" si="17"/>
        <v>0</v>
      </c>
      <c r="P371" s="146"/>
    </row>
    <row r="372" spans="2:16" x14ac:dyDescent="0.3">
      <c r="B372" s="146">
        <v>365</v>
      </c>
      <c r="C372" s="147"/>
      <c r="D372" s="147"/>
      <c r="E372" s="146"/>
      <c r="F372" s="148" t="str">
        <f>+IFERROR(VLOOKUP(E372,Data!C368:D463,2,0),"")</f>
        <v/>
      </c>
      <c r="G372" s="146"/>
      <c r="H372" s="149"/>
      <c r="I372" s="150"/>
      <c r="J372" s="151" t="str">
        <f t="shared" si="15"/>
        <v>-</v>
      </c>
      <c r="K372" s="152"/>
      <c r="L372" s="149"/>
      <c r="M372" s="149"/>
      <c r="N372" s="153">
        <f t="shared" si="16"/>
        <v>0</v>
      </c>
      <c r="O372" s="153">
        <f t="shared" si="17"/>
        <v>0</v>
      </c>
      <c r="P372" s="146"/>
    </row>
    <row r="373" spans="2:16" x14ac:dyDescent="0.3">
      <c r="B373" s="146">
        <v>366</v>
      </c>
      <c r="C373" s="147"/>
      <c r="D373" s="147"/>
      <c r="E373" s="146"/>
      <c r="F373" s="148" t="str">
        <f>+IFERROR(VLOOKUP(E373,Data!C369:D464,2,0),"")</f>
        <v/>
      </c>
      <c r="G373" s="146"/>
      <c r="H373" s="149"/>
      <c r="I373" s="150"/>
      <c r="J373" s="151" t="str">
        <f t="shared" si="15"/>
        <v>-</v>
      </c>
      <c r="K373" s="152"/>
      <c r="L373" s="149"/>
      <c r="M373" s="149"/>
      <c r="N373" s="153">
        <f t="shared" si="16"/>
        <v>0</v>
      </c>
      <c r="O373" s="153">
        <f t="shared" si="17"/>
        <v>0</v>
      </c>
      <c r="P373" s="146"/>
    </row>
    <row r="374" spans="2:16" x14ac:dyDescent="0.3">
      <c r="B374" s="146">
        <v>367</v>
      </c>
      <c r="C374" s="147"/>
      <c r="D374" s="147"/>
      <c r="E374" s="146"/>
      <c r="F374" s="148" t="str">
        <f>+IFERROR(VLOOKUP(E374,Data!C370:D465,2,0),"")</f>
        <v/>
      </c>
      <c r="G374" s="146"/>
      <c r="H374" s="149"/>
      <c r="I374" s="150"/>
      <c r="J374" s="151" t="str">
        <f t="shared" ref="J374:J437" si="18">IFERROR(+I374/H374,"-")</f>
        <v>-</v>
      </c>
      <c r="K374" s="152"/>
      <c r="L374" s="149"/>
      <c r="M374" s="149"/>
      <c r="N374" s="153">
        <f t="shared" ref="N374:N437" si="19">+L374+M374</f>
        <v>0</v>
      </c>
      <c r="O374" s="153">
        <f t="shared" ref="O374:O437" si="20">+N374-K374</f>
        <v>0</v>
      </c>
      <c r="P374" s="146"/>
    </row>
    <row r="375" spans="2:16" x14ac:dyDescent="0.3">
      <c r="B375" s="146">
        <v>368</v>
      </c>
      <c r="C375" s="147"/>
      <c r="D375" s="147"/>
      <c r="E375" s="146"/>
      <c r="F375" s="148" t="str">
        <f>+IFERROR(VLOOKUP(E375,Data!C371:D466,2,0),"")</f>
        <v/>
      </c>
      <c r="G375" s="146"/>
      <c r="H375" s="149"/>
      <c r="I375" s="150"/>
      <c r="J375" s="151" t="str">
        <f t="shared" si="18"/>
        <v>-</v>
      </c>
      <c r="K375" s="152"/>
      <c r="L375" s="149"/>
      <c r="M375" s="149"/>
      <c r="N375" s="153">
        <f t="shared" si="19"/>
        <v>0</v>
      </c>
      <c r="O375" s="153">
        <f t="shared" si="20"/>
        <v>0</v>
      </c>
      <c r="P375" s="146"/>
    </row>
    <row r="376" spans="2:16" x14ac:dyDescent="0.3">
      <c r="B376" s="146">
        <v>369</v>
      </c>
      <c r="C376" s="147"/>
      <c r="D376" s="147"/>
      <c r="E376" s="146"/>
      <c r="F376" s="148" t="str">
        <f>+IFERROR(VLOOKUP(E376,Data!C372:D467,2,0),"")</f>
        <v/>
      </c>
      <c r="G376" s="146"/>
      <c r="H376" s="149"/>
      <c r="I376" s="150"/>
      <c r="J376" s="151" t="str">
        <f t="shared" si="18"/>
        <v>-</v>
      </c>
      <c r="K376" s="152"/>
      <c r="L376" s="149"/>
      <c r="M376" s="149"/>
      <c r="N376" s="153">
        <f t="shared" si="19"/>
        <v>0</v>
      </c>
      <c r="O376" s="153">
        <f t="shared" si="20"/>
        <v>0</v>
      </c>
      <c r="P376" s="146"/>
    </row>
    <row r="377" spans="2:16" x14ac:dyDescent="0.3">
      <c r="B377" s="146">
        <v>370</v>
      </c>
      <c r="C377" s="147"/>
      <c r="D377" s="147"/>
      <c r="E377" s="146"/>
      <c r="F377" s="148" t="str">
        <f>+IFERROR(VLOOKUP(E377,Data!C373:D468,2,0),"")</f>
        <v/>
      </c>
      <c r="G377" s="146"/>
      <c r="H377" s="149"/>
      <c r="I377" s="150"/>
      <c r="J377" s="151" t="str">
        <f t="shared" si="18"/>
        <v>-</v>
      </c>
      <c r="K377" s="152"/>
      <c r="L377" s="149"/>
      <c r="M377" s="149"/>
      <c r="N377" s="153">
        <f t="shared" si="19"/>
        <v>0</v>
      </c>
      <c r="O377" s="153">
        <f t="shared" si="20"/>
        <v>0</v>
      </c>
      <c r="P377" s="146"/>
    </row>
    <row r="378" spans="2:16" x14ac:dyDescent="0.3">
      <c r="B378" s="146">
        <v>371</v>
      </c>
      <c r="C378" s="147"/>
      <c r="D378" s="147"/>
      <c r="E378" s="146"/>
      <c r="F378" s="148" t="str">
        <f>+IFERROR(VLOOKUP(E378,Data!C374:D469,2,0),"")</f>
        <v/>
      </c>
      <c r="G378" s="146"/>
      <c r="H378" s="149"/>
      <c r="I378" s="150"/>
      <c r="J378" s="151" t="str">
        <f t="shared" si="18"/>
        <v>-</v>
      </c>
      <c r="K378" s="152"/>
      <c r="L378" s="149"/>
      <c r="M378" s="149"/>
      <c r="N378" s="153">
        <f t="shared" si="19"/>
        <v>0</v>
      </c>
      <c r="O378" s="153">
        <f t="shared" si="20"/>
        <v>0</v>
      </c>
      <c r="P378" s="146"/>
    </row>
    <row r="379" spans="2:16" x14ac:dyDescent="0.3">
      <c r="B379" s="146">
        <v>372</v>
      </c>
      <c r="C379" s="147"/>
      <c r="D379" s="147"/>
      <c r="E379" s="146"/>
      <c r="F379" s="148" t="str">
        <f>+IFERROR(VLOOKUP(E379,Data!C375:D470,2,0),"")</f>
        <v/>
      </c>
      <c r="G379" s="146"/>
      <c r="H379" s="149"/>
      <c r="I379" s="150"/>
      <c r="J379" s="151" t="str">
        <f t="shared" si="18"/>
        <v>-</v>
      </c>
      <c r="K379" s="152"/>
      <c r="L379" s="149"/>
      <c r="M379" s="149"/>
      <c r="N379" s="153">
        <f t="shared" si="19"/>
        <v>0</v>
      </c>
      <c r="O379" s="153">
        <f t="shared" si="20"/>
        <v>0</v>
      </c>
      <c r="P379" s="146"/>
    </row>
    <row r="380" spans="2:16" x14ac:dyDescent="0.3">
      <c r="B380" s="146">
        <v>373</v>
      </c>
      <c r="C380" s="147"/>
      <c r="D380" s="147"/>
      <c r="E380" s="146"/>
      <c r="F380" s="148" t="str">
        <f>+IFERROR(VLOOKUP(E380,Data!C376:D471,2,0),"")</f>
        <v/>
      </c>
      <c r="G380" s="146"/>
      <c r="H380" s="149"/>
      <c r="I380" s="150"/>
      <c r="J380" s="151" t="str">
        <f t="shared" si="18"/>
        <v>-</v>
      </c>
      <c r="K380" s="152"/>
      <c r="L380" s="149"/>
      <c r="M380" s="149"/>
      <c r="N380" s="153">
        <f t="shared" si="19"/>
        <v>0</v>
      </c>
      <c r="O380" s="153">
        <f t="shared" si="20"/>
        <v>0</v>
      </c>
      <c r="P380" s="146"/>
    </row>
    <row r="381" spans="2:16" x14ac:dyDescent="0.3">
      <c r="B381" s="146">
        <v>374</v>
      </c>
      <c r="C381" s="147"/>
      <c r="D381" s="147"/>
      <c r="E381" s="146"/>
      <c r="F381" s="148" t="str">
        <f>+IFERROR(VLOOKUP(E381,Data!C377:D472,2,0),"")</f>
        <v/>
      </c>
      <c r="G381" s="146"/>
      <c r="H381" s="149"/>
      <c r="I381" s="150"/>
      <c r="J381" s="151" t="str">
        <f t="shared" si="18"/>
        <v>-</v>
      </c>
      <c r="K381" s="152"/>
      <c r="L381" s="149"/>
      <c r="M381" s="149"/>
      <c r="N381" s="153">
        <f t="shared" si="19"/>
        <v>0</v>
      </c>
      <c r="O381" s="153">
        <f t="shared" si="20"/>
        <v>0</v>
      </c>
      <c r="P381" s="146"/>
    </row>
    <row r="382" spans="2:16" x14ac:dyDescent="0.3">
      <c r="B382" s="146">
        <v>375</v>
      </c>
      <c r="C382" s="147"/>
      <c r="D382" s="147"/>
      <c r="E382" s="146"/>
      <c r="F382" s="148" t="str">
        <f>+IFERROR(VLOOKUP(E382,Data!C378:D473,2,0),"")</f>
        <v/>
      </c>
      <c r="G382" s="146"/>
      <c r="H382" s="149"/>
      <c r="I382" s="150"/>
      <c r="J382" s="151" t="str">
        <f t="shared" si="18"/>
        <v>-</v>
      </c>
      <c r="K382" s="152"/>
      <c r="L382" s="149"/>
      <c r="M382" s="149"/>
      <c r="N382" s="153">
        <f t="shared" si="19"/>
        <v>0</v>
      </c>
      <c r="O382" s="153">
        <f t="shared" si="20"/>
        <v>0</v>
      </c>
      <c r="P382" s="146"/>
    </row>
    <row r="383" spans="2:16" x14ac:dyDescent="0.3">
      <c r="B383" s="146">
        <v>376</v>
      </c>
      <c r="C383" s="147"/>
      <c r="D383" s="147"/>
      <c r="E383" s="146"/>
      <c r="F383" s="148" t="str">
        <f>+IFERROR(VLOOKUP(E383,Data!C379:D474,2,0),"")</f>
        <v/>
      </c>
      <c r="G383" s="146"/>
      <c r="H383" s="149"/>
      <c r="I383" s="150"/>
      <c r="J383" s="151" t="str">
        <f t="shared" si="18"/>
        <v>-</v>
      </c>
      <c r="K383" s="152"/>
      <c r="L383" s="149"/>
      <c r="M383" s="149"/>
      <c r="N383" s="153">
        <f t="shared" si="19"/>
        <v>0</v>
      </c>
      <c r="O383" s="153">
        <f t="shared" si="20"/>
        <v>0</v>
      </c>
      <c r="P383" s="146"/>
    </row>
    <row r="384" spans="2:16" x14ac:dyDescent="0.3">
      <c r="B384" s="146">
        <v>377</v>
      </c>
      <c r="C384" s="147"/>
      <c r="D384" s="147"/>
      <c r="E384" s="146"/>
      <c r="F384" s="148" t="str">
        <f>+IFERROR(VLOOKUP(E384,Data!C380:D475,2,0),"")</f>
        <v/>
      </c>
      <c r="G384" s="146"/>
      <c r="H384" s="149"/>
      <c r="I384" s="150"/>
      <c r="J384" s="151" t="str">
        <f t="shared" si="18"/>
        <v>-</v>
      </c>
      <c r="K384" s="152"/>
      <c r="L384" s="149"/>
      <c r="M384" s="149"/>
      <c r="N384" s="153">
        <f t="shared" si="19"/>
        <v>0</v>
      </c>
      <c r="O384" s="153">
        <f t="shared" si="20"/>
        <v>0</v>
      </c>
      <c r="P384" s="146"/>
    </row>
    <row r="385" spans="2:16" x14ac:dyDescent="0.3">
      <c r="B385" s="146">
        <v>378</v>
      </c>
      <c r="C385" s="147"/>
      <c r="D385" s="147"/>
      <c r="E385" s="146"/>
      <c r="F385" s="148" t="str">
        <f>+IFERROR(VLOOKUP(E385,Data!C381:D476,2,0),"")</f>
        <v/>
      </c>
      <c r="G385" s="146"/>
      <c r="H385" s="149"/>
      <c r="I385" s="150"/>
      <c r="J385" s="151" t="str">
        <f t="shared" si="18"/>
        <v>-</v>
      </c>
      <c r="K385" s="152"/>
      <c r="L385" s="149"/>
      <c r="M385" s="149"/>
      <c r="N385" s="153">
        <f t="shared" si="19"/>
        <v>0</v>
      </c>
      <c r="O385" s="153">
        <f t="shared" si="20"/>
        <v>0</v>
      </c>
      <c r="P385" s="146"/>
    </row>
    <row r="386" spans="2:16" x14ac:dyDescent="0.3">
      <c r="B386" s="146">
        <v>379</v>
      </c>
      <c r="C386" s="147"/>
      <c r="D386" s="147"/>
      <c r="E386" s="146"/>
      <c r="F386" s="148" t="str">
        <f>+IFERROR(VLOOKUP(E386,Data!C382:D477,2,0),"")</f>
        <v/>
      </c>
      <c r="G386" s="146"/>
      <c r="H386" s="149"/>
      <c r="I386" s="150"/>
      <c r="J386" s="151" t="str">
        <f t="shared" si="18"/>
        <v>-</v>
      </c>
      <c r="K386" s="152"/>
      <c r="L386" s="149"/>
      <c r="M386" s="149"/>
      <c r="N386" s="153">
        <f t="shared" si="19"/>
        <v>0</v>
      </c>
      <c r="O386" s="153">
        <f t="shared" si="20"/>
        <v>0</v>
      </c>
      <c r="P386" s="146"/>
    </row>
    <row r="387" spans="2:16" x14ac:dyDescent="0.3">
      <c r="B387" s="146">
        <v>380</v>
      </c>
      <c r="C387" s="147"/>
      <c r="D387" s="147"/>
      <c r="E387" s="146"/>
      <c r="F387" s="148" t="str">
        <f>+IFERROR(VLOOKUP(E387,Data!C383:D478,2,0),"")</f>
        <v/>
      </c>
      <c r="G387" s="146"/>
      <c r="H387" s="149"/>
      <c r="I387" s="150"/>
      <c r="J387" s="151" t="str">
        <f t="shared" si="18"/>
        <v>-</v>
      </c>
      <c r="K387" s="152"/>
      <c r="L387" s="149"/>
      <c r="M387" s="149"/>
      <c r="N387" s="153">
        <f t="shared" si="19"/>
        <v>0</v>
      </c>
      <c r="O387" s="153">
        <f t="shared" si="20"/>
        <v>0</v>
      </c>
      <c r="P387" s="146"/>
    </row>
    <row r="388" spans="2:16" x14ac:dyDescent="0.3">
      <c r="B388" s="146">
        <v>381</v>
      </c>
      <c r="C388" s="147"/>
      <c r="D388" s="147"/>
      <c r="E388" s="146"/>
      <c r="F388" s="148" t="str">
        <f>+IFERROR(VLOOKUP(E388,Data!C384:D479,2,0),"")</f>
        <v/>
      </c>
      <c r="G388" s="146"/>
      <c r="H388" s="149"/>
      <c r="I388" s="150"/>
      <c r="J388" s="151" t="str">
        <f t="shared" si="18"/>
        <v>-</v>
      </c>
      <c r="K388" s="152"/>
      <c r="L388" s="149"/>
      <c r="M388" s="149"/>
      <c r="N388" s="153">
        <f t="shared" si="19"/>
        <v>0</v>
      </c>
      <c r="O388" s="153">
        <f t="shared" si="20"/>
        <v>0</v>
      </c>
      <c r="P388" s="146"/>
    </row>
    <row r="389" spans="2:16" x14ac:dyDescent="0.3">
      <c r="B389" s="146">
        <v>382</v>
      </c>
      <c r="C389" s="147"/>
      <c r="D389" s="147"/>
      <c r="E389" s="146"/>
      <c r="F389" s="148" t="str">
        <f>+IFERROR(VLOOKUP(E389,Data!C385:D480,2,0),"")</f>
        <v/>
      </c>
      <c r="G389" s="146"/>
      <c r="H389" s="149"/>
      <c r="I389" s="150"/>
      <c r="J389" s="151" t="str">
        <f t="shared" si="18"/>
        <v>-</v>
      </c>
      <c r="K389" s="152"/>
      <c r="L389" s="149"/>
      <c r="M389" s="149"/>
      <c r="N389" s="153">
        <f t="shared" si="19"/>
        <v>0</v>
      </c>
      <c r="O389" s="153">
        <f t="shared" si="20"/>
        <v>0</v>
      </c>
      <c r="P389" s="146"/>
    </row>
    <row r="390" spans="2:16" x14ac:dyDescent="0.3">
      <c r="B390" s="146">
        <v>383</v>
      </c>
      <c r="C390" s="147"/>
      <c r="D390" s="147"/>
      <c r="E390" s="146"/>
      <c r="F390" s="148" t="str">
        <f>+IFERROR(VLOOKUP(E390,Data!C386:D481,2,0),"")</f>
        <v/>
      </c>
      <c r="G390" s="146"/>
      <c r="H390" s="149"/>
      <c r="I390" s="150"/>
      <c r="J390" s="151" t="str">
        <f t="shared" si="18"/>
        <v>-</v>
      </c>
      <c r="K390" s="152"/>
      <c r="L390" s="149"/>
      <c r="M390" s="149"/>
      <c r="N390" s="153">
        <f t="shared" si="19"/>
        <v>0</v>
      </c>
      <c r="O390" s="153">
        <f t="shared" si="20"/>
        <v>0</v>
      </c>
      <c r="P390" s="146"/>
    </row>
    <row r="391" spans="2:16" x14ac:dyDescent="0.3">
      <c r="B391" s="146">
        <v>384</v>
      </c>
      <c r="C391" s="147"/>
      <c r="D391" s="147"/>
      <c r="E391" s="146"/>
      <c r="F391" s="148" t="str">
        <f>+IFERROR(VLOOKUP(E391,Data!C387:D482,2,0),"")</f>
        <v/>
      </c>
      <c r="G391" s="146"/>
      <c r="H391" s="149"/>
      <c r="I391" s="150"/>
      <c r="J391" s="151" t="str">
        <f t="shared" si="18"/>
        <v>-</v>
      </c>
      <c r="K391" s="152"/>
      <c r="L391" s="149"/>
      <c r="M391" s="149"/>
      <c r="N391" s="153">
        <f t="shared" si="19"/>
        <v>0</v>
      </c>
      <c r="O391" s="153">
        <f t="shared" si="20"/>
        <v>0</v>
      </c>
      <c r="P391" s="146"/>
    </row>
    <row r="392" spans="2:16" x14ac:dyDescent="0.3">
      <c r="B392" s="146">
        <v>385</v>
      </c>
      <c r="C392" s="147"/>
      <c r="D392" s="147"/>
      <c r="E392" s="146"/>
      <c r="F392" s="148" t="str">
        <f>+IFERROR(VLOOKUP(E392,Data!C388:D483,2,0),"")</f>
        <v/>
      </c>
      <c r="G392" s="146"/>
      <c r="H392" s="149"/>
      <c r="I392" s="150"/>
      <c r="J392" s="151" t="str">
        <f t="shared" si="18"/>
        <v>-</v>
      </c>
      <c r="K392" s="152"/>
      <c r="L392" s="149"/>
      <c r="M392" s="149"/>
      <c r="N392" s="153">
        <f t="shared" si="19"/>
        <v>0</v>
      </c>
      <c r="O392" s="153">
        <f t="shared" si="20"/>
        <v>0</v>
      </c>
      <c r="P392" s="146"/>
    </row>
    <row r="393" spans="2:16" x14ac:dyDescent="0.3">
      <c r="B393" s="146">
        <v>386</v>
      </c>
      <c r="C393" s="147"/>
      <c r="D393" s="147"/>
      <c r="E393" s="146"/>
      <c r="F393" s="148" t="str">
        <f>+IFERROR(VLOOKUP(E393,Data!C389:D484,2,0),"")</f>
        <v/>
      </c>
      <c r="G393" s="146"/>
      <c r="H393" s="149"/>
      <c r="I393" s="150"/>
      <c r="J393" s="151" t="str">
        <f t="shared" si="18"/>
        <v>-</v>
      </c>
      <c r="K393" s="152"/>
      <c r="L393" s="149"/>
      <c r="M393" s="149"/>
      <c r="N393" s="153">
        <f t="shared" si="19"/>
        <v>0</v>
      </c>
      <c r="O393" s="153">
        <f t="shared" si="20"/>
        <v>0</v>
      </c>
      <c r="P393" s="146"/>
    </row>
    <row r="394" spans="2:16" x14ac:dyDescent="0.3">
      <c r="B394" s="146">
        <v>387</v>
      </c>
      <c r="C394" s="147"/>
      <c r="D394" s="147"/>
      <c r="E394" s="146"/>
      <c r="F394" s="148" t="str">
        <f>+IFERROR(VLOOKUP(E394,Data!C390:D485,2,0),"")</f>
        <v/>
      </c>
      <c r="G394" s="146"/>
      <c r="H394" s="149"/>
      <c r="I394" s="150"/>
      <c r="J394" s="151" t="str">
        <f t="shared" si="18"/>
        <v>-</v>
      </c>
      <c r="K394" s="152"/>
      <c r="L394" s="149"/>
      <c r="M394" s="149"/>
      <c r="N394" s="153">
        <f t="shared" si="19"/>
        <v>0</v>
      </c>
      <c r="O394" s="153">
        <f t="shared" si="20"/>
        <v>0</v>
      </c>
      <c r="P394" s="146"/>
    </row>
    <row r="395" spans="2:16" x14ac:dyDescent="0.3">
      <c r="B395" s="146">
        <v>388</v>
      </c>
      <c r="C395" s="147"/>
      <c r="D395" s="147"/>
      <c r="E395" s="146"/>
      <c r="F395" s="148" t="str">
        <f>+IFERROR(VLOOKUP(E395,Data!C391:D486,2,0),"")</f>
        <v/>
      </c>
      <c r="G395" s="146"/>
      <c r="H395" s="149"/>
      <c r="I395" s="150"/>
      <c r="J395" s="151" t="str">
        <f t="shared" si="18"/>
        <v>-</v>
      </c>
      <c r="K395" s="152"/>
      <c r="L395" s="149"/>
      <c r="M395" s="149"/>
      <c r="N395" s="153">
        <f t="shared" si="19"/>
        <v>0</v>
      </c>
      <c r="O395" s="153">
        <f t="shared" si="20"/>
        <v>0</v>
      </c>
      <c r="P395" s="146"/>
    </row>
    <row r="396" spans="2:16" x14ac:dyDescent="0.3">
      <c r="B396" s="146">
        <v>389</v>
      </c>
      <c r="C396" s="147"/>
      <c r="D396" s="147"/>
      <c r="E396" s="146"/>
      <c r="F396" s="148" t="str">
        <f>+IFERROR(VLOOKUP(E396,Data!C392:D487,2,0),"")</f>
        <v/>
      </c>
      <c r="G396" s="146"/>
      <c r="H396" s="149"/>
      <c r="I396" s="150"/>
      <c r="J396" s="151" t="str">
        <f t="shared" si="18"/>
        <v>-</v>
      </c>
      <c r="K396" s="152"/>
      <c r="L396" s="149"/>
      <c r="M396" s="149"/>
      <c r="N396" s="153">
        <f t="shared" si="19"/>
        <v>0</v>
      </c>
      <c r="O396" s="153">
        <f t="shared" si="20"/>
        <v>0</v>
      </c>
      <c r="P396" s="146"/>
    </row>
    <row r="397" spans="2:16" x14ac:dyDescent="0.3">
      <c r="B397" s="146">
        <v>390</v>
      </c>
      <c r="C397" s="147"/>
      <c r="D397" s="147"/>
      <c r="E397" s="146"/>
      <c r="F397" s="148" t="str">
        <f>+IFERROR(VLOOKUP(E397,Data!C393:D488,2,0),"")</f>
        <v/>
      </c>
      <c r="G397" s="146"/>
      <c r="H397" s="149"/>
      <c r="I397" s="150"/>
      <c r="J397" s="151" t="str">
        <f t="shared" si="18"/>
        <v>-</v>
      </c>
      <c r="K397" s="152"/>
      <c r="L397" s="149"/>
      <c r="M397" s="149"/>
      <c r="N397" s="153">
        <f t="shared" si="19"/>
        <v>0</v>
      </c>
      <c r="O397" s="153">
        <f t="shared" si="20"/>
        <v>0</v>
      </c>
      <c r="P397" s="146"/>
    </row>
    <row r="398" spans="2:16" x14ac:dyDescent="0.3">
      <c r="B398" s="146">
        <v>391</v>
      </c>
      <c r="C398" s="147"/>
      <c r="D398" s="147"/>
      <c r="E398" s="146"/>
      <c r="F398" s="148" t="str">
        <f>+IFERROR(VLOOKUP(E398,Data!C394:D489,2,0),"")</f>
        <v/>
      </c>
      <c r="G398" s="146"/>
      <c r="H398" s="149"/>
      <c r="I398" s="150"/>
      <c r="J398" s="151" t="str">
        <f t="shared" si="18"/>
        <v>-</v>
      </c>
      <c r="K398" s="152"/>
      <c r="L398" s="149"/>
      <c r="M398" s="149"/>
      <c r="N398" s="153">
        <f t="shared" si="19"/>
        <v>0</v>
      </c>
      <c r="O398" s="153">
        <f t="shared" si="20"/>
        <v>0</v>
      </c>
      <c r="P398" s="146"/>
    </row>
    <row r="399" spans="2:16" x14ac:dyDescent="0.3">
      <c r="B399" s="146">
        <v>392</v>
      </c>
      <c r="C399" s="147"/>
      <c r="D399" s="147"/>
      <c r="E399" s="146"/>
      <c r="F399" s="148" t="str">
        <f>+IFERROR(VLOOKUP(E399,Data!C395:D490,2,0),"")</f>
        <v/>
      </c>
      <c r="G399" s="146"/>
      <c r="H399" s="149"/>
      <c r="I399" s="150"/>
      <c r="J399" s="151" t="str">
        <f t="shared" si="18"/>
        <v>-</v>
      </c>
      <c r="K399" s="152"/>
      <c r="L399" s="149"/>
      <c r="M399" s="149"/>
      <c r="N399" s="153">
        <f t="shared" si="19"/>
        <v>0</v>
      </c>
      <c r="O399" s="153">
        <f t="shared" si="20"/>
        <v>0</v>
      </c>
      <c r="P399" s="146"/>
    </row>
    <row r="400" spans="2:16" x14ac:dyDescent="0.3">
      <c r="B400" s="146">
        <v>393</v>
      </c>
      <c r="C400" s="147"/>
      <c r="D400" s="147"/>
      <c r="E400" s="146"/>
      <c r="F400" s="148" t="str">
        <f>+IFERROR(VLOOKUP(E400,Data!C396:D491,2,0),"")</f>
        <v/>
      </c>
      <c r="G400" s="146"/>
      <c r="H400" s="149"/>
      <c r="I400" s="150"/>
      <c r="J400" s="151" t="str">
        <f t="shared" si="18"/>
        <v>-</v>
      </c>
      <c r="K400" s="152"/>
      <c r="L400" s="149"/>
      <c r="M400" s="149"/>
      <c r="N400" s="153">
        <f t="shared" si="19"/>
        <v>0</v>
      </c>
      <c r="O400" s="153">
        <f t="shared" si="20"/>
        <v>0</v>
      </c>
      <c r="P400" s="146"/>
    </row>
    <row r="401" spans="2:16" x14ac:dyDescent="0.3">
      <c r="B401" s="146">
        <v>394</v>
      </c>
      <c r="C401" s="147"/>
      <c r="D401" s="147"/>
      <c r="E401" s="146"/>
      <c r="F401" s="148" t="str">
        <f>+IFERROR(VLOOKUP(E401,Data!C397:D492,2,0),"")</f>
        <v/>
      </c>
      <c r="G401" s="146"/>
      <c r="H401" s="149"/>
      <c r="I401" s="150"/>
      <c r="J401" s="151" t="str">
        <f t="shared" si="18"/>
        <v>-</v>
      </c>
      <c r="K401" s="152"/>
      <c r="L401" s="149"/>
      <c r="M401" s="149"/>
      <c r="N401" s="153">
        <f t="shared" si="19"/>
        <v>0</v>
      </c>
      <c r="O401" s="153">
        <f t="shared" si="20"/>
        <v>0</v>
      </c>
      <c r="P401" s="146"/>
    </row>
    <row r="402" spans="2:16" x14ac:dyDescent="0.3">
      <c r="B402" s="146">
        <v>395</v>
      </c>
      <c r="C402" s="147"/>
      <c r="D402" s="147"/>
      <c r="E402" s="146"/>
      <c r="F402" s="148" t="str">
        <f>+IFERROR(VLOOKUP(E402,Data!C398:D493,2,0),"")</f>
        <v/>
      </c>
      <c r="G402" s="146"/>
      <c r="H402" s="149"/>
      <c r="I402" s="150"/>
      <c r="J402" s="151" t="str">
        <f t="shared" si="18"/>
        <v>-</v>
      </c>
      <c r="K402" s="152"/>
      <c r="L402" s="149"/>
      <c r="M402" s="149"/>
      <c r="N402" s="153">
        <f t="shared" si="19"/>
        <v>0</v>
      </c>
      <c r="O402" s="153">
        <f t="shared" si="20"/>
        <v>0</v>
      </c>
      <c r="P402" s="146"/>
    </row>
    <row r="403" spans="2:16" x14ac:dyDescent="0.3">
      <c r="B403" s="146">
        <v>396</v>
      </c>
      <c r="C403" s="147"/>
      <c r="D403" s="147"/>
      <c r="E403" s="146"/>
      <c r="F403" s="148" t="str">
        <f>+IFERROR(VLOOKUP(E403,Data!C399:D494,2,0),"")</f>
        <v/>
      </c>
      <c r="G403" s="146"/>
      <c r="H403" s="149"/>
      <c r="I403" s="150"/>
      <c r="J403" s="151" t="str">
        <f t="shared" si="18"/>
        <v>-</v>
      </c>
      <c r="K403" s="152"/>
      <c r="L403" s="149"/>
      <c r="M403" s="149"/>
      <c r="N403" s="153">
        <f t="shared" si="19"/>
        <v>0</v>
      </c>
      <c r="O403" s="153">
        <f t="shared" si="20"/>
        <v>0</v>
      </c>
      <c r="P403" s="146"/>
    </row>
    <row r="404" spans="2:16" x14ac:dyDescent="0.3">
      <c r="B404" s="146">
        <v>397</v>
      </c>
      <c r="C404" s="147"/>
      <c r="D404" s="147"/>
      <c r="E404" s="146"/>
      <c r="F404" s="148" t="str">
        <f>+IFERROR(VLOOKUP(E404,Data!C400:D495,2,0),"")</f>
        <v/>
      </c>
      <c r="G404" s="146"/>
      <c r="H404" s="149"/>
      <c r="I404" s="150"/>
      <c r="J404" s="151" t="str">
        <f t="shared" si="18"/>
        <v>-</v>
      </c>
      <c r="K404" s="152"/>
      <c r="L404" s="149"/>
      <c r="M404" s="149"/>
      <c r="N404" s="153">
        <f t="shared" si="19"/>
        <v>0</v>
      </c>
      <c r="O404" s="153">
        <f t="shared" si="20"/>
        <v>0</v>
      </c>
      <c r="P404" s="146"/>
    </row>
    <row r="405" spans="2:16" x14ac:dyDescent="0.3">
      <c r="B405" s="146">
        <v>398</v>
      </c>
      <c r="C405" s="147"/>
      <c r="D405" s="147"/>
      <c r="E405" s="146"/>
      <c r="F405" s="148" t="str">
        <f>+IFERROR(VLOOKUP(E405,Data!C401:D496,2,0),"")</f>
        <v/>
      </c>
      <c r="G405" s="146"/>
      <c r="H405" s="149"/>
      <c r="I405" s="150"/>
      <c r="J405" s="151" t="str">
        <f t="shared" si="18"/>
        <v>-</v>
      </c>
      <c r="K405" s="152"/>
      <c r="L405" s="149"/>
      <c r="M405" s="149"/>
      <c r="N405" s="153">
        <f t="shared" si="19"/>
        <v>0</v>
      </c>
      <c r="O405" s="153">
        <f t="shared" si="20"/>
        <v>0</v>
      </c>
      <c r="P405" s="146"/>
    </row>
    <row r="406" spans="2:16" x14ac:dyDescent="0.3">
      <c r="B406" s="146">
        <v>399</v>
      </c>
      <c r="C406" s="147"/>
      <c r="D406" s="147"/>
      <c r="E406" s="146"/>
      <c r="F406" s="148" t="str">
        <f>+IFERROR(VLOOKUP(E406,Data!C402:D497,2,0),"")</f>
        <v/>
      </c>
      <c r="G406" s="146"/>
      <c r="H406" s="149"/>
      <c r="I406" s="150"/>
      <c r="J406" s="151" t="str">
        <f t="shared" si="18"/>
        <v>-</v>
      </c>
      <c r="K406" s="152"/>
      <c r="L406" s="149"/>
      <c r="M406" s="149"/>
      <c r="N406" s="153">
        <f t="shared" si="19"/>
        <v>0</v>
      </c>
      <c r="O406" s="153">
        <f t="shared" si="20"/>
        <v>0</v>
      </c>
      <c r="P406" s="146"/>
    </row>
    <row r="407" spans="2:16" x14ac:dyDescent="0.3">
      <c r="B407" s="146">
        <v>400</v>
      </c>
      <c r="C407" s="147"/>
      <c r="D407" s="147"/>
      <c r="E407" s="146"/>
      <c r="F407" s="148" t="str">
        <f>+IFERROR(VLOOKUP(E407,Data!C403:D498,2,0),"")</f>
        <v/>
      </c>
      <c r="G407" s="146"/>
      <c r="H407" s="149"/>
      <c r="I407" s="150"/>
      <c r="J407" s="151" t="str">
        <f t="shared" si="18"/>
        <v>-</v>
      </c>
      <c r="K407" s="152"/>
      <c r="L407" s="149"/>
      <c r="M407" s="149"/>
      <c r="N407" s="153">
        <f t="shared" si="19"/>
        <v>0</v>
      </c>
      <c r="O407" s="153">
        <f t="shared" si="20"/>
        <v>0</v>
      </c>
      <c r="P407" s="146"/>
    </row>
    <row r="408" spans="2:16" x14ac:dyDescent="0.3">
      <c r="B408" s="146">
        <v>401</v>
      </c>
      <c r="C408" s="147"/>
      <c r="D408" s="147"/>
      <c r="E408" s="146"/>
      <c r="F408" s="148" t="str">
        <f>+IFERROR(VLOOKUP(E408,Data!C404:D499,2,0),"")</f>
        <v/>
      </c>
      <c r="G408" s="146"/>
      <c r="H408" s="149"/>
      <c r="I408" s="150"/>
      <c r="J408" s="151" t="str">
        <f t="shared" si="18"/>
        <v>-</v>
      </c>
      <c r="K408" s="152"/>
      <c r="L408" s="149"/>
      <c r="M408" s="149"/>
      <c r="N408" s="153">
        <f t="shared" si="19"/>
        <v>0</v>
      </c>
      <c r="O408" s="153">
        <f t="shared" si="20"/>
        <v>0</v>
      </c>
      <c r="P408" s="146"/>
    </row>
    <row r="409" spans="2:16" x14ac:dyDescent="0.3">
      <c r="B409" s="146">
        <v>402</v>
      </c>
      <c r="C409" s="147"/>
      <c r="D409" s="147"/>
      <c r="E409" s="146"/>
      <c r="F409" s="148" t="str">
        <f>+IFERROR(VLOOKUP(E409,Data!C405:D500,2,0),"")</f>
        <v/>
      </c>
      <c r="G409" s="146"/>
      <c r="H409" s="149"/>
      <c r="I409" s="150"/>
      <c r="J409" s="151" t="str">
        <f t="shared" si="18"/>
        <v>-</v>
      </c>
      <c r="K409" s="152"/>
      <c r="L409" s="149"/>
      <c r="M409" s="149"/>
      <c r="N409" s="153">
        <f t="shared" si="19"/>
        <v>0</v>
      </c>
      <c r="O409" s="153">
        <f t="shared" si="20"/>
        <v>0</v>
      </c>
      <c r="P409" s="146"/>
    </row>
    <row r="410" spans="2:16" x14ac:dyDescent="0.3">
      <c r="B410" s="146">
        <v>403</v>
      </c>
      <c r="C410" s="147"/>
      <c r="D410" s="147"/>
      <c r="E410" s="146"/>
      <c r="F410" s="148" t="str">
        <f>+IFERROR(VLOOKUP(E410,Data!C406:D501,2,0),"")</f>
        <v/>
      </c>
      <c r="G410" s="146"/>
      <c r="H410" s="149"/>
      <c r="I410" s="150"/>
      <c r="J410" s="151" t="str">
        <f t="shared" si="18"/>
        <v>-</v>
      </c>
      <c r="K410" s="152"/>
      <c r="L410" s="149"/>
      <c r="M410" s="149"/>
      <c r="N410" s="153">
        <f t="shared" si="19"/>
        <v>0</v>
      </c>
      <c r="O410" s="153">
        <f t="shared" si="20"/>
        <v>0</v>
      </c>
      <c r="P410" s="146"/>
    </row>
    <row r="411" spans="2:16" x14ac:dyDescent="0.3">
      <c r="B411" s="146">
        <v>404</v>
      </c>
      <c r="C411" s="147"/>
      <c r="D411" s="147"/>
      <c r="E411" s="146"/>
      <c r="F411" s="148" t="str">
        <f>+IFERROR(VLOOKUP(E411,Data!C407:D502,2,0),"")</f>
        <v/>
      </c>
      <c r="G411" s="146"/>
      <c r="H411" s="149"/>
      <c r="I411" s="150"/>
      <c r="J411" s="151" t="str">
        <f t="shared" si="18"/>
        <v>-</v>
      </c>
      <c r="K411" s="152"/>
      <c r="L411" s="149"/>
      <c r="M411" s="149"/>
      <c r="N411" s="153">
        <f t="shared" si="19"/>
        <v>0</v>
      </c>
      <c r="O411" s="153">
        <f t="shared" si="20"/>
        <v>0</v>
      </c>
      <c r="P411" s="146"/>
    </row>
    <row r="412" spans="2:16" x14ac:dyDescent="0.3">
      <c r="B412" s="146">
        <v>405</v>
      </c>
      <c r="C412" s="147"/>
      <c r="D412" s="147"/>
      <c r="E412" s="146"/>
      <c r="F412" s="148" t="str">
        <f>+IFERROR(VLOOKUP(E412,Data!C408:D503,2,0),"")</f>
        <v/>
      </c>
      <c r="G412" s="146"/>
      <c r="H412" s="149"/>
      <c r="I412" s="150"/>
      <c r="J412" s="151" t="str">
        <f t="shared" si="18"/>
        <v>-</v>
      </c>
      <c r="K412" s="152"/>
      <c r="L412" s="149"/>
      <c r="M412" s="149"/>
      <c r="N412" s="153">
        <f t="shared" si="19"/>
        <v>0</v>
      </c>
      <c r="O412" s="153">
        <f t="shared" si="20"/>
        <v>0</v>
      </c>
      <c r="P412" s="146"/>
    </row>
    <row r="413" spans="2:16" x14ac:dyDescent="0.3">
      <c r="B413" s="146">
        <v>406</v>
      </c>
      <c r="C413" s="147"/>
      <c r="D413" s="147"/>
      <c r="E413" s="146"/>
      <c r="F413" s="148" t="str">
        <f>+IFERROR(VLOOKUP(E413,Data!C409:D504,2,0),"")</f>
        <v/>
      </c>
      <c r="G413" s="146"/>
      <c r="H413" s="149"/>
      <c r="I413" s="150"/>
      <c r="J413" s="151" t="str">
        <f t="shared" si="18"/>
        <v>-</v>
      </c>
      <c r="K413" s="152"/>
      <c r="L413" s="149"/>
      <c r="M413" s="149"/>
      <c r="N413" s="153">
        <f t="shared" si="19"/>
        <v>0</v>
      </c>
      <c r="O413" s="153">
        <f t="shared" si="20"/>
        <v>0</v>
      </c>
      <c r="P413" s="146"/>
    </row>
    <row r="414" spans="2:16" x14ac:dyDescent="0.3">
      <c r="B414" s="146">
        <v>407</v>
      </c>
      <c r="C414" s="147"/>
      <c r="D414" s="147"/>
      <c r="E414" s="146"/>
      <c r="F414" s="148" t="str">
        <f>+IFERROR(VLOOKUP(E414,Data!C410:D505,2,0),"")</f>
        <v/>
      </c>
      <c r="G414" s="146"/>
      <c r="H414" s="149"/>
      <c r="I414" s="150"/>
      <c r="J414" s="151" t="str">
        <f t="shared" si="18"/>
        <v>-</v>
      </c>
      <c r="K414" s="152"/>
      <c r="L414" s="149"/>
      <c r="M414" s="149"/>
      <c r="N414" s="153">
        <f t="shared" si="19"/>
        <v>0</v>
      </c>
      <c r="O414" s="153">
        <f t="shared" si="20"/>
        <v>0</v>
      </c>
      <c r="P414" s="146"/>
    </row>
    <row r="415" spans="2:16" x14ac:dyDescent="0.3">
      <c r="B415" s="146">
        <v>408</v>
      </c>
      <c r="C415" s="147"/>
      <c r="D415" s="147"/>
      <c r="E415" s="146"/>
      <c r="F415" s="148" t="str">
        <f>+IFERROR(VLOOKUP(E415,Data!C411:D506,2,0),"")</f>
        <v/>
      </c>
      <c r="G415" s="146"/>
      <c r="H415" s="149"/>
      <c r="I415" s="150"/>
      <c r="J415" s="151" t="str">
        <f t="shared" si="18"/>
        <v>-</v>
      </c>
      <c r="K415" s="152"/>
      <c r="L415" s="149"/>
      <c r="M415" s="149"/>
      <c r="N415" s="153">
        <f t="shared" si="19"/>
        <v>0</v>
      </c>
      <c r="O415" s="153">
        <f t="shared" si="20"/>
        <v>0</v>
      </c>
      <c r="P415" s="146"/>
    </row>
    <row r="416" spans="2:16" x14ac:dyDescent="0.3">
      <c r="B416" s="146">
        <v>409</v>
      </c>
      <c r="C416" s="147"/>
      <c r="D416" s="147"/>
      <c r="E416" s="146"/>
      <c r="F416" s="148" t="str">
        <f>+IFERROR(VLOOKUP(E416,Data!C412:D507,2,0),"")</f>
        <v/>
      </c>
      <c r="G416" s="146"/>
      <c r="H416" s="149"/>
      <c r="I416" s="150"/>
      <c r="J416" s="151" t="str">
        <f t="shared" si="18"/>
        <v>-</v>
      </c>
      <c r="K416" s="152"/>
      <c r="L416" s="149"/>
      <c r="M416" s="149"/>
      <c r="N416" s="153">
        <f t="shared" si="19"/>
        <v>0</v>
      </c>
      <c r="O416" s="153">
        <f t="shared" si="20"/>
        <v>0</v>
      </c>
      <c r="P416" s="146"/>
    </row>
    <row r="417" spans="2:16" x14ac:dyDescent="0.3">
      <c r="B417" s="146">
        <v>410</v>
      </c>
      <c r="C417" s="147"/>
      <c r="D417" s="147"/>
      <c r="E417" s="146"/>
      <c r="F417" s="148" t="str">
        <f>+IFERROR(VLOOKUP(E417,Data!C413:D508,2,0),"")</f>
        <v/>
      </c>
      <c r="G417" s="146"/>
      <c r="H417" s="149"/>
      <c r="I417" s="150"/>
      <c r="J417" s="151" t="str">
        <f t="shared" si="18"/>
        <v>-</v>
      </c>
      <c r="K417" s="152"/>
      <c r="L417" s="149"/>
      <c r="M417" s="149"/>
      <c r="N417" s="153">
        <f t="shared" si="19"/>
        <v>0</v>
      </c>
      <c r="O417" s="153">
        <f t="shared" si="20"/>
        <v>0</v>
      </c>
      <c r="P417" s="146"/>
    </row>
    <row r="418" spans="2:16" x14ac:dyDescent="0.3">
      <c r="B418" s="146">
        <v>411</v>
      </c>
      <c r="C418" s="147"/>
      <c r="D418" s="147"/>
      <c r="E418" s="146"/>
      <c r="F418" s="148" t="str">
        <f>+IFERROR(VLOOKUP(E418,Data!C414:D509,2,0),"")</f>
        <v/>
      </c>
      <c r="G418" s="146"/>
      <c r="H418" s="149"/>
      <c r="I418" s="150"/>
      <c r="J418" s="151" t="str">
        <f t="shared" si="18"/>
        <v>-</v>
      </c>
      <c r="K418" s="152"/>
      <c r="L418" s="149"/>
      <c r="M418" s="149"/>
      <c r="N418" s="153">
        <f t="shared" si="19"/>
        <v>0</v>
      </c>
      <c r="O418" s="153">
        <f t="shared" si="20"/>
        <v>0</v>
      </c>
      <c r="P418" s="146"/>
    </row>
    <row r="419" spans="2:16" x14ac:dyDescent="0.3">
      <c r="B419" s="146">
        <v>412</v>
      </c>
      <c r="C419" s="147"/>
      <c r="D419" s="147"/>
      <c r="E419" s="146"/>
      <c r="F419" s="148" t="str">
        <f>+IFERROR(VLOOKUP(E419,Data!C415:D510,2,0),"")</f>
        <v/>
      </c>
      <c r="G419" s="146"/>
      <c r="H419" s="149"/>
      <c r="I419" s="150"/>
      <c r="J419" s="151" t="str">
        <f t="shared" si="18"/>
        <v>-</v>
      </c>
      <c r="K419" s="152"/>
      <c r="L419" s="149"/>
      <c r="M419" s="149"/>
      <c r="N419" s="153">
        <f t="shared" si="19"/>
        <v>0</v>
      </c>
      <c r="O419" s="153">
        <f t="shared" si="20"/>
        <v>0</v>
      </c>
      <c r="P419" s="146"/>
    </row>
    <row r="420" spans="2:16" x14ac:dyDescent="0.3">
      <c r="B420" s="146">
        <v>413</v>
      </c>
      <c r="C420" s="147"/>
      <c r="D420" s="147"/>
      <c r="E420" s="146"/>
      <c r="F420" s="148" t="str">
        <f>+IFERROR(VLOOKUP(E420,Data!C416:D511,2,0),"")</f>
        <v/>
      </c>
      <c r="G420" s="146"/>
      <c r="H420" s="149"/>
      <c r="I420" s="150"/>
      <c r="J420" s="151" t="str">
        <f t="shared" si="18"/>
        <v>-</v>
      </c>
      <c r="K420" s="152"/>
      <c r="L420" s="149"/>
      <c r="M420" s="149"/>
      <c r="N420" s="153">
        <f t="shared" si="19"/>
        <v>0</v>
      </c>
      <c r="O420" s="153">
        <f t="shared" si="20"/>
        <v>0</v>
      </c>
      <c r="P420" s="146"/>
    </row>
    <row r="421" spans="2:16" x14ac:dyDescent="0.3">
      <c r="B421" s="146">
        <v>414</v>
      </c>
      <c r="C421" s="147"/>
      <c r="D421" s="147"/>
      <c r="E421" s="146"/>
      <c r="F421" s="148" t="str">
        <f>+IFERROR(VLOOKUP(E421,Data!C417:D512,2,0),"")</f>
        <v/>
      </c>
      <c r="G421" s="146"/>
      <c r="H421" s="149"/>
      <c r="I421" s="150"/>
      <c r="J421" s="151" t="str">
        <f t="shared" si="18"/>
        <v>-</v>
      </c>
      <c r="K421" s="152"/>
      <c r="L421" s="149"/>
      <c r="M421" s="149"/>
      <c r="N421" s="153">
        <f t="shared" si="19"/>
        <v>0</v>
      </c>
      <c r="O421" s="153">
        <f t="shared" si="20"/>
        <v>0</v>
      </c>
      <c r="P421" s="146"/>
    </row>
    <row r="422" spans="2:16" x14ac:dyDescent="0.3">
      <c r="B422" s="146">
        <v>415</v>
      </c>
      <c r="C422" s="147"/>
      <c r="D422" s="147"/>
      <c r="E422" s="146"/>
      <c r="F422" s="148" t="str">
        <f>+IFERROR(VLOOKUP(E422,Data!C418:D513,2,0),"")</f>
        <v/>
      </c>
      <c r="G422" s="146"/>
      <c r="H422" s="149"/>
      <c r="I422" s="150"/>
      <c r="J422" s="151" t="str">
        <f t="shared" si="18"/>
        <v>-</v>
      </c>
      <c r="K422" s="152"/>
      <c r="L422" s="149"/>
      <c r="M422" s="149"/>
      <c r="N422" s="153">
        <f t="shared" si="19"/>
        <v>0</v>
      </c>
      <c r="O422" s="153">
        <f t="shared" si="20"/>
        <v>0</v>
      </c>
      <c r="P422" s="146"/>
    </row>
    <row r="423" spans="2:16" x14ac:dyDescent="0.3">
      <c r="B423" s="146">
        <v>416</v>
      </c>
      <c r="C423" s="147"/>
      <c r="D423" s="147"/>
      <c r="E423" s="146"/>
      <c r="F423" s="148" t="str">
        <f>+IFERROR(VLOOKUP(E423,Data!C419:D514,2,0),"")</f>
        <v/>
      </c>
      <c r="G423" s="146"/>
      <c r="H423" s="149"/>
      <c r="I423" s="150"/>
      <c r="J423" s="151" t="str">
        <f t="shared" si="18"/>
        <v>-</v>
      </c>
      <c r="K423" s="152"/>
      <c r="L423" s="149"/>
      <c r="M423" s="149"/>
      <c r="N423" s="153">
        <f t="shared" si="19"/>
        <v>0</v>
      </c>
      <c r="O423" s="153">
        <f t="shared" si="20"/>
        <v>0</v>
      </c>
      <c r="P423" s="146"/>
    </row>
    <row r="424" spans="2:16" x14ac:dyDescent="0.3">
      <c r="B424" s="146">
        <v>417</v>
      </c>
      <c r="C424" s="147"/>
      <c r="D424" s="147"/>
      <c r="E424" s="146"/>
      <c r="F424" s="148" t="str">
        <f>+IFERROR(VLOOKUP(E424,Data!C420:D515,2,0),"")</f>
        <v/>
      </c>
      <c r="G424" s="146"/>
      <c r="H424" s="149"/>
      <c r="I424" s="150"/>
      <c r="J424" s="151" t="str">
        <f t="shared" si="18"/>
        <v>-</v>
      </c>
      <c r="K424" s="152"/>
      <c r="L424" s="149"/>
      <c r="M424" s="149"/>
      <c r="N424" s="153">
        <f t="shared" si="19"/>
        <v>0</v>
      </c>
      <c r="O424" s="153">
        <f t="shared" si="20"/>
        <v>0</v>
      </c>
      <c r="P424" s="146"/>
    </row>
    <row r="425" spans="2:16" x14ac:dyDescent="0.3">
      <c r="B425" s="146">
        <v>418</v>
      </c>
      <c r="C425" s="147"/>
      <c r="D425" s="147"/>
      <c r="E425" s="146"/>
      <c r="F425" s="148" t="str">
        <f>+IFERROR(VLOOKUP(E425,Data!C421:D516,2,0),"")</f>
        <v/>
      </c>
      <c r="G425" s="146"/>
      <c r="H425" s="149"/>
      <c r="I425" s="150"/>
      <c r="J425" s="151" t="str">
        <f t="shared" si="18"/>
        <v>-</v>
      </c>
      <c r="K425" s="152"/>
      <c r="L425" s="149"/>
      <c r="M425" s="149"/>
      <c r="N425" s="153">
        <f t="shared" si="19"/>
        <v>0</v>
      </c>
      <c r="O425" s="153">
        <f t="shared" si="20"/>
        <v>0</v>
      </c>
      <c r="P425" s="146"/>
    </row>
    <row r="426" spans="2:16" x14ac:dyDescent="0.3">
      <c r="B426" s="146">
        <v>419</v>
      </c>
      <c r="C426" s="147"/>
      <c r="D426" s="147"/>
      <c r="E426" s="146"/>
      <c r="F426" s="148" t="str">
        <f>+IFERROR(VLOOKUP(E426,Data!C422:D517,2,0),"")</f>
        <v/>
      </c>
      <c r="G426" s="146"/>
      <c r="H426" s="149"/>
      <c r="I426" s="150"/>
      <c r="J426" s="151" t="str">
        <f t="shared" si="18"/>
        <v>-</v>
      </c>
      <c r="K426" s="152"/>
      <c r="L426" s="149"/>
      <c r="M426" s="149"/>
      <c r="N426" s="153">
        <f t="shared" si="19"/>
        <v>0</v>
      </c>
      <c r="O426" s="153">
        <f t="shared" si="20"/>
        <v>0</v>
      </c>
      <c r="P426" s="146"/>
    </row>
    <row r="427" spans="2:16" x14ac:dyDescent="0.3">
      <c r="B427" s="146">
        <v>420</v>
      </c>
      <c r="C427" s="147"/>
      <c r="D427" s="147"/>
      <c r="E427" s="146"/>
      <c r="F427" s="148" t="str">
        <f>+IFERROR(VLOOKUP(E427,Data!C423:D518,2,0),"")</f>
        <v/>
      </c>
      <c r="G427" s="146"/>
      <c r="H427" s="149"/>
      <c r="I427" s="150"/>
      <c r="J427" s="151" t="str">
        <f t="shared" si="18"/>
        <v>-</v>
      </c>
      <c r="K427" s="152"/>
      <c r="L427" s="149"/>
      <c r="M427" s="149"/>
      <c r="N427" s="153">
        <f t="shared" si="19"/>
        <v>0</v>
      </c>
      <c r="O427" s="153">
        <f t="shared" si="20"/>
        <v>0</v>
      </c>
      <c r="P427" s="146"/>
    </row>
    <row r="428" spans="2:16" x14ac:dyDescent="0.3">
      <c r="B428" s="146">
        <v>421</v>
      </c>
      <c r="C428" s="147"/>
      <c r="D428" s="147"/>
      <c r="E428" s="146"/>
      <c r="F428" s="148" t="str">
        <f>+IFERROR(VLOOKUP(E428,Data!C424:D519,2,0),"")</f>
        <v/>
      </c>
      <c r="G428" s="146"/>
      <c r="H428" s="149"/>
      <c r="I428" s="150"/>
      <c r="J428" s="151" t="str">
        <f t="shared" si="18"/>
        <v>-</v>
      </c>
      <c r="K428" s="152"/>
      <c r="L428" s="149"/>
      <c r="M428" s="149"/>
      <c r="N428" s="153">
        <f t="shared" si="19"/>
        <v>0</v>
      </c>
      <c r="O428" s="153">
        <f t="shared" si="20"/>
        <v>0</v>
      </c>
      <c r="P428" s="146"/>
    </row>
    <row r="429" spans="2:16" x14ac:dyDescent="0.3">
      <c r="B429" s="146">
        <v>422</v>
      </c>
      <c r="C429" s="147"/>
      <c r="D429" s="147"/>
      <c r="E429" s="146"/>
      <c r="F429" s="148" t="str">
        <f>+IFERROR(VLOOKUP(E429,Data!C425:D520,2,0),"")</f>
        <v/>
      </c>
      <c r="G429" s="146"/>
      <c r="H429" s="149"/>
      <c r="I429" s="150"/>
      <c r="J429" s="151" t="str">
        <f t="shared" si="18"/>
        <v>-</v>
      </c>
      <c r="K429" s="152"/>
      <c r="L429" s="149"/>
      <c r="M429" s="149"/>
      <c r="N429" s="153">
        <f t="shared" si="19"/>
        <v>0</v>
      </c>
      <c r="O429" s="153">
        <f t="shared" si="20"/>
        <v>0</v>
      </c>
      <c r="P429" s="146"/>
    </row>
    <row r="430" spans="2:16" x14ac:dyDescent="0.3">
      <c r="B430" s="146">
        <v>423</v>
      </c>
      <c r="C430" s="147"/>
      <c r="D430" s="147"/>
      <c r="E430" s="146"/>
      <c r="F430" s="148" t="str">
        <f>+IFERROR(VLOOKUP(E430,Data!C426:D521,2,0),"")</f>
        <v/>
      </c>
      <c r="G430" s="146"/>
      <c r="H430" s="149"/>
      <c r="I430" s="150"/>
      <c r="J430" s="151" t="str">
        <f t="shared" si="18"/>
        <v>-</v>
      </c>
      <c r="K430" s="152"/>
      <c r="L430" s="149"/>
      <c r="M430" s="149"/>
      <c r="N430" s="153">
        <f t="shared" si="19"/>
        <v>0</v>
      </c>
      <c r="O430" s="153">
        <f t="shared" si="20"/>
        <v>0</v>
      </c>
      <c r="P430" s="146"/>
    </row>
    <row r="431" spans="2:16" x14ac:dyDescent="0.3">
      <c r="B431" s="146">
        <v>424</v>
      </c>
      <c r="C431" s="147"/>
      <c r="D431" s="147"/>
      <c r="E431" s="146"/>
      <c r="F431" s="148" t="str">
        <f>+IFERROR(VLOOKUP(E431,Data!C427:D522,2,0),"")</f>
        <v/>
      </c>
      <c r="G431" s="146"/>
      <c r="H431" s="149"/>
      <c r="I431" s="150"/>
      <c r="J431" s="151" t="str">
        <f t="shared" si="18"/>
        <v>-</v>
      </c>
      <c r="K431" s="152"/>
      <c r="L431" s="149"/>
      <c r="M431" s="149"/>
      <c r="N431" s="153">
        <f t="shared" si="19"/>
        <v>0</v>
      </c>
      <c r="O431" s="153">
        <f t="shared" si="20"/>
        <v>0</v>
      </c>
      <c r="P431" s="146"/>
    </row>
    <row r="432" spans="2:16" x14ac:dyDescent="0.3">
      <c r="B432" s="146">
        <v>425</v>
      </c>
      <c r="C432" s="147"/>
      <c r="D432" s="147"/>
      <c r="E432" s="146"/>
      <c r="F432" s="148" t="str">
        <f>+IFERROR(VLOOKUP(E432,Data!C428:D523,2,0),"")</f>
        <v/>
      </c>
      <c r="G432" s="146"/>
      <c r="H432" s="149"/>
      <c r="I432" s="150"/>
      <c r="J432" s="151" t="str">
        <f t="shared" si="18"/>
        <v>-</v>
      </c>
      <c r="K432" s="152"/>
      <c r="L432" s="149"/>
      <c r="M432" s="149"/>
      <c r="N432" s="153">
        <f t="shared" si="19"/>
        <v>0</v>
      </c>
      <c r="O432" s="153">
        <f t="shared" si="20"/>
        <v>0</v>
      </c>
      <c r="P432" s="146"/>
    </row>
    <row r="433" spans="2:16" x14ac:dyDescent="0.3">
      <c r="B433" s="146">
        <v>426</v>
      </c>
      <c r="C433" s="147"/>
      <c r="D433" s="147"/>
      <c r="E433" s="146"/>
      <c r="F433" s="148" t="str">
        <f>+IFERROR(VLOOKUP(E433,Data!C429:D524,2,0),"")</f>
        <v/>
      </c>
      <c r="G433" s="146"/>
      <c r="H433" s="149"/>
      <c r="I433" s="150"/>
      <c r="J433" s="151" t="str">
        <f t="shared" si="18"/>
        <v>-</v>
      </c>
      <c r="K433" s="152"/>
      <c r="L433" s="149"/>
      <c r="M433" s="149"/>
      <c r="N433" s="153">
        <f t="shared" si="19"/>
        <v>0</v>
      </c>
      <c r="O433" s="153">
        <f t="shared" si="20"/>
        <v>0</v>
      </c>
      <c r="P433" s="146"/>
    </row>
    <row r="434" spans="2:16" x14ac:dyDescent="0.3">
      <c r="B434" s="146">
        <v>427</v>
      </c>
      <c r="C434" s="147"/>
      <c r="D434" s="147"/>
      <c r="E434" s="146"/>
      <c r="F434" s="148" t="str">
        <f>+IFERROR(VLOOKUP(E434,Data!C430:D525,2,0),"")</f>
        <v/>
      </c>
      <c r="G434" s="146"/>
      <c r="H434" s="149"/>
      <c r="I434" s="150"/>
      <c r="J434" s="151" t="str">
        <f t="shared" si="18"/>
        <v>-</v>
      </c>
      <c r="K434" s="152"/>
      <c r="L434" s="149"/>
      <c r="M434" s="149"/>
      <c r="N434" s="153">
        <f t="shared" si="19"/>
        <v>0</v>
      </c>
      <c r="O434" s="153">
        <f t="shared" si="20"/>
        <v>0</v>
      </c>
      <c r="P434" s="146"/>
    </row>
    <row r="435" spans="2:16" x14ac:dyDescent="0.3">
      <c r="B435" s="146">
        <v>428</v>
      </c>
      <c r="C435" s="147"/>
      <c r="D435" s="147"/>
      <c r="E435" s="146"/>
      <c r="F435" s="148" t="str">
        <f>+IFERROR(VLOOKUP(E435,Data!C431:D526,2,0),"")</f>
        <v/>
      </c>
      <c r="G435" s="146"/>
      <c r="H435" s="149"/>
      <c r="I435" s="150"/>
      <c r="J435" s="151" t="str">
        <f t="shared" si="18"/>
        <v>-</v>
      </c>
      <c r="K435" s="152"/>
      <c r="L435" s="149"/>
      <c r="M435" s="149"/>
      <c r="N435" s="153">
        <f t="shared" si="19"/>
        <v>0</v>
      </c>
      <c r="O435" s="153">
        <f t="shared" si="20"/>
        <v>0</v>
      </c>
      <c r="P435" s="146"/>
    </row>
    <row r="436" spans="2:16" x14ac:dyDescent="0.3">
      <c r="B436" s="146">
        <v>429</v>
      </c>
      <c r="C436" s="147"/>
      <c r="D436" s="147"/>
      <c r="E436" s="146"/>
      <c r="F436" s="148" t="str">
        <f>+IFERROR(VLOOKUP(E436,Data!C432:D527,2,0),"")</f>
        <v/>
      </c>
      <c r="G436" s="146"/>
      <c r="H436" s="149"/>
      <c r="I436" s="150"/>
      <c r="J436" s="151" t="str">
        <f t="shared" si="18"/>
        <v>-</v>
      </c>
      <c r="K436" s="152"/>
      <c r="L436" s="149"/>
      <c r="M436" s="149"/>
      <c r="N436" s="153">
        <f t="shared" si="19"/>
        <v>0</v>
      </c>
      <c r="O436" s="153">
        <f t="shared" si="20"/>
        <v>0</v>
      </c>
      <c r="P436" s="146"/>
    </row>
    <row r="437" spans="2:16" x14ac:dyDescent="0.3">
      <c r="B437" s="146">
        <v>430</v>
      </c>
      <c r="C437" s="147"/>
      <c r="D437" s="147"/>
      <c r="E437" s="146"/>
      <c r="F437" s="148" t="str">
        <f>+IFERROR(VLOOKUP(E437,Data!C433:D528,2,0),"")</f>
        <v/>
      </c>
      <c r="G437" s="146"/>
      <c r="H437" s="149"/>
      <c r="I437" s="150"/>
      <c r="J437" s="151" t="str">
        <f t="shared" si="18"/>
        <v>-</v>
      </c>
      <c r="K437" s="152"/>
      <c r="L437" s="149"/>
      <c r="M437" s="149"/>
      <c r="N437" s="153">
        <f t="shared" si="19"/>
        <v>0</v>
      </c>
      <c r="O437" s="153">
        <f t="shared" si="20"/>
        <v>0</v>
      </c>
      <c r="P437" s="146"/>
    </row>
    <row r="438" spans="2:16" x14ac:dyDescent="0.3">
      <c r="B438" s="146">
        <v>431</v>
      </c>
      <c r="C438" s="147"/>
      <c r="D438" s="147"/>
      <c r="E438" s="146"/>
      <c r="F438" s="148" t="str">
        <f>+IFERROR(VLOOKUP(E438,Data!C434:D529,2,0),"")</f>
        <v/>
      </c>
      <c r="G438" s="146"/>
      <c r="H438" s="149"/>
      <c r="I438" s="150"/>
      <c r="J438" s="151" t="str">
        <f t="shared" ref="J438:J501" si="21">IFERROR(+I438/H438,"-")</f>
        <v>-</v>
      </c>
      <c r="K438" s="152"/>
      <c r="L438" s="149"/>
      <c r="M438" s="149"/>
      <c r="N438" s="153">
        <f t="shared" ref="N438:N501" si="22">+L438+M438</f>
        <v>0</v>
      </c>
      <c r="O438" s="153">
        <f t="shared" ref="O438:O501" si="23">+N438-K438</f>
        <v>0</v>
      </c>
      <c r="P438" s="146"/>
    </row>
    <row r="439" spans="2:16" x14ac:dyDescent="0.3">
      <c r="B439" s="146">
        <v>432</v>
      </c>
      <c r="C439" s="147"/>
      <c r="D439" s="147"/>
      <c r="E439" s="146"/>
      <c r="F439" s="148" t="str">
        <f>+IFERROR(VLOOKUP(E439,Data!C435:D530,2,0),"")</f>
        <v/>
      </c>
      <c r="G439" s="146"/>
      <c r="H439" s="149"/>
      <c r="I439" s="150"/>
      <c r="J439" s="151" t="str">
        <f t="shared" si="21"/>
        <v>-</v>
      </c>
      <c r="K439" s="152"/>
      <c r="L439" s="149"/>
      <c r="M439" s="149"/>
      <c r="N439" s="153">
        <f t="shared" si="22"/>
        <v>0</v>
      </c>
      <c r="O439" s="153">
        <f t="shared" si="23"/>
        <v>0</v>
      </c>
      <c r="P439" s="146"/>
    </row>
    <row r="440" spans="2:16" x14ac:dyDescent="0.3">
      <c r="B440" s="146">
        <v>433</v>
      </c>
      <c r="C440" s="147"/>
      <c r="D440" s="147"/>
      <c r="E440" s="146"/>
      <c r="F440" s="148" t="str">
        <f>+IFERROR(VLOOKUP(E440,Data!C436:D531,2,0),"")</f>
        <v/>
      </c>
      <c r="G440" s="146"/>
      <c r="H440" s="149"/>
      <c r="I440" s="150"/>
      <c r="J440" s="151" t="str">
        <f t="shared" si="21"/>
        <v>-</v>
      </c>
      <c r="K440" s="152"/>
      <c r="L440" s="149"/>
      <c r="M440" s="149"/>
      <c r="N440" s="153">
        <f t="shared" si="22"/>
        <v>0</v>
      </c>
      <c r="O440" s="153">
        <f t="shared" si="23"/>
        <v>0</v>
      </c>
      <c r="P440" s="146"/>
    </row>
    <row r="441" spans="2:16" x14ac:dyDescent="0.3">
      <c r="B441" s="146">
        <v>434</v>
      </c>
      <c r="C441" s="147"/>
      <c r="D441" s="147"/>
      <c r="E441" s="146"/>
      <c r="F441" s="148" t="str">
        <f>+IFERROR(VLOOKUP(E441,Data!C437:D532,2,0),"")</f>
        <v/>
      </c>
      <c r="G441" s="146"/>
      <c r="H441" s="149"/>
      <c r="I441" s="150"/>
      <c r="J441" s="151" t="str">
        <f t="shared" si="21"/>
        <v>-</v>
      </c>
      <c r="K441" s="152"/>
      <c r="L441" s="149"/>
      <c r="M441" s="149"/>
      <c r="N441" s="153">
        <f t="shared" si="22"/>
        <v>0</v>
      </c>
      <c r="O441" s="153">
        <f t="shared" si="23"/>
        <v>0</v>
      </c>
      <c r="P441" s="146"/>
    </row>
    <row r="442" spans="2:16" x14ac:dyDescent="0.3">
      <c r="B442" s="146">
        <v>435</v>
      </c>
      <c r="C442" s="147"/>
      <c r="D442" s="147"/>
      <c r="E442" s="146"/>
      <c r="F442" s="148" t="str">
        <f>+IFERROR(VLOOKUP(E442,Data!C438:D533,2,0),"")</f>
        <v/>
      </c>
      <c r="G442" s="146"/>
      <c r="H442" s="149"/>
      <c r="I442" s="150"/>
      <c r="J442" s="151" t="str">
        <f t="shared" si="21"/>
        <v>-</v>
      </c>
      <c r="K442" s="152"/>
      <c r="L442" s="149"/>
      <c r="M442" s="149"/>
      <c r="N442" s="153">
        <f t="shared" si="22"/>
        <v>0</v>
      </c>
      <c r="O442" s="153">
        <f t="shared" si="23"/>
        <v>0</v>
      </c>
      <c r="P442" s="146"/>
    </row>
    <row r="443" spans="2:16" x14ac:dyDescent="0.3">
      <c r="B443" s="146">
        <v>436</v>
      </c>
      <c r="C443" s="147"/>
      <c r="D443" s="147"/>
      <c r="E443" s="146"/>
      <c r="F443" s="148" t="str">
        <f>+IFERROR(VLOOKUP(E443,Data!C439:D534,2,0),"")</f>
        <v/>
      </c>
      <c r="G443" s="146"/>
      <c r="H443" s="149"/>
      <c r="I443" s="150"/>
      <c r="J443" s="151" t="str">
        <f t="shared" si="21"/>
        <v>-</v>
      </c>
      <c r="K443" s="152"/>
      <c r="L443" s="149"/>
      <c r="M443" s="149"/>
      <c r="N443" s="153">
        <f t="shared" si="22"/>
        <v>0</v>
      </c>
      <c r="O443" s="153">
        <f t="shared" si="23"/>
        <v>0</v>
      </c>
      <c r="P443" s="146"/>
    </row>
    <row r="444" spans="2:16" x14ac:dyDescent="0.3">
      <c r="B444" s="146">
        <v>437</v>
      </c>
      <c r="C444" s="147"/>
      <c r="D444" s="147"/>
      <c r="E444" s="146"/>
      <c r="F444" s="148" t="str">
        <f>+IFERROR(VLOOKUP(E444,Data!C440:D535,2,0),"")</f>
        <v/>
      </c>
      <c r="G444" s="146"/>
      <c r="H444" s="149"/>
      <c r="I444" s="150"/>
      <c r="J444" s="151" t="str">
        <f t="shared" si="21"/>
        <v>-</v>
      </c>
      <c r="K444" s="152"/>
      <c r="L444" s="149"/>
      <c r="M444" s="149"/>
      <c r="N444" s="153">
        <f t="shared" si="22"/>
        <v>0</v>
      </c>
      <c r="O444" s="153">
        <f t="shared" si="23"/>
        <v>0</v>
      </c>
      <c r="P444" s="146"/>
    </row>
    <row r="445" spans="2:16" x14ac:dyDescent="0.3">
      <c r="B445" s="146">
        <v>438</v>
      </c>
      <c r="C445" s="147"/>
      <c r="D445" s="147"/>
      <c r="E445" s="146"/>
      <c r="F445" s="148" t="str">
        <f>+IFERROR(VLOOKUP(E445,Data!C441:D536,2,0),"")</f>
        <v/>
      </c>
      <c r="G445" s="146"/>
      <c r="H445" s="149"/>
      <c r="I445" s="150"/>
      <c r="J445" s="151" t="str">
        <f t="shared" si="21"/>
        <v>-</v>
      </c>
      <c r="K445" s="152"/>
      <c r="L445" s="149"/>
      <c r="M445" s="149"/>
      <c r="N445" s="153">
        <f t="shared" si="22"/>
        <v>0</v>
      </c>
      <c r="O445" s="153">
        <f t="shared" si="23"/>
        <v>0</v>
      </c>
      <c r="P445" s="146"/>
    </row>
    <row r="446" spans="2:16" x14ac:dyDescent="0.3">
      <c r="B446" s="146">
        <v>439</v>
      </c>
      <c r="C446" s="147"/>
      <c r="D446" s="147"/>
      <c r="E446" s="146"/>
      <c r="F446" s="148" t="str">
        <f>+IFERROR(VLOOKUP(E446,Data!C442:D537,2,0),"")</f>
        <v/>
      </c>
      <c r="G446" s="146"/>
      <c r="H446" s="149"/>
      <c r="I446" s="150"/>
      <c r="J446" s="151" t="str">
        <f t="shared" si="21"/>
        <v>-</v>
      </c>
      <c r="K446" s="152"/>
      <c r="L446" s="149"/>
      <c r="M446" s="149"/>
      <c r="N446" s="153">
        <f t="shared" si="22"/>
        <v>0</v>
      </c>
      <c r="O446" s="153">
        <f t="shared" si="23"/>
        <v>0</v>
      </c>
      <c r="P446" s="146"/>
    </row>
    <row r="447" spans="2:16" x14ac:dyDescent="0.3">
      <c r="B447" s="146">
        <v>440</v>
      </c>
      <c r="C447" s="147"/>
      <c r="D447" s="147"/>
      <c r="E447" s="146"/>
      <c r="F447" s="148" t="str">
        <f>+IFERROR(VLOOKUP(E447,Data!C443:D538,2,0),"")</f>
        <v/>
      </c>
      <c r="G447" s="146"/>
      <c r="H447" s="149"/>
      <c r="I447" s="150"/>
      <c r="J447" s="151" t="str">
        <f t="shared" si="21"/>
        <v>-</v>
      </c>
      <c r="K447" s="152"/>
      <c r="L447" s="149"/>
      <c r="M447" s="149"/>
      <c r="N447" s="153">
        <f t="shared" si="22"/>
        <v>0</v>
      </c>
      <c r="O447" s="153">
        <f t="shared" si="23"/>
        <v>0</v>
      </c>
      <c r="P447" s="146"/>
    </row>
    <row r="448" spans="2:16" x14ac:dyDescent="0.3">
      <c r="B448" s="146">
        <v>441</v>
      </c>
      <c r="C448" s="147"/>
      <c r="D448" s="147"/>
      <c r="E448" s="146"/>
      <c r="F448" s="148" t="str">
        <f>+IFERROR(VLOOKUP(E448,Data!C444:D539,2,0),"")</f>
        <v/>
      </c>
      <c r="G448" s="146"/>
      <c r="H448" s="149"/>
      <c r="I448" s="150"/>
      <c r="J448" s="151" t="str">
        <f t="shared" si="21"/>
        <v>-</v>
      </c>
      <c r="K448" s="152"/>
      <c r="L448" s="149"/>
      <c r="M448" s="149"/>
      <c r="N448" s="153">
        <f t="shared" si="22"/>
        <v>0</v>
      </c>
      <c r="O448" s="153">
        <f t="shared" si="23"/>
        <v>0</v>
      </c>
      <c r="P448" s="146"/>
    </row>
    <row r="449" spans="2:16" x14ac:dyDescent="0.3">
      <c r="B449" s="146">
        <v>442</v>
      </c>
      <c r="C449" s="147"/>
      <c r="D449" s="147"/>
      <c r="E449" s="146"/>
      <c r="F449" s="148" t="str">
        <f>+IFERROR(VLOOKUP(E449,Data!C445:D540,2,0),"")</f>
        <v/>
      </c>
      <c r="G449" s="146"/>
      <c r="H449" s="149"/>
      <c r="I449" s="150"/>
      <c r="J449" s="151" t="str">
        <f t="shared" si="21"/>
        <v>-</v>
      </c>
      <c r="K449" s="152"/>
      <c r="L449" s="149"/>
      <c r="M449" s="149"/>
      <c r="N449" s="153">
        <f t="shared" si="22"/>
        <v>0</v>
      </c>
      <c r="O449" s="153">
        <f t="shared" si="23"/>
        <v>0</v>
      </c>
      <c r="P449" s="146"/>
    </row>
    <row r="450" spans="2:16" x14ac:dyDescent="0.3">
      <c r="B450" s="146">
        <v>443</v>
      </c>
      <c r="C450" s="147"/>
      <c r="D450" s="147"/>
      <c r="E450" s="146"/>
      <c r="F450" s="148" t="str">
        <f>+IFERROR(VLOOKUP(E450,Data!C446:D541,2,0),"")</f>
        <v/>
      </c>
      <c r="G450" s="146"/>
      <c r="H450" s="149"/>
      <c r="I450" s="150"/>
      <c r="J450" s="151" t="str">
        <f t="shared" si="21"/>
        <v>-</v>
      </c>
      <c r="K450" s="152"/>
      <c r="L450" s="149"/>
      <c r="M450" s="149"/>
      <c r="N450" s="153">
        <f t="shared" si="22"/>
        <v>0</v>
      </c>
      <c r="O450" s="153">
        <f t="shared" si="23"/>
        <v>0</v>
      </c>
      <c r="P450" s="146"/>
    </row>
    <row r="451" spans="2:16" x14ac:dyDescent="0.3">
      <c r="B451" s="146">
        <v>444</v>
      </c>
      <c r="C451" s="147"/>
      <c r="D451" s="147"/>
      <c r="E451" s="146"/>
      <c r="F451" s="148" t="str">
        <f>+IFERROR(VLOOKUP(E451,Data!C447:D542,2,0),"")</f>
        <v/>
      </c>
      <c r="G451" s="146"/>
      <c r="H451" s="149"/>
      <c r="I451" s="150"/>
      <c r="J451" s="151" t="str">
        <f t="shared" si="21"/>
        <v>-</v>
      </c>
      <c r="K451" s="152"/>
      <c r="L451" s="149"/>
      <c r="M451" s="149"/>
      <c r="N451" s="153">
        <f t="shared" si="22"/>
        <v>0</v>
      </c>
      <c r="O451" s="153">
        <f t="shared" si="23"/>
        <v>0</v>
      </c>
      <c r="P451" s="146"/>
    </row>
    <row r="452" spans="2:16" x14ac:dyDescent="0.3">
      <c r="B452" s="146">
        <v>445</v>
      </c>
      <c r="C452" s="147"/>
      <c r="D452" s="147"/>
      <c r="E452" s="146"/>
      <c r="F452" s="148" t="str">
        <f>+IFERROR(VLOOKUP(E452,Data!C448:D543,2,0),"")</f>
        <v/>
      </c>
      <c r="G452" s="146"/>
      <c r="H452" s="149"/>
      <c r="I452" s="150"/>
      <c r="J452" s="151" t="str">
        <f t="shared" si="21"/>
        <v>-</v>
      </c>
      <c r="K452" s="152"/>
      <c r="L452" s="149"/>
      <c r="M452" s="149"/>
      <c r="N452" s="153">
        <f t="shared" si="22"/>
        <v>0</v>
      </c>
      <c r="O452" s="153">
        <f t="shared" si="23"/>
        <v>0</v>
      </c>
      <c r="P452" s="146"/>
    </row>
    <row r="453" spans="2:16" x14ac:dyDescent="0.3">
      <c r="B453" s="146">
        <v>446</v>
      </c>
      <c r="C453" s="147"/>
      <c r="D453" s="147"/>
      <c r="E453" s="146"/>
      <c r="F453" s="148" t="str">
        <f>+IFERROR(VLOOKUP(E453,Data!C449:D544,2,0),"")</f>
        <v/>
      </c>
      <c r="G453" s="146"/>
      <c r="H453" s="149"/>
      <c r="I453" s="150"/>
      <c r="J453" s="151" t="str">
        <f t="shared" si="21"/>
        <v>-</v>
      </c>
      <c r="K453" s="152"/>
      <c r="L453" s="149"/>
      <c r="M453" s="149"/>
      <c r="N453" s="153">
        <f t="shared" si="22"/>
        <v>0</v>
      </c>
      <c r="O453" s="153">
        <f t="shared" si="23"/>
        <v>0</v>
      </c>
      <c r="P453" s="146"/>
    </row>
    <row r="454" spans="2:16" x14ac:dyDescent="0.3">
      <c r="B454" s="146">
        <v>447</v>
      </c>
      <c r="C454" s="147"/>
      <c r="D454" s="147"/>
      <c r="E454" s="146"/>
      <c r="F454" s="148" t="str">
        <f>+IFERROR(VLOOKUP(E454,Data!C450:D545,2,0),"")</f>
        <v/>
      </c>
      <c r="G454" s="146"/>
      <c r="H454" s="149"/>
      <c r="I454" s="150"/>
      <c r="J454" s="151" t="str">
        <f t="shared" si="21"/>
        <v>-</v>
      </c>
      <c r="K454" s="152"/>
      <c r="L454" s="149"/>
      <c r="M454" s="149"/>
      <c r="N454" s="153">
        <f t="shared" si="22"/>
        <v>0</v>
      </c>
      <c r="O454" s="153">
        <f t="shared" si="23"/>
        <v>0</v>
      </c>
      <c r="P454" s="146"/>
    </row>
    <row r="455" spans="2:16" x14ac:dyDescent="0.3">
      <c r="B455" s="146">
        <v>448</v>
      </c>
      <c r="C455" s="147"/>
      <c r="D455" s="147"/>
      <c r="E455" s="146"/>
      <c r="F455" s="148" t="str">
        <f>+IFERROR(VLOOKUP(E455,Data!C451:D546,2,0),"")</f>
        <v/>
      </c>
      <c r="G455" s="146"/>
      <c r="H455" s="149"/>
      <c r="I455" s="150"/>
      <c r="J455" s="151" t="str">
        <f t="shared" si="21"/>
        <v>-</v>
      </c>
      <c r="K455" s="152"/>
      <c r="L455" s="149"/>
      <c r="M455" s="149"/>
      <c r="N455" s="153">
        <f t="shared" si="22"/>
        <v>0</v>
      </c>
      <c r="O455" s="153">
        <f t="shared" si="23"/>
        <v>0</v>
      </c>
      <c r="P455" s="146"/>
    </row>
    <row r="456" spans="2:16" x14ac:dyDescent="0.3">
      <c r="B456" s="146">
        <v>449</v>
      </c>
      <c r="C456" s="147"/>
      <c r="D456" s="147"/>
      <c r="E456" s="146"/>
      <c r="F456" s="148" t="str">
        <f>+IFERROR(VLOOKUP(E456,Data!C452:D547,2,0),"")</f>
        <v/>
      </c>
      <c r="G456" s="146"/>
      <c r="H456" s="149"/>
      <c r="I456" s="150"/>
      <c r="J456" s="151" t="str">
        <f t="shared" si="21"/>
        <v>-</v>
      </c>
      <c r="K456" s="152"/>
      <c r="L456" s="149"/>
      <c r="M456" s="149"/>
      <c r="N456" s="153">
        <f t="shared" si="22"/>
        <v>0</v>
      </c>
      <c r="O456" s="153">
        <f t="shared" si="23"/>
        <v>0</v>
      </c>
      <c r="P456" s="146"/>
    </row>
    <row r="457" spans="2:16" x14ac:dyDescent="0.3">
      <c r="B457" s="146">
        <v>450</v>
      </c>
      <c r="C457" s="147"/>
      <c r="D457" s="147"/>
      <c r="E457" s="146"/>
      <c r="F457" s="148" t="str">
        <f>+IFERROR(VLOOKUP(E457,Data!C453:D548,2,0),"")</f>
        <v/>
      </c>
      <c r="G457" s="146"/>
      <c r="H457" s="149"/>
      <c r="I457" s="150"/>
      <c r="J457" s="151" t="str">
        <f t="shared" si="21"/>
        <v>-</v>
      </c>
      <c r="K457" s="152"/>
      <c r="L457" s="149"/>
      <c r="M457" s="149"/>
      <c r="N457" s="153">
        <f t="shared" si="22"/>
        <v>0</v>
      </c>
      <c r="O457" s="153">
        <f t="shared" si="23"/>
        <v>0</v>
      </c>
      <c r="P457" s="146"/>
    </row>
    <row r="458" spans="2:16" x14ac:dyDescent="0.3">
      <c r="B458" s="146">
        <v>451</v>
      </c>
      <c r="C458" s="147"/>
      <c r="D458" s="147"/>
      <c r="E458" s="146"/>
      <c r="F458" s="148" t="str">
        <f>+IFERROR(VLOOKUP(E458,Data!C454:D549,2,0),"")</f>
        <v/>
      </c>
      <c r="G458" s="146"/>
      <c r="H458" s="149"/>
      <c r="I458" s="150"/>
      <c r="J458" s="151" t="str">
        <f t="shared" si="21"/>
        <v>-</v>
      </c>
      <c r="K458" s="152"/>
      <c r="L458" s="149"/>
      <c r="M458" s="149"/>
      <c r="N458" s="153">
        <f t="shared" si="22"/>
        <v>0</v>
      </c>
      <c r="O458" s="153">
        <f t="shared" si="23"/>
        <v>0</v>
      </c>
      <c r="P458" s="146"/>
    </row>
    <row r="459" spans="2:16" x14ac:dyDescent="0.3">
      <c r="B459" s="146">
        <v>452</v>
      </c>
      <c r="C459" s="147"/>
      <c r="D459" s="147"/>
      <c r="E459" s="146"/>
      <c r="F459" s="148" t="str">
        <f>+IFERROR(VLOOKUP(E459,Data!C455:D550,2,0),"")</f>
        <v/>
      </c>
      <c r="G459" s="146"/>
      <c r="H459" s="149"/>
      <c r="I459" s="150"/>
      <c r="J459" s="151" t="str">
        <f t="shared" si="21"/>
        <v>-</v>
      </c>
      <c r="K459" s="152"/>
      <c r="L459" s="149"/>
      <c r="M459" s="149"/>
      <c r="N459" s="153">
        <f t="shared" si="22"/>
        <v>0</v>
      </c>
      <c r="O459" s="153">
        <f t="shared" si="23"/>
        <v>0</v>
      </c>
      <c r="P459" s="146"/>
    </row>
    <row r="460" spans="2:16" x14ac:dyDescent="0.3">
      <c r="B460" s="146">
        <v>453</v>
      </c>
      <c r="C460" s="147"/>
      <c r="D460" s="147"/>
      <c r="E460" s="146"/>
      <c r="F460" s="148" t="str">
        <f>+IFERROR(VLOOKUP(E460,Data!C456:D551,2,0),"")</f>
        <v/>
      </c>
      <c r="G460" s="146"/>
      <c r="H460" s="149"/>
      <c r="I460" s="150"/>
      <c r="J460" s="151" t="str">
        <f t="shared" si="21"/>
        <v>-</v>
      </c>
      <c r="K460" s="152"/>
      <c r="L460" s="149"/>
      <c r="M460" s="149"/>
      <c r="N460" s="153">
        <f t="shared" si="22"/>
        <v>0</v>
      </c>
      <c r="O460" s="153">
        <f t="shared" si="23"/>
        <v>0</v>
      </c>
      <c r="P460" s="146"/>
    </row>
    <row r="461" spans="2:16" x14ac:dyDescent="0.3">
      <c r="B461" s="146">
        <v>454</v>
      </c>
      <c r="C461" s="147"/>
      <c r="D461" s="147"/>
      <c r="E461" s="146"/>
      <c r="F461" s="148" t="str">
        <f>+IFERROR(VLOOKUP(E461,Data!C457:D552,2,0),"")</f>
        <v/>
      </c>
      <c r="G461" s="146"/>
      <c r="H461" s="149"/>
      <c r="I461" s="150"/>
      <c r="J461" s="151" t="str">
        <f t="shared" si="21"/>
        <v>-</v>
      </c>
      <c r="K461" s="152"/>
      <c r="L461" s="149"/>
      <c r="M461" s="149"/>
      <c r="N461" s="153">
        <f t="shared" si="22"/>
        <v>0</v>
      </c>
      <c r="O461" s="153">
        <f t="shared" si="23"/>
        <v>0</v>
      </c>
      <c r="P461" s="146"/>
    </row>
    <row r="462" spans="2:16" x14ac:dyDescent="0.3">
      <c r="B462" s="146">
        <v>455</v>
      </c>
      <c r="C462" s="147"/>
      <c r="D462" s="147"/>
      <c r="E462" s="146"/>
      <c r="F462" s="148" t="str">
        <f>+IFERROR(VLOOKUP(E462,Data!C458:D553,2,0),"")</f>
        <v/>
      </c>
      <c r="G462" s="146"/>
      <c r="H462" s="149"/>
      <c r="I462" s="150"/>
      <c r="J462" s="151" t="str">
        <f t="shared" si="21"/>
        <v>-</v>
      </c>
      <c r="K462" s="152"/>
      <c r="L462" s="149"/>
      <c r="M462" s="149"/>
      <c r="N462" s="153">
        <f t="shared" si="22"/>
        <v>0</v>
      </c>
      <c r="O462" s="153">
        <f t="shared" si="23"/>
        <v>0</v>
      </c>
      <c r="P462" s="146"/>
    </row>
    <row r="463" spans="2:16" x14ac:dyDescent="0.3">
      <c r="B463" s="146">
        <v>456</v>
      </c>
      <c r="C463" s="147"/>
      <c r="D463" s="147"/>
      <c r="E463" s="146"/>
      <c r="F463" s="148" t="str">
        <f>+IFERROR(VLOOKUP(E463,Data!C459:D554,2,0),"")</f>
        <v/>
      </c>
      <c r="G463" s="146"/>
      <c r="H463" s="149"/>
      <c r="I463" s="150"/>
      <c r="J463" s="151" t="str">
        <f t="shared" si="21"/>
        <v>-</v>
      </c>
      <c r="K463" s="152"/>
      <c r="L463" s="149"/>
      <c r="M463" s="149"/>
      <c r="N463" s="153">
        <f t="shared" si="22"/>
        <v>0</v>
      </c>
      <c r="O463" s="153">
        <f t="shared" si="23"/>
        <v>0</v>
      </c>
      <c r="P463" s="146"/>
    </row>
    <row r="464" spans="2:16" x14ac:dyDescent="0.3">
      <c r="B464" s="146">
        <v>457</v>
      </c>
      <c r="C464" s="147"/>
      <c r="D464" s="147"/>
      <c r="E464" s="146"/>
      <c r="F464" s="148" t="str">
        <f>+IFERROR(VLOOKUP(E464,Data!C460:D555,2,0),"")</f>
        <v/>
      </c>
      <c r="G464" s="146"/>
      <c r="H464" s="149"/>
      <c r="I464" s="150"/>
      <c r="J464" s="151" t="str">
        <f t="shared" si="21"/>
        <v>-</v>
      </c>
      <c r="K464" s="152"/>
      <c r="L464" s="149"/>
      <c r="M464" s="149"/>
      <c r="N464" s="153">
        <f t="shared" si="22"/>
        <v>0</v>
      </c>
      <c r="O464" s="153">
        <f t="shared" si="23"/>
        <v>0</v>
      </c>
      <c r="P464" s="146"/>
    </row>
    <row r="465" spans="2:16" x14ac:dyDescent="0.3">
      <c r="B465" s="146">
        <v>458</v>
      </c>
      <c r="C465" s="147"/>
      <c r="D465" s="147"/>
      <c r="E465" s="146"/>
      <c r="F465" s="148" t="str">
        <f>+IFERROR(VLOOKUP(E465,Data!C461:D556,2,0),"")</f>
        <v/>
      </c>
      <c r="G465" s="146"/>
      <c r="H465" s="149"/>
      <c r="I465" s="150"/>
      <c r="J465" s="151" t="str">
        <f t="shared" si="21"/>
        <v>-</v>
      </c>
      <c r="K465" s="152"/>
      <c r="L465" s="149"/>
      <c r="M465" s="149"/>
      <c r="N465" s="153">
        <f t="shared" si="22"/>
        <v>0</v>
      </c>
      <c r="O465" s="153">
        <f t="shared" si="23"/>
        <v>0</v>
      </c>
      <c r="P465" s="146"/>
    </row>
    <row r="466" spans="2:16" x14ac:dyDescent="0.3">
      <c r="B466" s="146">
        <v>459</v>
      </c>
      <c r="C466" s="147"/>
      <c r="D466" s="147"/>
      <c r="E466" s="146"/>
      <c r="F466" s="148" t="str">
        <f>+IFERROR(VLOOKUP(E466,Data!C462:D557,2,0),"")</f>
        <v/>
      </c>
      <c r="G466" s="146"/>
      <c r="H466" s="149"/>
      <c r="I466" s="150"/>
      <c r="J466" s="151" t="str">
        <f t="shared" si="21"/>
        <v>-</v>
      </c>
      <c r="K466" s="152"/>
      <c r="L466" s="149"/>
      <c r="M466" s="149"/>
      <c r="N466" s="153">
        <f t="shared" si="22"/>
        <v>0</v>
      </c>
      <c r="O466" s="153">
        <f t="shared" si="23"/>
        <v>0</v>
      </c>
      <c r="P466" s="146"/>
    </row>
    <row r="467" spans="2:16" x14ac:dyDescent="0.3">
      <c r="B467" s="146">
        <v>460</v>
      </c>
      <c r="C467" s="147"/>
      <c r="D467" s="147"/>
      <c r="E467" s="146"/>
      <c r="F467" s="148" t="str">
        <f>+IFERROR(VLOOKUP(E467,Data!C463:D558,2,0),"")</f>
        <v/>
      </c>
      <c r="G467" s="146"/>
      <c r="H467" s="149"/>
      <c r="I467" s="150"/>
      <c r="J467" s="151" t="str">
        <f t="shared" si="21"/>
        <v>-</v>
      </c>
      <c r="K467" s="152"/>
      <c r="L467" s="149"/>
      <c r="M467" s="149"/>
      <c r="N467" s="153">
        <f t="shared" si="22"/>
        <v>0</v>
      </c>
      <c r="O467" s="153">
        <f t="shared" si="23"/>
        <v>0</v>
      </c>
      <c r="P467" s="146"/>
    </row>
    <row r="468" spans="2:16" x14ac:dyDescent="0.3">
      <c r="B468" s="146">
        <v>461</v>
      </c>
      <c r="C468" s="147"/>
      <c r="D468" s="147"/>
      <c r="E468" s="146"/>
      <c r="F468" s="148" t="str">
        <f>+IFERROR(VLOOKUP(E468,Data!C464:D559,2,0),"")</f>
        <v/>
      </c>
      <c r="G468" s="146"/>
      <c r="H468" s="149"/>
      <c r="I468" s="150"/>
      <c r="J468" s="151" t="str">
        <f t="shared" si="21"/>
        <v>-</v>
      </c>
      <c r="K468" s="152"/>
      <c r="L468" s="149"/>
      <c r="M468" s="149"/>
      <c r="N468" s="153">
        <f t="shared" si="22"/>
        <v>0</v>
      </c>
      <c r="O468" s="153">
        <f t="shared" si="23"/>
        <v>0</v>
      </c>
      <c r="P468" s="146"/>
    </row>
    <row r="469" spans="2:16" x14ac:dyDescent="0.3">
      <c r="B469" s="146">
        <v>462</v>
      </c>
      <c r="C469" s="147"/>
      <c r="D469" s="147"/>
      <c r="E469" s="146"/>
      <c r="F469" s="148" t="str">
        <f>+IFERROR(VLOOKUP(E469,Data!C465:D560,2,0),"")</f>
        <v/>
      </c>
      <c r="G469" s="146"/>
      <c r="H469" s="149"/>
      <c r="I469" s="150"/>
      <c r="J469" s="151" t="str">
        <f t="shared" si="21"/>
        <v>-</v>
      </c>
      <c r="K469" s="152"/>
      <c r="L469" s="149"/>
      <c r="M469" s="149"/>
      <c r="N469" s="153">
        <f t="shared" si="22"/>
        <v>0</v>
      </c>
      <c r="O469" s="153">
        <f t="shared" si="23"/>
        <v>0</v>
      </c>
      <c r="P469" s="146"/>
    </row>
    <row r="470" spans="2:16" x14ac:dyDescent="0.3">
      <c r="B470" s="146">
        <v>463</v>
      </c>
      <c r="C470" s="147"/>
      <c r="D470" s="147"/>
      <c r="E470" s="146"/>
      <c r="F470" s="148" t="str">
        <f>+IFERROR(VLOOKUP(E470,Data!C466:D561,2,0),"")</f>
        <v/>
      </c>
      <c r="G470" s="146"/>
      <c r="H470" s="149"/>
      <c r="I470" s="150"/>
      <c r="J470" s="151" t="str">
        <f t="shared" si="21"/>
        <v>-</v>
      </c>
      <c r="K470" s="152"/>
      <c r="L470" s="149"/>
      <c r="M470" s="149"/>
      <c r="N470" s="153">
        <f t="shared" si="22"/>
        <v>0</v>
      </c>
      <c r="O470" s="153">
        <f t="shared" si="23"/>
        <v>0</v>
      </c>
      <c r="P470" s="146"/>
    </row>
    <row r="471" spans="2:16" x14ac:dyDescent="0.3">
      <c r="B471" s="146">
        <v>464</v>
      </c>
      <c r="C471" s="147"/>
      <c r="D471" s="147"/>
      <c r="E471" s="146"/>
      <c r="F471" s="148" t="str">
        <f>+IFERROR(VLOOKUP(E471,Data!C467:D562,2,0),"")</f>
        <v/>
      </c>
      <c r="G471" s="146"/>
      <c r="H471" s="149"/>
      <c r="I471" s="150"/>
      <c r="J471" s="151" t="str">
        <f t="shared" si="21"/>
        <v>-</v>
      </c>
      <c r="K471" s="152"/>
      <c r="L471" s="149"/>
      <c r="M471" s="149"/>
      <c r="N471" s="153">
        <f t="shared" si="22"/>
        <v>0</v>
      </c>
      <c r="O471" s="153">
        <f t="shared" si="23"/>
        <v>0</v>
      </c>
      <c r="P471" s="146"/>
    </row>
    <row r="472" spans="2:16" x14ac:dyDescent="0.3">
      <c r="B472" s="146">
        <v>465</v>
      </c>
      <c r="C472" s="147"/>
      <c r="D472" s="147"/>
      <c r="E472" s="146"/>
      <c r="F472" s="148" t="str">
        <f>+IFERROR(VLOOKUP(E472,Data!C468:D563,2,0),"")</f>
        <v/>
      </c>
      <c r="G472" s="146"/>
      <c r="H472" s="149"/>
      <c r="I472" s="150"/>
      <c r="J472" s="151" t="str">
        <f t="shared" si="21"/>
        <v>-</v>
      </c>
      <c r="K472" s="152"/>
      <c r="L472" s="149"/>
      <c r="M472" s="149"/>
      <c r="N472" s="153">
        <f t="shared" si="22"/>
        <v>0</v>
      </c>
      <c r="O472" s="153">
        <f t="shared" si="23"/>
        <v>0</v>
      </c>
      <c r="P472" s="146"/>
    </row>
    <row r="473" spans="2:16" x14ac:dyDescent="0.3">
      <c r="B473" s="146">
        <v>466</v>
      </c>
      <c r="C473" s="147"/>
      <c r="D473" s="147"/>
      <c r="E473" s="146"/>
      <c r="F473" s="148" t="str">
        <f>+IFERROR(VLOOKUP(E473,Data!C469:D564,2,0),"")</f>
        <v/>
      </c>
      <c r="G473" s="146"/>
      <c r="H473" s="149"/>
      <c r="I473" s="150"/>
      <c r="J473" s="151" t="str">
        <f t="shared" si="21"/>
        <v>-</v>
      </c>
      <c r="K473" s="152"/>
      <c r="L473" s="149"/>
      <c r="M473" s="149"/>
      <c r="N473" s="153">
        <f t="shared" si="22"/>
        <v>0</v>
      </c>
      <c r="O473" s="153">
        <f t="shared" si="23"/>
        <v>0</v>
      </c>
      <c r="P473" s="146"/>
    </row>
    <row r="474" spans="2:16" x14ac:dyDescent="0.3">
      <c r="B474" s="146">
        <v>467</v>
      </c>
      <c r="C474" s="147"/>
      <c r="D474" s="147"/>
      <c r="E474" s="146"/>
      <c r="F474" s="148" t="str">
        <f>+IFERROR(VLOOKUP(E474,Data!C470:D565,2,0),"")</f>
        <v/>
      </c>
      <c r="G474" s="146"/>
      <c r="H474" s="149"/>
      <c r="I474" s="150"/>
      <c r="J474" s="151" t="str">
        <f t="shared" si="21"/>
        <v>-</v>
      </c>
      <c r="K474" s="152"/>
      <c r="L474" s="149"/>
      <c r="M474" s="149"/>
      <c r="N474" s="153">
        <f t="shared" si="22"/>
        <v>0</v>
      </c>
      <c r="O474" s="153">
        <f t="shared" si="23"/>
        <v>0</v>
      </c>
      <c r="P474" s="146"/>
    </row>
    <row r="475" spans="2:16" x14ac:dyDescent="0.3">
      <c r="B475" s="146">
        <v>468</v>
      </c>
      <c r="C475" s="147"/>
      <c r="D475" s="147"/>
      <c r="E475" s="146"/>
      <c r="F475" s="148" t="str">
        <f>+IFERROR(VLOOKUP(E475,Data!C471:D566,2,0),"")</f>
        <v/>
      </c>
      <c r="G475" s="146"/>
      <c r="H475" s="149"/>
      <c r="I475" s="150"/>
      <c r="J475" s="151" t="str">
        <f t="shared" si="21"/>
        <v>-</v>
      </c>
      <c r="K475" s="152"/>
      <c r="L475" s="149"/>
      <c r="M475" s="149"/>
      <c r="N475" s="153">
        <f t="shared" si="22"/>
        <v>0</v>
      </c>
      <c r="O475" s="153">
        <f t="shared" si="23"/>
        <v>0</v>
      </c>
      <c r="P475" s="146"/>
    </row>
    <row r="476" spans="2:16" x14ac:dyDescent="0.3">
      <c r="B476" s="146">
        <v>469</v>
      </c>
      <c r="C476" s="147"/>
      <c r="D476" s="147"/>
      <c r="E476" s="146"/>
      <c r="F476" s="148" t="str">
        <f>+IFERROR(VLOOKUP(E476,Data!C472:D567,2,0),"")</f>
        <v/>
      </c>
      <c r="G476" s="146"/>
      <c r="H476" s="149"/>
      <c r="I476" s="150"/>
      <c r="J476" s="151" t="str">
        <f t="shared" si="21"/>
        <v>-</v>
      </c>
      <c r="K476" s="152"/>
      <c r="L476" s="149"/>
      <c r="M476" s="149"/>
      <c r="N476" s="153">
        <f t="shared" si="22"/>
        <v>0</v>
      </c>
      <c r="O476" s="153">
        <f t="shared" si="23"/>
        <v>0</v>
      </c>
      <c r="P476" s="146"/>
    </row>
    <row r="477" spans="2:16" x14ac:dyDescent="0.3">
      <c r="B477" s="146">
        <v>470</v>
      </c>
      <c r="C477" s="147"/>
      <c r="D477" s="147"/>
      <c r="E477" s="146"/>
      <c r="F477" s="148" t="str">
        <f>+IFERROR(VLOOKUP(E477,Data!C473:D568,2,0),"")</f>
        <v/>
      </c>
      <c r="G477" s="146"/>
      <c r="H477" s="149"/>
      <c r="I477" s="150"/>
      <c r="J477" s="151" t="str">
        <f t="shared" si="21"/>
        <v>-</v>
      </c>
      <c r="K477" s="152"/>
      <c r="L477" s="149"/>
      <c r="M477" s="149"/>
      <c r="N477" s="153">
        <f t="shared" si="22"/>
        <v>0</v>
      </c>
      <c r="O477" s="153">
        <f t="shared" si="23"/>
        <v>0</v>
      </c>
      <c r="P477" s="146"/>
    </row>
    <row r="478" spans="2:16" x14ac:dyDescent="0.3">
      <c r="B478" s="146">
        <v>471</v>
      </c>
      <c r="C478" s="147"/>
      <c r="D478" s="147"/>
      <c r="E478" s="146"/>
      <c r="F478" s="148" t="str">
        <f>+IFERROR(VLOOKUP(E478,Data!C474:D569,2,0),"")</f>
        <v/>
      </c>
      <c r="G478" s="146"/>
      <c r="H478" s="149"/>
      <c r="I478" s="150"/>
      <c r="J478" s="151" t="str">
        <f t="shared" si="21"/>
        <v>-</v>
      </c>
      <c r="K478" s="152"/>
      <c r="L478" s="149"/>
      <c r="M478" s="149"/>
      <c r="N478" s="153">
        <f t="shared" si="22"/>
        <v>0</v>
      </c>
      <c r="O478" s="153">
        <f t="shared" si="23"/>
        <v>0</v>
      </c>
      <c r="P478" s="146"/>
    </row>
    <row r="479" spans="2:16" x14ac:dyDescent="0.3">
      <c r="B479" s="146">
        <v>472</v>
      </c>
      <c r="C479" s="147"/>
      <c r="D479" s="147"/>
      <c r="E479" s="146"/>
      <c r="F479" s="148" t="str">
        <f>+IFERROR(VLOOKUP(E479,Data!C475:D570,2,0),"")</f>
        <v/>
      </c>
      <c r="G479" s="146"/>
      <c r="H479" s="149"/>
      <c r="I479" s="150"/>
      <c r="J479" s="151" t="str">
        <f t="shared" si="21"/>
        <v>-</v>
      </c>
      <c r="K479" s="152"/>
      <c r="L479" s="149"/>
      <c r="M479" s="149"/>
      <c r="N479" s="153">
        <f t="shared" si="22"/>
        <v>0</v>
      </c>
      <c r="O479" s="153">
        <f t="shared" si="23"/>
        <v>0</v>
      </c>
      <c r="P479" s="146"/>
    </row>
    <row r="480" spans="2:16" x14ac:dyDescent="0.3">
      <c r="B480" s="146">
        <v>473</v>
      </c>
      <c r="C480" s="147"/>
      <c r="D480" s="147"/>
      <c r="E480" s="146"/>
      <c r="F480" s="148" t="str">
        <f>+IFERROR(VLOOKUP(E480,Data!C476:D571,2,0),"")</f>
        <v/>
      </c>
      <c r="G480" s="146"/>
      <c r="H480" s="149"/>
      <c r="I480" s="150"/>
      <c r="J480" s="151" t="str">
        <f t="shared" si="21"/>
        <v>-</v>
      </c>
      <c r="K480" s="152"/>
      <c r="L480" s="149"/>
      <c r="M480" s="149"/>
      <c r="N480" s="153">
        <f t="shared" si="22"/>
        <v>0</v>
      </c>
      <c r="O480" s="153">
        <f t="shared" si="23"/>
        <v>0</v>
      </c>
      <c r="P480" s="146"/>
    </row>
    <row r="481" spans="2:16" x14ac:dyDescent="0.3">
      <c r="B481" s="146">
        <v>474</v>
      </c>
      <c r="C481" s="147"/>
      <c r="D481" s="147"/>
      <c r="E481" s="146"/>
      <c r="F481" s="148" t="str">
        <f>+IFERROR(VLOOKUP(E481,Data!C477:D572,2,0),"")</f>
        <v/>
      </c>
      <c r="G481" s="146"/>
      <c r="H481" s="149"/>
      <c r="I481" s="150"/>
      <c r="J481" s="151" t="str">
        <f t="shared" si="21"/>
        <v>-</v>
      </c>
      <c r="K481" s="152"/>
      <c r="L481" s="149"/>
      <c r="M481" s="149"/>
      <c r="N481" s="153">
        <f t="shared" si="22"/>
        <v>0</v>
      </c>
      <c r="O481" s="153">
        <f t="shared" si="23"/>
        <v>0</v>
      </c>
      <c r="P481" s="146"/>
    </row>
    <row r="482" spans="2:16" x14ac:dyDescent="0.3">
      <c r="B482" s="146">
        <v>475</v>
      </c>
      <c r="C482" s="147"/>
      <c r="D482" s="147"/>
      <c r="E482" s="146"/>
      <c r="F482" s="148" t="str">
        <f>+IFERROR(VLOOKUP(E482,Data!C478:D573,2,0),"")</f>
        <v/>
      </c>
      <c r="G482" s="146"/>
      <c r="H482" s="149"/>
      <c r="I482" s="150"/>
      <c r="J482" s="151" t="str">
        <f t="shared" si="21"/>
        <v>-</v>
      </c>
      <c r="K482" s="152"/>
      <c r="L482" s="149"/>
      <c r="M482" s="149"/>
      <c r="N482" s="153">
        <f t="shared" si="22"/>
        <v>0</v>
      </c>
      <c r="O482" s="153">
        <f t="shared" si="23"/>
        <v>0</v>
      </c>
      <c r="P482" s="146"/>
    </row>
    <row r="483" spans="2:16" x14ac:dyDescent="0.3">
      <c r="B483" s="146">
        <v>476</v>
      </c>
      <c r="C483" s="147"/>
      <c r="D483" s="147"/>
      <c r="E483" s="146"/>
      <c r="F483" s="148" t="str">
        <f>+IFERROR(VLOOKUP(E483,Data!C479:D574,2,0),"")</f>
        <v/>
      </c>
      <c r="G483" s="146"/>
      <c r="H483" s="149"/>
      <c r="I483" s="150"/>
      <c r="J483" s="151" t="str">
        <f t="shared" si="21"/>
        <v>-</v>
      </c>
      <c r="K483" s="152"/>
      <c r="L483" s="149"/>
      <c r="M483" s="149"/>
      <c r="N483" s="153">
        <f t="shared" si="22"/>
        <v>0</v>
      </c>
      <c r="O483" s="153">
        <f t="shared" si="23"/>
        <v>0</v>
      </c>
      <c r="P483" s="146"/>
    </row>
    <row r="484" spans="2:16" x14ac:dyDescent="0.3">
      <c r="B484" s="146">
        <v>477</v>
      </c>
      <c r="C484" s="147"/>
      <c r="D484" s="147"/>
      <c r="E484" s="146"/>
      <c r="F484" s="148" t="str">
        <f>+IFERROR(VLOOKUP(E484,Data!C480:D575,2,0),"")</f>
        <v/>
      </c>
      <c r="G484" s="146"/>
      <c r="H484" s="149"/>
      <c r="I484" s="150"/>
      <c r="J484" s="151" t="str">
        <f t="shared" si="21"/>
        <v>-</v>
      </c>
      <c r="K484" s="152"/>
      <c r="L484" s="149"/>
      <c r="M484" s="149"/>
      <c r="N484" s="153">
        <f t="shared" si="22"/>
        <v>0</v>
      </c>
      <c r="O484" s="153">
        <f t="shared" si="23"/>
        <v>0</v>
      </c>
      <c r="P484" s="146"/>
    </row>
    <row r="485" spans="2:16" x14ac:dyDescent="0.3">
      <c r="B485" s="146">
        <v>478</v>
      </c>
      <c r="C485" s="147"/>
      <c r="D485" s="147"/>
      <c r="E485" s="146"/>
      <c r="F485" s="148" t="str">
        <f>+IFERROR(VLOOKUP(E485,Data!C481:D576,2,0),"")</f>
        <v/>
      </c>
      <c r="G485" s="146"/>
      <c r="H485" s="149"/>
      <c r="I485" s="150"/>
      <c r="J485" s="151" t="str">
        <f t="shared" si="21"/>
        <v>-</v>
      </c>
      <c r="K485" s="152"/>
      <c r="L485" s="149"/>
      <c r="M485" s="149"/>
      <c r="N485" s="153">
        <f t="shared" si="22"/>
        <v>0</v>
      </c>
      <c r="O485" s="153">
        <f t="shared" si="23"/>
        <v>0</v>
      </c>
      <c r="P485" s="146"/>
    </row>
    <row r="486" spans="2:16" x14ac:dyDescent="0.3">
      <c r="B486" s="146">
        <v>479</v>
      </c>
      <c r="C486" s="147"/>
      <c r="D486" s="147"/>
      <c r="E486" s="146"/>
      <c r="F486" s="148" t="str">
        <f>+IFERROR(VLOOKUP(E486,Data!C482:D577,2,0),"")</f>
        <v/>
      </c>
      <c r="G486" s="146"/>
      <c r="H486" s="149"/>
      <c r="I486" s="150"/>
      <c r="J486" s="151" t="str">
        <f t="shared" si="21"/>
        <v>-</v>
      </c>
      <c r="K486" s="152"/>
      <c r="L486" s="149"/>
      <c r="M486" s="149"/>
      <c r="N486" s="153">
        <f t="shared" si="22"/>
        <v>0</v>
      </c>
      <c r="O486" s="153">
        <f t="shared" si="23"/>
        <v>0</v>
      </c>
      <c r="P486" s="146"/>
    </row>
    <row r="487" spans="2:16" x14ac:dyDescent="0.3">
      <c r="B487" s="146">
        <v>480</v>
      </c>
      <c r="C487" s="147"/>
      <c r="D487" s="147"/>
      <c r="E487" s="146"/>
      <c r="F487" s="148" t="str">
        <f>+IFERROR(VLOOKUP(E487,Data!C483:D578,2,0),"")</f>
        <v/>
      </c>
      <c r="G487" s="146"/>
      <c r="H487" s="149"/>
      <c r="I487" s="150"/>
      <c r="J487" s="151" t="str">
        <f t="shared" si="21"/>
        <v>-</v>
      </c>
      <c r="K487" s="152"/>
      <c r="L487" s="149"/>
      <c r="M487" s="149"/>
      <c r="N487" s="153">
        <f t="shared" si="22"/>
        <v>0</v>
      </c>
      <c r="O487" s="153">
        <f t="shared" si="23"/>
        <v>0</v>
      </c>
      <c r="P487" s="146"/>
    </row>
    <row r="488" spans="2:16" x14ac:dyDescent="0.3">
      <c r="B488" s="146">
        <v>481</v>
      </c>
      <c r="C488" s="147"/>
      <c r="D488" s="147"/>
      <c r="E488" s="146"/>
      <c r="F488" s="148" t="str">
        <f>+IFERROR(VLOOKUP(E488,Data!C484:D579,2,0),"")</f>
        <v/>
      </c>
      <c r="G488" s="146"/>
      <c r="H488" s="149"/>
      <c r="I488" s="150"/>
      <c r="J488" s="151" t="str">
        <f t="shared" si="21"/>
        <v>-</v>
      </c>
      <c r="K488" s="152"/>
      <c r="L488" s="149"/>
      <c r="M488" s="149"/>
      <c r="N488" s="153">
        <f t="shared" si="22"/>
        <v>0</v>
      </c>
      <c r="O488" s="153">
        <f t="shared" si="23"/>
        <v>0</v>
      </c>
      <c r="P488" s="146"/>
    </row>
    <row r="489" spans="2:16" x14ac:dyDescent="0.3">
      <c r="B489" s="146">
        <v>482</v>
      </c>
      <c r="C489" s="147"/>
      <c r="D489" s="147"/>
      <c r="E489" s="146"/>
      <c r="F489" s="148" t="str">
        <f>+IFERROR(VLOOKUP(E489,Data!C485:D580,2,0),"")</f>
        <v/>
      </c>
      <c r="G489" s="146"/>
      <c r="H489" s="149"/>
      <c r="I489" s="150"/>
      <c r="J489" s="151" t="str">
        <f t="shared" si="21"/>
        <v>-</v>
      </c>
      <c r="K489" s="152"/>
      <c r="L489" s="149"/>
      <c r="M489" s="149"/>
      <c r="N489" s="153">
        <f t="shared" si="22"/>
        <v>0</v>
      </c>
      <c r="O489" s="153">
        <f t="shared" si="23"/>
        <v>0</v>
      </c>
      <c r="P489" s="146"/>
    </row>
    <row r="490" spans="2:16" x14ac:dyDescent="0.3">
      <c r="B490" s="146">
        <v>483</v>
      </c>
      <c r="C490" s="147"/>
      <c r="D490" s="147"/>
      <c r="E490" s="146"/>
      <c r="F490" s="148" t="str">
        <f>+IFERROR(VLOOKUP(E490,Data!C486:D581,2,0),"")</f>
        <v/>
      </c>
      <c r="G490" s="146"/>
      <c r="H490" s="149"/>
      <c r="I490" s="150"/>
      <c r="J490" s="151" t="str">
        <f t="shared" si="21"/>
        <v>-</v>
      </c>
      <c r="K490" s="152"/>
      <c r="L490" s="149"/>
      <c r="M490" s="149"/>
      <c r="N490" s="153">
        <f t="shared" si="22"/>
        <v>0</v>
      </c>
      <c r="O490" s="153">
        <f t="shared" si="23"/>
        <v>0</v>
      </c>
      <c r="P490" s="146"/>
    </row>
    <row r="491" spans="2:16" x14ac:dyDescent="0.3">
      <c r="B491" s="146">
        <v>484</v>
      </c>
      <c r="C491" s="147"/>
      <c r="D491" s="147"/>
      <c r="E491" s="146"/>
      <c r="F491" s="148" t="str">
        <f>+IFERROR(VLOOKUP(E491,Data!C487:D582,2,0),"")</f>
        <v/>
      </c>
      <c r="G491" s="146"/>
      <c r="H491" s="149"/>
      <c r="I491" s="150"/>
      <c r="J491" s="151" t="str">
        <f t="shared" si="21"/>
        <v>-</v>
      </c>
      <c r="K491" s="152"/>
      <c r="L491" s="149"/>
      <c r="M491" s="149"/>
      <c r="N491" s="153">
        <f t="shared" si="22"/>
        <v>0</v>
      </c>
      <c r="O491" s="153">
        <f t="shared" si="23"/>
        <v>0</v>
      </c>
      <c r="P491" s="146"/>
    </row>
    <row r="492" spans="2:16" x14ac:dyDescent="0.3">
      <c r="B492" s="146">
        <v>485</v>
      </c>
      <c r="C492" s="147"/>
      <c r="D492" s="147"/>
      <c r="E492" s="146"/>
      <c r="F492" s="148" t="str">
        <f>+IFERROR(VLOOKUP(E492,Data!C488:D583,2,0),"")</f>
        <v/>
      </c>
      <c r="G492" s="146"/>
      <c r="H492" s="149"/>
      <c r="I492" s="150"/>
      <c r="J492" s="151" t="str">
        <f t="shared" si="21"/>
        <v>-</v>
      </c>
      <c r="K492" s="152"/>
      <c r="L492" s="149"/>
      <c r="M492" s="149"/>
      <c r="N492" s="153">
        <f t="shared" si="22"/>
        <v>0</v>
      </c>
      <c r="O492" s="153">
        <f t="shared" si="23"/>
        <v>0</v>
      </c>
      <c r="P492" s="146"/>
    </row>
    <row r="493" spans="2:16" x14ac:dyDescent="0.3">
      <c r="B493" s="146">
        <v>486</v>
      </c>
      <c r="C493" s="147"/>
      <c r="D493" s="147"/>
      <c r="E493" s="146"/>
      <c r="F493" s="148" t="str">
        <f>+IFERROR(VLOOKUP(E493,Data!C489:D584,2,0),"")</f>
        <v/>
      </c>
      <c r="G493" s="146"/>
      <c r="H493" s="149"/>
      <c r="I493" s="150"/>
      <c r="J493" s="151" t="str">
        <f t="shared" si="21"/>
        <v>-</v>
      </c>
      <c r="K493" s="152"/>
      <c r="L493" s="149"/>
      <c r="M493" s="149"/>
      <c r="N493" s="153">
        <f t="shared" si="22"/>
        <v>0</v>
      </c>
      <c r="O493" s="153">
        <f t="shared" si="23"/>
        <v>0</v>
      </c>
      <c r="P493" s="146"/>
    </row>
    <row r="494" spans="2:16" x14ac:dyDescent="0.3">
      <c r="B494" s="146">
        <v>487</v>
      </c>
      <c r="C494" s="147"/>
      <c r="D494" s="147"/>
      <c r="E494" s="146"/>
      <c r="F494" s="148" t="str">
        <f>+IFERROR(VLOOKUP(E494,Data!C490:D585,2,0),"")</f>
        <v/>
      </c>
      <c r="G494" s="146"/>
      <c r="H494" s="149"/>
      <c r="I494" s="150"/>
      <c r="J494" s="151" t="str">
        <f t="shared" si="21"/>
        <v>-</v>
      </c>
      <c r="K494" s="152"/>
      <c r="L494" s="149"/>
      <c r="M494" s="149"/>
      <c r="N494" s="153">
        <f t="shared" si="22"/>
        <v>0</v>
      </c>
      <c r="O494" s="153">
        <f t="shared" si="23"/>
        <v>0</v>
      </c>
      <c r="P494" s="146"/>
    </row>
    <row r="495" spans="2:16" x14ac:dyDescent="0.3">
      <c r="B495" s="146">
        <v>488</v>
      </c>
      <c r="C495" s="147"/>
      <c r="D495" s="147"/>
      <c r="E495" s="146"/>
      <c r="F495" s="148" t="str">
        <f>+IFERROR(VLOOKUP(E495,Data!C491:D586,2,0),"")</f>
        <v/>
      </c>
      <c r="G495" s="146"/>
      <c r="H495" s="149"/>
      <c r="I495" s="150"/>
      <c r="J495" s="151" t="str">
        <f t="shared" si="21"/>
        <v>-</v>
      </c>
      <c r="K495" s="152"/>
      <c r="L495" s="149"/>
      <c r="M495" s="149"/>
      <c r="N495" s="153">
        <f t="shared" si="22"/>
        <v>0</v>
      </c>
      <c r="O495" s="153">
        <f t="shared" si="23"/>
        <v>0</v>
      </c>
      <c r="P495" s="146"/>
    </row>
    <row r="496" spans="2:16" x14ac:dyDescent="0.3">
      <c r="B496" s="146">
        <v>489</v>
      </c>
      <c r="C496" s="147"/>
      <c r="D496" s="147"/>
      <c r="E496" s="146"/>
      <c r="F496" s="148" t="str">
        <f>+IFERROR(VLOOKUP(E496,Data!C492:D587,2,0),"")</f>
        <v/>
      </c>
      <c r="G496" s="146"/>
      <c r="H496" s="149"/>
      <c r="I496" s="150"/>
      <c r="J496" s="151" t="str">
        <f t="shared" si="21"/>
        <v>-</v>
      </c>
      <c r="K496" s="152"/>
      <c r="L496" s="149"/>
      <c r="M496" s="149"/>
      <c r="N496" s="153">
        <f t="shared" si="22"/>
        <v>0</v>
      </c>
      <c r="O496" s="153">
        <f t="shared" si="23"/>
        <v>0</v>
      </c>
      <c r="P496" s="146"/>
    </row>
    <row r="497" spans="2:16" x14ac:dyDescent="0.3">
      <c r="B497" s="146">
        <v>490</v>
      </c>
      <c r="C497" s="147"/>
      <c r="D497" s="147"/>
      <c r="E497" s="146"/>
      <c r="F497" s="148" t="str">
        <f>+IFERROR(VLOOKUP(E497,Data!C493:D588,2,0),"")</f>
        <v/>
      </c>
      <c r="G497" s="146"/>
      <c r="H497" s="149"/>
      <c r="I497" s="150"/>
      <c r="J497" s="151" t="str">
        <f t="shared" si="21"/>
        <v>-</v>
      </c>
      <c r="K497" s="152"/>
      <c r="L497" s="149"/>
      <c r="M497" s="149"/>
      <c r="N497" s="153">
        <f t="shared" si="22"/>
        <v>0</v>
      </c>
      <c r="O497" s="153">
        <f t="shared" si="23"/>
        <v>0</v>
      </c>
      <c r="P497" s="146"/>
    </row>
    <row r="498" spans="2:16" x14ac:dyDescent="0.3">
      <c r="B498" s="146">
        <v>491</v>
      </c>
      <c r="C498" s="147"/>
      <c r="D498" s="147"/>
      <c r="E498" s="146"/>
      <c r="F498" s="148" t="str">
        <f>+IFERROR(VLOOKUP(E498,Data!C494:D589,2,0),"")</f>
        <v/>
      </c>
      <c r="G498" s="146"/>
      <c r="H498" s="149"/>
      <c r="I498" s="150"/>
      <c r="J498" s="151" t="str">
        <f t="shared" si="21"/>
        <v>-</v>
      </c>
      <c r="K498" s="152"/>
      <c r="L498" s="149"/>
      <c r="M498" s="149"/>
      <c r="N498" s="153">
        <f t="shared" si="22"/>
        <v>0</v>
      </c>
      <c r="O498" s="153">
        <f t="shared" si="23"/>
        <v>0</v>
      </c>
      <c r="P498" s="146"/>
    </row>
    <row r="499" spans="2:16" x14ac:dyDescent="0.3">
      <c r="B499" s="146">
        <v>492</v>
      </c>
      <c r="C499" s="147"/>
      <c r="D499" s="147"/>
      <c r="E499" s="146"/>
      <c r="F499" s="148" t="str">
        <f>+IFERROR(VLOOKUP(E499,Data!C495:D590,2,0),"")</f>
        <v/>
      </c>
      <c r="G499" s="146"/>
      <c r="H499" s="149"/>
      <c r="I499" s="150"/>
      <c r="J499" s="151" t="str">
        <f t="shared" si="21"/>
        <v>-</v>
      </c>
      <c r="K499" s="152"/>
      <c r="L499" s="149"/>
      <c r="M499" s="149"/>
      <c r="N499" s="153">
        <f t="shared" si="22"/>
        <v>0</v>
      </c>
      <c r="O499" s="153">
        <f t="shared" si="23"/>
        <v>0</v>
      </c>
      <c r="P499" s="146"/>
    </row>
    <row r="500" spans="2:16" x14ac:dyDescent="0.3">
      <c r="B500" s="146">
        <v>493</v>
      </c>
      <c r="C500" s="147"/>
      <c r="D500" s="147"/>
      <c r="E500" s="146"/>
      <c r="F500" s="148" t="str">
        <f>+IFERROR(VLOOKUP(E500,Data!C496:D591,2,0),"")</f>
        <v/>
      </c>
      <c r="G500" s="146"/>
      <c r="H500" s="149"/>
      <c r="I500" s="150"/>
      <c r="J500" s="151" t="str">
        <f t="shared" si="21"/>
        <v>-</v>
      </c>
      <c r="K500" s="152"/>
      <c r="L500" s="149"/>
      <c r="M500" s="149"/>
      <c r="N500" s="153">
        <f t="shared" si="22"/>
        <v>0</v>
      </c>
      <c r="O500" s="153">
        <f t="shared" si="23"/>
        <v>0</v>
      </c>
      <c r="P500" s="146"/>
    </row>
    <row r="501" spans="2:16" x14ac:dyDescent="0.3">
      <c r="B501" s="146">
        <v>494</v>
      </c>
      <c r="C501" s="147"/>
      <c r="D501" s="147"/>
      <c r="E501" s="146"/>
      <c r="F501" s="148" t="str">
        <f>+IFERROR(VLOOKUP(E501,Data!C497:D592,2,0),"")</f>
        <v/>
      </c>
      <c r="G501" s="146"/>
      <c r="H501" s="149"/>
      <c r="I501" s="150"/>
      <c r="J501" s="151" t="str">
        <f t="shared" si="21"/>
        <v>-</v>
      </c>
      <c r="K501" s="152"/>
      <c r="L501" s="149"/>
      <c r="M501" s="149"/>
      <c r="N501" s="153">
        <f t="shared" si="22"/>
        <v>0</v>
      </c>
      <c r="O501" s="153">
        <f t="shared" si="23"/>
        <v>0</v>
      </c>
      <c r="P501" s="146"/>
    </row>
    <row r="502" spans="2:16" x14ac:dyDescent="0.3">
      <c r="B502" s="146">
        <v>495</v>
      </c>
      <c r="C502" s="147"/>
      <c r="D502" s="147"/>
      <c r="E502" s="146"/>
      <c r="F502" s="148" t="str">
        <f>+IFERROR(VLOOKUP(E502,Data!C498:D593,2,0),"")</f>
        <v/>
      </c>
      <c r="G502" s="146"/>
      <c r="H502" s="149"/>
      <c r="I502" s="150"/>
      <c r="J502" s="151" t="str">
        <f t="shared" ref="J502:J565" si="24">IFERROR(+I502/H502,"-")</f>
        <v>-</v>
      </c>
      <c r="K502" s="152"/>
      <c r="L502" s="149"/>
      <c r="M502" s="149"/>
      <c r="N502" s="153">
        <f t="shared" ref="N502:N565" si="25">+L502+M502</f>
        <v>0</v>
      </c>
      <c r="O502" s="153">
        <f t="shared" ref="O502:O565" si="26">+N502-K502</f>
        <v>0</v>
      </c>
      <c r="P502" s="146"/>
    </row>
    <row r="503" spans="2:16" x14ac:dyDescent="0.3">
      <c r="B503" s="146">
        <v>496</v>
      </c>
      <c r="C503" s="147"/>
      <c r="D503" s="147"/>
      <c r="E503" s="146"/>
      <c r="F503" s="148" t="str">
        <f>+IFERROR(VLOOKUP(E503,Data!C499:D594,2,0),"")</f>
        <v/>
      </c>
      <c r="G503" s="146"/>
      <c r="H503" s="149"/>
      <c r="I503" s="150"/>
      <c r="J503" s="151" t="str">
        <f t="shared" si="24"/>
        <v>-</v>
      </c>
      <c r="K503" s="152"/>
      <c r="L503" s="149"/>
      <c r="M503" s="149"/>
      <c r="N503" s="153">
        <f t="shared" si="25"/>
        <v>0</v>
      </c>
      <c r="O503" s="153">
        <f t="shared" si="26"/>
        <v>0</v>
      </c>
      <c r="P503" s="146"/>
    </row>
    <row r="504" spans="2:16" x14ac:dyDescent="0.3">
      <c r="B504" s="146">
        <v>497</v>
      </c>
      <c r="C504" s="147"/>
      <c r="D504" s="147"/>
      <c r="E504" s="146"/>
      <c r="F504" s="148" t="str">
        <f>+IFERROR(VLOOKUP(E504,Data!C500:D595,2,0),"")</f>
        <v/>
      </c>
      <c r="G504" s="146"/>
      <c r="H504" s="149"/>
      <c r="I504" s="150"/>
      <c r="J504" s="151" t="str">
        <f t="shared" si="24"/>
        <v>-</v>
      </c>
      <c r="K504" s="152"/>
      <c r="L504" s="149"/>
      <c r="M504" s="149"/>
      <c r="N504" s="153">
        <f t="shared" si="25"/>
        <v>0</v>
      </c>
      <c r="O504" s="153">
        <f t="shared" si="26"/>
        <v>0</v>
      </c>
      <c r="P504" s="146"/>
    </row>
    <row r="505" spans="2:16" x14ac:dyDescent="0.3">
      <c r="B505" s="146">
        <v>498</v>
      </c>
      <c r="C505" s="147"/>
      <c r="D505" s="147"/>
      <c r="E505" s="146"/>
      <c r="F505" s="148" t="str">
        <f>+IFERROR(VLOOKUP(E505,Data!C501:D596,2,0),"")</f>
        <v/>
      </c>
      <c r="G505" s="146"/>
      <c r="H505" s="149"/>
      <c r="I505" s="150"/>
      <c r="J505" s="151" t="str">
        <f t="shared" si="24"/>
        <v>-</v>
      </c>
      <c r="K505" s="152"/>
      <c r="L505" s="149"/>
      <c r="M505" s="149"/>
      <c r="N505" s="153">
        <f t="shared" si="25"/>
        <v>0</v>
      </c>
      <c r="O505" s="153">
        <f t="shared" si="26"/>
        <v>0</v>
      </c>
      <c r="P505" s="146"/>
    </row>
    <row r="506" spans="2:16" x14ac:dyDescent="0.3">
      <c r="B506" s="146">
        <v>499</v>
      </c>
      <c r="C506" s="147"/>
      <c r="D506" s="147"/>
      <c r="E506" s="146"/>
      <c r="F506" s="148" t="str">
        <f>+IFERROR(VLOOKUP(E506,Data!C502:D597,2,0),"")</f>
        <v/>
      </c>
      <c r="G506" s="146"/>
      <c r="H506" s="149"/>
      <c r="I506" s="150"/>
      <c r="J506" s="151" t="str">
        <f t="shared" si="24"/>
        <v>-</v>
      </c>
      <c r="K506" s="152"/>
      <c r="L506" s="149"/>
      <c r="M506" s="149"/>
      <c r="N506" s="153">
        <f t="shared" si="25"/>
        <v>0</v>
      </c>
      <c r="O506" s="153">
        <f t="shared" si="26"/>
        <v>0</v>
      </c>
      <c r="P506" s="146"/>
    </row>
    <row r="507" spans="2:16" x14ac:dyDescent="0.3">
      <c r="B507" s="146">
        <v>500</v>
      </c>
      <c r="C507" s="147"/>
      <c r="D507" s="147"/>
      <c r="E507" s="146"/>
      <c r="F507" s="148" t="str">
        <f>+IFERROR(VLOOKUP(E507,Data!C503:D598,2,0),"")</f>
        <v/>
      </c>
      <c r="G507" s="146"/>
      <c r="H507" s="149"/>
      <c r="I507" s="150"/>
      <c r="J507" s="151" t="str">
        <f t="shared" si="24"/>
        <v>-</v>
      </c>
      <c r="K507" s="152"/>
      <c r="L507" s="149"/>
      <c r="M507" s="149"/>
      <c r="N507" s="153">
        <f t="shared" si="25"/>
        <v>0</v>
      </c>
      <c r="O507" s="153">
        <f t="shared" si="26"/>
        <v>0</v>
      </c>
      <c r="P507" s="146"/>
    </row>
    <row r="508" spans="2:16" x14ac:dyDescent="0.3">
      <c r="B508" s="146">
        <v>501</v>
      </c>
      <c r="C508" s="147"/>
      <c r="D508" s="147"/>
      <c r="E508" s="146"/>
      <c r="F508" s="148" t="str">
        <f>+IFERROR(VLOOKUP(E508,Data!C504:D599,2,0),"")</f>
        <v/>
      </c>
      <c r="G508" s="146"/>
      <c r="H508" s="149"/>
      <c r="I508" s="150"/>
      <c r="J508" s="151" t="str">
        <f t="shared" si="24"/>
        <v>-</v>
      </c>
      <c r="K508" s="152"/>
      <c r="L508" s="149"/>
      <c r="M508" s="149"/>
      <c r="N508" s="153">
        <f t="shared" si="25"/>
        <v>0</v>
      </c>
      <c r="O508" s="153">
        <f t="shared" si="26"/>
        <v>0</v>
      </c>
      <c r="P508" s="146"/>
    </row>
    <row r="509" spans="2:16" x14ac:dyDescent="0.3">
      <c r="B509" s="146">
        <v>502</v>
      </c>
      <c r="C509" s="147"/>
      <c r="D509" s="147"/>
      <c r="E509" s="146"/>
      <c r="F509" s="148" t="str">
        <f>+IFERROR(VLOOKUP(E509,Data!C505:D600,2,0),"")</f>
        <v/>
      </c>
      <c r="G509" s="146"/>
      <c r="H509" s="149"/>
      <c r="I509" s="150"/>
      <c r="J509" s="151" t="str">
        <f t="shared" si="24"/>
        <v>-</v>
      </c>
      <c r="K509" s="152"/>
      <c r="L509" s="149"/>
      <c r="M509" s="149"/>
      <c r="N509" s="153">
        <f t="shared" si="25"/>
        <v>0</v>
      </c>
      <c r="O509" s="153">
        <f t="shared" si="26"/>
        <v>0</v>
      </c>
      <c r="P509" s="146"/>
    </row>
    <row r="510" spans="2:16" x14ac:dyDescent="0.3">
      <c r="B510" s="146">
        <v>503</v>
      </c>
      <c r="C510" s="147"/>
      <c r="D510" s="147"/>
      <c r="E510" s="146"/>
      <c r="F510" s="148" t="str">
        <f>+IFERROR(VLOOKUP(E510,Data!C506:D601,2,0),"")</f>
        <v/>
      </c>
      <c r="G510" s="146"/>
      <c r="H510" s="149"/>
      <c r="I510" s="150"/>
      <c r="J510" s="151" t="str">
        <f t="shared" si="24"/>
        <v>-</v>
      </c>
      <c r="K510" s="152"/>
      <c r="L510" s="149"/>
      <c r="M510" s="149"/>
      <c r="N510" s="153">
        <f t="shared" si="25"/>
        <v>0</v>
      </c>
      <c r="O510" s="153">
        <f t="shared" si="26"/>
        <v>0</v>
      </c>
      <c r="P510" s="146"/>
    </row>
    <row r="511" spans="2:16" x14ac:dyDescent="0.3">
      <c r="B511" s="146">
        <v>504</v>
      </c>
      <c r="C511" s="147"/>
      <c r="D511" s="147"/>
      <c r="E511" s="146"/>
      <c r="F511" s="148" t="str">
        <f>+IFERROR(VLOOKUP(E511,Data!C507:D602,2,0),"")</f>
        <v/>
      </c>
      <c r="G511" s="146"/>
      <c r="H511" s="149"/>
      <c r="I511" s="150"/>
      <c r="J511" s="151" t="str">
        <f t="shared" si="24"/>
        <v>-</v>
      </c>
      <c r="K511" s="152"/>
      <c r="L511" s="149"/>
      <c r="M511" s="149"/>
      <c r="N511" s="153">
        <f t="shared" si="25"/>
        <v>0</v>
      </c>
      <c r="O511" s="153">
        <f t="shared" si="26"/>
        <v>0</v>
      </c>
      <c r="P511" s="146"/>
    </row>
    <row r="512" spans="2:16" x14ac:dyDescent="0.3">
      <c r="B512" s="146">
        <v>505</v>
      </c>
      <c r="C512" s="147"/>
      <c r="D512" s="147"/>
      <c r="E512" s="146"/>
      <c r="F512" s="148" t="str">
        <f>+IFERROR(VLOOKUP(E512,Data!C508:D603,2,0),"")</f>
        <v/>
      </c>
      <c r="G512" s="146"/>
      <c r="H512" s="149"/>
      <c r="I512" s="150"/>
      <c r="J512" s="151" t="str">
        <f t="shared" si="24"/>
        <v>-</v>
      </c>
      <c r="K512" s="152"/>
      <c r="L512" s="149"/>
      <c r="M512" s="149"/>
      <c r="N512" s="153">
        <f t="shared" si="25"/>
        <v>0</v>
      </c>
      <c r="O512" s="153">
        <f t="shared" si="26"/>
        <v>0</v>
      </c>
      <c r="P512" s="146"/>
    </row>
    <row r="513" spans="2:16" x14ac:dyDescent="0.3">
      <c r="B513" s="146">
        <v>506</v>
      </c>
      <c r="C513" s="147"/>
      <c r="D513" s="147"/>
      <c r="E513" s="146"/>
      <c r="F513" s="148" t="str">
        <f>+IFERROR(VLOOKUP(E513,Data!C509:D604,2,0),"")</f>
        <v/>
      </c>
      <c r="G513" s="146"/>
      <c r="H513" s="149"/>
      <c r="I513" s="150"/>
      <c r="J513" s="151" t="str">
        <f t="shared" si="24"/>
        <v>-</v>
      </c>
      <c r="K513" s="152"/>
      <c r="L513" s="149"/>
      <c r="M513" s="149"/>
      <c r="N513" s="153">
        <f t="shared" si="25"/>
        <v>0</v>
      </c>
      <c r="O513" s="153">
        <f t="shared" si="26"/>
        <v>0</v>
      </c>
      <c r="P513" s="146"/>
    </row>
    <row r="514" spans="2:16" x14ac:dyDescent="0.3">
      <c r="B514" s="146">
        <v>507</v>
      </c>
      <c r="C514" s="147"/>
      <c r="D514" s="147"/>
      <c r="E514" s="146"/>
      <c r="F514" s="148" t="str">
        <f>+IFERROR(VLOOKUP(E514,Data!C510:D605,2,0),"")</f>
        <v/>
      </c>
      <c r="G514" s="146"/>
      <c r="H514" s="149"/>
      <c r="I514" s="150"/>
      <c r="J514" s="151" t="str">
        <f t="shared" si="24"/>
        <v>-</v>
      </c>
      <c r="K514" s="152"/>
      <c r="L514" s="149"/>
      <c r="M514" s="149"/>
      <c r="N514" s="153">
        <f t="shared" si="25"/>
        <v>0</v>
      </c>
      <c r="O514" s="153">
        <f t="shared" si="26"/>
        <v>0</v>
      </c>
      <c r="P514" s="146"/>
    </row>
    <row r="515" spans="2:16" x14ac:dyDescent="0.3">
      <c r="B515" s="146">
        <v>508</v>
      </c>
      <c r="C515" s="147"/>
      <c r="D515" s="147"/>
      <c r="E515" s="146"/>
      <c r="F515" s="148" t="str">
        <f>+IFERROR(VLOOKUP(E515,Data!C511:D606,2,0),"")</f>
        <v/>
      </c>
      <c r="G515" s="146"/>
      <c r="H515" s="149"/>
      <c r="I515" s="150"/>
      <c r="J515" s="151" t="str">
        <f t="shared" si="24"/>
        <v>-</v>
      </c>
      <c r="K515" s="152"/>
      <c r="L515" s="149"/>
      <c r="M515" s="149"/>
      <c r="N515" s="153">
        <f t="shared" si="25"/>
        <v>0</v>
      </c>
      <c r="O515" s="153">
        <f t="shared" si="26"/>
        <v>0</v>
      </c>
      <c r="P515" s="146"/>
    </row>
    <row r="516" spans="2:16" x14ac:dyDescent="0.3">
      <c r="B516" s="146">
        <v>509</v>
      </c>
      <c r="C516" s="147"/>
      <c r="D516" s="147"/>
      <c r="E516" s="146"/>
      <c r="F516" s="148" t="str">
        <f>+IFERROR(VLOOKUP(E516,Data!C512:D607,2,0),"")</f>
        <v/>
      </c>
      <c r="G516" s="146"/>
      <c r="H516" s="149"/>
      <c r="I516" s="150"/>
      <c r="J516" s="151" t="str">
        <f t="shared" si="24"/>
        <v>-</v>
      </c>
      <c r="K516" s="152"/>
      <c r="L516" s="149"/>
      <c r="M516" s="149"/>
      <c r="N516" s="153">
        <f t="shared" si="25"/>
        <v>0</v>
      </c>
      <c r="O516" s="153">
        <f t="shared" si="26"/>
        <v>0</v>
      </c>
      <c r="P516" s="146"/>
    </row>
    <row r="517" spans="2:16" x14ac:dyDescent="0.3">
      <c r="B517" s="146">
        <v>510</v>
      </c>
      <c r="C517" s="147"/>
      <c r="D517" s="147"/>
      <c r="E517" s="146"/>
      <c r="F517" s="148" t="str">
        <f>+IFERROR(VLOOKUP(E517,Data!C513:D608,2,0),"")</f>
        <v/>
      </c>
      <c r="G517" s="146"/>
      <c r="H517" s="149"/>
      <c r="I517" s="150"/>
      <c r="J517" s="151" t="str">
        <f t="shared" si="24"/>
        <v>-</v>
      </c>
      <c r="K517" s="152"/>
      <c r="L517" s="149"/>
      <c r="M517" s="149"/>
      <c r="N517" s="153">
        <f t="shared" si="25"/>
        <v>0</v>
      </c>
      <c r="O517" s="153">
        <f t="shared" si="26"/>
        <v>0</v>
      </c>
      <c r="P517" s="146"/>
    </row>
    <row r="518" spans="2:16" x14ac:dyDescent="0.3">
      <c r="B518" s="146">
        <v>511</v>
      </c>
      <c r="C518" s="147"/>
      <c r="D518" s="147"/>
      <c r="E518" s="146"/>
      <c r="F518" s="148" t="str">
        <f>+IFERROR(VLOOKUP(E518,Data!C514:D609,2,0),"")</f>
        <v/>
      </c>
      <c r="G518" s="146"/>
      <c r="H518" s="149"/>
      <c r="I518" s="150"/>
      <c r="J518" s="151" t="str">
        <f t="shared" si="24"/>
        <v>-</v>
      </c>
      <c r="K518" s="152"/>
      <c r="L518" s="149"/>
      <c r="M518" s="149"/>
      <c r="N518" s="153">
        <f t="shared" si="25"/>
        <v>0</v>
      </c>
      <c r="O518" s="153">
        <f t="shared" si="26"/>
        <v>0</v>
      </c>
      <c r="P518" s="146"/>
    </row>
    <row r="519" spans="2:16" x14ac:dyDescent="0.3">
      <c r="B519" s="146">
        <v>512</v>
      </c>
      <c r="C519" s="147"/>
      <c r="D519" s="147"/>
      <c r="E519" s="146"/>
      <c r="F519" s="148" t="str">
        <f>+IFERROR(VLOOKUP(E519,Data!C515:D610,2,0),"")</f>
        <v/>
      </c>
      <c r="G519" s="146"/>
      <c r="H519" s="149"/>
      <c r="I519" s="150"/>
      <c r="J519" s="151" t="str">
        <f t="shared" si="24"/>
        <v>-</v>
      </c>
      <c r="K519" s="152"/>
      <c r="L519" s="149"/>
      <c r="M519" s="149"/>
      <c r="N519" s="153">
        <f t="shared" si="25"/>
        <v>0</v>
      </c>
      <c r="O519" s="153">
        <f t="shared" si="26"/>
        <v>0</v>
      </c>
      <c r="P519" s="146"/>
    </row>
    <row r="520" spans="2:16" x14ac:dyDescent="0.3">
      <c r="B520" s="146">
        <v>513</v>
      </c>
      <c r="C520" s="147"/>
      <c r="D520" s="147"/>
      <c r="E520" s="146"/>
      <c r="F520" s="148" t="str">
        <f>+IFERROR(VLOOKUP(E520,Data!C516:D611,2,0),"")</f>
        <v/>
      </c>
      <c r="G520" s="146"/>
      <c r="H520" s="149"/>
      <c r="I520" s="150"/>
      <c r="J520" s="151" t="str">
        <f t="shared" si="24"/>
        <v>-</v>
      </c>
      <c r="K520" s="152"/>
      <c r="L520" s="149"/>
      <c r="M520" s="149"/>
      <c r="N520" s="153">
        <f t="shared" si="25"/>
        <v>0</v>
      </c>
      <c r="O520" s="153">
        <f t="shared" si="26"/>
        <v>0</v>
      </c>
      <c r="P520" s="146"/>
    </row>
    <row r="521" spans="2:16" x14ac:dyDescent="0.3">
      <c r="B521" s="146">
        <v>514</v>
      </c>
      <c r="C521" s="147"/>
      <c r="D521" s="147"/>
      <c r="E521" s="146"/>
      <c r="F521" s="148" t="str">
        <f>+IFERROR(VLOOKUP(E521,Data!C517:D612,2,0),"")</f>
        <v/>
      </c>
      <c r="G521" s="146"/>
      <c r="H521" s="149"/>
      <c r="I521" s="150"/>
      <c r="J521" s="151" t="str">
        <f t="shared" si="24"/>
        <v>-</v>
      </c>
      <c r="K521" s="152"/>
      <c r="L521" s="149"/>
      <c r="M521" s="149"/>
      <c r="N521" s="153">
        <f t="shared" si="25"/>
        <v>0</v>
      </c>
      <c r="O521" s="153">
        <f t="shared" si="26"/>
        <v>0</v>
      </c>
      <c r="P521" s="146"/>
    </row>
    <row r="522" spans="2:16" x14ac:dyDescent="0.3">
      <c r="B522" s="146">
        <v>515</v>
      </c>
      <c r="C522" s="147"/>
      <c r="D522" s="147"/>
      <c r="E522" s="146"/>
      <c r="F522" s="148" t="str">
        <f>+IFERROR(VLOOKUP(E522,Data!C518:D613,2,0),"")</f>
        <v/>
      </c>
      <c r="G522" s="146"/>
      <c r="H522" s="149"/>
      <c r="I522" s="150"/>
      <c r="J522" s="151" t="str">
        <f t="shared" si="24"/>
        <v>-</v>
      </c>
      <c r="K522" s="152"/>
      <c r="L522" s="149"/>
      <c r="M522" s="149"/>
      <c r="N522" s="153">
        <f t="shared" si="25"/>
        <v>0</v>
      </c>
      <c r="O522" s="153">
        <f t="shared" si="26"/>
        <v>0</v>
      </c>
      <c r="P522" s="146"/>
    </row>
    <row r="523" spans="2:16" x14ac:dyDescent="0.3">
      <c r="B523" s="146">
        <v>516</v>
      </c>
      <c r="C523" s="147"/>
      <c r="D523" s="147"/>
      <c r="E523" s="146"/>
      <c r="F523" s="148" t="str">
        <f>+IFERROR(VLOOKUP(E523,Data!C519:D614,2,0),"")</f>
        <v/>
      </c>
      <c r="G523" s="146"/>
      <c r="H523" s="149"/>
      <c r="I523" s="150"/>
      <c r="J523" s="151" t="str">
        <f t="shared" si="24"/>
        <v>-</v>
      </c>
      <c r="K523" s="152"/>
      <c r="L523" s="149"/>
      <c r="M523" s="149"/>
      <c r="N523" s="153">
        <f t="shared" si="25"/>
        <v>0</v>
      </c>
      <c r="O523" s="153">
        <f t="shared" si="26"/>
        <v>0</v>
      </c>
      <c r="P523" s="146"/>
    </row>
    <row r="524" spans="2:16" x14ac:dyDescent="0.3">
      <c r="B524" s="146">
        <v>517</v>
      </c>
      <c r="C524" s="147"/>
      <c r="D524" s="147"/>
      <c r="E524" s="146"/>
      <c r="F524" s="148" t="str">
        <f>+IFERROR(VLOOKUP(E524,Data!C520:D615,2,0),"")</f>
        <v/>
      </c>
      <c r="G524" s="146"/>
      <c r="H524" s="149"/>
      <c r="I524" s="150"/>
      <c r="J524" s="151" t="str">
        <f t="shared" si="24"/>
        <v>-</v>
      </c>
      <c r="K524" s="152"/>
      <c r="L524" s="149"/>
      <c r="M524" s="149"/>
      <c r="N524" s="153">
        <f t="shared" si="25"/>
        <v>0</v>
      </c>
      <c r="O524" s="153">
        <f t="shared" si="26"/>
        <v>0</v>
      </c>
      <c r="P524" s="146"/>
    </row>
    <row r="525" spans="2:16" x14ac:dyDescent="0.3">
      <c r="B525" s="146">
        <v>518</v>
      </c>
      <c r="C525" s="147"/>
      <c r="D525" s="147"/>
      <c r="E525" s="146"/>
      <c r="F525" s="148" t="str">
        <f>+IFERROR(VLOOKUP(E525,Data!C521:D616,2,0),"")</f>
        <v/>
      </c>
      <c r="G525" s="146"/>
      <c r="H525" s="149"/>
      <c r="I525" s="150"/>
      <c r="J525" s="151" t="str">
        <f t="shared" si="24"/>
        <v>-</v>
      </c>
      <c r="K525" s="152"/>
      <c r="L525" s="149"/>
      <c r="M525" s="149"/>
      <c r="N525" s="153">
        <f t="shared" si="25"/>
        <v>0</v>
      </c>
      <c r="O525" s="153">
        <f t="shared" si="26"/>
        <v>0</v>
      </c>
      <c r="P525" s="146"/>
    </row>
    <row r="526" spans="2:16" x14ac:dyDescent="0.3">
      <c r="B526" s="146">
        <v>519</v>
      </c>
      <c r="C526" s="147"/>
      <c r="D526" s="147"/>
      <c r="E526" s="146"/>
      <c r="F526" s="148" t="str">
        <f>+IFERROR(VLOOKUP(E526,Data!C522:D617,2,0),"")</f>
        <v/>
      </c>
      <c r="G526" s="146"/>
      <c r="H526" s="149"/>
      <c r="I526" s="150"/>
      <c r="J526" s="151" t="str">
        <f t="shared" si="24"/>
        <v>-</v>
      </c>
      <c r="K526" s="152"/>
      <c r="L526" s="149"/>
      <c r="M526" s="149"/>
      <c r="N526" s="153">
        <f t="shared" si="25"/>
        <v>0</v>
      </c>
      <c r="O526" s="153">
        <f t="shared" si="26"/>
        <v>0</v>
      </c>
      <c r="P526" s="146"/>
    </row>
    <row r="527" spans="2:16" x14ac:dyDescent="0.3">
      <c r="B527" s="146">
        <v>520</v>
      </c>
      <c r="C527" s="147"/>
      <c r="D527" s="147"/>
      <c r="E527" s="146"/>
      <c r="F527" s="148" t="str">
        <f>+IFERROR(VLOOKUP(E527,Data!C523:D618,2,0),"")</f>
        <v/>
      </c>
      <c r="G527" s="146"/>
      <c r="H527" s="149"/>
      <c r="I527" s="150"/>
      <c r="J527" s="151" t="str">
        <f t="shared" si="24"/>
        <v>-</v>
      </c>
      <c r="K527" s="152"/>
      <c r="L527" s="149"/>
      <c r="M527" s="149"/>
      <c r="N527" s="153">
        <f t="shared" si="25"/>
        <v>0</v>
      </c>
      <c r="O527" s="153">
        <f t="shared" si="26"/>
        <v>0</v>
      </c>
      <c r="P527" s="146"/>
    </row>
    <row r="528" spans="2:16" x14ac:dyDescent="0.3">
      <c r="B528" s="146">
        <v>521</v>
      </c>
      <c r="C528" s="147"/>
      <c r="D528" s="147"/>
      <c r="E528" s="146"/>
      <c r="F528" s="148" t="str">
        <f>+IFERROR(VLOOKUP(E528,Data!C524:D619,2,0),"")</f>
        <v/>
      </c>
      <c r="G528" s="146"/>
      <c r="H528" s="149"/>
      <c r="I528" s="150"/>
      <c r="J528" s="151" t="str">
        <f t="shared" si="24"/>
        <v>-</v>
      </c>
      <c r="K528" s="152"/>
      <c r="L528" s="149"/>
      <c r="M528" s="149"/>
      <c r="N528" s="153">
        <f t="shared" si="25"/>
        <v>0</v>
      </c>
      <c r="O528" s="153">
        <f t="shared" si="26"/>
        <v>0</v>
      </c>
      <c r="P528" s="146"/>
    </row>
    <row r="529" spans="2:16" x14ac:dyDescent="0.3">
      <c r="B529" s="146">
        <v>522</v>
      </c>
      <c r="C529" s="147"/>
      <c r="D529" s="147"/>
      <c r="E529" s="146"/>
      <c r="F529" s="148" t="str">
        <f>+IFERROR(VLOOKUP(E529,Data!C525:D620,2,0),"")</f>
        <v/>
      </c>
      <c r="G529" s="146"/>
      <c r="H529" s="149"/>
      <c r="I529" s="150"/>
      <c r="J529" s="151" t="str">
        <f t="shared" si="24"/>
        <v>-</v>
      </c>
      <c r="K529" s="152"/>
      <c r="L529" s="149"/>
      <c r="M529" s="149"/>
      <c r="N529" s="153">
        <f t="shared" si="25"/>
        <v>0</v>
      </c>
      <c r="O529" s="153">
        <f t="shared" si="26"/>
        <v>0</v>
      </c>
      <c r="P529" s="146"/>
    </row>
    <row r="530" spans="2:16" x14ac:dyDescent="0.3">
      <c r="B530" s="146">
        <v>523</v>
      </c>
      <c r="C530" s="147"/>
      <c r="D530" s="147"/>
      <c r="E530" s="146"/>
      <c r="F530" s="148" t="str">
        <f>+IFERROR(VLOOKUP(E530,Data!C526:D621,2,0),"")</f>
        <v/>
      </c>
      <c r="G530" s="146"/>
      <c r="H530" s="149"/>
      <c r="I530" s="150"/>
      <c r="J530" s="151" t="str">
        <f t="shared" si="24"/>
        <v>-</v>
      </c>
      <c r="K530" s="152"/>
      <c r="L530" s="149"/>
      <c r="M530" s="149"/>
      <c r="N530" s="153">
        <f t="shared" si="25"/>
        <v>0</v>
      </c>
      <c r="O530" s="153">
        <f t="shared" si="26"/>
        <v>0</v>
      </c>
      <c r="P530" s="146"/>
    </row>
    <row r="531" spans="2:16" x14ac:dyDescent="0.3">
      <c r="B531" s="146">
        <v>524</v>
      </c>
      <c r="C531" s="147"/>
      <c r="D531" s="147"/>
      <c r="E531" s="146"/>
      <c r="F531" s="148" t="str">
        <f>+IFERROR(VLOOKUP(E531,Data!C527:D622,2,0),"")</f>
        <v/>
      </c>
      <c r="G531" s="146"/>
      <c r="H531" s="149"/>
      <c r="I531" s="150"/>
      <c r="J531" s="151" t="str">
        <f t="shared" si="24"/>
        <v>-</v>
      </c>
      <c r="K531" s="152"/>
      <c r="L531" s="149"/>
      <c r="M531" s="149"/>
      <c r="N531" s="153">
        <f t="shared" si="25"/>
        <v>0</v>
      </c>
      <c r="O531" s="153">
        <f t="shared" si="26"/>
        <v>0</v>
      </c>
      <c r="P531" s="146"/>
    </row>
    <row r="532" spans="2:16" x14ac:dyDescent="0.3">
      <c r="B532" s="146">
        <v>525</v>
      </c>
      <c r="C532" s="147"/>
      <c r="D532" s="147"/>
      <c r="E532" s="146"/>
      <c r="F532" s="148" t="str">
        <f>+IFERROR(VLOOKUP(E532,Data!C528:D623,2,0),"")</f>
        <v/>
      </c>
      <c r="G532" s="146"/>
      <c r="H532" s="149"/>
      <c r="I532" s="150"/>
      <c r="J532" s="151" t="str">
        <f t="shared" si="24"/>
        <v>-</v>
      </c>
      <c r="K532" s="152"/>
      <c r="L532" s="149"/>
      <c r="M532" s="149"/>
      <c r="N532" s="153">
        <f t="shared" si="25"/>
        <v>0</v>
      </c>
      <c r="O532" s="153">
        <f t="shared" si="26"/>
        <v>0</v>
      </c>
      <c r="P532" s="146"/>
    </row>
    <row r="533" spans="2:16" x14ac:dyDescent="0.3">
      <c r="B533" s="146">
        <v>526</v>
      </c>
      <c r="C533" s="147"/>
      <c r="D533" s="147"/>
      <c r="E533" s="146"/>
      <c r="F533" s="148" t="str">
        <f>+IFERROR(VLOOKUP(E533,Data!C529:D624,2,0),"")</f>
        <v/>
      </c>
      <c r="G533" s="146"/>
      <c r="H533" s="149"/>
      <c r="I533" s="150"/>
      <c r="J533" s="151" t="str">
        <f t="shared" si="24"/>
        <v>-</v>
      </c>
      <c r="K533" s="152"/>
      <c r="L533" s="149"/>
      <c r="M533" s="149"/>
      <c r="N533" s="153">
        <f t="shared" si="25"/>
        <v>0</v>
      </c>
      <c r="O533" s="153">
        <f t="shared" si="26"/>
        <v>0</v>
      </c>
      <c r="P533" s="146"/>
    </row>
    <row r="534" spans="2:16" x14ac:dyDescent="0.3">
      <c r="B534" s="146">
        <v>527</v>
      </c>
      <c r="C534" s="147"/>
      <c r="D534" s="147"/>
      <c r="E534" s="146"/>
      <c r="F534" s="148" t="str">
        <f>+IFERROR(VLOOKUP(E534,Data!C530:D625,2,0),"")</f>
        <v/>
      </c>
      <c r="G534" s="146"/>
      <c r="H534" s="149"/>
      <c r="I534" s="150"/>
      <c r="J534" s="151" t="str">
        <f t="shared" si="24"/>
        <v>-</v>
      </c>
      <c r="K534" s="152"/>
      <c r="L534" s="149"/>
      <c r="M534" s="149"/>
      <c r="N534" s="153">
        <f t="shared" si="25"/>
        <v>0</v>
      </c>
      <c r="O534" s="153">
        <f t="shared" si="26"/>
        <v>0</v>
      </c>
      <c r="P534" s="146"/>
    </row>
    <row r="535" spans="2:16" x14ac:dyDescent="0.3">
      <c r="B535" s="146">
        <v>528</v>
      </c>
      <c r="C535" s="147"/>
      <c r="D535" s="147"/>
      <c r="E535" s="146"/>
      <c r="F535" s="148" t="str">
        <f>+IFERROR(VLOOKUP(E535,Data!C531:D626,2,0),"")</f>
        <v/>
      </c>
      <c r="G535" s="146"/>
      <c r="H535" s="149"/>
      <c r="I535" s="150"/>
      <c r="J535" s="151" t="str">
        <f t="shared" si="24"/>
        <v>-</v>
      </c>
      <c r="K535" s="152"/>
      <c r="L535" s="149"/>
      <c r="M535" s="149"/>
      <c r="N535" s="153">
        <f t="shared" si="25"/>
        <v>0</v>
      </c>
      <c r="O535" s="153">
        <f t="shared" si="26"/>
        <v>0</v>
      </c>
      <c r="P535" s="146"/>
    </row>
    <row r="536" spans="2:16" x14ac:dyDescent="0.3">
      <c r="B536" s="146">
        <v>529</v>
      </c>
      <c r="C536" s="147"/>
      <c r="D536" s="147"/>
      <c r="E536" s="146"/>
      <c r="F536" s="148" t="str">
        <f>+IFERROR(VLOOKUP(E536,Data!C532:D627,2,0),"")</f>
        <v/>
      </c>
      <c r="G536" s="146"/>
      <c r="H536" s="149"/>
      <c r="I536" s="150"/>
      <c r="J536" s="151" t="str">
        <f t="shared" si="24"/>
        <v>-</v>
      </c>
      <c r="K536" s="152"/>
      <c r="L536" s="149"/>
      <c r="M536" s="149"/>
      <c r="N536" s="153">
        <f t="shared" si="25"/>
        <v>0</v>
      </c>
      <c r="O536" s="153">
        <f t="shared" si="26"/>
        <v>0</v>
      </c>
      <c r="P536" s="146"/>
    </row>
    <row r="537" spans="2:16" x14ac:dyDescent="0.3">
      <c r="B537" s="146">
        <v>530</v>
      </c>
      <c r="C537" s="147"/>
      <c r="D537" s="147"/>
      <c r="E537" s="146"/>
      <c r="F537" s="148" t="str">
        <f>+IFERROR(VLOOKUP(E537,Data!C533:D628,2,0),"")</f>
        <v/>
      </c>
      <c r="G537" s="146"/>
      <c r="H537" s="149"/>
      <c r="I537" s="150"/>
      <c r="J537" s="151" t="str">
        <f t="shared" si="24"/>
        <v>-</v>
      </c>
      <c r="K537" s="152"/>
      <c r="L537" s="149"/>
      <c r="M537" s="149"/>
      <c r="N537" s="153">
        <f t="shared" si="25"/>
        <v>0</v>
      </c>
      <c r="O537" s="153">
        <f t="shared" si="26"/>
        <v>0</v>
      </c>
      <c r="P537" s="146"/>
    </row>
    <row r="538" spans="2:16" x14ac:dyDescent="0.3">
      <c r="B538" s="146">
        <v>531</v>
      </c>
      <c r="C538" s="147"/>
      <c r="D538" s="147"/>
      <c r="E538" s="146"/>
      <c r="F538" s="148" t="str">
        <f>+IFERROR(VLOOKUP(E538,Data!C534:D629,2,0),"")</f>
        <v/>
      </c>
      <c r="G538" s="146"/>
      <c r="H538" s="149"/>
      <c r="I538" s="150"/>
      <c r="J538" s="151" t="str">
        <f t="shared" si="24"/>
        <v>-</v>
      </c>
      <c r="K538" s="152"/>
      <c r="L538" s="149"/>
      <c r="M538" s="149"/>
      <c r="N538" s="153">
        <f t="shared" si="25"/>
        <v>0</v>
      </c>
      <c r="O538" s="153">
        <f t="shared" si="26"/>
        <v>0</v>
      </c>
      <c r="P538" s="146"/>
    </row>
    <row r="539" spans="2:16" x14ac:dyDescent="0.3">
      <c r="B539" s="146">
        <v>532</v>
      </c>
      <c r="C539" s="147"/>
      <c r="D539" s="147"/>
      <c r="E539" s="146"/>
      <c r="F539" s="148" t="str">
        <f>+IFERROR(VLOOKUP(E539,Data!C535:D630,2,0),"")</f>
        <v/>
      </c>
      <c r="G539" s="146"/>
      <c r="H539" s="149"/>
      <c r="I539" s="150"/>
      <c r="J539" s="151" t="str">
        <f t="shared" si="24"/>
        <v>-</v>
      </c>
      <c r="K539" s="152"/>
      <c r="L539" s="149"/>
      <c r="M539" s="149"/>
      <c r="N539" s="153">
        <f t="shared" si="25"/>
        <v>0</v>
      </c>
      <c r="O539" s="153">
        <f t="shared" si="26"/>
        <v>0</v>
      </c>
      <c r="P539" s="146"/>
    </row>
    <row r="540" spans="2:16" x14ac:dyDescent="0.3">
      <c r="B540" s="146">
        <v>533</v>
      </c>
      <c r="C540" s="147"/>
      <c r="D540" s="147"/>
      <c r="E540" s="146"/>
      <c r="F540" s="148" t="str">
        <f>+IFERROR(VLOOKUP(E540,Data!C536:D631,2,0),"")</f>
        <v/>
      </c>
      <c r="G540" s="146"/>
      <c r="H540" s="149"/>
      <c r="I540" s="150"/>
      <c r="J540" s="151" t="str">
        <f t="shared" si="24"/>
        <v>-</v>
      </c>
      <c r="K540" s="152"/>
      <c r="L540" s="149"/>
      <c r="M540" s="149"/>
      <c r="N540" s="153">
        <f t="shared" si="25"/>
        <v>0</v>
      </c>
      <c r="O540" s="153">
        <f t="shared" si="26"/>
        <v>0</v>
      </c>
      <c r="P540" s="146"/>
    </row>
    <row r="541" spans="2:16" x14ac:dyDescent="0.3">
      <c r="B541" s="146">
        <v>534</v>
      </c>
      <c r="C541" s="147"/>
      <c r="D541" s="147"/>
      <c r="E541" s="146"/>
      <c r="F541" s="148" t="str">
        <f>+IFERROR(VLOOKUP(E541,Data!C537:D632,2,0),"")</f>
        <v/>
      </c>
      <c r="G541" s="146"/>
      <c r="H541" s="149"/>
      <c r="I541" s="150"/>
      <c r="J541" s="151" t="str">
        <f t="shared" si="24"/>
        <v>-</v>
      </c>
      <c r="K541" s="152"/>
      <c r="L541" s="149"/>
      <c r="M541" s="149"/>
      <c r="N541" s="153">
        <f t="shared" si="25"/>
        <v>0</v>
      </c>
      <c r="O541" s="153">
        <f t="shared" si="26"/>
        <v>0</v>
      </c>
      <c r="P541" s="146"/>
    </row>
    <row r="542" spans="2:16" x14ac:dyDescent="0.3">
      <c r="B542" s="146">
        <v>535</v>
      </c>
      <c r="C542" s="147"/>
      <c r="D542" s="147"/>
      <c r="E542" s="146"/>
      <c r="F542" s="148" t="str">
        <f>+IFERROR(VLOOKUP(E542,Data!C538:D633,2,0),"")</f>
        <v/>
      </c>
      <c r="G542" s="146"/>
      <c r="H542" s="149"/>
      <c r="I542" s="150"/>
      <c r="J542" s="151" t="str">
        <f t="shared" si="24"/>
        <v>-</v>
      </c>
      <c r="K542" s="152"/>
      <c r="L542" s="149"/>
      <c r="M542" s="149"/>
      <c r="N542" s="153">
        <f t="shared" si="25"/>
        <v>0</v>
      </c>
      <c r="O542" s="153">
        <f t="shared" si="26"/>
        <v>0</v>
      </c>
      <c r="P542" s="146"/>
    </row>
    <row r="543" spans="2:16" x14ac:dyDescent="0.3">
      <c r="B543" s="146">
        <v>536</v>
      </c>
      <c r="C543" s="147"/>
      <c r="D543" s="147"/>
      <c r="E543" s="146"/>
      <c r="F543" s="148" t="str">
        <f>+IFERROR(VLOOKUP(E543,Data!C539:D634,2,0),"")</f>
        <v/>
      </c>
      <c r="G543" s="146"/>
      <c r="H543" s="149"/>
      <c r="I543" s="150"/>
      <c r="J543" s="151" t="str">
        <f t="shared" si="24"/>
        <v>-</v>
      </c>
      <c r="K543" s="152"/>
      <c r="L543" s="149"/>
      <c r="M543" s="149"/>
      <c r="N543" s="153">
        <f t="shared" si="25"/>
        <v>0</v>
      </c>
      <c r="O543" s="153">
        <f t="shared" si="26"/>
        <v>0</v>
      </c>
      <c r="P543" s="146"/>
    </row>
    <row r="544" spans="2:16" x14ac:dyDescent="0.3">
      <c r="B544" s="146">
        <v>537</v>
      </c>
      <c r="C544" s="147"/>
      <c r="D544" s="147"/>
      <c r="E544" s="146"/>
      <c r="F544" s="148" t="str">
        <f>+IFERROR(VLOOKUP(E544,Data!C540:D635,2,0),"")</f>
        <v/>
      </c>
      <c r="G544" s="146"/>
      <c r="H544" s="149"/>
      <c r="I544" s="150"/>
      <c r="J544" s="151" t="str">
        <f t="shared" si="24"/>
        <v>-</v>
      </c>
      <c r="K544" s="152"/>
      <c r="L544" s="149"/>
      <c r="M544" s="149"/>
      <c r="N544" s="153">
        <f t="shared" si="25"/>
        <v>0</v>
      </c>
      <c r="O544" s="153">
        <f t="shared" si="26"/>
        <v>0</v>
      </c>
      <c r="P544" s="146"/>
    </row>
    <row r="545" spans="2:16" x14ac:dyDescent="0.3">
      <c r="B545" s="146">
        <v>538</v>
      </c>
      <c r="C545" s="147"/>
      <c r="D545" s="147"/>
      <c r="E545" s="146"/>
      <c r="F545" s="148" t="str">
        <f>+IFERROR(VLOOKUP(E545,Data!C541:D636,2,0),"")</f>
        <v/>
      </c>
      <c r="G545" s="146"/>
      <c r="H545" s="149"/>
      <c r="I545" s="150"/>
      <c r="J545" s="151" t="str">
        <f t="shared" si="24"/>
        <v>-</v>
      </c>
      <c r="K545" s="152"/>
      <c r="L545" s="149"/>
      <c r="M545" s="149"/>
      <c r="N545" s="153">
        <f t="shared" si="25"/>
        <v>0</v>
      </c>
      <c r="O545" s="153">
        <f t="shared" si="26"/>
        <v>0</v>
      </c>
      <c r="P545" s="146"/>
    </row>
    <row r="546" spans="2:16" x14ac:dyDescent="0.3">
      <c r="B546" s="146">
        <v>539</v>
      </c>
      <c r="C546" s="147"/>
      <c r="D546" s="147"/>
      <c r="E546" s="146"/>
      <c r="F546" s="148" t="str">
        <f>+IFERROR(VLOOKUP(E546,Data!C542:D637,2,0),"")</f>
        <v/>
      </c>
      <c r="G546" s="146"/>
      <c r="H546" s="149"/>
      <c r="I546" s="150"/>
      <c r="J546" s="151" t="str">
        <f t="shared" si="24"/>
        <v>-</v>
      </c>
      <c r="K546" s="152"/>
      <c r="L546" s="149"/>
      <c r="M546" s="149"/>
      <c r="N546" s="153">
        <f t="shared" si="25"/>
        <v>0</v>
      </c>
      <c r="O546" s="153">
        <f t="shared" si="26"/>
        <v>0</v>
      </c>
      <c r="P546" s="146"/>
    </row>
    <row r="547" spans="2:16" x14ac:dyDescent="0.3">
      <c r="B547" s="146">
        <v>540</v>
      </c>
      <c r="C547" s="147"/>
      <c r="D547" s="147"/>
      <c r="E547" s="146"/>
      <c r="F547" s="148" t="str">
        <f>+IFERROR(VLOOKUP(E547,Data!C543:D638,2,0),"")</f>
        <v/>
      </c>
      <c r="G547" s="146"/>
      <c r="H547" s="149"/>
      <c r="I547" s="150"/>
      <c r="J547" s="151" t="str">
        <f t="shared" si="24"/>
        <v>-</v>
      </c>
      <c r="K547" s="152"/>
      <c r="L547" s="149"/>
      <c r="M547" s="149"/>
      <c r="N547" s="153">
        <f t="shared" si="25"/>
        <v>0</v>
      </c>
      <c r="O547" s="153">
        <f t="shared" si="26"/>
        <v>0</v>
      </c>
      <c r="P547" s="146"/>
    </row>
    <row r="548" spans="2:16" x14ac:dyDescent="0.3">
      <c r="B548" s="146">
        <v>541</v>
      </c>
      <c r="C548" s="147"/>
      <c r="D548" s="147"/>
      <c r="E548" s="146"/>
      <c r="F548" s="148" t="str">
        <f>+IFERROR(VLOOKUP(E548,Data!C544:D639,2,0),"")</f>
        <v/>
      </c>
      <c r="G548" s="146"/>
      <c r="H548" s="149"/>
      <c r="I548" s="150"/>
      <c r="J548" s="151" t="str">
        <f t="shared" si="24"/>
        <v>-</v>
      </c>
      <c r="K548" s="152"/>
      <c r="L548" s="149"/>
      <c r="M548" s="149"/>
      <c r="N548" s="153">
        <f t="shared" si="25"/>
        <v>0</v>
      </c>
      <c r="O548" s="153">
        <f t="shared" si="26"/>
        <v>0</v>
      </c>
      <c r="P548" s="146"/>
    </row>
    <row r="549" spans="2:16" x14ac:dyDescent="0.3">
      <c r="B549" s="146">
        <v>542</v>
      </c>
      <c r="C549" s="147"/>
      <c r="D549" s="147"/>
      <c r="E549" s="146"/>
      <c r="F549" s="148" t="str">
        <f>+IFERROR(VLOOKUP(E549,Data!C545:D640,2,0),"")</f>
        <v/>
      </c>
      <c r="G549" s="146"/>
      <c r="H549" s="149"/>
      <c r="I549" s="150"/>
      <c r="J549" s="151" t="str">
        <f t="shared" si="24"/>
        <v>-</v>
      </c>
      <c r="K549" s="152"/>
      <c r="L549" s="149"/>
      <c r="M549" s="149"/>
      <c r="N549" s="153">
        <f t="shared" si="25"/>
        <v>0</v>
      </c>
      <c r="O549" s="153">
        <f t="shared" si="26"/>
        <v>0</v>
      </c>
      <c r="P549" s="146"/>
    </row>
    <row r="550" spans="2:16" x14ac:dyDescent="0.3">
      <c r="B550" s="146">
        <v>543</v>
      </c>
      <c r="C550" s="147"/>
      <c r="D550" s="147"/>
      <c r="E550" s="146"/>
      <c r="F550" s="148" t="str">
        <f>+IFERROR(VLOOKUP(E550,Data!C546:D641,2,0),"")</f>
        <v/>
      </c>
      <c r="G550" s="146"/>
      <c r="H550" s="149"/>
      <c r="I550" s="150"/>
      <c r="J550" s="151" t="str">
        <f t="shared" si="24"/>
        <v>-</v>
      </c>
      <c r="K550" s="152"/>
      <c r="L550" s="149"/>
      <c r="M550" s="149"/>
      <c r="N550" s="153">
        <f t="shared" si="25"/>
        <v>0</v>
      </c>
      <c r="O550" s="153">
        <f t="shared" si="26"/>
        <v>0</v>
      </c>
      <c r="P550" s="146"/>
    </row>
    <row r="551" spans="2:16" x14ac:dyDescent="0.3">
      <c r="B551" s="146">
        <v>544</v>
      </c>
      <c r="C551" s="147"/>
      <c r="D551" s="147"/>
      <c r="E551" s="146"/>
      <c r="F551" s="148" t="str">
        <f>+IFERROR(VLOOKUP(E551,Data!C547:D642,2,0),"")</f>
        <v/>
      </c>
      <c r="G551" s="146"/>
      <c r="H551" s="149"/>
      <c r="I551" s="150"/>
      <c r="J551" s="151" t="str">
        <f t="shared" si="24"/>
        <v>-</v>
      </c>
      <c r="K551" s="152"/>
      <c r="L551" s="149"/>
      <c r="M551" s="149"/>
      <c r="N551" s="153">
        <f t="shared" si="25"/>
        <v>0</v>
      </c>
      <c r="O551" s="153">
        <f t="shared" si="26"/>
        <v>0</v>
      </c>
      <c r="P551" s="146"/>
    </row>
    <row r="552" spans="2:16" x14ac:dyDescent="0.3">
      <c r="B552" s="146">
        <v>545</v>
      </c>
      <c r="C552" s="147"/>
      <c r="D552" s="147"/>
      <c r="E552" s="146"/>
      <c r="F552" s="148" t="str">
        <f>+IFERROR(VLOOKUP(E552,Data!C548:D643,2,0),"")</f>
        <v/>
      </c>
      <c r="G552" s="146"/>
      <c r="H552" s="149"/>
      <c r="I552" s="150"/>
      <c r="J552" s="151" t="str">
        <f t="shared" si="24"/>
        <v>-</v>
      </c>
      <c r="K552" s="152"/>
      <c r="L552" s="149"/>
      <c r="M552" s="149"/>
      <c r="N552" s="153">
        <f t="shared" si="25"/>
        <v>0</v>
      </c>
      <c r="O552" s="153">
        <f t="shared" si="26"/>
        <v>0</v>
      </c>
      <c r="P552" s="146"/>
    </row>
    <row r="553" spans="2:16" x14ac:dyDescent="0.3">
      <c r="B553" s="146">
        <v>546</v>
      </c>
      <c r="C553" s="147"/>
      <c r="D553" s="147"/>
      <c r="E553" s="146"/>
      <c r="F553" s="148" t="str">
        <f>+IFERROR(VLOOKUP(E553,Data!C549:D644,2,0),"")</f>
        <v/>
      </c>
      <c r="G553" s="146"/>
      <c r="H553" s="149"/>
      <c r="I553" s="150"/>
      <c r="J553" s="151" t="str">
        <f t="shared" si="24"/>
        <v>-</v>
      </c>
      <c r="K553" s="152"/>
      <c r="L553" s="149"/>
      <c r="M553" s="149"/>
      <c r="N553" s="153">
        <f t="shared" si="25"/>
        <v>0</v>
      </c>
      <c r="O553" s="153">
        <f t="shared" si="26"/>
        <v>0</v>
      </c>
      <c r="P553" s="146"/>
    </row>
    <row r="554" spans="2:16" x14ac:dyDescent="0.3">
      <c r="B554" s="146">
        <v>547</v>
      </c>
      <c r="C554" s="147"/>
      <c r="D554" s="147"/>
      <c r="E554" s="146"/>
      <c r="F554" s="148" t="str">
        <f>+IFERROR(VLOOKUP(E554,Data!C550:D645,2,0),"")</f>
        <v/>
      </c>
      <c r="G554" s="146"/>
      <c r="H554" s="149"/>
      <c r="I554" s="150"/>
      <c r="J554" s="151" t="str">
        <f t="shared" si="24"/>
        <v>-</v>
      </c>
      <c r="K554" s="152"/>
      <c r="L554" s="149"/>
      <c r="M554" s="149"/>
      <c r="N554" s="153">
        <f t="shared" si="25"/>
        <v>0</v>
      </c>
      <c r="O554" s="153">
        <f t="shared" si="26"/>
        <v>0</v>
      </c>
      <c r="P554" s="146"/>
    </row>
    <row r="555" spans="2:16" x14ac:dyDescent="0.3">
      <c r="B555" s="146">
        <v>548</v>
      </c>
      <c r="C555" s="147"/>
      <c r="D555" s="147"/>
      <c r="E555" s="146"/>
      <c r="F555" s="148" t="str">
        <f>+IFERROR(VLOOKUP(E555,Data!C551:D646,2,0),"")</f>
        <v/>
      </c>
      <c r="G555" s="146"/>
      <c r="H555" s="149"/>
      <c r="I555" s="150"/>
      <c r="J555" s="151" t="str">
        <f t="shared" si="24"/>
        <v>-</v>
      </c>
      <c r="K555" s="152"/>
      <c r="L555" s="149"/>
      <c r="M555" s="149"/>
      <c r="N555" s="153">
        <f t="shared" si="25"/>
        <v>0</v>
      </c>
      <c r="O555" s="153">
        <f t="shared" si="26"/>
        <v>0</v>
      </c>
      <c r="P555" s="146"/>
    </row>
    <row r="556" spans="2:16" x14ac:dyDescent="0.3">
      <c r="B556" s="146">
        <v>549</v>
      </c>
      <c r="C556" s="147"/>
      <c r="D556" s="147"/>
      <c r="E556" s="146"/>
      <c r="F556" s="148" t="str">
        <f>+IFERROR(VLOOKUP(E556,Data!C552:D647,2,0),"")</f>
        <v/>
      </c>
      <c r="G556" s="146"/>
      <c r="H556" s="149"/>
      <c r="I556" s="150"/>
      <c r="J556" s="151" t="str">
        <f t="shared" si="24"/>
        <v>-</v>
      </c>
      <c r="K556" s="152"/>
      <c r="L556" s="149"/>
      <c r="M556" s="149"/>
      <c r="N556" s="153">
        <f t="shared" si="25"/>
        <v>0</v>
      </c>
      <c r="O556" s="153">
        <f t="shared" si="26"/>
        <v>0</v>
      </c>
      <c r="P556" s="146"/>
    </row>
    <row r="557" spans="2:16" x14ac:dyDescent="0.3">
      <c r="B557" s="146">
        <v>550</v>
      </c>
      <c r="C557" s="147"/>
      <c r="D557" s="147"/>
      <c r="E557" s="146"/>
      <c r="F557" s="148" t="str">
        <f>+IFERROR(VLOOKUP(E557,Data!C553:D648,2,0),"")</f>
        <v/>
      </c>
      <c r="G557" s="146"/>
      <c r="H557" s="149"/>
      <c r="I557" s="150"/>
      <c r="J557" s="151" t="str">
        <f t="shared" si="24"/>
        <v>-</v>
      </c>
      <c r="K557" s="152"/>
      <c r="L557" s="149"/>
      <c r="M557" s="149"/>
      <c r="N557" s="153">
        <f t="shared" si="25"/>
        <v>0</v>
      </c>
      <c r="O557" s="153">
        <f t="shared" si="26"/>
        <v>0</v>
      </c>
      <c r="P557" s="146"/>
    </row>
    <row r="558" spans="2:16" x14ac:dyDescent="0.3">
      <c r="B558" s="146">
        <v>551</v>
      </c>
      <c r="C558" s="147"/>
      <c r="D558" s="147"/>
      <c r="E558" s="146"/>
      <c r="F558" s="148" t="str">
        <f>+IFERROR(VLOOKUP(E558,Data!C554:D649,2,0),"")</f>
        <v/>
      </c>
      <c r="G558" s="146"/>
      <c r="H558" s="149"/>
      <c r="I558" s="150"/>
      <c r="J558" s="151" t="str">
        <f t="shared" si="24"/>
        <v>-</v>
      </c>
      <c r="K558" s="152"/>
      <c r="L558" s="149"/>
      <c r="M558" s="149"/>
      <c r="N558" s="153">
        <f t="shared" si="25"/>
        <v>0</v>
      </c>
      <c r="O558" s="153">
        <f t="shared" si="26"/>
        <v>0</v>
      </c>
      <c r="P558" s="146"/>
    </row>
    <row r="559" spans="2:16" x14ac:dyDescent="0.3">
      <c r="B559" s="146">
        <v>552</v>
      </c>
      <c r="C559" s="147"/>
      <c r="D559" s="147"/>
      <c r="E559" s="146"/>
      <c r="F559" s="148" t="str">
        <f>+IFERROR(VLOOKUP(E559,Data!C555:D650,2,0),"")</f>
        <v/>
      </c>
      <c r="G559" s="146"/>
      <c r="H559" s="149"/>
      <c r="I559" s="150"/>
      <c r="J559" s="151" t="str">
        <f t="shared" si="24"/>
        <v>-</v>
      </c>
      <c r="K559" s="152"/>
      <c r="L559" s="149"/>
      <c r="M559" s="149"/>
      <c r="N559" s="153">
        <f t="shared" si="25"/>
        <v>0</v>
      </c>
      <c r="O559" s="153">
        <f t="shared" si="26"/>
        <v>0</v>
      </c>
      <c r="P559" s="146"/>
    </row>
    <row r="560" spans="2:16" x14ac:dyDescent="0.3">
      <c r="B560" s="146">
        <v>553</v>
      </c>
      <c r="C560" s="147"/>
      <c r="D560" s="147"/>
      <c r="E560" s="146"/>
      <c r="F560" s="148" t="str">
        <f>+IFERROR(VLOOKUP(E560,Data!C556:D651,2,0),"")</f>
        <v/>
      </c>
      <c r="G560" s="146"/>
      <c r="H560" s="149"/>
      <c r="I560" s="150"/>
      <c r="J560" s="151" t="str">
        <f t="shared" si="24"/>
        <v>-</v>
      </c>
      <c r="K560" s="152"/>
      <c r="L560" s="149"/>
      <c r="M560" s="149"/>
      <c r="N560" s="153">
        <f t="shared" si="25"/>
        <v>0</v>
      </c>
      <c r="O560" s="153">
        <f t="shared" si="26"/>
        <v>0</v>
      </c>
      <c r="P560" s="146"/>
    </row>
    <row r="561" spans="2:16" x14ac:dyDescent="0.3">
      <c r="B561" s="146">
        <v>554</v>
      </c>
      <c r="C561" s="147"/>
      <c r="D561" s="147"/>
      <c r="E561" s="146"/>
      <c r="F561" s="148" t="str">
        <f>+IFERROR(VLOOKUP(E561,Data!C557:D652,2,0),"")</f>
        <v/>
      </c>
      <c r="G561" s="146"/>
      <c r="H561" s="149"/>
      <c r="I561" s="150"/>
      <c r="J561" s="151" t="str">
        <f t="shared" si="24"/>
        <v>-</v>
      </c>
      <c r="K561" s="152"/>
      <c r="L561" s="149"/>
      <c r="M561" s="149"/>
      <c r="N561" s="153">
        <f t="shared" si="25"/>
        <v>0</v>
      </c>
      <c r="O561" s="153">
        <f t="shared" si="26"/>
        <v>0</v>
      </c>
      <c r="P561" s="146"/>
    </row>
    <row r="562" spans="2:16" x14ac:dyDescent="0.3">
      <c r="B562" s="146">
        <v>555</v>
      </c>
      <c r="C562" s="147"/>
      <c r="D562" s="147"/>
      <c r="E562" s="146"/>
      <c r="F562" s="148" t="str">
        <f>+IFERROR(VLOOKUP(E562,Data!C558:D653,2,0),"")</f>
        <v/>
      </c>
      <c r="G562" s="146"/>
      <c r="H562" s="149"/>
      <c r="I562" s="150"/>
      <c r="J562" s="151" t="str">
        <f t="shared" si="24"/>
        <v>-</v>
      </c>
      <c r="K562" s="152"/>
      <c r="L562" s="149"/>
      <c r="M562" s="149"/>
      <c r="N562" s="153">
        <f t="shared" si="25"/>
        <v>0</v>
      </c>
      <c r="O562" s="153">
        <f t="shared" si="26"/>
        <v>0</v>
      </c>
      <c r="P562" s="146"/>
    </row>
    <row r="563" spans="2:16" x14ac:dyDescent="0.3">
      <c r="B563" s="146">
        <v>556</v>
      </c>
      <c r="C563" s="147"/>
      <c r="D563" s="147"/>
      <c r="E563" s="146"/>
      <c r="F563" s="148" t="str">
        <f>+IFERROR(VLOOKUP(E563,Data!C559:D654,2,0),"")</f>
        <v/>
      </c>
      <c r="G563" s="146"/>
      <c r="H563" s="149"/>
      <c r="I563" s="150"/>
      <c r="J563" s="151" t="str">
        <f t="shared" si="24"/>
        <v>-</v>
      </c>
      <c r="K563" s="152"/>
      <c r="L563" s="149"/>
      <c r="M563" s="149"/>
      <c r="N563" s="153">
        <f t="shared" si="25"/>
        <v>0</v>
      </c>
      <c r="O563" s="153">
        <f t="shared" si="26"/>
        <v>0</v>
      </c>
      <c r="P563" s="146"/>
    </row>
    <row r="564" spans="2:16" x14ac:dyDescent="0.3">
      <c r="B564" s="146">
        <v>557</v>
      </c>
      <c r="C564" s="147"/>
      <c r="D564" s="147"/>
      <c r="E564" s="146"/>
      <c r="F564" s="148" t="str">
        <f>+IFERROR(VLOOKUP(E564,Data!C560:D655,2,0),"")</f>
        <v/>
      </c>
      <c r="G564" s="146"/>
      <c r="H564" s="149"/>
      <c r="I564" s="150"/>
      <c r="J564" s="151" t="str">
        <f t="shared" si="24"/>
        <v>-</v>
      </c>
      <c r="K564" s="152"/>
      <c r="L564" s="149"/>
      <c r="M564" s="149"/>
      <c r="N564" s="153">
        <f t="shared" si="25"/>
        <v>0</v>
      </c>
      <c r="O564" s="153">
        <f t="shared" si="26"/>
        <v>0</v>
      </c>
      <c r="P564" s="146"/>
    </row>
    <row r="565" spans="2:16" x14ac:dyDescent="0.3">
      <c r="B565" s="146">
        <v>558</v>
      </c>
      <c r="C565" s="147"/>
      <c r="D565" s="147"/>
      <c r="E565" s="146"/>
      <c r="F565" s="148" t="str">
        <f>+IFERROR(VLOOKUP(E565,Data!C561:D656,2,0),"")</f>
        <v/>
      </c>
      <c r="G565" s="146"/>
      <c r="H565" s="149"/>
      <c r="I565" s="150"/>
      <c r="J565" s="151" t="str">
        <f t="shared" si="24"/>
        <v>-</v>
      </c>
      <c r="K565" s="152"/>
      <c r="L565" s="149"/>
      <c r="M565" s="149"/>
      <c r="N565" s="153">
        <f t="shared" si="25"/>
        <v>0</v>
      </c>
      <c r="O565" s="153">
        <f t="shared" si="26"/>
        <v>0</v>
      </c>
      <c r="P565" s="146"/>
    </row>
    <row r="566" spans="2:16" x14ac:dyDescent="0.3">
      <c r="B566" s="146">
        <v>559</v>
      </c>
      <c r="C566" s="147"/>
      <c r="D566" s="147"/>
      <c r="E566" s="146"/>
      <c r="F566" s="148" t="str">
        <f>+IFERROR(VLOOKUP(E566,Data!C562:D657,2,0),"")</f>
        <v/>
      </c>
      <c r="G566" s="146"/>
      <c r="H566" s="149"/>
      <c r="I566" s="150"/>
      <c r="J566" s="151" t="str">
        <f t="shared" ref="J566:J629" si="27">IFERROR(+I566/H566,"-")</f>
        <v>-</v>
      </c>
      <c r="K566" s="152"/>
      <c r="L566" s="149"/>
      <c r="M566" s="149"/>
      <c r="N566" s="153">
        <f t="shared" ref="N566:N629" si="28">+L566+M566</f>
        <v>0</v>
      </c>
      <c r="O566" s="153">
        <f t="shared" ref="O566:O629" si="29">+N566-K566</f>
        <v>0</v>
      </c>
      <c r="P566" s="146"/>
    </row>
    <row r="567" spans="2:16" x14ac:dyDescent="0.3">
      <c r="B567" s="146">
        <v>560</v>
      </c>
      <c r="C567" s="147"/>
      <c r="D567" s="147"/>
      <c r="E567" s="146"/>
      <c r="F567" s="148" t="str">
        <f>+IFERROR(VLOOKUP(E567,Data!C563:D658,2,0),"")</f>
        <v/>
      </c>
      <c r="G567" s="146"/>
      <c r="H567" s="149"/>
      <c r="I567" s="150"/>
      <c r="J567" s="151" t="str">
        <f t="shared" si="27"/>
        <v>-</v>
      </c>
      <c r="K567" s="152"/>
      <c r="L567" s="149"/>
      <c r="M567" s="149"/>
      <c r="N567" s="153">
        <f t="shared" si="28"/>
        <v>0</v>
      </c>
      <c r="O567" s="153">
        <f t="shared" si="29"/>
        <v>0</v>
      </c>
      <c r="P567" s="146"/>
    </row>
    <row r="568" spans="2:16" x14ac:dyDescent="0.3">
      <c r="B568" s="146">
        <v>561</v>
      </c>
      <c r="C568" s="147"/>
      <c r="D568" s="147"/>
      <c r="E568" s="146"/>
      <c r="F568" s="148" t="str">
        <f>+IFERROR(VLOOKUP(E568,Data!C564:D659,2,0),"")</f>
        <v/>
      </c>
      <c r="G568" s="146"/>
      <c r="H568" s="149"/>
      <c r="I568" s="150"/>
      <c r="J568" s="151" t="str">
        <f t="shared" si="27"/>
        <v>-</v>
      </c>
      <c r="K568" s="152"/>
      <c r="L568" s="149"/>
      <c r="M568" s="149"/>
      <c r="N568" s="153">
        <f t="shared" si="28"/>
        <v>0</v>
      </c>
      <c r="O568" s="153">
        <f t="shared" si="29"/>
        <v>0</v>
      </c>
      <c r="P568" s="146"/>
    </row>
    <row r="569" spans="2:16" x14ac:dyDescent="0.3">
      <c r="B569" s="146">
        <v>562</v>
      </c>
      <c r="C569" s="147"/>
      <c r="D569" s="147"/>
      <c r="E569" s="146"/>
      <c r="F569" s="148" t="str">
        <f>+IFERROR(VLOOKUP(E569,Data!C565:D660,2,0),"")</f>
        <v/>
      </c>
      <c r="G569" s="146"/>
      <c r="H569" s="149"/>
      <c r="I569" s="150"/>
      <c r="J569" s="151" t="str">
        <f t="shared" si="27"/>
        <v>-</v>
      </c>
      <c r="K569" s="152"/>
      <c r="L569" s="149"/>
      <c r="M569" s="149"/>
      <c r="N569" s="153">
        <f t="shared" si="28"/>
        <v>0</v>
      </c>
      <c r="O569" s="153">
        <f t="shared" si="29"/>
        <v>0</v>
      </c>
      <c r="P569" s="146"/>
    </row>
    <row r="570" spans="2:16" x14ac:dyDescent="0.3">
      <c r="B570" s="146">
        <v>563</v>
      </c>
      <c r="C570" s="147"/>
      <c r="D570" s="147"/>
      <c r="E570" s="146"/>
      <c r="F570" s="148" t="str">
        <f>+IFERROR(VLOOKUP(E570,Data!C566:D661,2,0),"")</f>
        <v/>
      </c>
      <c r="G570" s="146"/>
      <c r="H570" s="149"/>
      <c r="I570" s="150"/>
      <c r="J570" s="151" t="str">
        <f t="shared" si="27"/>
        <v>-</v>
      </c>
      <c r="K570" s="152"/>
      <c r="L570" s="149"/>
      <c r="M570" s="149"/>
      <c r="N570" s="153">
        <f t="shared" si="28"/>
        <v>0</v>
      </c>
      <c r="O570" s="153">
        <f t="shared" si="29"/>
        <v>0</v>
      </c>
      <c r="P570" s="146"/>
    </row>
    <row r="571" spans="2:16" x14ac:dyDescent="0.3">
      <c r="B571" s="146">
        <v>564</v>
      </c>
      <c r="C571" s="147"/>
      <c r="D571" s="147"/>
      <c r="E571" s="146"/>
      <c r="F571" s="148" t="str">
        <f>+IFERROR(VLOOKUP(E571,Data!C567:D662,2,0),"")</f>
        <v/>
      </c>
      <c r="G571" s="146"/>
      <c r="H571" s="149"/>
      <c r="I571" s="150"/>
      <c r="J571" s="151" t="str">
        <f t="shared" si="27"/>
        <v>-</v>
      </c>
      <c r="K571" s="152"/>
      <c r="L571" s="149"/>
      <c r="M571" s="149"/>
      <c r="N571" s="153">
        <f t="shared" si="28"/>
        <v>0</v>
      </c>
      <c r="O571" s="153">
        <f t="shared" si="29"/>
        <v>0</v>
      </c>
      <c r="P571" s="146"/>
    </row>
    <row r="572" spans="2:16" x14ac:dyDescent="0.3">
      <c r="B572" s="146">
        <v>565</v>
      </c>
      <c r="C572" s="147"/>
      <c r="D572" s="147"/>
      <c r="E572" s="146"/>
      <c r="F572" s="148" t="str">
        <f>+IFERROR(VLOOKUP(E572,Data!C568:D663,2,0),"")</f>
        <v/>
      </c>
      <c r="G572" s="146"/>
      <c r="H572" s="149"/>
      <c r="I572" s="150"/>
      <c r="J572" s="151" t="str">
        <f t="shared" si="27"/>
        <v>-</v>
      </c>
      <c r="K572" s="152"/>
      <c r="L572" s="149"/>
      <c r="M572" s="149"/>
      <c r="N572" s="153">
        <f t="shared" si="28"/>
        <v>0</v>
      </c>
      <c r="O572" s="153">
        <f t="shared" si="29"/>
        <v>0</v>
      </c>
      <c r="P572" s="146"/>
    </row>
    <row r="573" spans="2:16" x14ac:dyDescent="0.3">
      <c r="B573" s="146">
        <v>566</v>
      </c>
      <c r="C573" s="147"/>
      <c r="D573" s="147"/>
      <c r="E573" s="146"/>
      <c r="F573" s="148" t="str">
        <f>+IFERROR(VLOOKUP(E573,Data!C569:D664,2,0),"")</f>
        <v/>
      </c>
      <c r="G573" s="146"/>
      <c r="H573" s="149"/>
      <c r="I573" s="150"/>
      <c r="J573" s="151" t="str">
        <f t="shared" si="27"/>
        <v>-</v>
      </c>
      <c r="K573" s="152"/>
      <c r="L573" s="149"/>
      <c r="M573" s="149"/>
      <c r="N573" s="153">
        <f t="shared" si="28"/>
        <v>0</v>
      </c>
      <c r="O573" s="153">
        <f t="shared" si="29"/>
        <v>0</v>
      </c>
      <c r="P573" s="146"/>
    </row>
    <row r="574" spans="2:16" x14ac:dyDescent="0.3">
      <c r="B574" s="146">
        <v>567</v>
      </c>
      <c r="C574" s="147"/>
      <c r="D574" s="147"/>
      <c r="E574" s="146"/>
      <c r="F574" s="148" t="str">
        <f>+IFERROR(VLOOKUP(E574,Data!C570:D665,2,0),"")</f>
        <v/>
      </c>
      <c r="G574" s="146"/>
      <c r="H574" s="149"/>
      <c r="I574" s="150"/>
      <c r="J574" s="151" t="str">
        <f t="shared" si="27"/>
        <v>-</v>
      </c>
      <c r="K574" s="152"/>
      <c r="L574" s="149"/>
      <c r="M574" s="149"/>
      <c r="N574" s="153">
        <f t="shared" si="28"/>
        <v>0</v>
      </c>
      <c r="O574" s="153">
        <f t="shared" si="29"/>
        <v>0</v>
      </c>
      <c r="P574" s="146"/>
    </row>
    <row r="575" spans="2:16" x14ac:dyDescent="0.3">
      <c r="B575" s="146">
        <v>568</v>
      </c>
      <c r="C575" s="147"/>
      <c r="D575" s="147"/>
      <c r="E575" s="146"/>
      <c r="F575" s="148" t="str">
        <f>+IFERROR(VLOOKUP(E575,Data!C571:D666,2,0),"")</f>
        <v/>
      </c>
      <c r="G575" s="146"/>
      <c r="H575" s="149"/>
      <c r="I575" s="150"/>
      <c r="J575" s="151" t="str">
        <f t="shared" si="27"/>
        <v>-</v>
      </c>
      <c r="K575" s="152"/>
      <c r="L575" s="149"/>
      <c r="M575" s="149"/>
      <c r="N575" s="153">
        <f t="shared" si="28"/>
        <v>0</v>
      </c>
      <c r="O575" s="153">
        <f t="shared" si="29"/>
        <v>0</v>
      </c>
      <c r="P575" s="146"/>
    </row>
    <row r="576" spans="2:16" x14ac:dyDescent="0.3">
      <c r="B576" s="146">
        <v>569</v>
      </c>
      <c r="C576" s="147"/>
      <c r="D576" s="147"/>
      <c r="E576" s="146"/>
      <c r="F576" s="148" t="str">
        <f>+IFERROR(VLOOKUP(E576,Data!C572:D667,2,0),"")</f>
        <v/>
      </c>
      <c r="G576" s="146"/>
      <c r="H576" s="149"/>
      <c r="I576" s="150"/>
      <c r="J576" s="151" t="str">
        <f t="shared" si="27"/>
        <v>-</v>
      </c>
      <c r="K576" s="152"/>
      <c r="L576" s="149"/>
      <c r="M576" s="149"/>
      <c r="N576" s="153">
        <f t="shared" si="28"/>
        <v>0</v>
      </c>
      <c r="O576" s="153">
        <f t="shared" si="29"/>
        <v>0</v>
      </c>
      <c r="P576" s="146"/>
    </row>
    <row r="577" spans="2:16" x14ac:dyDescent="0.3">
      <c r="B577" s="146">
        <v>570</v>
      </c>
      <c r="C577" s="147"/>
      <c r="D577" s="147"/>
      <c r="E577" s="146"/>
      <c r="F577" s="148" t="str">
        <f>+IFERROR(VLOOKUP(E577,Data!C573:D668,2,0),"")</f>
        <v/>
      </c>
      <c r="G577" s="146"/>
      <c r="H577" s="149"/>
      <c r="I577" s="150"/>
      <c r="J577" s="151" t="str">
        <f t="shared" si="27"/>
        <v>-</v>
      </c>
      <c r="K577" s="152"/>
      <c r="L577" s="149"/>
      <c r="M577" s="149"/>
      <c r="N577" s="153">
        <f t="shared" si="28"/>
        <v>0</v>
      </c>
      <c r="O577" s="153">
        <f t="shared" si="29"/>
        <v>0</v>
      </c>
      <c r="P577" s="146"/>
    </row>
    <row r="578" spans="2:16" x14ac:dyDescent="0.3">
      <c r="B578" s="146">
        <v>571</v>
      </c>
      <c r="C578" s="147"/>
      <c r="D578" s="147"/>
      <c r="E578" s="146"/>
      <c r="F578" s="148" t="str">
        <f>+IFERROR(VLOOKUP(E578,Data!C574:D669,2,0),"")</f>
        <v/>
      </c>
      <c r="G578" s="146"/>
      <c r="H578" s="149"/>
      <c r="I578" s="150"/>
      <c r="J578" s="151" t="str">
        <f t="shared" si="27"/>
        <v>-</v>
      </c>
      <c r="K578" s="152"/>
      <c r="L578" s="149"/>
      <c r="M578" s="149"/>
      <c r="N578" s="153">
        <f t="shared" si="28"/>
        <v>0</v>
      </c>
      <c r="O578" s="153">
        <f t="shared" si="29"/>
        <v>0</v>
      </c>
      <c r="P578" s="146"/>
    </row>
    <row r="579" spans="2:16" x14ac:dyDescent="0.3">
      <c r="B579" s="146">
        <v>572</v>
      </c>
      <c r="C579" s="147"/>
      <c r="D579" s="147"/>
      <c r="E579" s="146"/>
      <c r="F579" s="148" t="str">
        <f>+IFERROR(VLOOKUP(E579,Data!C575:D670,2,0),"")</f>
        <v/>
      </c>
      <c r="G579" s="146"/>
      <c r="H579" s="149"/>
      <c r="I579" s="150"/>
      <c r="J579" s="151" t="str">
        <f t="shared" si="27"/>
        <v>-</v>
      </c>
      <c r="K579" s="152"/>
      <c r="L579" s="149"/>
      <c r="M579" s="149"/>
      <c r="N579" s="153">
        <f t="shared" si="28"/>
        <v>0</v>
      </c>
      <c r="O579" s="153">
        <f t="shared" si="29"/>
        <v>0</v>
      </c>
      <c r="P579" s="146"/>
    </row>
    <row r="580" spans="2:16" x14ac:dyDescent="0.3">
      <c r="B580" s="146">
        <v>573</v>
      </c>
      <c r="C580" s="147"/>
      <c r="D580" s="147"/>
      <c r="E580" s="146"/>
      <c r="F580" s="148" t="str">
        <f>+IFERROR(VLOOKUP(E580,Data!C576:D671,2,0),"")</f>
        <v/>
      </c>
      <c r="G580" s="146"/>
      <c r="H580" s="149"/>
      <c r="I580" s="150"/>
      <c r="J580" s="151" t="str">
        <f t="shared" si="27"/>
        <v>-</v>
      </c>
      <c r="K580" s="152"/>
      <c r="L580" s="149"/>
      <c r="M580" s="149"/>
      <c r="N580" s="153">
        <f t="shared" si="28"/>
        <v>0</v>
      </c>
      <c r="O580" s="153">
        <f t="shared" si="29"/>
        <v>0</v>
      </c>
      <c r="P580" s="146"/>
    </row>
    <row r="581" spans="2:16" x14ac:dyDescent="0.3">
      <c r="B581" s="146">
        <v>574</v>
      </c>
      <c r="C581" s="147"/>
      <c r="D581" s="147"/>
      <c r="E581" s="146"/>
      <c r="F581" s="148" t="str">
        <f>+IFERROR(VLOOKUP(E581,Data!C577:D672,2,0),"")</f>
        <v/>
      </c>
      <c r="G581" s="146"/>
      <c r="H581" s="149"/>
      <c r="I581" s="150"/>
      <c r="J581" s="151" t="str">
        <f t="shared" si="27"/>
        <v>-</v>
      </c>
      <c r="K581" s="152"/>
      <c r="L581" s="149"/>
      <c r="M581" s="149"/>
      <c r="N581" s="153">
        <f t="shared" si="28"/>
        <v>0</v>
      </c>
      <c r="O581" s="153">
        <f t="shared" si="29"/>
        <v>0</v>
      </c>
      <c r="P581" s="146"/>
    </row>
    <row r="582" spans="2:16" x14ac:dyDescent="0.3">
      <c r="B582" s="146">
        <v>575</v>
      </c>
      <c r="C582" s="147"/>
      <c r="D582" s="147"/>
      <c r="E582" s="146"/>
      <c r="F582" s="148" t="str">
        <f>+IFERROR(VLOOKUP(E582,Data!C578:D673,2,0),"")</f>
        <v/>
      </c>
      <c r="G582" s="146"/>
      <c r="H582" s="149"/>
      <c r="I582" s="150"/>
      <c r="J582" s="151" t="str">
        <f t="shared" si="27"/>
        <v>-</v>
      </c>
      <c r="K582" s="152"/>
      <c r="L582" s="149"/>
      <c r="M582" s="149"/>
      <c r="N582" s="153">
        <f t="shared" si="28"/>
        <v>0</v>
      </c>
      <c r="O582" s="153">
        <f t="shared" si="29"/>
        <v>0</v>
      </c>
      <c r="P582" s="146"/>
    </row>
    <row r="583" spans="2:16" x14ac:dyDescent="0.3">
      <c r="B583" s="146">
        <v>576</v>
      </c>
      <c r="C583" s="147"/>
      <c r="D583" s="147"/>
      <c r="E583" s="146"/>
      <c r="F583" s="148" t="str">
        <f>+IFERROR(VLOOKUP(E583,Data!C579:D674,2,0),"")</f>
        <v/>
      </c>
      <c r="G583" s="146"/>
      <c r="H583" s="149"/>
      <c r="I583" s="150"/>
      <c r="J583" s="151" t="str">
        <f t="shared" si="27"/>
        <v>-</v>
      </c>
      <c r="K583" s="152"/>
      <c r="L583" s="149"/>
      <c r="M583" s="149"/>
      <c r="N583" s="153">
        <f t="shared" si="28"/>
        <v>0</v>
      </c>
      <c r="O583" s="153">
        <f t="shared" si="29"/>
        <v>0</v>
      </c>
      <c r="P583" s="146"/>
    </row>
    <row r="584" spans="2:16" x14ac:dyDescent="0.3">
      <c r="B584" s="146">
        <v>577</v>
      </c>
      <c r="C584" s="147"/>
      <c r="D584" s="147"/>
      <c r="E584" s="146"/>
      <c r="F584" s="148" t="str">
        <f>+IFERROR(VLOOKUP(E584,Data!C580:D675,2,0),"")</f>
        <v/>
      </c>
      <c r="G584" s="146"/>
      <c r="H584" s="149"/>
      <c r="I584" s="150"/>
      <c r="J584" s="151" t="str">
        <f t="shared" si="27"/>
        <v>-</v>
      </c>
      <c r="K584" s="152"/>
      <c r="L584" s="149"/>
      <c r="M584" s="149"/>
      <c r="N584" s="153">
        <f t="shared" si="28"/>
        <v>0</v>
      </c>
      <c r="O584" s="153">
        <f t="shared" si="29"/>
        <v>0</v>
      </c>
      <c r="P584" s="146"/>
    </row>
    <row r="585" spans="2:16" x14ac:dyDescent="0.3">
      <c r="B585" s="146">
        <v>578</v>
      </c>
      <c r="C585" s="147"/>
      <c r="D585" s="147"/>
      <c r="E585" s="146"/>
      <c r="F585" s="148" t="str">
        <f>+IFERROR(VLOOKUP(E585,Data!C581:D676,2,0),"")</f>
        <v/>
      </c>
      <c r="G585" s="146"/>
      <c r="H585" s="149"/>
      <c r="I585" s="150"/>
      <c r="J585" s="151" t="str">
        <f t="shared" si="27"/>
        <v>-</v>
      </c>
      <c r="K585" s="152"/>
      <c r="L585" s="149"/>
      <c r="M585" s="149"/>
      <c r="N585" s="153">
        <f t="shared" si="28"/>
        <v>0</v>
      </c>
      <c r="O585" s="153">
        <f t="shared" si="29"/>
        <v>0</v>
      </c>
      <c r="P585" s="146"/>
    </row>
    <row r="586" spans="2:16" x14ac:dyDescent="0.3">
      <c r="B586" s="146">
        <v>579</v>
      </c>
      <c r="C586" s="147"/>
      <c r="D586" s="147"/>
      <c r="E586" s="146"/>
      <c r="F586" s="148" t="str">
        <f>+IFERROR(VLOOKUP(E586,Data!C582:D677,2,0),"")</f>
        <v/>
      </c>
      <c r="G586" s="146"/>
      <c r="H586" s="149"/>
      <c r="I586" s="150"/>
      <c r="J586" s="151" t="str">
        <f t="shared" si="27"/>
        <v>-</v>
      </c>
      <c r="K586" s="152"/>
      <c r="L586" s="149"/>
      <c r="M586" s="149"/>
      <c r="N586" s="153">
        <f t="shared" si="28"/>
        <v>0</v>
      </c>
      <c r="O586" s="153">
        <f t="shared" si="29"/>
        <v>0</v>
      </c>
      <c r="P586" s="146"/>
    </row>
    <row r="587" spans="2:16" x14ac:dyDescent="0.3">
      <c r="B587" s="146">
        <v>580</v>
      </c>
      <c r="C587" s="147"/>
      <c r="D587" s="147"/>
      <c r="E587" s="146"/>
      <c r="F587" s="148" t="str">
        <f>+IFERROR(VLOOKUP(E587,Data!C583:D678,2,0),"")</f>
        <v/>
      </c>
      <c r="G587" s="146"/>
      <c r="H587" s="149"/>
      <c r="I587" s="150"/>
      <c r="J587" s="151" t="str">
        <f t="shared" si="27"/>
        <v>-</v>
      </c>
      <c r="K587" s="152"/>
      <c r="L587" s="149"/>
      <c r="M587" s="149"/>
      <c r="N587" s="153">
        <f t="shared" si="28"/>
        <v>0</v>
      </c>
      <c r="O587" s="153">
        <f t="shared" si="29"/>
        <v>0</v>
      </c>
      <c r="P587" s="146"/>
    </row>
    <row r="588" spans="2:16" x14ac:dyDescent="0.3">
      <c r="B588" s="146">
        <v>581</v>
      </c>
      <c r="C588" s="147"/>
      <c r="D588" s="147"/>
      <c r="E588" s="146"/>
      <c r="F588" s="148" t="str">
        <f>+IFERROR(VLOOKUP(E588,Data!C584:D679,2,0),"")</f>
        <v/>
      </c>
      <c r="G588" s="146"/>
      <c r="H588" s="149"/>
      <c r="I588" s="150"/>
      <c r="J588" s="151" t="str">
        <f t="shared" si="27"/>
        <v>-</v>
      </c>
      <c r="K588" s="152"/>
      <c r="L588" s="149"/>
      <c r="M588" s="149"/>
      <c r="N588" s="153">
        <f t="shared" si="28"/>
        <v>0</v>
      </c>
      <c r="O588" s="153">
        <f t="shared" si="29"/>
        <v>0</v>
      </c>
      <c r="P588" s="146"/>
    </row>
    <row r="589" spans="2:16" x14ac:dyDescent="0.3">
      <c r="B589" s="146">
        <v>582</v>
      </c>
      <c r="C589" s="147"/>
      <c r="D589" s="147"/>
      <c r="E589" s="146"/>
      <c r="F589" s="148" t="str">
        <f>+IFERROR(VLOOKUP(E589,Data!C585:D680,2,0),"")</f>
        <v/>
      </c>
      <c r="G589" s="146"/>
      <c r="H589" s="149"/>
      <c r="I589" s="150"/>
      <c r="J589" s="151" t="str">
        <f t="shared" si="27"/>
        <v>-</v>
      </c>
      <c r="K589" s="152"/>
      <c r="L589" s="149"/>
      <c r="M589" s="149"/>
      <c r="N589" s="153">
        <f t="shared" si="28"/>
        <v>0</v>
      </c>
      <c r="O589" s="153">
        <f t="shared" si="29"/>
        <v>0</v>
      </c>
      <c r="P589" s="146"/>
    </row>
    <row r="590" spans="2:16" x14ac:dyDescent="0.3">
      <c r="B590" s="146">
        <v>583</v>
      </c>
      <c r="C590" s="147"/>
      <c r="D590" s="147"/>
      <c r="E590" s="146"/>
      <c r="F590" s="148" t="str">
        <f>+IFERROR(VLOOKUP(E590,Data!C586:D681,2,0),"")</f>
        <v/>
      </c>
      <c r="G590" s="146"/>
      <c r="H590" s="149"/>
      <c r="I590" s="150"/>
      <c r="J590" s="151" t="str">
        <f t="shared" si="27"/>
        <v>-</v>
      </c>
      <c r="K590" s="152"/>
      <c r="L590" s="149"/>
      <c r="M590" s="149"/>
      <c r="N590" s="153">
        <f t="shared" si="28"/>
        <v>0</v>
      </c>
      <c r="O590" s="153">
        <f t="shared" si="29"/>
        <v>0</v>
      </c>
      <c r="P590" s="146"/>
    </row>
    <row r="591" spans="2:16" x14ac:dyDescent="0.3">
      <c r="B591" s="146">
        <v>584</v>
      </c>
      <c r="C591" s="147"/>
      <c r="D591" s="147"/>
      <c r="E591" s="146"/>
      <c r="F591" s="148" t="str">
        <f>+IFERROR(VLOOKUP(E591,Data!C587:D682,2,0),"")</f>
        <v/>
      </c>
      <c r="G591" s="146"/>
      <c r="H591" s="149"/>
      <c r="I591" s="150"/>
      <c r="J591" s="151" t="str">
        <f t="shared" si="27"/>
        <v>-</v>
      </c>
      <c r="K591" s="152"/>
      <c r="L591" s="149"/>
      <c r="M591" s="149"/>
      <c r="N591" s="153">
        <f t="shared" si="28"/>
        <v>0</v>
      </c>
      <c r="O591" s="153">
        <f t="shared" si="29"/>
        <v>0</v>
      </c>
      <c r="P591" s="146"/>
    </row>
    <row r="592" spans="2:16" x14ac:dyDescent="0.3">
      <c r="B592" s="146">
        <v>585</v>
      </c>
      <c r="C592" s="147"/>
      <c r="D592" s="147"/>
      <c r="E592" s="146"/>
      <c r="F592" s="148" t="str">
        <f>+IFERROR(VLOOKUP(E592,Data!C588:D683,2,0),"")</f>
        <v/>
      </c>
      <c r="G592" s="146"/>
      <c r="H592" s="149"/>
      <c r="I592" s="150"/>
      <c r="J592" s="151" t="str">
        <f t="shared" si="27"/>
        <v>-</v>
      </c>
      <c r="K592" s="152"/>
      <c r="L592" s="149"/>
      <c r="M592" s="149"/>
      <c r="N592" s="153">
        <f t="shared" si="28"/>
        <v>0</v>
      </c>
      <c r="O592" s="153">
        <f t="shared" si="29"/>
        <v>0</v>
      </c>
      <c r="P592" s="146"/>
    </row>
    <row r="593" spans="2:16" x14ac:dyDescent="0.3">
      <c r="B593" s="146">
        <v>586</v>
      </c>
      <c r="C593" s="147"/>
      <c r="D593" s="147"/>
      <c r="E593" s="146"/>
      <c r="F593" s="148" t="str">
        <f>+IFERROR(VLOOKUP(E593,Data!C589:D684,2,0),"")</f>
        <v/>
      </c>
      <c r="G593" s="146"/>
      <c r="H593" s="149"/>
      <c r="I593" s="150"/>
      <c r="J593" s="151" t="str">
        <f t="shared" si="27"/>
        <v>-</v>
      </c>
      <c r="K593" s="152"/>
      <c r="L593" s="149"/>
      <c r="M593" s="149"/>
      <c r="N593" s="153">
        <f t="shared" si="28"/>
        <v>0</v>
      </c>
      <c r="O593" s="153">
        <f t="shared" si="29"/>
        <v>0</v>
      </c>
      <c r="P593" s="146"/>
    </row>
    <row r="594" spans="2:16" x14ac:dyDescent="0.3">
      <c r="B594" s="146">
        <v>587</v>
      </c>
      <c r="C594" s="147"/>
      <c r="D594" s="147"/>
      <c r="E594" s="146"/>
      <c r="F594" s="148" t="str">
        <f>+IFERROR(VLOOKUP(E594,Data!C590:D685,2,0),"")</f>
        <v/>
      </c>
      <c r="G594" s="146"/>
      <c r="H594" s="149"/>
      <c r="I594" s="150"/>
      <c r="J594" s="151" t="str">
        <f t="shared" si="27"/>
        <v>-</v>
      </c>
      <c r="K594" s="152"/>
      <c r="L594" s="149"/>
      <c r="M594" s="149"/>
      <c r="N594" s="153">
        <f t="shared" si="28"/>
        <v>0</v>
      </c>
      <c r="O594" s="153">
        <f t="shared" si="29"/>
        <v>0</v>
      </c>
      <c r="P594" s="146"/>
    </row>
    <row r="595" spans="2:16" x14ac:dyDescent="0.3">
      <c r="B595" s="146">
        <v>588</v>
      </c>
      <c r="C595" s="147"/>
      <c r="D595" s="147"/>
      <c r="E595" s="146"/>
      <c r="F595" s="148" t="str">
        <f>+IFERROR(VLOOKUP(E595,Data!C591:D686,2,0),"")</f>
        <v/>
      </c>
      <c r="G595" s="146"/>
      <c r="H595" s="149"/>
      <c r="I595" s="150"/>
      <c r="J595" s="151" t="str">
        <f t="shared" si="27"/>
        <v>-</v>
      </c>
      <c r="K595" s="152"/>
      <c r="L595" s="149"/>
      <c r="M595" s="149"/>
      <c r="N595" s="153">
        <f t="shared" si="28"/>
        <v>0</v>
      </c>
      <c r="O595" s="153">
        <f t="shared" si="29"/>
        <v>0</v>
      </c>
      <c r="P595" s="146"/>
    </row>
    <row r="596" spans="2:16" x14ac:dyDescent="0.3">
      <c r="B596" s="146">
        <v>589</v>
      </c>
      <c r="C596" s="147"/>
      <c r="D596" s="147"/>
      <c r="E596" s="146"/>
      <c r="F596" s="148" t="str">
        <f>+IFERROR(VLOOKUP(E596,Data!C592:D687,2,0),"")</f>
        <v/>
      </c>
      <c r="G596" s="146"/>
      <c r="H596" s="149"/>
      <c r="I596" s="150"/>
      <c r="J596" s="151" t="str">
        <f t="shared" si="27"/>
        <v>-</v>
      </c>
      <c r="K596" s="152"/>
      <c r="L596" s="149"/>
      <c r="M596" s="149"/>
      <c r="N596" s="153">
        <f t="shared" si="28"/>
        <v>0</v>
      </c>
      <c r="O596" s="153">
        <f t="shared" si="29"/>
        <v>0</v>
      </c>
      <c r="P596" s="146"/>
    </row>
    <row r="597" spans="2:16" x14ac:dyDescent="0.3">
      <c r="B597" s="146">
        <v>590</v>
      </c>
      <c r="C597" s="147"/>
      <c r="D597" s="147"/>
      <c r="E597" s="146"/>
      <c r="F597" s="148" t="str">
        <f>+IFERROR(VLOOKUP(E597,Data!C593:D688,2,0),"")</f>
        <v/>
      </c>
      <c r="G597" s="146"/>
      <c r="H597" s="149"/>
      <c r="I597" s="150"/>
      <c r="J597" s="151" t="str">
        <f t="shared" si="27"/>
        <v>-</v>
      </c>
      <c r="K597" s="152"/>
      <c r="L597" s="149"/>
      <c r="M597" s="149"/>
      <c r="N597" s="153">
        <f t="shared" si="28"/>
        <v>0</v>
      </c>
      <c r="O597" s="153">
        <f t="shared" si="29"/>
        <v>0</v>
      </c>
      <c r="P597" s="146"/>
    </row>
    <row r="598" spans="2:16" x14ac:dyDescent="0.3">
      <c r="B598" s="146">
        <v>591</v>
      </c>
      <c r="C598" s="147"/>
      <c r="D598" s="147"/>
      <c r="E598" s="146"/>
      <c r="F598" s="148" t="str">
        <f>+IFERROR(VLOOKUP(E598,Data!C594:D689,2,0),"")</f>
        <v/>
      </c>
      <c r="G598" s="146"/>
      <c r="H598" s="149"/>
      <c r="I598" s="150"/>
      <c r="J598" s="151" t="str">
        <f t="shared" si="27"/>
        <v>-</v>
      </c>
      <c r="K598" s="152"/>
      <c r="L598" s="149"/>
      <c r="M598" s="149"/>
      <c r="N598" s="153">
        <f t="shared" si="28"/>
        <v>0</v>
      </c>
      <c r="O598" s="153">
        <f t="shared" si="29"/>
        <v>0</v>
      </c>
      <c r="P598" s="146"/>
    </row>
    <row r="599" spans="2:16" x14ac:dyDescent="0.3">
      <c r="B599" s="146">
        <v>592</v>
      </c>
      <c r="C599" s="147"/>
      <c r="D599" s="147"/>
      <c r="E599" s="146"/>
      <c r="F599" s="148" t="str">
        <f>+IFERROR(VLOOKUP(E599,Data!C595:D690,2,0),"")</f>
        <v/>
      </c>
      <c r="G599" s="146"/>
      <c r="H599" s="149"/>
      <c r="I599" s="150"/>
      <c r="J599" s="151" t="str">
        <f t="shared" si="27"/>
        <v>-</v>
      </c>
      <c r="K599" s="152"/>
      <c r="L599" s="149"/>
      <c r="M599" s="149"/>
      <c r="N599" s="153">
        <f t="shared" si="28"/>
        <v>0</v>
      </c>
      <c r="O599" s="153">
        <f t="shared" si="29"/>
        <v>0</v>
      </c>
      <c r="P599" s="146"/>
    </row>
    <row r="600" spans="2:16" x14ac:dyDescent="0.3">
      <c r="B600" s="146">
        <v>593</v>
      </c>
      <c r="C600" s="147"/>
      <c r="D600" s="147"/>
      <c r="E600" s="146"/>
      <c r="F600" s="148" t="str">
        <f>+IFERROR(VLOOKUP(E600,Data!C596:D691,2,0),"")</f>
        <v/>
      </c>
      <c r="G600" s="146"/>
      <c r="H600" s="149"/>
      <c r="I600" s="150"/>
      <c r="J600" s="151" t="str">
        <f t="shared" si="27"/>
        <v>-</v>
      </c>
      <c r="K600" s="152"/>
      <c r="L600" s="149"/>
      <c r="M600" s="149"/>
      <c r="N600" s="153">
        <f t="shared" si="28"/>
        <v>0</v>
      </c>
      <c r="O600" s="153">
        <f t="shared" si="29"/>
        <v>0</v>
      </c>
      <c r="P600" s="146"/>
    </row>
    <row r="601" spans="2:16" x14ac:dyDescent="0.3">
      <c r="B601" s="146">
        <v>594</v>
      </c>
      <c r="C601" s="147"/>
      <c r="D601" s="147"/>
      <c r="E601" s="146"/>
      <c r="F601" s="148" t="str">
        <f>+IFERROR(VLOOKUP(E601,Data!C597:D692,2,0),"")</f>
        <v/>
      </c>
      <c r="G601" s="146"/>
      <c r="H601" s="149"/>
      <c r="I601" s="150"/>
      <c r="J601" s="151" t="str">
        <f t="shared" si="27"/>
        <v>-</v>
      </c>
      <c r="K601" s="152"/>
      <c r="L601" s="149"/>
      <c r="M601" s="149"/>
      <c r="N601" s="153">
        <f t="shared" si="28"/>
        <v>0</v>
      </c>
      <c r="O601" s="153">
        <f t="shared" si="29"/>
        <v>0</v>
      </c>
      <c r="P601" s="146"/>
    </row>
    <row r="602" spans="2:16" x14ac:dyDescent="0.3">
      <c r="B602" s="146">
        <v>595</v>
      </c>
      <c r="C602" s="147"/>
      <c r="D602" s="147"/>
      <c r="E602" s="146"/>
      <c r="F602" s="148" t="str">
        <f>+IFERROR(VLOOKUP(E602,Data!C598:D693,2,0),"")</f>
        <v/>
      </c>
      <c r="G602" s="146"/>
      <c r="H602" s="149"/>
      <c r="I602" s="150"/>
      <c r="J602" s="151" t="str">
        <f t="shared" si="27"/>
        <v>-</v>
      </c>
      <c r="K602" s="152"/>
      <c r="L602" s="149"/>
      <c r="M602" s="149"/>
      <c r="N602" s="153">
        <f t="shared" si="28"/>
        <v>0</v>
      </c>
      <c r="O602" s="153">
        <f t="shared" si="29"/>
        <v>0</v>
      </c>
      <c r="P602" s="146"/>
    </row>
    <row r="603" spans="2:16" x14ac:dyDescent="0.3">
      <c r="B603" s="146">
        <v>596</v>
      </c>
      <c r="C603" s="147"/>
      <c r="D603" s="147"/>
      <c r="E603" s="146"/>
      <c r="F603" s="148" t="str">
        <f>+IFERROR(VLOOKUP(E603,Data!C599:D694,2,0),"")</f>
        <v/>
      </c>
      <c r="G603" s="146"/>
      <c r="H603" s="149"/>
      <c r="I603" s="150"/>
      <c r="J603" s="151" t="str">
        <f t="shared" si="27"/>
        <v>-</v>
      </c>
      <c r="K603" s="152"/>
      <c r="L603" s="149"/>
      <c r="M603" s="149"/>
      <c r="N603" s="153">
        <f t="shared" si="28"/>
        <v>0</v>
      </c>
      <c r="O603" s="153">
        <f t="shared" si="29"/>
        <v>0</v>
      </c>
      <c r="P603" s="146"/>
    </row>
    <row r="604" spans="2:16" x14ac:dyDescent="0.3">
      <c r="B604" s="146">
        <v>597</v>
      </c>
      <c r="C604" s="147"/>
      <c r="D604" s="147"/>
      <c r="E604" s="146"/>
      <c r="F604" s="148" t="str">
        <f>+IFERROR(VLOOKUP(E604,Data!C600:D695,2,0),"")</f>
        <v/>
      </c>
      <c r="G604" s="146"/>
      <c r="H604" s="149"/>
      <c r="I604" s="150"/>
      <c r="J604" s="151" t="str">
        <f t="shared" si="27"/>
        <v>-</v>
      </c>
      <c r="K604" s="152"/>
      <c r="L604" s="149"/>
      <c r="M604" s="149"/>
      <c r="N604" s="153">
        <f t="shared" si="28"/>
        <v>0</v>
      </c>
      <c r="O604" s="153">
        <f t="shared" si="29"/>
        <v>0</v>
      </c>
      <c r="P604" s="146"/>
    </row>
    <row r="605" spans="2:16" x14ac:dyDescent="0.3">
      <c r="B605" s="146">
        <v>598</v>
      </c>
      <c r="C605" s="147"/>
      <c r="D605" s="147"/>
      <c r="E605" s="146"/>
      <c r="F605" s="148" t="str">
        <f>+IFERROR(VLOOKUP(E605,Data!C601:D696,2,0),"")</f>
        <v/>
      </c>
      <c r="G605" s="146"/>
      <c r="H605" s="149"/>
      <c r="I605" s="150"/>
      <c r="J605" s="151" t="str">
        <f t="shared" si="27"/>
        <v>-</v>
      </c>
      <c r="K605" s="152"/>
      <c r="L605" s="149"/>
      <c r="M605" s="149"/>
      <c r="N605" s="153">
        <f t="shared" si="28"/>
        <v>0</v>
      </c>
      <c r="O605" s="153">
        <f t="shared" si="29"/>
        <v>0</v>
      </c>
      <c r="P605" s="146"/>
    </row>
    <row r="606" spans="2:16" x14ac:dyDescent="0.3">
      <c r="B606" s="146">
        <v>599</v>
      </c>
      <c r="C606" s="147"/>
      <c r="D606" s="147"/>
      <c r="E606" s="146"/>
      <c r="F606" s="148" t="str">
        <f>+IFERROR(VLOOKUP(E606,Data!C602:D697,2,0),"")</f>
        <v/>
      </c>
      <c r="G606" s="146"/>
      <c r="H606" s="149"/>
      <c r="I606" s="150"/>
      <c r="J606" s="151" t="str">
        <f t="shared" si="27"/>
        <v>-</v>
      </c>
      <c r="K606" s="152"/>
      <c r="L606" s="149"/>
      <c r="M606" s="149"/>
      <c r="N606" s="153">
        <f t="shared" si="28"/>
        <v>0</v>
      </c>
      <c r="O606" s="153">
        <f t="shared" si="29"/>
        <v>0</v>
      </c>
      <c r="P606" s="146"/>
    </row>
    <row r="607" spans="2:16" x14ac:dyDescent="0.3">
      <c r="B607" s="146">
        <v>600</v>
      </c>
      <c r="C607" s="147"/>
      <c r="D607" s="147"/>
      <c r="E607" s="146"/>
      <c r="F607" s="148" t="str">
        <f>+IFERROR(VLOOKUP(E607,Data!C603:D698,2,0),"")</f>
        <v/>
      </c>
      <c r="G607" s="146"/>
      <c r="H607" s="149"/>
      <c r="I607" s="150"/>
      <c r="J607" s="151" t="str">
        <f t="shared" si="27"/>
        <v>-</v>
      </c>
      <c r="K607" s="152"/>
      <c r="L607" s="149"/>
      <c r="M607" s="149"/>
      <c r="N607" s="153">
        <f t="shared" si="28"/>
        <v>0</v>
      </c>
      <c r="O607" s="153">
        <f t="shared" si="29"/>
        <v>0</v>
      </c>
      <c r="P607" s="146"/>
    </row>
    <row r="608" spans="2:16" x14ac:dyDescent="0.3">
      <c r="B608" s="146">
        <v>601</v>
      </c>
      <c r="C608" s="147"/>
      <c r="D608" s="147"/>
      <c r="E608" s="146"/>
      <c r="F608" s="148" t="str">
        <f>+IFERROR(VLOOKUP(E608,Data!C604:D699,2,0),"")</f>
        <v/>
      </c>
      <c r="G608" s="146"/>
      <c r="H608" s="149"/>
      <c r="I608" s="150"/>
      <c r="J608" s="151" t="str">
        <f t="shared" si="27"/>
        <v>-</v>
      </c>
      <c r="K608" s="152"/>
      <c r="L608" s="149"/>
      <c r="M608" s="149"/>
      <c r="N608" s="153">
        <f t="shared" si="28"/>
        <v>0</v>
      </c>
      <c r="O608" s="153">
        <f t="shared" si="29"/>
        <v>0</v>
      </c>
      <c r="P608" s="146"/>
    </row>
    <row r="609" spans="2:16" x14ac:dyDescent="0.3">
      <c r="B609" s="146">
        <v>602</v>
      </c>
      <c r="C609" s="147"/>
      <c r="D609" s="147"/>
      <c r="E609" s="146"/>
      <c r="F609" s="148" t="str">
        <f>+IFERROR(VLOOKUP(E609,Data!C605:D700,2,0),"")</f>
        <v/>
      </c>
      <c r="G609" s="146"/>
      <c r="H609" s="149"/>
      <c r="I609" s="150"/>
      <c r="J609" s="151" t="str">
        <f t="shared" si="27"/>
        <v>-</v>
      </c>
      <c r="K609" s="152"/>
      <c r="L609" s="149"/>
      <c r="M609" s="149"/>
      <c r="N609" s="153">
        <f t="shared" si="28"/>
        <v>0</v>
      </c>
      <c r="O609" s="153">
        <f t="shared" si="29"/>
        <v>0</v>
      </c>
      <c r="P609" s="146"/>
    </row>
    <row r="610" spans="2:16" x14ac:dyDescent="0.3">
      <c r="B610" s="146">
        <v>603</v>
      </c>
      <c r="C610" s="147"/>
      <c r="D610" s="147"/>
      <c r="E610" s="146"/>
      <c r="F610" s="148" t="str">
        <f>+IFERROR(VLOOKUP(E610,Data!C606:D701,2,0),"")</f>
        <v/>
      </c>
      <c r="G610" s="146"/>
      <c r="H610" s="149"/>
      <c r="I610" s="150"/>
      <c r="J610" s="151" t="str">
        <f t="shared" si="27"/>
        <v>-</v>
      </c>
      <c r="K610" s="152"/>
      <c r="L610" s="149"/>
      <c r="M610" s="149"/>
      <c r="N610" s="153">
        <f t="shared" si="28"/>
        <v>0</v>
      </c>
      <c r="O610" s="153">
        <f t="shared" si="29"/>
        <v>0</v>
      </c>
      <c r="P610" s="146"/>
    </row>
    <row r="611" spans="2:16" x14ac:dyDescent="0.3">
      <c r="B611" s="146">
        <v>604</v>
      </c>
      <c r="C611" s="147"/>
      <c r="D611" s="147"/>
      <c r="E611" s="146"/>
      <c r="F611" s="148" t="str">
        <f>+IFERROR(VLOOKUP(E611,Data!C607:D702,2,0),"")</f>
        <v/>
      </c>
      <c r="G611" s="146"/>
      <c r="H611" s="149"/>
      <c r="I611" s="150"/>
      <c r="J611" s="151" t="str">
        <f t="shared" si="27"/>
        <v>-</v>
      </c>
      <c r="K611" s="152"/>
      <c r="L611" s="149"/>
      <c r="M611" s="149"/>
      <c r="N611" s="153">
        <f t="shared" si="28"/>
        <v>0</v>
      </c>
      <c r="O611" s="153">
        <f t="shared" si="29"/>
        <v>0</v>
      </c>
      <c r="P611" s="146"/>
    </row>
    <row r="612" spans="2:16" x14ac:dyDescent="0.3">
      <c r="B612" s="146">
        <v>605</v>
      </c>
      <c r="C612" s="147"/>
      <c r="D612" s="147"/>
      <c r="E612" s="146"/>
      <c r="F612" s="148" t="str">
        <f>+IFERROR(VLOOKUP(E612,Data!C608:D703,2,0),"")</f>
        <v/>
      </c>
      <c r="G612" s="146"/>
      <c r="H612" s="149"/>
      <c r="I612" s="150"/>
      <c r="J612" s="151" t="str">
        <f t="shared" si="27"/>
        <v>-</v>
      </c>
      <c r="K612" s="152"/>
      <c r="L612" s="149"/>
      <c r="M612" s="149"/>
      <c r="N612" s="153">
        <f t="shared" si="28"/>
        <v>0</v>
      </c>
      <c r="O612" s="153">
        <f t="shared" si="29"/>
        <v>0</v>
      </c>
      <c r="P612" s="146"/>
    </row>
    <row r="613" spans="2:16" x14ac:dyDescent="0.3">
      <c r="B613" s="146">
        <v>606</v>
      </c>
      <c r="C613" s="147"/>
      <c r="D613" s="147"/>
      <c r="E613" s="146"/>
      <c r="F613" s="148" t="str">
        <f>+IFERROR(VLOOKUP(E613,Data!C609:D704,2,0),"")</f>
        <v/>
      </c>
      <c r="G613" s="146"/>
      <c r="H613" s="149"/>
      <c r="I613" s="150"/>
      <c r="J613" s="151" t="str">
        <f t="shared" si="27"/>
        <v>-</v>
      </c>
      <c r="K613" s="152"/>
      <c r="L613" s="149"/>
      <c r="M613" s="149"/>
      <c r="N613" s="153">
        <f t="shared" si="28"/>
        <v>0</v>
      </c>
      <c r="O613" s="153">
        <f t="shared" si="29"/>
        <v>0</v>
      </c>
      <c r="P613" s="146"/>
    </row>
    <row r="614" spans="2:16" x14ac:dyDescent="0.3">
      <c r="B614" s="146">
        <v>607</v>
      </c>
      <c r="C614" s="147"/>
      <c r="D614" s="147"/>
      <c r="E614" s="146"/>
      <c r="F614" s="148" t="str">
        <f>+IFERROR(VLOOKUP(E614,Data!C610:D705,2,0),"")</f>
        <v/>
      </c>
      <c r="G614" s="146"/>
      <c r="H614" s="149"/>
      <c r="I614" s="150"/>
      <c r="J614" s="151" t="str">
        <f t="shared" si="27"/>
        <v>-</v>
      </c>
      <c r="K614" s="152"/>
      <c r="L614" s="149"/>
      <c r="M614" s="149"/>
      <c r="N614" s="153">
        <f t="shared" si="28"/>
        <v>0</v>
      </c>
      <c r="O614" s="153">
        <f t="shared" si="29"/>
        <v>0</v>
      </c>
      <c r="P614" s="146"/>
    </row>
    <row r="615" spans="2:16" x14ac:dyDescent="0.3">
      <c r="B615" s="146">
        <v>608</v>
      </c>
      <c r="C615" s="147"/>
      <c r="D615" s="147"/>
      <c r="E615" s="146"/>
      <c r="F615" s="148" t="str">
        <f>+IFERROR(VLOOKUP(E615,Data!C611:D706,2,0),"")</f>
        <v/>
      </c>
      <c r="G615" s="146"/>
      <c r="H615" s="149"/>
      <c r="I615" s="150"/>
      <c r="J615" s="151" t="str">
        <f t="shared" si="27"/>
        <v>-</v>
      </c>
      <c r="K615" s="152"/>
      <c r="L615" s="149"/>
      <c r="M615" s="149"/>
      <c r="N615" s="153">
        <f t="shared" si="28"/>
        <v>0</v>
      </c>
      <c r="O615" s="153">
        <f t="shared" si="29"/>
        <v>0</v>
      </c>
      <c r="P615" s="146"/>
    </row>
    <row r="616" spans="2:16" x14ac:dyDescent="0.3">
      <c r="B616" s="146">
        <v>609</v>
      </c>
      <c r="C616" s="147"/>
      <c r="D616" s="147"/>
      <c r="E616" s="146"/>
      <c r="F616" s="148" t="str">
        <f>+IFERROR(VLOOKUP(E616,Data!C612:D707,2,0),"")</f>
        <v/>
      </c>
      <c r="G616" s="146"/>
      <c r="H616" s="149"/>
      <c r="I616" s="150"/>
      <c r="J616" s="151" t="str">
        <f t="shared" si="27"/>
        <v>-</v>
      </c>
      <c r="K616" s="152"/>
      <c r="L616" s="149"/>
      <c r="M616" s="149"/>
      <c r="N616" s="153">
        <f t="shared" si="28"/>
        <v>0</v>
      </c>
      <c r="O616" s="153">
        <f t="shared" si="29"/>
        <v>0</v>
      </c>
      <c r="P616" s="146"/>
    </row>
    <row r="617" spans="2:16" x14ac:dyDescent="0.3">
      <c r="B617" s="146">
        <v>610</v>
      </c>
      <c r="C617" s="147"/>
      <c r="D617" s="147"/>
      <c r="E617" s="146"/>
      <c r="F617" s="148" t="str">
        <f>+IFERROR(VLOOKUP(E617,Data!C613:D708,2,0),"")</f>
        <v/>
      </c>
      <c r="G617" s="146"/>
      <c r="H617" s="149"/>
      <c r="I617" s="150"/>
      <c r="J617" s="151" t="str">
        <f t="shared" si="27"/>
        <v>-</v>
      </c>
      <c r="K617" s="152"/>
      <c r="L617" s="149"/>
      <c r="M617" s="149"/>
      <c r="N617" s="153">
        <f t="shared" si="28"/>
        <v>0</v>
      </c>
      <c r="O617" s="153">
        <f t="shared" si="29"/>
        <v>0</v>
      </c>
      <c r="P617" s="146"/>
    </row>
    <row r="618" spans="2:16" x14ac:dyDescent="0.3">
      <c r="B618" s="146">
        <v>611</v>
      </c>
      <c r="C618" s="147"/>
      <c r="D618" s="147"/>
      <c r="E618" s="146"/>
      <c r="F618" s="148" t="str">
        <f>+IFERROR(VLOOKUP(E618,Data!C614:D709,2,0),"")</f>
        <v/>
      </c>
      <c r="G618" s="146"/>
      <c r="H618" s="149"/>
      <c r="I618" s="150"/>
      <c r="J618" s="151" t="str">
        <f t="shared" si="27"/>
        <v>-</v>
      </c>
      <c r="K618" s="152"/>
      <c r="L618" s="149"/>
      <c r="M618" s="149"/>
      <c r="N618" s="153">
        <f t="shared" si="28"/>
        <v>0</v>
      </c>
      <c r="O618" s="153">
        <f t="shared" si="29"/>
        <v>0</v>
      </c>
      <c r="P618" s="146"/>
    </row>
    <row r="619" spans="2:16" x14ac:dyDescent="0.3">
      <c r="B619" s="146">
        <v>612</v>
      </c>
      <c r="C619" s="147"/>
      <c r="D619" s="147"/>
      <c r="E619" s="146"/>
      <c r="F619" s="148" t="str">
        <f>+IFERROR(VLOOKUP(E619,Data!C615:D710,2,0),"")</f>
        <v/>
      </c>
      <c r="G619" s="146"/>
      <c r="H619" s="149"/>
      <c r="I619" s="150"/>
      <c r="J619" s="151" t="str">
        <f t="shared" si="27"/>
        <v>-</v>
      </c>
      <c r="K619" s="152"/>
      <c r="L619" s="149"/>
      <c r="M619" s="149"/>
      <c r="N619" s="153">
        <f t="shared" si="28"/>
        <v>0</v>
      </c>
      <c r="O619" s="153">
        <f t="shared" si="29"/>
        <v>0</v>
      </c>
      <c r="P619" s="146"/>
    </row>
    <row r="620" spans="2:16" x14ac:dyDescent="0.3">
      <c r="B620" s="146">
        <v>613</v>
      </c>
      <c r="C620" s="147"/>
      <c r="D620" s="147"/>
      <c r="E620" s="146"/>
      <c r="F620" s="148" t="str">
        <f>+IFERROR(VLOOKUP(E620,Data!C616:D711,2,0),"")</f>
        <v/>
      </c>
      <c r="G620" s="146"/>
      <c r="H620" s="149"/>
      <c r="I620" s="150"/>
      <c r="J620" s="151" t="str">
        <f t="shared" si="27"/>
        <v>-</v>
      </c>
      <c r="K620" s="152"/>
      <c r="L620" s="149"/>
      <c r="M620" s="149"/>
      <c r="N620" s="153">
        <f t="shared" si="28"/>
        <v>0</v>
      </c>
      <c r="O620" s="153">
        <f t="shared" si="29"/>
        <v>0</v>
      </c>
      <c r="P620" s="146"/>
    </row>
    <row r="621" spans="2:16" x14ac:dyDescent="0.3">
      <c r="B621" s="146">
        <v>614</v>
      </c>
      <c r="C621" s="147"/>
      <c r="D621" s="147"/>
      <c r="E621" s="146"/>
      <c r="F621" s="148" t="str">
        <f>+IFERROR(VLOOKUP(E621,Data!C617:D712,2,0),"")</f>
        <v/>
      </c>
      <c r="G621" s="146"/>
      <c r="H621" s="149"/>
      <c r="I621" s="150"/>
      <c r="J621" s="151" t="str">
        <f t="shared" si="27"/>
        <v>-</v>
      </c>
      <c r="K621" s="152"/>
      <c r="L621" s="149"/>
      <c r="M621" s="149"/>
      <c r="N621" s="153">
        <f t="shared" si="28"/>
        <v>0</v>
      </c>
      <c r="O621" s="153">
        <f t="shared" si="29"/>
        <v>0</v>
      </c>
      <c r="P621" s="146"/>
    </row>
    <row r="622" spans="2:16" x14ac:dyDescent="0.3">
      <c r="B622" s="146">
        <v>615</v>
      </c>
      <c r="C622" s="147"/>
      <c r="D622" s="147"/>
      <c r="E622" s="146"/>
      <c r="F622" s="148" t="str">
        <f>+IFERROR(VLOOKUP(E622,Data!C618:D713,2,0),"")</f>
        <v/>
      </c>
      <c r="G622" s="146"/>
      <c r="H622" s="149"/>
      <c r="I622" s="150"/>
      <c r="J622" s="151" t="str">
        <f t="shared" si="27"/>
        <v>-</v>
      </c>
      <c r="K622" s="152"/>
      <c r="L622" s="149"/>
      <c r="M622" s="149"/>
      <c r="N622" s="153">
        <f t="shared" si="28"/>
        <v>0</v>
      </c>
      <c r="O622" s="153">
        <f t="shared" si="29"/>
        <v>0</v>
      </c>
      <c r="P622" s="146"/>
    </row>
    <row r="623" spans="2:16" x14ac:dyDescent="0.3">
      <c r="B623" s="146">
        <v>616</v>
      </c>
      <c r="C623" s="147"/>
      <c r="D623" s="147"/>
      <c r="E623" s="146"/>
      <c r="F623" s="148" t="str">
        <f>+IFERROR(VLOOKUP(E623,Data!C619:D714,2,0),"")</f>
        <v/>
      </c>
      <c r="G623" s="146"/>
      <c r="H623" s="149"/>
      <c r="I623" s="150"/>
      <c r="J623" s="151" t="str">
        <f t="shared" si="27"/>
        <v>-</v>
      </c>
      <c r="K623" s="152"/>
      <c r="L623" s="149"/>
      <c r="M623" s="149"/>
      <c r="N623" s="153">
        <f t="shared" si="28"/>
        <v>0</v>
      </c>
      <c r="O623" s="153">
        <f t="shared" si="29"/>
        <v>0</v>
      </c>
      <c r="P623" s="146"/>
    </row>
    <row r="624" spans="2:16" x14ac:dyDescent="0.3">
      <c r="B624" s="146">
        <v>617</v>
      </c>
      <c r="C624" s="147"/>
      <c r="D624" s="147"/>
      <c r="E624" s="146"/>
      <c r="F624" s="148" t="str">
        <f>+IFERROR(VLOOKUP(E624,Data!C620:D715,2,0),"")</f>
        <v/>
      </c>
      <c r="G624" s="146"/>
      <c r="H624" s="149"/>
      <c r="I624" s="150"/>
      <c r="J624" s="151" t="str">
        <f t="shared" si="27"/>
        <v>-</v>
      </c>
      <c r="K624" s="152"/>
      <c r="L624" s="149"/>
      <c r="M624" s="149"/>
      <c r="N624" s="153">
        <f t="shared" si="28"/>
        <v>0</v>
      </c>
      <c r="O624" s="153">
        <f t="shared" si="29"/>
        <v>0</v>
      </c>
      <c r="P624" s="146"/>
    </row>
    <row r="625" spans="2:16" x14ac:dyDescent="0.3">
      <c r="B625" s="146">
        <v>618</v>
      </c>
      <c r="C625" s="147"/>
      <c r="D625" s="147"/>
      <c r="E625" s="146"/>
      <c r="F625" s="148" t="str">
        <f>+IFERROR(VLOOKUP(E625,Data!C621:D716,2,0),"")</f>
        <v/>
      </c>
      <c r="G625" s="146"/>
      <c r="H625" s="149"/>
      <c r="I625" s="150"/>
      <c r="J625" s="151" t="str">
        <f t="shared" si="27"/>
        <v>-</v>
      </c>
      <c r="K625" s="152"/>
      <c r="L625" s="149"/>
      <c r="M625" s="149"/>
      <c r="N625" s="153">
        <f t="shared" si="28"/>
        <v>0</v>
      </c>
      <c r="O625" s="153">
        <f t="shared" si="29"/>
        <v>0</v>
      </c>
      <c r="P625" s="146"/>
    </row>
    <row r="626" spans="2:16" x14ac:dyDescent="0.3">
      <c r="B626" s="146">
        <v>619</v>
      </c>
      <c r="C626" s="147"/>
      <c r="D626" s="147"/>
      <c r="E626" s="146"/>
      <c r="F626" s="148" t="str">
        <f>+IFERROR(VLOOKUP(E626,Data!C622:D717,2,0),"")</f>
        <v/>
      </c>
      <c r="G626" s="146"/>
      <c r="H626" s="149"/>
      <c r="I626" s="150"/>
      <c r="J626" s="151" t="str">
        <f t="shared" si="27"/>
        <v>-</v>
      </c>
      <c r="K626" s="152"/>
      <c r="L626" s="149"/>
      <c r="M626" s="149"/>
      <c r="N626" s="153">
        <f t="shared" si="28"/>
        <v>0</v>
      </c>
      <c r="O626" s="153">
        <f t="shared" si="29"/>
        <v>0</v>
      </c>
      <c r="P626" s="146"/>
    </row>
    <row r="627" spans="2:16" x14ac:dyDescent="0.3">
      <c r="B627" s="146">
        <v>620</v>
      </c>
      <c r="C627" s="147"/>
      <c r="D627" s="147"/>
      <c r="E627" s="146"/>
      <c r="F627" s="148" t="str">
        <f>+IFERROR(VLOOKUP(E627,Data!C623:D718,2,0),"")</f>
        <v/>
      </c>
      <c r="G627" s="146"/>
      <c r="H627" s="149"/>
      <c r="I627" s="150"/>
      <c r="J627" s="151" t="str">
        <f t="shared" si="27"/>
        <v>-</v>
      </c>
      <c r="K627" s="152"/>
      <c r="L627" s="149"/>
      <c r="M627" s="149"/>
      <c r="N627" s="153">
        <f t="shared" si="28"/>
        <v>0</v>
      </c>
      <c r="O627" s="153">
        <f t="shared" si="29"/>
        <v>0</v>
      </c>
      <c r="P627" s="146"/>
    </row>
    <row r="628" spans="2:16" x14ac:dyDescent="0.3">
      <c r="B628" s="146">
        <v>621</v>
      </c>
      <c r="C628" s="147"/>
      <c r="D628" s="147"/>
      <c r="E628" s="146"/>
      <c r="F628" s="148" t="str">
        <f>+IFERROR(VLOOKUP(E628,Data!C624:D719,2,0),"")</f>
        <v/>
      </c>
      <c r="G628" s="146"/>
      <c r="H628" s="149"/>
      <c r="I628" s="150"/>
      <c r="J628" s="151" t="str">
        <f t="shared" si="27"/>
        <v>-</v>
      </c>
      <c r="K628" s="152"/>
      <c r="L628" s="149"/>
      <c r="M628" s="149"/>
      <c r="N628" s="153">
        <f t="shared" si="28"/>
        <v>0</v>
      </c>
      <c r="O628" s="153">
        <f t="shared" si="29"/>
        <v>0</v>
      </c>
      <c r="P628" s="146"/>
    </row>
    <row r="629" spans="2:16" x14ac:dyDescent="0.3">
      <c r="B629" s="146">
        <v>622</v>
      </c>
      <c r="C629" s="147"/>
      <c r="D629" s="147"/>
      <c r="E629" s="146"/>
      <c r="F629" s="148" t="str">
        <f>+IFERROR(VLOOKUP(E629,Data!C625:D720,2,0),"")</f>
        <v/>
      </c>
      <c r="G629" s="146"/>
      <c r="H629" s="149"/>
      <c r="I629" s="150"/>
      <c r="J629" s="151" t="str">
        <f t="shared" si="27"/>
        <v>-</v>
      </c>
      <c r="K629" s="152"/>
      <c r="L629" s="149"/>
      <c r="M629" s="149"/>
      <c r="N629" s="153">
        <f t="shared" si="28"/>
        <v>0</v>
      </c>
      <c r="O629" s="153">
        <f t="shared" si="29"/>
        <v>0</v>
      </c>
      <c r="P629" s="146"/>
    </row>
    <row r="630" spans="2:16" x14ac:dyDescent="0.3">
      <c r="B630" s="146">
        <v>623</v>
      </c>
      <c r="C630" s="147"/>
      <c r="D630" s="147"/>
      <c r="E630" s="146"/>
      <c r="F630" s="148" t="str">
        <f>+IFERROR(VLOOKUP(E630,Data!C626:D721,2,0),"")</f>
        <v/>
      </c>
      <c r="G630" s="146"/>
      <c r="H630" s="149"/>
      <c r="I630" s="150"/>
      <c r="J630" s="151" t="str">
        <f t="shared" ref="J630:J693" si="30">IFERROR(+I630/H630,"-")</f>
        <v>-</v>
      </c>
      <c r="K630" s="152"/>
      <c r="L630" s="149"/>
      <c r="M630" s="149"/>
      <c r="N630" s="153">
        <f t="shared" ref="N630:N693" si="31">+L630+M630</f>
        <v>0</v>
      </c>
      <c r="O630" s="153">
        <f t="shared" ref="O630:O693" si="32">+N630-K630</f>
        <v>0</v>
      </c>
      <c r="P630" s="146"/>
    </row>
    <row r="631" spans="2:16" x14ac:dyDescent="0.3">
      <c r="B631" s="146">
        <v>624</v>
      </c>
      <c r="C631" s="147"/>
      <c r="D631" s="147"/>
      <c r="E631" s="146"/>
      <c r="F631" s="148" t="str">
        <f>+IFERROR(VLOOKUP(E631,Data!C627:D722,2,0),"")</f>
        <v/>
      </c>
      <c r="G631" s="146"/>
      <c r="H631" s="149"/>
      <c r="I631" s="150"/>
      <c r="J631" s="151" t="str">
        <f t="shared" si="30"/>
        <v>-</v>
      </c>
      <c r="K631" s="152"/>
      <c r="L631" s="149"/>
      <c r="M631" s="149"/>
      <c r="N631" s="153">
        <f t="shared" si="31"/>
        <v>0</v>
      </c>
      <c r="O631" s="153">
        <f t="shared" si="32"/>
        <v>0</v>
      </c>
      <c r="P631" s="146"/>
    </row>
    <row r="632" spans="2:16" x14ac:dyDescent="0.3">
      <c r="B632" s="146">
        <v>625</v>
      </c>
      <c r="C632" s="147"/>
      <c r="D632" s="147"/>
      <c r="E632" s="146"/>
      <c r="F632" s="148" t="str">
        <f>+IFERROR(VLOOKUP(E632,Data!C628:D723,2,0),"")</f>
        <v/>
      </c>
      <c r="G632" s="146"/>
      <c r="H632" s="149"/>
      <c r="I632" s="150"/>
      <c r="J632" s="151" t="str">
        <f t="shared" si="30"/>
        <v>-</v>
      </c>
      <c r="K632" s="152"/>
      <c r="L632" s="149"/>
      <c r="M632" s="149"/>
      <c r="N632" s="153">
        <f t="shared" si="31"/>
        <v>0</v>
      </c>
      <c r="O632" s="153">
        <f t="shared" si="32"/>
        <v>0</v>
      </c>
      <c r="P632" s="146"/>
    </row>
    <row r="633" spans="2:16" x14ac:dyDescent="0.3">
      <c r="B633" s="146">
        <v>626</v>
      </c>
      <c r="C633" s="147"/>
      <c r="D633" s="147"/>
      <c r="E633" s="146"/>
      <c r="F633" s="148" t="str">
        <f>+IFERROR(VLOOKUP(E633,Data!C629:D724,2,0),"")</f>
        <v/>
      </c>
      <c r="G633" s="146"/>
      <c r="H633" s="149"/>
      <c r="I633" s="150"/>
      <c r="J633" s="151" t="str">
        <f t="shared" si="30"/>
        <v>-</v>
      </c>
      <c r="K633" s="152"/>
      <c r="L633" s="149"/>
      <c r="M633" s="149"/>
      <c r="N633" s="153">
        <f t="shared" si="31"/>
        <v>0</v>
      </c>
      <c r="O633" s="153">
        <f t="shared" si="32"/>
        <v>0</v>
      </c>
      <c r="P633" s="146"/>
    </row>
    <row r="634" spans="2:16" x14ac:dyDescent="0.3">
      <c r="B634" s="146">
        <v>627</v>
      </c>
      <c r="C634" s="147"/>
      <c r="D634" s="147"/>
      <c r="E634" s="146"/>
      <c r="F634" s="148" t="str">
        <f>+IFERROR(VLOOKUP(E634,Data!C630:D725,2,0),"")</f>
        <v/>
      </c>
      <c r="G634" s="146"/>
      <c r="H634" s="149"/>
      <c r="I634" s="150"/>
      <c r="J634" s="151" t="str">
        <f t="shared" si="30"/>
        <v>-</v>
      </c>
      <c r="K634" s="152"/>
      <c r="L634" s="149"/>
      <c r="M634" s="149"/>
      <c r="N634" s="153">
        <f t="shared" si="31"/>
        <v>0</v>
      </c>
      <c r="O634" s="153">
        <f t="shared" si="32"/>
        <v>0</v>
      </c>
      <c r="P634" s="146"/>
    </row>
    <row r="635" spans="2:16" x14ac:dyDescent="0.3">
      <c r="B635" s="146">
        <v>628</v>
      </c>
      <c r="C635" s="147"/>
      <c r="D635" s="147"/>
      <c r="E635" s="146"/>
      <c r="F635" s="148" t="str">
        <f>+IFERROR(VLOOKUP(E635,Data!C631:D726,2,0),"")</f>
        <v/>
      </c>
      <c r="G635" s="146"/>
      <c r="H635" s="149"/>
      <c r="I635" s="150"/>
      <c r="J635" s="151" t="str">
        <f t="shared" si="30"/>
        <v>-</v>
      </c>
      <c r="K635" s="152"/>
      <c r="L635" s="149"/>
      <c r="M635" s="149"/>
      <c r="N635" s="153">
        <f t="shared" si="31"/>
        <v>0</v>
      </c>
      <c r="O635" s="153">
        <f t="shared" si="32"/>
        <v>0</v>
      </c>
      <c r="P635" s="146"/>
    </row>
    <row r="636" spans="2:16" x14ac:dyDescent="0.3">
      <c r="B636" s="146">
        <v>629</v>
      </c>
      <c r="C636" s="147"/>
      <c r="D636" s="147"/>
      <c r="E636" s="146"/>
      <c r="F636" s="148" t="str">
        <f>+IFERROR(VLOOKUP(E636,Data!C632:D727,2,0),"")</f>
        <v/>
      </c>
      <c r="G636" s="146"/>
      <c r="H636" s="149"/>
      <c r="I636" s="150"/>
      <c r="J636" s="151" t="str">
        <f t="shared" si="30"/>
        <v>-</v>
      </c>
      <c r="K636" s="152"/>
      <c r="L636" s="149"/>
      <c r="M636" s="149"/>
      <c r="N636" s="153">
        <f t="shared" si="31"/>
        <v>0</v>
      </c>
      <c r="O636" s="153">
        <f t="shared" si="32"/>
        <v>0</v>
      </c>
      <c r="P636" s="146"/>
    </row>
    <row r="637" spans="2:16" x14ac:dyDescent="0.3">
      <c r="B637" s="146">
        <v>630</v>
      </c>
      <c r="C637" s="147"/>
      <c r="D637" s="147"/>
      <c r="E637" s="146"/>
      <c r="F637" s="148" t="str">
        <f>+IFERROR(VLOOKUP(E637,Data!C633:D728,2,0),"")</f>
        <v/>
      </c>
      <c r="G637" s="146"/>
      <c r="H637" s="149"/>
      <c r="I637" s="150"/>
      <c r="J637" s="151" t="str">
        <f t="shared" si="30"/>
        <v>-</v>
      </c>
      <c r="K637" s="152"/>
      <c r="L637" s="149"/>
      <c r="M637" s="149"/>
      <c r="N637" s="153">
        <f t="shared" si="31"/>
        <v>0</v>
      </c>
      <c r="O637" s="153">
        <f t="shared" si="32"/>
        <v>0</v>
      </c>
      <c r="P637" s="146"/>
    </row>
    <row r="638" spans="2:16" x14ac:dyDescent="0.3">
      <c r="B638" s="146">
        <v>631</v>
      </c>
      <c r="C638" s="147"/>
      <c r="D638" s="147"/>
      <c r="E638" s="146"/>
      <c r="F638" s="148" t="str">
        <f>+IFERROR(VLOOKUP(E638,Data!C634:D729,2,0),"")</f>
        <v/>
      </c>
      <c r="G638" s="146"/>
      <c r="H638" s="149"/>
      <c r="I638" s="150"/>
      <c r="J638" s="151" t="str">
        <f t="shared" si="30"/>
        <v>-</v>
      </c>
      <c r="K638" s="152"/>
      <c r="L638" s="149"/>
      <c r="M638" s="149"/>
      <c r="N638" s="153">
        <f t="shared" si="31"/>
        <v>0</v>
      </c>
      <c r="O638" s="153">
        <f t="shared" si="32"/>
        <v>0</v>
      </c>
      <c r="P638" s="146"/>
    </row>
    <row r="639" spans="2:16" x14ac:dyDescent="0.3">
      <c r="B639" s="146">
        <v>632</v>
      </c>
      <c r="C639" s="147"/>
      <c r="D639" s="147"/>
      <c r="E639" s="146"/>
      <c r="F639" s="148" t="str">
        <f>+IFERROR(VLOOKUP(E639,Data!C635:D730,2,0),"")</f>
        <v/>
      </c>
      <c r="G639" s="146"/>
      <c r="H639" s="149"/>
      <c r="I639" s="150"/>
      <c r="J639" s="151" t="str">
        <f t="shared" si="30"/>
        <v>-</v>
      </c>
      <c r="K639" s="152"/>
      <c r="L639" s="149"/>
      <c r="M639" s="149"/>
      <c r="N639" s="153">
        <f t="shared" si="31"/>
        <v>0</v>
      </c>
      <c r="O639" s="153">
        <f t="shared" si="32"/>
        <v>0</v>
      </c>
      <c r="P639" s="146"/>
    </row>
    <row r="640" spans="2:16" x14ac:dyDescent="0.3">
      <c r="B640" s="146">
        <v>633</v>
      </c>
      <c r="C640" s="147"/>
      <c r="D640" s="147"/>
      <c r="E640" s="146"/>
      <c r="F640" s="148" t="str">
        <f>+IFERROR(VLOOKUP(E640,Data!C636:D731,2,0),"")</f>
        <v/>
      </c>
      <c r="G640" s="146"/>
      <c r="H640" s="149"/>
      <c r="I640" s="150"/>
      <c r="J640" s="151" t="str">
        <f t="shared" si="30"/>
        <v>-</v>
      </c>
      <c r="K640" s="152"/>
      <c r="L640" s="149"/>
      <c r="M640" s="149"/>
      <c r="N640" s="153">
        <f t="shared" si="31"/>
        <v>0</v>
      </c>
      <c r="O640" s="153">
        <f t="shared" si="32"/>
        <v>0</v>
      </c>
      <c r="P640" s="146"/>
    </row>
    <row r="641" spans="2:16" x14ac:dyDescent="0.3">
      <c r="B641" s="146">
        <v>634</v>
      </c>
      <c r="C641" s="147"/>
      <c r="D641" s="147"/>
      <c r="E641" s="146"/>
      <c r="F641" s="148" t="str">
        <f>+IFERROR(VLOOKUP(E641,Data!C637:D732,2,0),"")</f>
        <v/>
      </c>
      <c r="G641" s="146"/>
      <c r="H641" s="149"/>
      <c r="I641" s="150"/>
      <c r="J641" s="151" t="str">
        <f t="shared" si="30"/>
        <v>-</v>
      </c>
      <c r="K641" s="152"/>
      <c r="L641" s="149"/>
      <c r="M641" s="149"/>
      <c r="N641" s="153">
        <f t="shared" si="31"/>
        <v>0</v>
      </c>
      <c r="O641" s="153">
        <f t="shared" si="32"/>
        <v>0</v>
      </c>
      <c r="P641" s="146"/>
    </row>
    <row r="642" spans="2:16" x14ac:dyDescent="0.3">
      <c r="B642" s="146">
        <v>635</v>
      </c>
      <c r="C642" s="147"/>
      <c r="D642" s="147"/>
      <c r="E642" s="146"/>
      <c r="F642" s="148" t="str">
        <f>+IFERROR(VLOOKUP(E642,Data!C638:D733,2,0),"")</f>
        <v/>
      </c>
      <c r="G642" s="146"/>
      <c r="H642" s="149"/>
      <c r="I642" s="150"/>
      <c r="J642" s="151" t="str">
        <f t="shared" si="30"/>
        <v>-</v>
      </c>
      <c r="K642" s="152"/>
      <c r="L642" s="149"/>
      <c r="M642" s="149"/>
      <c r="N642" s="153">
        <f t="shared" si="31"/>
        <v>0</v>
      </c>
      <c r="O642" s="153">
        <f t="shared" si="32"/>
        <v>0</v>
      </c>
      <c r="P642" s="146"/>
    </row>
    <row r="643" spans="2:16" x14ac:dyDescent="0.3">
      <c r="B643" s="146">
        <v>636</v>
      </c>
      <c r="C643" s="147"/>
      <c r="D643" s="147"/>
      <c r="E643" s="146"/>
      <c r="F643" s="148" t="str">
        <f>+IFERROR(VLOOKUP(E643,Data!C639:D734,2,0),"")</f>
        <v/>
      </c>
      <c r="G643" s="146"/>
      <c r="H643" s="149"/>
      <c r="I643" s="150"/>
      <c r="J643" s="151" t="str">
        <f t="shared" si="30"/>
        <v>-</v>
      </c>
      <c r="K643" s="152"/>
      <c r="L643" s="149"/>
      <c r="M643" s="149"/>
      <c r="N643" s="153">
        <f t="shared" si="31"/>
        <v>0</v>
      </c>
      <c r="O643" s="153">
        <f t="shared" si="32"/>
        <v>0</v>
      </c>
      <c r="P643" s="146"/>
    </row>
    <row r="644" spans="2:16" x14ac:dyDescent="0.3">
      <c r="B644" s="146">
        <v>637</v>
      </c>
      <c r="C644" s="147"/>
      <c r="D644" s="147"/>
      <c r="E644" s="146"/>
      <c r="F644" s="148" t="str">
        <f>+IFERROR(VLOOKUP(E644,Data!C640:D735,2,0),"")</f>
        <v/>
      </c>
      <c r="G644" s="146"/>
      <c r="H644" s="149"/>
      <c r="I644" s="150"/>
      <c r="J644" s="151" t="str">
        <f t="shared" si="30"/>
        <v>-</v>
      </c>
      <c r="K644" s="152"/>
      <c r="L644" s="149"/>
      <c r="M644" s="149"/>
      <c r="N644" s="153">
        <f t="shared" si="31"/>
        <v>0</v>
      </c>
      <c r="O644" s="153">
        <f t="shared" si="32"/>
        <v>0</v>
      </c>
      <c r="P644" s="146"/>
    </row>
    <row r="645" spans="2:16" x14ac:dyDescent="0.3">
      <c r="B645" s="146">
        <v>638</v>
      </c>
      <c r="C645" s="147"/>
      <c r="D645" s="147"/>
      <c r="E645" s="146"/>
      <c r="F645" s="148" t="str">
        <f>+IFERROR(VLOOKUP(E645,Data!C641:D736,2,0),"")</f>
        <v/>
      </c>
      <c r="G645" s="146"/>
      <c r="H645" s="149"/>
      <c r="I645" s="150"/>
      <c r="J645" s="151" t="str">
        <f t="shared" si="30"/>
        <v>-</v>
      </c>
      <c r="K645" s="152"/>
      <c r="L645" s="149"/>
      <c r="M645" s="149"/>
      <c r="N645" s="153">
        <f t="shared" si="31"/>
        <v>0</v>
      </c>
      <c r="O645" s="153">
        <f t="shared" si="32"/>
        <v>0</v>
      </c>
      <c r="P645" s="146"/>
    </row>
    <row r="646" spans="2:16" x14ac:dyDescent="0.3">
      <c r="B646" s="146">
        <v>639</v>
      </c>
      <c r="C646" s="147"/>
      <c r="D646" s="147"/>
      <c r="E646" s="146"/>
      <c r="F646" s="148" t="str">
        <f>+IFERROR(VLOOKUP(E646,Data!C642:D737,2,0),"")</f>
        <v/>
      </c>
      <c r="G646" s="146"/>
      <c r="H646" s="149"/>
      <c r="I646" s="150"/>
      <c r="J646" s="151" t="str">
        <f t="shared" si="30"/>
        <v>-</v>
      </c>
      <c r="K646" s="152"/>
      <c r="L646" s="149"/>
      <c r="M646" s="149"/>
      <c r="N646" s="153">
        <f t="shared" si="31"/>
        <v>0</v>
      </c>
      <c r="O646" s="153">
        <f t="shared" si="32"/>
        <v>0</v>
      </c>
      <c r="P646" s="146"/>
    </row>
    <row r="647" spans="2:16" x14ac:dyDescent="0.3">
      <c r="B647" s="146">
        <v>640</v>
      </c>
      <c r="C647" s="147"/>
      <c r="D647" s="147"/>
      <c r="E647" s="146"/>
      <c r="F647" s="148" t="str">
        <f>+IFERROR(VLOOKUP(E647,Data!C643:D738,2,0),"")</f>
        <v/>
      </c>
      <c r="G647" s="146"/>
      <c r="H647" s="149"/>
      <c r="I647" s="150"/>
      <c r="J647" s="151" t="str">
        <f t="shared" si="30"/>
        <v>-</v>
      </c>
      <c r="K647" s="152"/>
      <c r="L647" s="149"/>
      <c r="M647" s="149"/>
      <c r="N647" s="153">
        <f t="shared" si="31"/>
        <v>0</v>
      </c>
      <c r="O647" s="153">
        <f t="shared" si="32"/>
        <v>0</v>
      </c>
      <c r="P647" s="146"/>
    </row>
    <row r="648" spans="2:16" x14ac:dyDescent="0.3">
      <c r="B648" s="146">
        <v>641</v>
      </c>
      <c r="C648" s="147"/>
      <c r="D648" s="147"/>
      <c r="E648" s="146"/>
      <c r="F648" s="148" t="str">
        <f>+IFERROR(VLOOKUP(E648,Data!C644:D739,2,0),"")</f>
        <v/>
      </c>
      <c r="G648" s="146"/>
      <c r="H648" s="149"/>
      <c r="I648" s="150"/>
      <c r="J648" s="151" t="str">
        <f t="shared" si="30"/>
        <v>-</v>
      </c>
      <c r="K648" s="152"/>
      <c r="L648" s="149"/>
      <c r="M648" s="149"/>
      <c r="N648" s="153">
        <f t="shared" si="31"/>
        <v>0</v>
      </c>
      <c r="O648" s="153">
        <f t="shared" si="32"/>
        <v>0</v>
      </c>
      <c r="P648" s="146"/>
    </row>
    <row r="649" spans="2:16" x14ac:dyDescent="0.3">
      <c r="B649" s="146">
        <v>642</v>
      </c>
      <c r="C649" s="147"/>
      <c r="D649" s="147"/>
      <c r="E649" s="146"/>
      <c r="F649" s="148" t="str">
        <f>+IFERROR(VLOOKUP(E649,Data!C645:D740,2,0),"")</f>
        <v/>
      </c>
      <c r="G649" s="146"/>
      <c r="H649" s="149"/>
      <c r="I649" s="150"/>
      <c r="J649" s="151" t="str">
        <f t="shared" si="30"/>
        <v>-</v>
      </c>
      <c r="K649" s="152"/>
      <c r="L649" s="149"/>
      <c r="M649" s="149"/>
      <c r="N649" s="153">
        <f t="shared" si="31"/>
        <v>0</v>
      </c>
      <c r="O649" s="153">
        <f t="shared" si="32"/>
        <v>0</v>
      </c>
      <c r="P649" s="146"/>
    </row>
    <row r="650" spans="2:16" x14ac:dyDescent="0.3">
      <c r="B650" s="146">
        <v>643</v>
      </c>
      <c r="C650" s="147"/>
      <c r="D650" s="147"/>
      <c r="E650" s="146"/>
      <c r="F650" s="148" t="str">
        <f>+IFERROR(VLOOKUP(E650,Data!C646:D741,2,0),"")</f>
        <v/>
      </c>
      <c r="G650" s="146"/>
      <c r="H650" s="149"/>
      <c r="I650" s="150"/>
      <c r="J650" s="151" t="str">
        <f t="shared" si="30"/>
        <v>-</v>
      </c>
      <c r="K650" s="152"/>
      <c r="L650" s="149"/>
      <c r="M650" s="149"/>
      <c r="N650" s="153">
        <f t="shared" si="31"/>
        <v>0</v>
      </c>
      <c r="O650" s="153">
        <f t="shared" si="32"/>
        <v>0</v>
      </c>
      <c r="P650" s="146"/>
    </row>
    <row r="651" spans="2:16" x14ac:dyDescent="0.3">
      <c r="B651" s="146">
        <v>644</v>
      </c>
      <c r="C651" s="147"/>
      <c r="D651" s="147"/>
      <c r="E651" s="146"/>
      <c r="F651" s="148" t="str">
        <f>+IFERROR(VLOOKUP(E651,Data!C647:D742,2,0),"")</f>
        <v/>
      </c>
      <c r="G651" s="146"/>
      <c r="H651" s="149"/>
      <c r="I651" s="150"/>
      <c r="J651" s="151" t="str">
        <f t="shared" si="30"/>
        <v>-</v>
      </c>
      <c r="K651" s="152"/>
      <c r="L651" s="149"/>
      <c r="M651" s="149"/>
      <c r="N651" s="153">
        <f t="shared" si="31"/>
        <v>0</v>
      </c>
      <c r="O651" s="153">
        <f t="shared" si="32"/>
        <v>0</v>
      </c>
      <c r="P651" s="146"/>
    </row>
    <row r="652" spans="2:16" x14ac:dyDescent="0.3">
      <c r="B652" s="146">
        <v>645</v>
      </c>
      <c r="C652" s="147"/>
      <c r="D652" s="147"/>
      <c r="E652" s="146"/>
      <c r="F652" s="148" t="str">
        <f>+IFERROR(VLOOKUP(E652,Data!C648:D743,2,0),"")</f>
        <v/>
      </c>
      <c r="G652" s="146"/>
      <c r="H652" s="149"/>
      <c r="I652" s="150"/>
      <c r="J652" s="151" t="str">
        <f t="shared" si="30"/>
        <v>-</v>
      </c>
      <c r="K652" s="152"/>
      <c r="L652" s="149"/>
      <c r="M652" s="149"/>
      <c r="N652" s="153">
        <f t="shared" si="31"/>
        <v>0</v>
      </c>
      <c r="O652" s="153">
        <f t="shared" si="32"/>
        <v>0</v>
      </c>
      <c r="P652" s="146"/>
    </row>
    <row r="653" spans="2:16" x14ac:dyDescent="0.3">
      <c r="B653" s="146">
        <v>646</v>
      </c>
      <c r="C653" s="147"/>
      <c r="D653" s="147"/>
      <c r="E653" s="146"/>
      <c r="F653" s="148" t="str">
        <f>+IFERROR(VLOOKUP(E653,Data!C649:D744,2,0),"")</f>
        <v/>
      </c>
      <c r="G653" s="146"/>
      <c r="H653" s="149"/>
      <c r="I653" s="150"/>
      <c r="J653" s="151" t="str">
        <f t="shared" si="30"/>
        <v>-</v>
      </c>
      <c r="K653" s="152"/>
      <c r="L653" s="149"/>
      <c r="M653" s="149"/>
      <c r="N653" s="153">
        <f t="shared" si="31"/>
        <v>0</v>
      </c>
      <c r="O653" s="153">
        <f t="shared" si="32"/>
        <v>0</v>
      </c>
      <c r="P653" s="146"/>
    </row>
    <row r="654" spans="2:16" x14ac:dyDescent="0.3">
      <c r="B654" s="146">
        <v>647</v>
      </c>
      <c r="C654" s="147"/>
      <c r="D654" s="147"/>
      <c r="E654" s="146"/>
      <c r="F654" s="148" t="str">
        <f>+IFERROR(VLOOKUP(E654,Data!C650:D745,2,0),"")</f>
        <v/>
      </c>
      <c r="G654" s="146"/>
      <c r="H654" s="149"/>
      <c r="I654" s="150"/>
      <c r="J654" s="151" t="str">
        <f t="shared" si="30"/>
        <v>-</v>
      </c>
      <c r="K654" s="152"/>
      <c r="L654" s="149"/>
      <c r="M654" s="149"/>
      <c r="N654" s="153">
        <f t="shared" si="31"/>
        <v>0</v>
      </c>
      <c r="O654" s="153">
        <f t="shared" si="32"/>
        <v>0</v>
      </c>
      <c r="P654" s="146"/>
    </row>
    <row r="655" spans="2:16" x14ac:dyDescent="0.3">
      <c r="B655" s="146">
        <v>648</v>
      </c>
      <c r="C655" s="147"/>
      <c r="D655" s="147"/>
      <c r="E655" s="146"/>
      <c r="F655" s="148" t="str">
        <f>+IFERROR(VLOOKUP(E655,Data!C651:D746,2,0),"")</f>
        <v/>
      </c>
      <c r="G655" s="146"/>
      <c r="H655" s="149"/>
      <c r="I655" s="150"/>
      <c r="J655" s="151" t="str">
        <f t="shared" si="30"/>
        <v>-</v>
      </c>
      <c r="K655" s="152"/>
      <c r="L655" s="149"/>
      <c r="M655" s="149"/>
      <c r="N655" s="153">
        <f t="shared" si="31"/>
        <v>0</v>
      </c>
      <c r="O655" s="153">
        <f t="shared" si="32"/>
        <v>0</v>
      </c>
      <c r="P655" s="146"/>
    </row>
    <row r="656" spans="2:16" x14ac:dyDescent="0.3">
      <c r="B656" s="146">
        <v>649</v>
      </c>
      <c r="C656" s="147"/>
      <c r="D656" s="147"/>
      <c r="E656" s="146"/>
      <c r="F656" s="148" t="str">
        <f>+IFERROR(VLOOKUP(E656,Data!C652:D747,2,0),"")</f>
        <v/>
      </c>
      <c r="G656" s="146"/>
      <c r="H656" s="149"/>
      <c r="I656" s="150"/>
      <c r="J656" s="151" t="str">
        <f t="shared" si="30"/>
        <v>-</v>
      </c>
      <c r="K656" s="152"/>
      <c r="L656" s="149"/>
      <c r="M656" s="149"/>
      <c r="N656" s="153">
        <f t="shared" si="31"/>
        <v>0</v>
      </c>
      <c r="O656" s="153">
        <f t="shared" si="32"/>
        <v>0</v>
      </c>
      <c r="P656" s="146"/>
    </row>
    <row r="657" spans="2:16" x14ac:dyDescent="0.3">
      <c r="B657" s="146">
        <v>650</v>
      </c>
      <c r="C657" s="147"/>
      <c r="D657" s="147"/>
      <c r="E657" s="146"/>
      <c r="F657" s="148" t="str">
        <f>+IFERROR(VLOOKUP(E657,Data!C653:D748,2,0),"")</f>
        <v/>
      </c>
      <c r="G657" s="146"/>
      <c r="H657" s="149"/>
      <c r="I657" s="150"/>
      <c r="J657" s="151" t="str">
        <f t="shared" si="30"/>
        <v>-</v>
      </c>
      <c r="K657" s="152"/>
      <c r="L657" s="149"/>
      <c r="M657" s="149"/>
      <c r="N657" s="153">
        <f t="shared" si="31"/>
        <v>0</v>
      </c>
      <c r="O657" s="153">
        <f t="shared" si="32"/>
        <v>0</v>
      </c>
      <c r="P657" s="146"/>
    </row>
    <row r="658" spans="2:16" x14ac:dyDescent="0.3">
      <c r="B658" s="146">
        <v>651</v>
      </c>
      <c r="C658" s="147"/>
      <c r="D658" s="147"/>
      <c r="E658" s="146"/>
      <c r="F658" s="148" t="str">
        <f>+IFERROR(VLOOKUP(E658,Data!C654:D749,2,0),"")</f>
        <v/>
      </c>
      <c r="G658" s="146"/>
      <c r="H658" s="149"/>
      <c r="I658" s="150"/>
      <c r="J658" s="151" t="str">
        <f t="shared" si="30"/>
        <v>-</v>
      </c>
      <c r="K658" s="152"/>
      <c r="L658" s="149"/>
      <c r="M658" s="149"/>
      <c r="N658" s="153">
        <f t="shared" si="31"/>
        <v>0</v>
      </c>
      <c r="O658" s="153">
        <f t="shared" si="32"/>
        <v>0</v>
      </c>
      <c r="P658" s="146"/>
    </row>
    <row r="659" spans="2:16" x14ac:dyDescent="0.3">
      <c r="B659" s="146">
        <v>652</v>
      </c>
      <c r="C659" s="147"/>
      <c r="D659" s="147"/>
      <c r="E659" s="146"/>
      <c r="F659" s="148" t="str">
        <f>+IFERROR(VLOOKUP(E659,Data!C655:D750,2,0),"")</f>
        <v/>
      </c>
      <c r="G659" s="146"/>
      <c r="H659" s="149"/>
      <c r="I659" s="150"/>
      <c r="J659" s="151" t="str">
        <f t="shared" si="30"/>
        <v>-</v>
      </c>
      <c r="K659" s="152"/>
      <c r="L659" s="149"/>
      <c r="M659" s="149"/>
      <c r="N659" s="153">
        <f t="shared" si="31"/>
        <v>0</v>
      </c>
      <c r="O659" s="153">
        <f t="shared" si="32"/>
        <v>0</v>
      </c>
      <c r="P659" s="146"/>
    </row>
    <row r="660" spans="2:16" x14ac:dyDescent="0.3">
      <c r="B660" s="146">
        <v>653</v>
      </c>
      <c r="C660" s="147"/>
      <c r="D660" s="147"/>
      <c r="E660" s="146"/>
      <c r="F660" s="148" t="str">
        <f>+IFERROR(VLOOKUP(E660,Data!C656:D751,2,0),"")</f>
        <v/>
      </c>
      <c r="G660" s="146"/>
      <c r="H660" s="149"/>
      <c r="I660" s="150"/>
      <c r="J660" s="151" t="str">
        <f t="shared" si="30"/>
        <v>-</v>
      </c>
      <c r="K660" s="152"/>
      <c r="L660" s="149"/>
      <c r="M660" s="149"/>
      <c r="N660" s="153">
        <f t="shared" si="31"/>
        <v>0</v>
      </c>
      <c r="O660" s="153">
        <f t="shared" si="32"/>
        <v>0</v>
      </c>
      <c r="P660" s="146"/>
    </row>
    <row r="661" spans="2:16" x14ac:dyDescent="0.3">
      <c r="B661" s="146">
        <v>654</v>
      </c>
      <c r="C661" s="147"/>
      <c r="D661" s="147"/>
      <c r="E661" s="146"/>
      <c r="F661" s="148" t="str">
        <f>+IFERROR(VLOOKUP(E661,Data!C657:D752,2,0),"")</f>
        <v/>
      </c>
      <c r="G661" s="146"/>
      <c r="H661" s="149"/>
      <c r="I661" s="150"/>
      <c r="J661" s="151" t="str">
        <f t="shared" si="30"/>
        <v>-</v>
      </c>
      <c r="K661" s="152"/>
      <c r="L661" s="149"/>
      <c r="M661" s="149"/>
      <c r="N661" s="153">
        <f t="shared" si="31"/>
        <v>0</v>
      </c>
      <c r="O661" s="153">
        <f t="shared" si="32"/>
        <v>0</v>
      </c>
      <c r="P661" s="146"/>
    </row>
    <row r="662" spans="2:16" x14ac:dyDescent="0.3">
      <c r="B662" s="146">
        <v>655</v>
      </c>
      <c r="C662" s="147"/>
      <c r="D662" s="147"/>
      <c r="E662" s="146"/>
      <c r="F662" s="148" t="str">
        <f>+IFERROR(VLOOKUP(E662,Data!C658:D753,2,0),"")</f>
        <v/>
      </c>
      <c r="G662" s="146"/>
      <c r="H662" s="149"/>
      <c r="I662" s="150"/>
      <c r="J662" s="151" t="str">
        <f t="shared" si="30"/>
        <v>-</v>
      </c>
      <c r="K662" s="152"/>
      <c r="L662" s="149"/>
      <c r="M662" s="149"/>
      <c r="N662" s="153">
        <f t="shared" si="31"/>
        <v>0</v>
      </c>
      <c r="O662" s="153">
        <f t="shared" si="32"/>
        <v>0</v>
      </c>
      <c r="P662" s="146"/>
    </row>
    <row r="663" spans="2:16" x14ac:dyDescent="0.3">
      <c r="B663" s="146">
        <v>656</v>
      </c>
      <c r="C663" s="147"/>
      <c r="D663" s="147"/>
      <c r="E663" s="146"/>
      <c r="F663" s="148" t="str">
        <f>+IFERROR(VLOOKUP(E663,Data!C659:D754,2,0),"")</f>
        <v/>
      </c>
      <c r="G663" s="146"/>
      <c r="H663" s="149"/>
      <c r="I663" s="150"/>
      <c r="J663" s="151" t="str">
        <f t="shared" si="30"/>
        <v>-</v>
      </c>
      <c r="K663" s="152"/>
      <c r="L663" s="149"/>
      <c r="M663" s="149"/>
      <c r="N663" s="153">
        <f t="shared" si="31"/>
        <v>0</v>
      </c>
      <c r="O663" s="153">
        <f t="shared" si="32"/>
        <v>0</v>
      </c>
      <c r="P663" s="146"/>
    </row>
    <row r="664" spans="2:16" x14ac:dyDescent="0.3">
      <c r="B664" s="146">
        <v>657</v>
      </c>
      <c r="C664" s="147"/>
      <c r="D664" s="147"/>
      <c r="E664" s="146"/>
      <c r="F664" s="148" t="str">
        <f>+IFERROR(VLOOKUP(E664,Data!C660:D755,2,0),"")</f>
        <v/>
      </c>
      <c r="G664" s="146"/>
      <c r="H664" s="149"/>
      <c r="I664" s="150"/>
      <c r="J664" s="151" t="str">
        <f t="shared" si="30"/>
        <v>-</v>
      </c>
      <c r="K664" s="152"/>
      <c r="L664" s="149"/>
      <c r="M664" s="149"/>
      <c r="N664" s="153">
        <f t="shared" si="31"/>
        <v>0</v>
      </c>
      <c r="O664" s="153">
        <f t="shared" si="32"/>
        <v>0</v>
      </c>
      <c r="P664" s="146"/>
    </row>
    <row r="665" spans="2:16" x14ac:dyDescent="0.3">
      <c r="B665" s="146">
        <v>658</v>
      </c>
      <c r="C665" s="147"/>
      <c r="D665" s="147"/>
      <c r="E665" s="146"/>
      <c r="F665" s="148" t="str">
        <f>+IFERROR(VLOOKUP(E665,Data!C661:D756,2,0),"")</f>
        <v/>
      </c>
      <c r="G665" s="146"/>
      <c r="H665" s="149"/>
      <c r="I665" s="150"/>
      <c r="J665" s="151" t="str">
        <f t="shared" si="30"/>
        <v>-</v>
      </c>
      <c r="K665" s="152"/>
      <c r="L665" s="149"/>
      <c r="M665" s="149"/>
      <c r="N665" s="153">
        <f t="shared" si="31"/>
        <v>0</v>
      </c>
      <c r="O665" s="153">
        <f t="shared" si="32"/>
        <v>0</v>
      </c>
      <c r="P665" s="146"/>
    </row>
    <row r="666" spans="2:16" x14ac:dyDescent="0.3">
      <c r="B666" s="146">
        <v>659</v>
      </c>
      <c r="C666" s="147"/>
      <c r="D666" s="147"/>
      <c r="E666" s="146"/>
      <c r="F666" s="148" t="str">
        <f>+IFERROR(VLOOKUP(E666,Data!C662:D757,2,0),"")</f>
        <v/>
      </c>
      <c r="G666" s="146"/>
      <c r="H666" s="149"/>
      <c r="I666" s="150"/>
      <c r="J666" s="151" t="str">
        <f t="shared" si="30"/>
        <v>-</v>
      </c>
      <c r="K666" s="152"/>
      <c r="L666" s="149"/>
      <c r="M666" s="149"/>
      <c r="N666" s="153">
        <f t="shared" si="31"/>
        <v>0</v>
      </c>
      <c r="O666" s="153">
        <f t="shared" si="32"/>
        <v>0</v>
      </c>
      <c r="P666" s="146"/>
    </row>
    <row r="667" spans="2:16" x14ac:dyDescent="0.3">
      <c r="B667" s="146">
        <v>660</v>
      </c>
      <c r="C667" s="147"/>
      <c r="D667" s="147"/>
      <c r="E667" s="146"/>
      <c r="F667" s="148" t="str">
        <f>+IFERROR(VLOOKUP(E667,Data!C663:D758,2,0),"")</f>
        <v/>
      </c>
      <c r="G667" s="146"/>
      <c r="H667" s="149"/>
      <c r="I667" s="150"/>
      <c r="J667" s="151" t="str">
        <f t="shared" si="30"/>
        <v>-</v>
      </c>
      <c r="K667" s="152"/>
      <c r="L667" s="149"/>
      <c r="M667" s="149"/>
      <c r="N667" s="153">
        <f t="shared" si="31"/>
        <v>0</v>
      </c>
      <c r="O667" s="153">
        <f t="shared" si="32"/>
        <v>0</v>
      </c>
      <c r="P667" s="146"/>
    </row>
    <row r="668" spans="2:16" x14ac:dyDescent="0.3">
      <c r="B668" s="146">
        <v>661</v>
      </c>
      <c r="C668" s="147"/>
      <c r="D668" s="147"/>
      <c r="E668" s="146"/>
      <c r="F668" s="148" t="str">
        <f>+IFERROR(VLOOKUP(E668,Data!C664:D759,2,0),"")</f>
        <v/>
      </c>
      <c r="G668" s="146"/>
      <c r="H668" s="149"/>
      <c r="I668" s="150"/>
      <c r="J668" s="151" t="str">
        <f t="shared" si="30"/>
        <v>-</v>
      </c>
      <c r="K668" s="152"/>
      <c r="L668" s="149"/>
      <c r="M668" s="149"/>
      <c r="N668" s="153">
        <f t="shared" si="31"/>
        <v>0</v>
      </c>
      <c r="O668" s="153">
        <f t="shared" si="32"/>
        <v>0</v>
      </c>
      <c r="P668" s="146"/>
    </row>
    <row r="669" spans="2:16" x14ac:dyDescent="0.3">
      <c r="B669" s="146">
        <v>662</v>
      </c>
      <c r="C669" s="147"/>
      <c r="D669" s="147"/>
      <c r="E669" s="146"/>
      <c r="F669" s="148" t="str">
        <f>+IFERROR(VLOOKUP(E669,Data!C665:D760,2,0),"")</f>
        <v/>
      </c>
      <c r="G669" s="146"/>
      <c r="H669" s="149"/>
      <c r="I669" s="150"/>
      <c r="J669" s="151" t="str">
        <f t="shared" si="30"/>
        <v>-</v>
      </c>
      <c r="K669" s="152"/>
      <c r="L669" s="149"/>
      <c r="M669" s="149"/>
      <c r="N669" s="153">
        <f t="shared" si="31"/>
        <v>0</v>
      </c>
      <c r="O669" s="153">
        <f t="shared" si="32"/>
        <v>0</v>
      </c>
      <c r="P669" s="146"/>
    </row>
    <row r="670" spans="2:16" x14ac:dyDescent="0.3">
      <c r="B670" s="146">
        <v>663</v>
      </c>
      <c r="C670" s="147"/>
      <c r="D670" s="147"/>
      <c r="E670" s="146"/>
      <c r="F670" s="148" t="str">
        <f>+IFERROR(VLOOKUP(E670,Data!C666:D761,2,0),"")</f>
        <v/>
      </c>
      <c r="G670" s="146"/>
      <c r="H670" s="149"/>
      <c r="I670" s="150"/>
      <c r="J670" s="151" t="str">
        <f t="shared" si="30"/>
        <v>-</v>
      </c>
      <c r="K670" s="152"/>
      <c r="L670" s="149"/>
      <c r="M670" s="149"/>
      <c r="N670" s="153">
        <f t="shared" si="31"/>
        <v>0</v>
      </c>
      <c r="O670" s="153">
        <f t="shared" si="32"/>
        <v>0</v>
      </c>
      <c r="P670" s="146"/>
    </row>
    <row r="671" spans="2:16" x14ac:dyDescent="0.3">
      <c r="B671" s="146">
        <v>664</v>
      </c>
      <c r="C671" s="147"/>
      <c r="D671" s="147"/>
      <c r="E671" s="146"/>
      <c r="F671" s="148" t="str">
        <f>+IFERROR(VLOOKUP(E671,Data!C667:D762,2,0),"")</f>
        <v/>
      </c>
      <c r="G671" s="146"/>
      <c r="H671" s="149"/>
      <c r="I671" s="150"/>
      <c r="J671" s="151" t="str">
        <f t="shared" si="30"/>
        <v>-</v>
      </c>
      <c r="K671" s="152"/>
      <c r="L671" s="149"/>
      <c r="M671" s="149"/>
      <c r="N671" s="153">
        <f t="shared" si="31"/>
        <v>0</v>
      </c>
      <c r="O671" s="153">
        <f t="shared" si="32"/>
        <v>0</v>
      </c>
      <c r="P671" s="146"/>
    </row>
    <row r="672" spans="2:16" x14ac:dyDescent="0.3">
      <c r="B672" s="146">
        <v>665</v>
      </c>
      <c r="C672" s="147"/>
      <c r="D672" s="147"/>
      <c r="E672" s="146"/>
      <c r="F672" s="148" t="str">
        <f>+IFERROR(VLOOKUP(E672,Data!C668:D763,2,0),"")</f>
        <v/>
      </c>
      <c r="G672" s="146"/>
      <c r="H672" s="149"/>
      <c r="I672" s="150"/>
      <c r="J672" s="151" t="str">
        <f t="shared" si="30"/>
        <v>-</v>
      </c>
      <c r="K672" s="152"/>
      <c r="L672" s="149"/>
      <c r="M672" s="149"/>
      <c r="N672" s="153">
        <f t="shared" si="31"/>
        <v>0</v>
      </c>
      <c r="O672" s="153">
        <f t="shared" si="32"/>
        <v>0</v>
      </c>
      <c r="P672" s="146"/>
    </row>
    <row r="673" spans="2:16" x14ac:dyDescent="0.3">
      <c r="B673" s="146">
        <v>666</v>
      </c>
      <c r="C673" s="147"/>
      <c r="D673" s="147"/>
      <c r="E673" s="146"/>
      <c r="F673" s="148" t="str">
        <f>+IFERROR(VLOOKUP(E673,Data!C669:D764,2,0),"")</f>
        <v/>
      </c>
      <c r="G673" s="146"/>
      <c r="H673" s="149"/>
      <c r="I673" s="150"/>
      <c r="J673" s="151" t="str">
        <f t="shared" si="30"/>
        <v>-</v>
      </c>
      <c r="K673" s="152"/>
      <c r="L673" s="149"/>
      <c r="M673" s="149"/>
      <c r="N673" s="153">
        <f t="shared" si="31"/>
        <v>0</v>
      </c>
      <c r="O673" s="153">
        <f t="shared" si="32"/>
        <v>0</v>
      </c>
      <c r="P673" s="146"/>
    </row>
    <row r="674" spans="2:16" x14ac:dyDescent="0.3">
      <c r="B674" s="146">
        <v>667</v>
      </c>
      <c r="C674" s="147"/>
      <c r="D674" s="147"/>
      <c r="E674" s="146"/>
      <c r="F674" s="148" t="str">
        <f>+IFERROR(VLOOKUP(E674,Data!C670:D765,2,0),"")</f>
        <v/>
      </c>
      <c r="G674" s="146"/>
      <c r="H674" s="149"/>
      <c r="I674" s="150"/>
      <c r="J674" s="151" t="str">
        <f t="shared" si="30"/>
        <v>-</v>
      </c>
      <c r="K674" s="152"/>
      <c r="L674" s="149"/>
      <c r="M674" s="149"/>
      <c r="N674" s="153">
        <f t="shared" si="31"/>
        <v>0</v>
      </c>
      <c r="O674" s="153">
        <f t="shared" si="32"/>
        <v>0</v>
      </c>
      <c r="P674" s="146"/>
    </row>
    <row r="675" spans="2:16" x14ac:dyDescent="0.3">
      <c r="B675" s="146">
        <v>668</v>
      </c>
      <c r="C675" s="147"/>
      <c r="D675" s="147"/>
      <c r="E675" s="146"/>
      <c r="F675" s="148" t="str">
        <f>+IFERROR(VLOOKUP(E675,Data!C671:D766,2,0),"")</f>
        <v/>
      </c>
      <c r="G675" s="146"/>
      <c r="H675" s="149"/>
      <c r="I675" s="150"/>
      <c r="J675" s="151" t="str">
        <f t="shared" si="30"/>
        <v>-</v>
      </c>
      <c r="K675" s="152"/>
      <c r="L675" s="149"/>
      <c r="M675" s="149"/>
      <c r="N675" s="153">
        <f t="shared" si="31"/>
        <v>0</v>
      </c>
      <c r="O675" s="153">
        <f t="shared" si="32"/>
        <v>0</v>
      </c>
      <c r="P675" s="146"/>
    </row>
    <row r="676" spans="2:16" x14ac:dyDescent="0.3">
      <c r="B676" s="146">
        <v>669</v>
      </c>
      <c r="C676" s="147"/>
      <c r="D676" s="147"/>
      <c r="E676" s="146"/>
      <c r="F676" s="148" t="str">
        <f>+IFERROR(VLOOKUP(E676,Data!C672:D767,2,0),"")</f>
        <v/>
      </c>
      <c r="G676" s="146"/>
      <c r="H676" s="149"/>
      <c r="I676" s="150"/>
      <c r="J676" s="151" t="str">
        <f t="shared" si="30"/>
        <v>-</v>
      </c>
      <c r="K676" s="152"/>
      <c r="L676" s="149"/>
      <c r="M676" s="149"/>
      <c r="N676" s="153">
        <f t="shared" si="31"/>
        <v>0</v>
      </c>
      <c r="O676" s="153">
        <f t="shared" si="32"/>
        <v>0</v>
      </c>
      <c r="P676" s="146"/>
    </row>
    <row r="677" spans="2:16" x14ac:dyDescent="0.3">
      <c r="B677" s="146">
        <v>670</v>
      </c>
      <c r="C677" s="147"/>
      <c r="D677" s="147"/>
      <c r="E677" s="146"/>
      <c r="F677" s="148" t="str">
        <f>+IFERROR(VLOOKUP(E677,Data!C673:D768,2,0),"")</f>
        <v/>
      </c>
      <c r="G677" s="146"/>
      <c r="H677" s="149"/>
      <c r="I677" s="150"/>
      <c r="J677" s="151" t="str">
        <f t="shared" si="30"/>
        <v>-</v>
      </c>
      <c r="K677" s="152"/>
      <c r="L677" s="149"/>
      <c r="M677" s="149"/>
      <c r="N677" s="153">
        <f t="shared" si="31"/>
        <v>0</v>
      </c>
      <c r="O677" s="153">
        <f t="shared" si="32"/>
        <v>0</v>
      </c>
      <c r="P677" s="146"/>
    </row>
    <row r="678" spans="2:16" x14ac:dyDescent="0.3">
      <c r="B678" s="146">
        <v>671</v>
      </c>
      <c r="C678" s="147"/>
      <c r="D678" s="147"/>
      <c r="E678" s="146"/>
      <c r="F678" s="148" t="str">
        <f>+IFERROR(VLOOKUP(E678,Data!C674:D769,2,0),"")</f>
        <v/>
      </c>
      <c r="G678" s="146"/>
      <c r="H678" s="149"/>
      <c r="I678" s="150"/>
      <c r="J678" s="151" t="str">
        <f t="shared" si="30"/>
        <v>-</v>
      </c>
      <c r="K678" s="152"/>
      <c r="L678" s="149"/>
      <c r="M678" s="149"/>
      <c r="N678" s="153">
        <f t="shared" si="31"/>
        <v>0</v>
      </c>
      <c r="O678" s="153">
        <f t="shared" si="32"/>
        <v>0</v>
      </c>
      <c r="P678" s="146"/>
    </row>
    <row r="679" spans="2:16" x14ac:dyDescent="0.3">
      <c r="B679" s="146">
        <v>672</v>
      </c>
      <c r="C679" s="147"/>
      <c r="D679" s="147"/>
      <c r="E679" s="146"/>
      <c r="F679" s="148" t="str">
        <f>+IFERROR(VLOOKUP(E679,Data!C675:D770,2,0),"")</f>
        <v/>
      </c>
      <c r="G679" s="146"/>
      <c r="H679" s="149"/>
      <c r="I679" s="150"/>
      <c r="J679" s="151" t="str">
        <f t="shared" si="30"/>
        <v>-</v>
      </c>
      <c r="K679" s="152"/>
      <c r="L679" s="149"/>
      <c r="M679" s="149"/>
      <c r="N679" s="153">
        <f t="shared" si="31"/>
        <v>0</v>
      </c>
      <c r="O679" s="153">
        <f t="shared" si="32"/>
        <v>0</v>
      </c>
      <c r="P679" s="146"/>
    </row>
    <row r="680" spans="2:16" x14ac:dyDescent="0.3">
      <c r="B680" s="146">
        <v>673</v>
      </c>
      <c r="C680" s="147"/>
      <c r="D680" s="147"/>
      <c r="E680" s="146"/>
      <c r="F680" s="148" t="str">
        <f>+IFERROR(VLOOKUP(E680,Data!C676:D771,2,0),"")</f>
        <v/>
      </c>
      <c r="G680" s="146"/>
      <c r="H680" s="149"/>
      <c r="I680" s="150"/>
      <c r="J680" s="151" t="str">
        <f t="shared" si="30"/>
        <v>-</v>
      </c>
      <c r="K680" s="152"/>
      <c r="L680" s="149"/>
      <c r="M680" s="149"/>
      <c r="N680" s="153">
        <f t="shared" si="31"/>
        <v>0</v>
      </c>
      <c r="O680" s="153">
        <f t="shared" si="32"/>
        <v>0</v>
      </c>
      <c r="P680" s="146"/>
    </row>
    <row r="681" spans="2:16" x14ac:dyDescent="0.3">
      <c r="B681" s="146">
        <v>674</v>
      </c>
      <c r="C681" s="147"/>
      <c r="D681" s="147"/>
      <c r="E681" s="146"/>
      <c r="F681" s="148" t="str">
        <f>+IFERROR(VLOOKUP(E681,Data!C677:D772,2,0),"")</f>
        <v/>
      </c>
      <c r="G681" s="146"/>
      <c r="H681" s="149"/>
      <c r="I681" s="150"/>
      <c r="J681" s="151" t="str">
        <f t="shared" si="30"/>
        <v>-</v>
      </c>
      <c r="K681" s="152"/>
      <c r="L681" s="149"/>
      <c r="M681" s="149"/>
      <c r="N681" s="153">
        <f t="shared" si="31"/>
        <v>0</v>
      </c>
      <c r="O681" s="153">
        <f t="shared" si="32"/>
        <v>0</v>
      </c>
      <c r="P681" s="146"/>
    </row>
    <row r="682" spans="2:16" x14ac:dyDescent="0.3">
      <c r="B682" s="146">
        <v>675</v>
      </c>
      <c r="C682" s="147"/>
      <c r="D682" s="147"/>
      <c r="E682" s="146"/>
      <c r="F682" s="148" t="str">
        <f>+IFERROR(VLOOKUP(E682,Data!C678:D773,2,0),"")</f>
        <v/>
      </c>
      <c r="G682" s="146"/>
      <c r="H682" s="149"/>
      <c r="I682" s="150"/>
      <c r="J682" s="151" t="str">
        <f t="shared" si="30"/>
        <v>-</v>
      </c>
      <c r="K682" s="152"/>
      <c r="L682" s="149"/>
      <c r="M682" s="149"/>
      <c r="N682" s="153">
        <f t="shared" si="31"/>
        <v>0</v>
      </c>
      <c r="O682" s="153">
        <f t="shared" si="32"/>
        <v>0</v>
      </c>
      <c r="P682" s="146"/>
    </row>
    <row r="683" spans="2:16" x14ac:dyDescent="0.3">
      <c r="B683" s="146">
        <v>676</v>
      </c>
      <c r="C683" s="147"/>
      <c r="D683" s="147"/>
      <c r="E683" s="146"/>
      <c r="F683" s="148" t="str">
        <f>+IFERROR(VLOOKUP(E683,Data!C679:D774,2,0),"")</f>
        <v/>
      </c>
      <c r="G683" s="146"/>
      <c r="H683" s="149"/>
      <c r="I683" s="150"/>
      <c r="J683" s="151" t="str">
        <f t="shared" si="30"/>
        <v>-</v>
      </c>
      <c r="K683" s="152"/>
      <c r="L683" s="149"/>
      <c r="M683" s="149"/>
      <c r="N683" s="153">
        <f t="shared" si="31"/>
        <v>0</v>
      </c>
      <c r="O683" s="153">
        <f t="shared" si="32"/>
        <v>0</v>
      </c>
      <c r="P683" s="146"/>
    </row>
    <row r="684" spans="2:16" x14ac:dyDescent="0.3">
      <c r="B684" s="146">
        <v>677</v>
      </c>
      <c r="C684" s="147"/>
      <c r="D684" s="147"/>
      <c r="E684" s="146"/>
      <c r="F684" s="148" t="str">
        <f>+IFERROR(VLOOKUP(E684,Data!C680:D775,2,0),"")</f>
        <v/>
      </c>
      <c r="G684" s="146"/>
      <c r="H684" s="149"/>
      <c r="I684" s="150"/>
      <c r="J684" s="151" t="str">
        <f t="shared" si="30"/>
        <v>-</v>
      </c>
      <c r="K684" s="152"/>
      <c r="L684" s="149"/>
      <c r="M684" s="149"/>
      <c r="N684" s="153">
        <f t="shared" si="31"/>
        <v>0</v>
      </c>
      <c r="O684" s="153">
        <f t="shared" si="32"/>
        <v>0</v>
      </c>
      <c r="P684" s="146"/>
    </row>
    <row r="685" spans="2:16" x14ac:dyDescent="0.3">
      <c r="B685" s="146">
        <v>678</v>
      </c>
      <c r="C685" s="147"/>
      <c r="D685" s="147"/>
      <c r="E685" s="146"/>
      <c r="F685" s="148" t="str">
        <f>+IFERROR(VLOOKUP(E685,Data!C681:D776,2,0),"")</f>
        <v/>
      </c>
      <c r="G685" s="146"/>
      <c r="H685" s="149"/>
      <c r="I685" s="150"/>
      <c r="J685" s="151" t="str">
        <f t="shared" si="30"/>
        <v>-</v>
      </c>
      <c r="K685" s="152"/>
      <c r="L685" s="149"/>
      <c r="M685" s="149"/>
      <c r="N685" s="153">
        <f t="shared" si="31"/>
        <v>0</v>
      </c>
      <c r="O685" s="153">
        <f t="shared" si="32"/>
        <v>0</v>
      </c>
      <c r="P685" s="146"/>
    </row>
    <row r="686" spans="2:16" x14ac:dyDescent="0.3">
      <c r="B686" s="146">
        <v>679</v>
      </c>
      <c r="C686" s="147"/>
      <c r="D686" s="147"/>
      <c r="E686" s="146"/>
      <c r="F686" s="148" t="str">
        <f>+IFERROR(VLOOKUP(E686,Data!C682:D777,2,0),"")</f>
        <v/>
      </c>
      <c r="G686" s="146"/>
      <c r="H686" s="149"/>
      <c r="I686" s="150"/>
      <c r="J686" s="151" t="str">
        <f t="shared" si="30"/>
        <v>-</v>
      </c>
      <c r="K686" s="152"/>
      <c r="L686" s="149"/>
      <c r="M686" s="149"/>
      <c r="N686" s="153">
        <f t="shared" si="31"/>
        <v>0</v>
      </c>
      <c r="O686" s="153">
        <f t="shared" si="32"/>
        <v>0</v>
      </c>
      <c r="P686" s="146"/>
    </row>
    <row r="687" spans="2:16" x14ac:dyDescent="0.3">
      <c r="B687" s="146">
        <v>680</v>
      </c>
      <c r="C687" s="147"/>
      <c r="D687" s="147"/>
      <c r="E687" s="146"/>
      <c r="F687" s="148" t="str">
        <f>+IFERROR(VLOOKUP(E687,Data!C683:D778,2,0),"")</f>
        <v/>
      </c>
      <c r="G687" s="146"/>
      <c r="H687" s="149"/>
      <c r="I687" s="150"/>
      <c r="J687" s="151" t="str">
        <f t="shared" si="30"/>
        <v>-</v>
      </c>
      <c r="K687" s="152"/>
      <c r="L687" s="149"/>
      <c r="M687" s="149"/>
      <c r="N687" s="153">
        <f t="shared" si="31"/>
        <v>0</v>
      </c>
      <c r="O687" s="153">
        <f t="shared" si="32"/>
        <v>0</v>
      </c>
      <c r="P687" s="146"/>
    </row>
    <row r="688" spans="2:16" x14ac:dyDescent="0.3">
      <c r="B688" s="146">
        <v>681</v>
      </c>
      <c r="C688" s="147"/>
      <c r="D688" s="147"/>
      <c r="E688" s="146"/>
      <c r="F688" s="148" t="str">
        <f>+IFERROR(VLOOKUP(E688,Data!C684:D779,2,0),"")</f>
        <v/>
      </c>
      <c r="G688" s="146"/>
      <c r="H688" s="149"/>
      <c r="I688" s="150"/>
      <c r="J688" s="151" t="str">
        <f t="shared" si="30"/>
        <v>-</v>
      </c>
      <c r="K688" s="152"/>
      <c r="L688" s="149"/>
      <c r="M688" s="149"/>
      <c r="N688" s="153">
        <f t="shared" si="31"/>
        <v>0</v>
      </c>
      <c r="O688" s="153">
        <f t="shared" si="32"/>
        <v>0</v>
      </c>
      <c r="P688" s="146"/>
    </row>
    <row r="689" spans="2:16" x14ac:dyDescent="0.3">
      <c r="B689" s="146">
        <v>682</v>
      </c>
      <c r="C689" s="147"/>
      <c r="D689" s="147"/>
      <c r="E689" s="146"/>
      <c r="F689" s="148" t="str">
        <f>+IFERROR(VLOOKUP(E689,Data!C685:D780,2,0),"")</f>
        <v/>
      </c>
      <c r="G689" s="146"/>
      <c r="H689" s="149"/>
      <c r="I689" s="150"/>
      <c r="J689" s="151" t="str">
        <f t="shared" si="30"/>
        <v>-</v>
      </c>
      <c r="K689" s="152"/>
      <c r="L689" s="149"/>
      <c r="M689" s="149"/>
      <c r="N689" s="153">
        <f t="shared" si="31"/>
        <v>0</v>
      </c>
      <c r="O689" s="153">
        <f t="shared" si="32"/>
        <v>0</v>
      </c>
      <c r="P689" s="146"/>
    </row>
    <row r="690" spans="2:16" x14ac:dyDescent="0.3">
      <c r="B690" s="146">
        <v>683</v>
      </c>
      <c r="C690" s="147"/>
      <c r="D690" s="147"/>
      <c r="E690" s="146"/>
      <c r="F690" s="148" t="str">
        <f>+IFERROR(VLOOKUP(E690,Data!C686:D781,2,0),"")</f>
        <v/>
      </c>
      <c r="G690" s="146"/>
      <c r="H690" s="149"/>
      <c r="I690" s="150"/>
      <c r="J690" s="151" t="str">
        <f t="shared" si="30"/>
        <v>-</v>
      </c>
      <c r="K690" s="152"/>
      <c r="L690" s="149"/>
      <c r="M690" s="149"/>
      <c r="N690" s="153">
        <f t="shared" si="31"/>
        <v>0</v>
      </c>
      <c r="O690" s="153">
        <f t="shared" si="32"/>
        <v>0</v>
      </c>
      <c r="P690" s="146"/>
    </row>
    <row r="691" spans="2:16" x14ac:dyDescent="0.3">
      <c r="B691" s="146">
        <v>684</v>
      </c>
      <c r="C691" s="147"/>
      <c r="D691" s="147"/>
      <c r="E691" s="146"/>
      <c r="F691" s="148" t="str">
        <f>+IFERROR(VLOOKUP(E691,Data!C687:D782,2,0),"")</f>
        <v/>
      </c>
      <c r="G691" s="146"/>
      <c r="H691" s="149"/>
      <c r="I691" s="150"/>
      <c r="J691" s="151" t="str">
        <f t="shared" si="30"/>
        <v>-</v>
      </c>
      <c r="K691" s="152"/>
      <c r="L691" s="149"/>
      <c r="M691" s="149"/>
      <c r="N691" s="153">
        <f t="shared" si="31"/>
        <v>0</v>
      </c>
      <c r="O691" s="153">
        <f t="shared" si="32"/>
        <v>0</v>
      </c>
      <c r="P691" s="146"/>
    </row>
    <row r="692" spans="2:16" x14ac:dyDescent="0.3">
      <c r="B692" s="146">
        <v>685</v>
      </c>
      <c r="C692" s="147"/>
      <c r="D692" s="147"/>
      <c r="E692" s="146"/>
      <c r="F692" s="148" t="str">
        <f>+IFERROR(VLOOKUP(E692,Data!C688:D783,2,0),"")</f>
        <v/>
      </c>
      <c r="G692" s="146"/>
      <c r="H692" s="149"/>
      <c r="I692" s="150"/>
      <c r="J692" s="151" t="str">
        <f t="shared" si="30"/>
        <v>-</v>
      </c>
      <c r="K692" s="152"/>
      <c r="L692" s="149"/>
      <c r="M692" s="149"/>
      <c r="N692" s="153">
        <f t="shared" si="31"/>
        <v>0</v>
      </c>
      <c r="O692" s="153">
        <f t="shared" si="32"/>
        <v>0</v>
      </c>
      <c r="P692" s="146"/>
    </row>
    <row r="693" spans="2:16" x14ac:dyDescent="0.3">
      <c r="B693" s="146">
        <v>686</v>
      </c>
      <c r="C693" s="147"/>
      <c r="D693" s="147"/>
      <c r="E693" s="146"/>
      <c r="F693" s="148" t="str">
        <f>+IFERROR(VLOOKUP(E693,Data!C689:D784,2,0),"")</f>
        <v/>
      </c>
      <c r="G693" s="146"/>
      <c r="H693" s="149"/>
      <c r="I693" s="150"/>
      <c r="J693" s="151" t="str">
        <f t="shared" si="30"/>
        <v>-</v>
      </c>
      <c r="K693" s="152"/>
      <c r="L693" s="149"/>
      <c r="M693" s="149"/>
      <c r="N693" s="153">
        <f t="shared" si="31"/>
        <v>0</v>
      </c>
      <c r="O693" s="153">
        <f t="shared" si="32"/>
        <v>0</v>
      </c>
      <c r="P693" s="146"/>
    </row>
    <row r="694" spans="2:16" x14ac:dyDescent="0.3">
      <c r="B694" s="146">
        <v>687</v>
      </c>
      <c r="C694" s="147"/>
      <c r="D694" s="147"/>
      <c r="E694" s="146"/>
      <c r="F694" s="148" t="str">
        <f>+IFERROR(VLOOKUP(E694,Data!C690:D785,2,0),"")</f>
        <v/>
      </c>
      <c r="G694" s="146"/>
      <c r="H694" s="149"/>
      <c r="I694" s="150"/>
      <c r="J694" s="151" t="str">
        <f t="shared" ref="J694:J757" si="33">IFERROR(+I694/H694,"-")</f>
        <v>-</v>
      </c>
      <c r="K694" s="152"/>
      <c r="L694" s="149"/>
      <c r="M694" s="149"/>
      <c r="N694" s="153">
        <f t="shared" ref="N694:N757" si="34">+L694+M694</f>
        <v>0</v>
      </c>
      <c r="O694" s="153">
        <f t="shared" ref="O694:O757" si="35">+N694-K694</f>
        <v>0</v>
      </c>
      <c r="P694" s="146"/>
    </row>
    <row r="695" spans="2:16" x14ac:dyDescent="0.3">
      <c r="B695" s="146">
        <v>688</v>
      </c>
      <c r="C695" s="147"/>
      <c r="D695" s="147"/>
      <c r="E695" s="146"/>
      <c r="F695" s="148" t="str">
        <f>+IFERROR(VLOOKUP(E695,Data!C691:D786,2,0),"")</f>
        <v/>
      </c>
      <c r="G695" s="146"/>
      <c r="H695" s="149"/>
      <c r="I695" s="150"/>
      <c r="J695" s="151" t="str">
        <f t="shared" si="33"/>
        <v>-</v>
      </c>
      <c r="K695" s="152"/>
      <c r="L695" s="149"/>
      <c r="M695" s="149"/>
      <c r="N695" s="153">
        <f t="shared" si="34"/>
        <v>0</v>
      </c>
      <c r="O695" s="153">
        <f t="shared" si="35"/>
        <v>0</v>
      </c>
      <c r="P695" s="146"/>
    </row>
    <row r="696" spans="2:16" x14ac:dyDescent="0.3">
      <c r="B696" s="146">
        <v>689</v>
      </c>
      <c r="C696" s="147"/>
      <c r="D696" s="147"/>
      <c r="E696" s="146"/>
      <c r="F696" s="148" t="str">
        <f>+IFERROR(VLOOKUP(E696,Data!C692:D787,2,0),"")</f>
        <v/>
      </c>
      <c r="G696" s="146"/>
      <c r="H696" s="149"/>
      <c r="I696" s="150"/>
      <c r="J696" s="151" t="str">
        <f t="shared" si="33"/>
        <v>-</v>
      </c>
      <c r="K696" s="152"/>
      <c r="L696" s="149"/>
      <c r="M696" s="149"/>
      <c r="N696" s="153">
        <f t="shared" si="34"/>
        <v>0</v>
      </c>
      <c r="O696" s="153">
        <f t="shared" si="35"/>
        <v>0</v>
      </c>
      <c r="P696" s="146"/>
    </row>
    <row r="697" spans="2:16" x14ac:dyDescent="0.3">
      <c r="B697" s="146">
        <v>690</v>
      </c>
      <c r="C697" s="147"/>
      <c r="D697" s="147"/>
      <c r="E697" s="146"/>
      <c r="F697" s="148" t="str">
        <f>+IFERROR(VLOOKUP(E697,Data!C693:D788,2,0),"")</f>
        <v/>
      </c>
      <c r="G697" s="146"/>
      <c r="H697" s="149"/>
      <c r="I697" s="150"/>
      <c r="J697" s="151" t="str">
        <f t="shared" si="33"/>
        <v>-</v>
      </c>
      <c r="K697" s="152"/>
      <c r="L697" s="149"/>
      <c r="M697" s="149"/>
      <c r="N697" s="153">
        <f t="shared" si="34"/>
        <v>0</v>
      </c>
      <c r="O697" s="153">
        <f t="shared" si="35"/>
        <v>0</v>
      </c>
      <c r="P697" s="146"/>
    </row>
    <row r="698" spans="2:16" x14ac:dyDescent="0.3">
      <c r="B698" s="146">
        <v>691</v>
      </c>
      <c r="C698" s="147"/>
      <c r="D698" s="147"/>
      <c r="E698" s="146"/>
      <c r="F698" s="148" t="str">
        <f>+IFERROR(VLOOKUP(E698,Data!C694:D789,2,0),"")</f>
        <v/>
      </c>
      <c r="G698" s="146"/>
      <c r="H698" s="149"/>
      <c r="I698" s="150"/>
      <c r="J698" s="151" t="str">
        <f t="shared" si="33"/>
        <v>-</v>
      </c>
      <c r="K698" s="152"/>
      <c r="L698" s="149"/>
      <c r="M698" s="149"/>
      <c r="N698" s="153">
        <f t="shared" si="34"/>
        <v>0</v>
      </c>
      <c r="O698" s="153">
        <f t="shared" si="35"/>
        <v>0</v>
      </c>
      <c r="P698" s="146"/>
    </row>
    <row r="699" spans="2:16" x14ac:dyDescent="0.3">
      <c r="B699" s="146">
        <v>692</v>
      </c>
      <c r="C699" s="147"/>
      <c r="D699" s="147"/>
      <c r="E699" s="146"/>
      <c r="F699" s="148" t="str">
        <f>+IFERROR(VLOOKUP(E699,Data!C695:D790,2,0),"")</f>
        <v/>
      </c>
      <c r="G699" s="146"/>
      <c r="H699" s="149"/>
      <c r="I699" s="150"/>
      <c r="J699" s="151" t="str">
        <f t="shared" si="33"/>
        <v>-</v>
      </c>
      <c r="K699" s="152"/>
      <c r="L699" s="149"/>
      <c r="M699" s="149"/>
      <c r="N699" s="153">
        <f t="shared" si="34"/>
        <v>0</v>
      </c>
      <c r="O699" s="153">
        <f t="shared" si="35"/>
        <v>0</v>
      </c>
      <c r="P699" s="146"/>
    </row>
    <row r="700" spans="2:16" x14ac:dyDescent="0.3">
      <c r="B700" s="146">
        <v>693</v>
      </c>
      <c r="C700" s="147"/>
      <c r="D700" s="147"/>
      <c r="E700" s="146"/>
      <c r="F700" s="148" t="str">
        <f>+IFERROR(VLOOKUP(E700,Data!C696:D791,2,0),"")</f>
        <v/>
      </c>
      <c r="G700" s="146"/>
      <c r="H700" s="149"/>
      <c r="I700" s="150"/>
      <c r="J700" s="151" t="str">
        <f t="shared" si="33"/>
        <v>-</v>
      </c>
      <c r="K700" s="152"/>
      <c r="L700" s="149"/>
      <c r="M700" s="149"/>
      <c r="N700" s="153">
        <f t="shared" si="34"/>
        <v>0</v>
      </c>
      <c r="O700" s="153">
        <f t="shared" si="35"/>
        <v>0</v>
      </c>
      <c r="P700" s="146"/>
    </row>
    <row r="701" spans="2:16" x14ac:dyDescent="0.3">
      <c r="B701" s="146">
        <v>694</v>
      </c>
      <c r="C701" s="147"/>
      <c r="D701" s="147"/>
      <c r="E701" s="146"/>
      <c r="F701" s="148" t="str">
        <f>+IFERROR(VLOOKUP(E701,Data!C697:D792,2,0),"")</f>
        <v/>
      </c>
      <c r="G701" s="146"/>
      <c r="H701" s="149"/>
      <c r="I701" s="150"/>
      <c r="J701" s="151" t="str">
        <f t="shared" si="33"/>
        <v>-</v>
      </c>
      <c r="K701" s="152"/>
      <c r="L701" s="149"/>
      <c r="M701" s="149"/>
      <c r="N701" s="153">
        <f t="shared" si="34"/>
        <v>0</v>
      </c>
      <c r="O701" s="153">
        <f t="shared" si="35"/>
        <v>0</v>
      </c>
      <c r="P701" s="146"/>
    </row>
    <row r="702" spans="2:16" x14ac:dyDescent="0.3">
      <c r="B702" s="146">
        <v>695</v>
      </c>
      <c r="C702" s="147"/>
      <c r="D702" s="147"/>
      <c r="E702" s="146"/>
      <c r="F702" s="148" t="str">
        <f>+IFERROR(VLOOKUP(E702,Data!C698:D793,2,0),"")</f>
        <v/>
      </c>
      <c r="G702" s="146"/>
      <c r="H702" s="149"/>
      <c r="I702" s="150"/>
      <c r="J702" s="151" t="str">
        <f t="shared" si="33"/>
        <v>-</v>
      </c>
      <c r="K702" s="152"/>
      <c r="L702" s="149"/>
      <c r="M702" s="149"/>
      <c r="N702" s="153">
        <f t="shared" si="34"/>
        <v>0</v>
      </c>
      <c r="O702" s="153">
        <f t="shared" si="35"/>
        <v>0</v>
      </c>
      <c r="P702" s="146"/>
    </row>
    <row r="703" spans="2:16" x14ac:dyDescent="0.3">
      <c r="B703" s="146">
        <v>696</v>
      </c>
      <c r="C703" s="147"/>
      <c r="D703" s="147"/>
      <c r="E703" s="146"/>
      <c r="F703" s="148" t="str">
        <f>+IFERROR(VLOOKUP(E703,Data!C699:D794,2,0),"")</f>
        <v/>
      </c>
      <c r="G703" s="146"/>
      <c r="H703" s="149"/>
      <c r="I703" s="150"/>
      <c r="J703" s="151" t="str">
        <f t="shared" si="33"/>
        <v>-</v>
      </c>
      <c r="K703" s="152"/>
      <c r="L703" s="149"/>
      <c r="M703" s="149"/>
      <c r="N703" s="153">
        <f t="shared" si="34"/>
        <v>0</v>
      </c>
      <c r="O703" s="153">
        <f t="shared" si="35"/>
        <v>0</v>
      </c>
      <c r="P703" s="146"/>
    </row>
    <row r="704" spans="2:16" x14ac:dyDescent="0.3">
      <c r="B704" s="146">
        <v>697</v>
      </c>
      <c r="C704" s="147"/>
      <c r="D704" s="147"/>
      <c r="E704" s="146"/>
      <c r="F704" s="148" t="str">
        <f>+IFERROR(VLOOKUP(E704,Data!C700:D795,2,0),"")</f>
        <v/>
      </c>
      <c r="G704" s="146"/>
      <c r="H704" s="149"/>
      <c r="I704" s="150"/>
      <c r="J704" s="151" t="str">
        <f t="shared" si="33"/>
        <v>-</v>
      </c>
      <c r="K704" s="152"/>
      <c r="L704" s="149"/>
      <c r="M704" s="149"/>
      <c r="N704" s="153">
        <f t="shared" si="34"/>
        <v>0</v>
      </c>
      <c r="O704" s="153">
        <f t="shared" si="35"/>
        <v>0</v>
      </c>
      <c r="P704" s="146"/>
    </row>
    <row r="705" spans="2:16" x14ac:dyDescent="0.3">
      <c r="B705" s="146">
        <v>698</v>
      </c>
      <c r="C705" s="147"/>
      <c r="D705" s="147"/>
      <c r="E705" s="146"/>
      <c r="F705" s="148" t="str">
        <f>+IFERROR(VLOOKUP(E705,Data!C701:D796,2,0),"")</f>
        <v/>
      </c>
      <c r="G705" s="146"/>
      <c r="H705" s="149"/>
      <c r="I705" s="150"/>
      <c r="J705" s="151" t="str">
        <f t="shared" si="33"/>
        <v>-</v>
      </c>
      <c r="K705" s="152"/>
      <c r="L705" s="149"/>
      <c r="M705" s="149"/>
      <c r="N705" s="153">
        <f t="shared" si="34"/>
        <v>0</v>
      </c>
      <c r="O705" s="153">
        <f t="shared" si="35"/>
        <v>0</v>
      </c>
      <c r="P705" s="146"/>
    </row>
    <row r="706" spans="2:16" x14ac:dyDescent="0.3">
      <c r="B706" s="146">
        <v>699</v>
      </c>
      <c r="C706" s="147"/>
      <c r="D706" s="147"/>
      <c r="E706" s="146"/>
      <c r="F706" s="148" t="str">
        <f>+IFERROR(VLOOKUP(E706,Data!C702:D797,2,0),"")</f>
        <v/>
      </c>
      <c r="G706" s="146"/>
      <c r="H706" s="149"/>
      <c r="I706" s="150"/>
      <c r="J706" s="151" t="str">
        <f t="shared" si="33"/>
        <v>-</v>
      </c>
      <c r="K706" s="152"/>
      <c r="L706" s="149"/>
      <c r="M706" s="149"/>
      <c r="N706" s="153">
        <f t="shared" si="34"/>
        <v>0</v>
      </c>
      <c r="O706" s="153">
        <f t="shared" si="35"/>
        <v>0</v>
      </c>
      <c r="P706" s="146"/>
    </row>
    <row r="707" spans="2:16" x14ac:dyDescent="0.3">
      <c r="B707" s="146">
        <v>700</v>
      </c>
      <c r="C707" s="147"/>
      <c r="D707" s="147"/>
      <c r="E707" s="146"/>
      <c r="F707" s="148" t="str">
        <f>+IFERROR(VLOOKUP(E707,Data!C703:D798,2,0),"")</f>
        <v/>
      </c>
      <c r="G707" s="146"/>
      <c r="H707" s="149"/>
      <c r="I707" s="150"/>
      <c r="J707" s="151" t="str">
        <f t="shared" si="33"/>
        <v>-</v>
      </c>
      <c r="K707" s="152"/>
      <c r="L707" s="149"/>
      <c r="M707" s="149"/>
      <c r="N707" s="153">
        <f t="shared" si="34"/>
        <v>0</v>
      </c>
      <c r="O707" s="153">
        <f t="shared" si="35"/>
        <v>0</v>
      </c>
      <c r="P707" s="146"/>
    </row>
    <row r="708" spans="2:16" x14ac:dyDescent="0.3">
      <c r="B708" s="146">
        <v>701</v>
      </c>
      <c r="C708" s="147"/>
      <c r="D708" s="147"/>
      <c r="E708" s="146"/>
      <c r="F708" s="148" t="str">
        <f>+IFERROR(VLOOKUP(E708,Data!C704:D799,2,0),"")</f>
        <v/>
      </c>
      <c r="G708" s="146"/>
      <c r="H708" s="149"/>
      <c r="I708" s="150"/>
      <c r="J708" s="151" t="str">
        <f t="shared" si="33"/>
        <v>-</v>
      </c>
      <c r="K708" s="152"/>
      <c r="L708" s="149"/>
      <c r="M708" s="149"/>
      <c r="N708" s="153">
        <f t="shared" si="34"/>
        <v>0</v>
      </c>
      <c r="O708" s="153">
        <f t="shared" si="35"/>
        <v>0</v>
      </c>
      <c r="P708" s="146"/>
    </row>
    <row r="709" spans="2:16" x14ac:dyDescent="0.3">
      <c r="B709" s="146">
        <v>702</v>
      </c>
      <c r="C709" s="147"/>
      <c r="D709" s="147"/>
      <c r="E709" s="146"/>
      <c r="F709" s="148" t="str">
        <f>+IFERROR(VLOOKUP(E709,Data!C705:D800,2,0),"")</f>
        <v/>
      </c>
      <c r="G709" s="146"/>
      <c r="H709" s="149"/>
      <c r="I709" s="150"/>
      <c r="J709" s="151" t="str">
        <f t="shared" si="33"/>
        <v>-</v>
      </c>
      <c r="K709" s="152"/>
      <c r="L709" s="149"/>
      <c r="M709" s="149"/>
      <c r="N709" s="153">
        <f t="shared" si="34"/>
        <v>0</v>
      </c>
      <c r="O709" s="153">
        <f t="shared" si="35"/>
        <v>0</v>
      </c>
      <c r="P709" s="146"/>
    </row>
    <row r="710" spans="2:16" x14ac:dyDescent="0.3">
      <c r="B710" s="146">
        <v>703</v>
      </c>
      <c r="C710" s="147"/>
      <c r="D710" s="147"/>
      <c r="E710" s="146"/>
      <c r="F710" s="148" t="str">
        <f>+IFERROR(VLOOKUP(E710,Data!C706:D801,2,0),"")</f>
        <v/>
      </c>
      <c r="G710" s="146"/>
      <c r="H710" s="149"/>
      <c r="I710" s="150"/>
      <c r="J710" s="151" t="str">
        <f t="shared" si="33"/>
        <v>-</v>
      </c>
      <c r="K710" s="152"/>
      <c r="L710" s="149"/>
      <c r="M710" s="149"/>
      <c r="N710" s="153">
        <f t="shared" si="34"/>
        <v>0</v>
      </c>
      <c r="O710" s="153">
        <f t="shared" si="35"/>
        <v>0</v>
      </c>
      <c r="P710" s="146"/>
    </row>
    <row r="711" spans="2:16" x14ac:dyDescent="0.3">
      <c r="B711" s="146">
        <v>704</v>
      </c>
      <c r="C711" s="147"/>
      <c r="D711" s="147"/>
      <c r="E711" s="146"/>
      <c r="F711" s="148" t="str">
        <f>+IFERROR(VLOOKUP(E711,Data!C707:D802,2,0),"")</f>
        <v/>
      </c>
      <c r="G711" s="146"/>
      <c r="H711" s="149"/>
      <c r="I711" s="150"/>
      <c r="J711" s="151" t="str">
        <f t="shared" si="33"/>
        <v>-</v>
      </c>
      <c r="K711" s="152"/>
      <c r="L711" s="149"/>
      <c r="M711" s="149"/>
      <c r="N711" s="153">
        <f t="shared" si="34"/>
        <v>0</v>
      </c>
      <c r="O711" s="153">
        <f t="shared" si="35"/>
        <v>0</v>
      </c>
      <c r="P711" s="146"/>
    </row>
    <row r="712" spans="2:16" x14ac:dyDescent="0.3">
      <c r="B712" s="146">
        <v>705</v>
      </c>
      <c r="C712" s="147"/>
      <c r="D712" s="147"/>
      <c r="E712" s="146"/>
      <c r="F712" s="148" t="str">
        <f>+IFERROR(VLOOKUP(E712,Data!C708:D803,2,0),"")</f>
        <v/>
      </c>
      <c r="G712" s="146"/>
      <c r="H712" s="149"/>
      <c r="I712" s="150"/>
      <c r="J712" s="151" t="str">
        <f t="shared" si="33"/>
        <v>-</v>
      </c>
      <c r="K712" s="152"/>
      <c r="L712" s="149"/>
      <c r="M712" s="149"/>
      <c r="N712" s="153">
        <f t="shared" si="34"/>
        <v>0</v>
      </c>
      <c r="O712" s="153">
        <f t="shared" si="35"/>
        <v>0</v>
      </c>
      <c r="P712" s="146"/>
    </row>
    <row r="713" spans="2:16" x14ac:dyDescent="0.3">
      <c r="B713" s="146">
        <v>706</v>
      </c>
      <c r="C713" s="147"/>
      <c r="D713" s="147"/>
      <c r="E713" s="146"/>
      <c r="F713" s="148" t="str">
        <f>+IFERROR(VLOOKUP(E713,Data!C709:D804,2,0),"")</f>
        <v/>
      </c>
      <c r="G713" s="146"/>
      <c r="H713" s="149"/>
      <c r="I713" s="150"/>
      <c r="J713" s="151" t="str">
        <f t="shared" si="33"/>
        <v>-</v>
      </c>
      <c r="K713" s="152"/>
      <c r="L713" s="149"/>
      <c r="M713" s="149"/>
      <c r="N713" s="153">
        <f t="shared" si="34"/>
        <v>0</v>
      </c>
      <c r="O713" s="153">
        <f t="shared" si="35"/>
        <v>0</v>
      </c>
      <c r="P713" s="146"/>
    </row>
    <row r="714" spans="2:16" x14ac:dyDescent="0.3">
      <c r="B714" s="146">
        <v>707</v>
      </c>
      <c r="C714" s="147"/>
      <c r="D714" s="147"/>
      <c r="E714" s="146"/>
      <c r="F714" s="148" t="str">
        <f>+IFERROR(VLOOKUP(E714,Data!C710:D805,2,0),"")</f>
        <v/>
      </c>
      <c r="G714" s="146"/>
      <c r="H714" s="149"/>
      <c r="I714" s="150"/>
      <c r="J714" s="151" t="str">
        <f t="shared" si="33"/>
        <v>-</v>
      </c>
      <c r="K714" s="152"/>
      <c r="L714" s="149"/>
      <c r="M714" s="149"/>
      <c r="N714" s="153">
        <f t="shared" si="34"/>
        <v>0</v>
      </c>
      <c r="O714" s="153">
        <f t="shared" si="35"/>
        <v>0</v>
      </c>
      <c r="P714" s="146"/>
    </row>
    <row r="715" spans="2:16" x14ac:dyDescent="0.3">
      <c r="B715" s="146">
        <v>708</v>
      </c>
      <c r="C715" s="147"/>
      <c r="D715" s="147"/>
      <c r="E715" s="146"/>
      <c r="F715" s="148" t="str">
        <f>+IFERROR(VLOOKUP(E715,Data!C711:D806,2,0),"")</f>
        <v/>
      </c>
      <c r="G715" s="146"/>
      <c r="H715" s="149"/>
      <c r="I715" s="150"/>
      <c r="J715" s="151" t="str">
        <f t="shared" si="33"/>
        <v>-</v>
      </c>
      <c r="K715" s="152"/>
      <c r="L715" s="149"/>
      <c r="M715" s="149"/>
      <c r="N715" s="153">
        <f t="shared" si="34"/>
        <v>0</v>
      </c>
      <c r="O715" s="153">
        <f t="shared" si="35"/>
        <v>0</v>
      </c>
      <c r="P715" s="146"/>
    </row>
    <row r="716" spans="2:16" x14ac:dyDescent="0.3">
      <c r="B716" s="146">
        <v>709</v>
      </c>
      <c r="C716" s="147"/>
      <c r="D716" s="147"/>
      <c r="E716" s="146"/>
      <c r="F716" s="148" t="str">
        <f>+IFERROR(VLOOKUP(E716,Data!C712:D807,2,0),"")</f>
        <v/>
      </c>
      <c r="G716" s="146"/>
      <c r="H716" s="149"/>
      <c r="I716" s="150"/>
      <c r="J716" s="151" t="str">
        <f t="shared" si="33"/>
        <v>-</v>
      </c>
      <c r="K716" s="152"/>
      <c r="L716" s="149"/>
      <c r="M716" s="149"/>
      <c r="N716" s="153">
        <f t="shared" si="34"/>
        <v>0</v>
      </c>
      <c r="O716" s="153">
        <f t="shared" si="35"/>
        <v>0</v>
      </c>
      <c r="P716" s="146"/>
    </row>
    <row r="717" spans="2:16" x14ac:dyDescent="0.3">
      <c r="B717" s="146">
        <v>710</v>
      </c>
      <c r="C717" s="147"/>
      <c r="D717" s="147"/>
      <c r="E717" s="146"/>
      <c r="F717" s="148" t="str">
        <f>+IFERROR(VLOOKUP(E717,Data!C713:D808,2,0),"")</f>
        <v/>
      </c>
      <c r="G717" s="146"/>
      <c r="H717" s="149"/>
      <c r="I717" s="150"/>
      <c r="J717" s="151" t="str">
        <f t="shared" si="33"/>
        <v>-</v>
      </c>
      <c r="K717" s="152"/>
      <c r="L717" s="149"/>
      <c r="M717" s="149"/>
      <c r="N717" s="153">
        <f t="shared" si="34"/>
        <v>0</v>
      </c>
      <c r="O717" s="153">
        <f t="shared" si="35"/>
        <v>0</v>
      </c>
      <c r="P717" s="146"/>
    </row>
    <row r="718" spans="2:16" x14ac:dyDescent="0.3">
      <c r="B718" s="146">
        <v>711</v>
      </c>
      <c r="C718" s="147"/>
      <c r="D718" s="147"/>
      <c r="E718" s="146"/>
      <c r="F718" s="148" t="str">
        <f>+IFERROR(VLOOKUP(E718,Data!C714:D809,2,0),"")</f>
        <v/>
      </c>
      <c r="G718" s="146"/>
      <c r="H718" s="149"/>
      <c r="I718" s="150"/>
      <c r="J718" s="151" t="str">
        <f t="shared" si="33"/>
        <v>-</v>
      </c>
      <c r="K718" s="152"/>
      <c r="L718" s="149"/>
      <c r="M718" s="149"/>
      <c r="N718" s="153">
        <f t="shared" si="34"/>
        <v>0</v>
      </c>
      <c r="O718" s="153">
        <f t="shared" si="35"/>
        <v>0</v>
      </c>
      <c r="P718" s="146"/>
    </row>
    <row r="719" spans="2:16" x14ac:dyDescent="0.3">
      <c r="B719" s="146">
        <v>712</v>
      </c>
      <c r="C719" s="147"/>
      <c r="D719" s="147"/>
      <c r="E719" s="146"/>
      <c r="F719" s="148" t="str">
        <f>+IFERROR(VLOOKUP(E719,Data!C715:D810,2,0),"")</f>
        <v/>
      </c>
      <c r="G719" s="146"/>
      <c r="H719" s="149"/>
      <c r="I719" s="150"/>
      <c r="J719" s="151" t="str">
        <f t="shared" si="33"/>
        <v>-</v>
      </c>
      <c r="K719" s="152"/>
      <c r="L719" s="149"/>
      <c r="M719" s="149"/>
      <c r="N719" s="153">
        <f t="shared" si="34"/>
        <v>0</v>
      </c>
      <c r="O719" s="153">
        <f t="shared" si="35"/>
        <v>0</v>
      </c>
      <c r="P719" s="146"/>
    </row>
    <row r="720" spans="2:16" x14ac:dyDescent="0.3">
      <c r="B720" s="146">
        <v>713</v>
      </c>
      <c r="C720" s="147"/>
      <c r="D720" s="147"/>
      <c r="E720" s="146"/>
      <c r="F720" s="148" t="str">
        <f>+IFERROR(VLOOKUP(E720,Data!C716:D811,2,0),"")</f>
        <v/>
      </c>
      <c r="G720" s="146"/>
      <c r="H720" s="149"/>
      <c r="I720" s="150"/>
      <c r="J720" s="151" t="str">
        <f t="shared" si="33"/>
        <v>-</v>
      </c>
      <c r="K720" s="152"/>
      <c r="L720" s="149"/>
      <c r="M720" s="149"/>
      <c r="N720" s="153">
        <f t="shared" si="34"/>
        <v>0</v>
      </c>
      <c r="O720" s="153">
        <f t="shared" si="35"/>
        <v>0</v>
      </c>
      <c r="P720" s="146"/>
    </row>
    <row r="721" spans="2:16" x14ac:dyDescent="0.3">
      <c r="B721" s="146">
        <v>714</v>
      </c>
      <c r="C721" s="147"/>
      <c r="D721" s="147"/>
      <c r="E721" s="146"/>
      <c r="F721" s="148" t="str">
        <f>+IFERROR(VLOOKUP(E721,Data!C717:D812,2,0),"")</f>
        <v/>
      </c>
      <c r="G721" s="146"/>
      <c r="H721" s="149"/>
      <c r="I721" s="150"/>
      <c r="J721" s="151" t="str">
        <f t="shared" si="33"/>
        <v>-</v>
      </c>
      <c r="K721" s="152"/>
      <c r="L721" s="149"/>
      <c r="M721" s="149"/>
      <c r="N721" s="153">
        <f t="shared" si="34"/>
        <v>0</v>
      </c>
      <c r="O721" s="153">
        <f t="shared" si="35"/>
        <v>0</v>
      </c>
      <c r="P721" s="146"/>
    </row>
    <row r="722" spans="2:16" x14ac:dyDescent="0.3">
      <c r="B722" s="146">
        <v>715</v>
      </c>
      <c r="C722" s="147"/>
      <c r="D722" s="147"/>
      <c r="E722" s="146"/>
      <c r="F722" s="148" t="str">
        <f>+IFERROR(VLOOKUP(E722,Data!C718:D813,2,0),"")</f>
        <v/>
      </c>
      <c r="G722" s="146"/>
      <c r="H722" s="149"/>
      <c r="I722" s="150"/>
      <c r="J722" s="151" t="str">
        <f t="shared" si="33"/>
        <v>-</v>
      </c>
      <c r="K722" s="152"/>
      <c r="L722" s="149"/>
      <c r="M722" s="149"/>
      <c r="N722" s="153">
        <f t="shared" si="34"/>
        <v>0</v>
      </c>
      <c r="O722" s="153">
        <f t="shared" si="35"/>
        <v>0</v>
      </c>
      <c r="P722" s="146"/>
    </row>
    <row r="723" spans="2:16" x14ac:dyDescent="0.3">
      <c r="B723" s="146">
        <v>716</v>
      </c>
      <c r="C723" s="147"/>
      <c r="D723" s="147"/>
      <c r="E723" s="146"/>
      <c r="F723" s="148" t="str">
        <f>+IFERROR(VLOOKUP(E723,Data!C719:D814,2,0),"")</f>
        <v/>
      </c>
      <c r="G723" s="146"/>
      <c r="H723" s="149"/>
      <c r="I723" s="150"/>
      <c r="J723" s="151" t="str">
        <f t="shared" si="33"/>
        <v>-</v>
      </c>
      <c r="K723" s="152"/>
      <c r="L723" s="149"/>
      <c r="M723" s="149"/>
      <c r="N723" s="153">
        <f t="shared" si="34"/>
        <v>0</v>
      </c>
      <c r="O723" s="153">
        <f t="shared" si="35"/>
        <v>0</v>
      </c>
      <c r="P723" s="146"/>
    </row>
    <row r="724" spans="2:16" x14ac:dyDescent="0.3">
      <c r="B724" s="146">
        <v>717</v>
      </c>
      <c r="C724" s="147"/>
      <c r="D724" s="147"/>
      <c r="E724" s="146"/>
      <c r="F724" s="148" t="str">
        <f>+IFERROR(VLOOKUP(E724,Data!C720:D815,2,0),"")</f>
        <v/>
      </c>
      <c r="G724" s="146"/>
      <c r="H724" s="149"/>
      <c r="I724" s="150"/>
      <c r="J724" s="151" t="str">
        <f t="shared" si="33"/>
        <v>-</v>
      </c>
      <c r="K724" s="152"/>
      <c r="L724" s="149"/>
      <c r="M724" s="149"/>
      <c r="N724" s="153">
        <f t="shared" si="34"/>
        <v>0</v>
      </c>
      <c r="O724" s="153">
        <f t="shared" si="35"/>
        <v>0</v>
      </c>
      <c r="P724" s="146"/>
    </row>
    <row r="725" spans="2:16" x14ac:dyDescent="0.3">
      <c r="B725" s="146">
        <v>718</v>
      </c>
      <c r="C725" s="147"/>
      <c r="D725" s="147"/>
      <c r="E725" s="146"/>
      <c r="F725" s="148" t="str">
        <f>+IFERROR(VLOOKUP(E725,Data!C721:D816,2,0),"")</f>
        <v/>
      </c>
      <c r="G725" s="146"/>
      <c r="H725" s="149"/>
      <c r="I725" s="150"/>
      <c r="J725" s="151" t="str">
        <f t="shared" si="33"/>
        <v>-</v>
      </c>
      <c r="K725" s="152"/>
      <c r="L725" s="149"/>
      <c r="M725" s="149"/>
      <c r="N725" s="153">
        <f t="shared" si="34"/>
        <v>0</v>
      </c>
      <c r="O725" s="153">
        <f t="shared" si="35"/>
        <v>0</v>
      </c>
      <c r="P725" s="146"/>
    </row>
    <row r="726" spans="2:16" x14ac:dyDescent="0.3">
      <c r="B726" s="146">
        <v>719</v>
      </c>
      <c r="C726" s="147"/>
      <c r="D726" s="147"/>
      <c r="E726" s="146"/>
      <c r="F726" s="148" t="str">
        <f>+IFERROR(VLOOKUP(E726,Data!C722:D817,2,0),"")</f>
        <v/>
      </c>
      <c r="G726" s="146"/>
      <c r="H726" s="149"/>
      <c r="I726" s="150"/>
      <c r="J726" s="151" t="str">
        <f t="shared" si="33"/>
        <v>-</v>
      </c>
      <c r="K726" s="152"/>
      <c r="L726" s="149"/>
      <c r="M726" s="149"/>
      <c r="N726" s="153">
        <f t="shared" si="34"/>
        <v>0</v>
      </c>
      <c r="O726" s="153">
        <f t="shared" si="35"/>
        <v>0</v>
      </c>
      <c r="P726" s="146"/>
    </row>
    <row r="727" spans="2:16" x14ac:dyDescent="0.3">
      <c r="B727" s="146">
        <v>720</v>
      </c>
      <c r="C727" s="147"/>
      <c r="D727" s="147"/>
      <c r="E727" s="146"/>
      <c r="F727" s="148" t="str">
        <f>+IFERROR(VLOOKUP(E727,Data!C723:D818,2,0),"")</f>
        <v/>
      </c>
      <c r="G727" s="146"/>
      <c r="H727" s="149"/>
      <c r="I727" s="150"/>
      <c r="J727" s="151" t="str">
        <f t="shared" si="33"/>
        <v>-</v>
      </c>
      <c r="K727" s="152"/>
      <c r="L727" s="149"/>
      <c r="M727" s="149"/>
      <c r="N727" s="153">
        <f t="shared" si="34"/>
        <v>0</v>
      </c>
      <c r="O727" s="153">
        <f t="shared" si="35"/>
        <v>0</v>
      </c>
      <c r="P727" s="146"/>
    </row>
    <row r="728" spans="2:16" x14ac:dyDescent="0.3">
      <c r="B728" s="146">
        <v>721</v>
      </c>
      <c r="C728" s="147"/>
      <c r="D728" s="147"/>
      <c r="E728" s="146"/>
      <c r="F728" s="148" t="str">
        <f>+IFERROR(VLOOKUP(E728,Data!C724:D819,2,0),"")</f>
        <v/>
      </c>
      <c r="G728" s="146"/>
      <c r="H728" s="149"/>
      <c r="I728" s="150"/>
      <c r="J728" s="151" t="str">
        <f t="shared" si="33"/>
        <v>-</v>
      </c>
      <c r="K728" s="152"/>
      <c r="L728" s="149"/>
      <c r="M728" s="149"/>
      <c r="N728" s="153">
        <f t="shared" si="34"/>
        <v>0</v>
      </c>
      <c r="O728" s="153">
        <f t="shared" si="35"/>
        <v>0</v>
      </c>
      <c r="P728" s="146"/>
    </row>
    <row r="729" spans="2:16" x14ac:dyDescent="0.3">
      <c r="B729" s="146">
        <v>722</v>
      </c>
      <c r="C729" s="147"/>
      <c r="D729" s="147"/>
      <c r="E729" s="146"/>
      <c r="F729" s="148" t="str">
        <f>+IFERROR(VLOOKUP(E729,Data!C725:D820,2,0),"")</f>
        <v/>
      </c>
      <c r="G729" s="146"/>
      <c r="H729" s="149"/>
      <c r="I729" s="150"/>
      <c r="J729" s="151" t="str">
        <f t="shared" si="33"/>
        <v>-</v>
      </c>
      <c r="K729" s="152"/>
      <c r="L729" s="149"/>
      <c r="M729" s="149"/>
      <c r="N729" s="153">
        <f t="shared" si="34"/>
        <v>0</v>
      </c>
      <c r="O729" s="153">
        <f t="shared" si="35"/>
        <v>0</v>
      </c>
      <c r="P729" s="146"/>
    </row>
    <row r="730" spans="2:16" x14ac:dyDescent="0.3">
      <c r="B730" s="146">
        <v>723</v>
      </c>
      <c r="C730" s="147"/>
      <c r="D730" s="147"/>
      <c r="E730" s="146"/>
      <c r="F730" s="148" t="str">
        <f>+IFERROR(VLOOKUP(E730,Data!C726:D821,2,0),"")</f>
        <v/>
      </c>
      <c r="G730" s="146"/>
      <c r="H730" s="149"/>
      <c r="I730" s="150"/>
      <c r="J730" s="151" t="str">
        <f t="shared" si="33"/>
        <v>-</v>
      </c>
      <c r="K730" s="152"/>
      <c r="L730" s="149"/>
      <c r="M730" s="149"/>
      <c r="N730" s="153">
        <f t="shared" si="34"/>
        <v>0</v>
      </c>
      <c r="O730" s="153">
        <f t="shared" si="35"/>
        <v>0</v>
      </c>
      <c r="P730" s="146"/>
    </row>
    <row r="731" spans="2:16" x14ac:dyDescent="0.3">
      <c r="B731" s="146">
        <v>724</v>
      </c>
      <c r="C731" s="147"/>
      <c r="D731" s="147"/>
      <c r="E731" s="146"/>
      <c r="F731" s="148" t="str">
        <f>+IFERROR(VLOOKUP(E731,Data!C727:D822,2,0),"")</f>
        <v/>
      </c>
      <c r="G731" s="146"/>
      <c r="H731" s="149"/>
      <c r="I731" s="150"/>
      <c r="J731" s="151" t="str">
        <f t="shared" si="33"/>
        <v>-</v>
      </c>
      <c r="K731" s="152"/>
      <c r="L731" s="149"/>
      <c r="M731" s="149"/>
      <c r="N731" s="153">
        <f t="shared" si="34"/>
        <v>0</v>
      </c>
      <c r="O731" s="153">
        <f t="shared" si="35"/>
        <v>0</v>
      </c>
      <c r="P731" s="146"/>
    </row>
    <row r="732" spans="2:16" x14ac:dyDescent="0.3">
      <c r="B732" s="146">
        <v>725</v>
      </c>
      <c r="C732" s="147"/>
      <c r="D732" s="147"/>
      <c r="E732" s="146"/>
      <c r="F732" s="148" t="str">
        <f>+IFERROR(VLOOKUP(E732,Data!C728:D823,2,0),"")</f>
        <v/>
      </c>
      <c r="G732" s="146"/>
      <c r="H732" s="149"/>
      <c r="I732" s="150"/>
      <c r="J732" s="151" t="str">
        <f t="shared" si="33"/>
        <v>-</v>
      </c>
      <c r="K732" s="152"/>
      <c r="L732" s="149"/>
      <c r="M732" s="149"/>
      <c r="N732" s="153">
        <f t="shared" si="34"/>
        <v>0</v>
      </c>
      <c r="O732" s="153">
        <f t="shared" si="35"/>
        <v>0</v>
      </c>
      <c r="P732" s="146"/>
    </row>
    <row r="733" spans="2:16" x14ac:dyDescent="0.3">
      <c r="B733" s="146">
        <v>726</v>
      </c>
      <c r="C733" s="147"/>
      <c r="D733" s="147"/>
      <c r="E733" s="146"/>
      <c r="F733" s="148" t="str">
        <f>+IFERROR(VLOOKUP(E733,Data!C729:D824,2,0),"")</f>
        <v/>
      </c>
      <c r="G733" s="146"/>
      <c r="H733" s="149"/>
      <c r="I733" s="150"/>
      <c r="J733" s="151" t="str">
        <f t="shared" si="33"/>
        <v>-</v>
      </c>
      <c r="K733" s="152"/>
      <c r="L733" s="149"/>
      <c r="M733" s="149"/>
      <c r="N733" s="153">
        <f t="shared" si="34"/>
        <v>0</v>
      </c>
      <c r="O733" s="153">
        <f t="shared" si="35"/>
        <v>0</v>
      </c>
      <c r="P733" s="146"/>
    </row>
    <row r="734" spans="2:16" x14ac:dyDescent="0.3">
      <c r="B734" s="146">
        <v>727</v>
      </c>
      <c r="C734" s="147"/>
      <c r="D734" s="147"/>
      <c r="E734" s="146"/>
      <c r="F734" s="148" t="str">
        <f>+IFERROR(VLOOKUP(E734,Data!C730:D825,2,0),"")</f>
        <v/>
      </c>
      <c r="G734" s="146"/>
      <c r="H734" s="149"/>
      <c r="I734" s="150"/>
      <c r="J734" s="151" t="str">
        <f t="shared" si="33"/>
        <v>-</v>
      </c>
      <c r="K734" s="152"/>
      <c r="L734" s="149"/>
      <c r="M734" s="149"/>
      <c r="N734" s="153">
        <f t="shared" si="34"/>
        <v>0</v>
      </c>
      <c r="O734" s="153">
        <f t="shared" si="35"/>
        <v>0</v>
      </c>
      <c r="P734" s="146"/>
    </row>
    <row r="735" spans="2:16" x14ac:dyDescent="0.3">
      <c r="B735" s="146">
        <v>728</v>
      </c>
      <c r="C735" s="147"/>
      <c r="D735" s="147"/>
      <c r="E735" s="146"/>
      <c r="F735" s="148" t="str">
        <f>+IFERROR(VLOOKUP(E735,Data!C731:D826,2,0),"")</f>
        <v/>
      </c>
      <c r="G735" s="146"/>
      <c r="H735" s="149"/>
      <c r="I735" s="150"/>
      <c r="J735" s="151" t="str">
        <f t="shared" si="33"/>
        <v>-</v>
      </c>
      <c r="K735" s="152"/>
      <c r="L735" s="149"/>
      <c r="M735" s="149"/>
      <c r="N735" s="153">
        <f t="shared" si="34"/>
        <v>0</v>
      </c>
      <c r="O735" s="153">
        <f t="shared" si="35"/>
        <v>0</v>
      </c>
      <c r="P735" s="146"/>
    </row>
    <row r="736" spans="2:16" x14ac:dyDescent="0.3">
      <c r="B736" s="146">
        <v>729</v>
      </c>
      <c r="C736" s="147"/>
      <c r="D736" s="147"/>
      <c r="E736" s="146"/>
      <c r="F736" s="148" t="str">
        <f>+IFERROR(VLOOKUP(E736,Data!C732:D827,2,0),"")</f>
        <v/>
      </c>
      <c r="G736" s="146"/>
      <c r="H736" s="149"/>
      <c r="I736" s="150"/>
      <c r="J736" s="151" t="str">
        <f t="shared" si="33"/>
        <v>-</v>
      </c>
      <c r="K736" s="152"/>
      <c r="L736" s="149"/>
      <c r="M736" s="149"/>
      <c r="N736" s="153">
        <f t="shared" si="34"/>
        <v>0</v>
      </c>
      <c r="O736" s="153">
        <f t="shared" si="35"/>
        <v>0</v>
      </c>
      <c r="P736" s="146"/>
    </row>
    <row r="737" spans="2:16" x14ac:dyDescent="0.3">
      <c r="B737" s="146">
        <v>730</v>
      </c>
      <c r="C737" s="147"/>
      <c r="D737" s="147"/>
      <c r="E737" s="146"/>
      <c r="F737" s="148" t="str">
        <f>+IFERROR(VLOOKUP(E737,Data!C733:D828,2,0),"")</f>
        <v/>
      </c>
      <c r="G737" s="146"/>
      <c r="H737" s="149"/>
      <c r="I737" s="150"/>
      <c r="J737" s="151" t="str">
        <f t="shared" si="33"/>
        <v>-</v>
      </c>
      <c r="K737" s="152"/>
      <c r="L737" s="149"/>
      <c r="M737" s="149"/>
      <c r="N737" s="153">
        <f t="shared" si="34"/>
        <v>0</v>
      </c>
      <c r="O737" s="153">
        <f t="shared" si="35"/>
        <v>0</v>
      </c>
      <c r="P737" s="146"/>
    </row>
    <row r="738" spans="2:16" x14ac:dyDescent="0.3">
      <c r="B738" s="146">
        <v>731</v>
      </c>
      <c r="C738" s="147"/>
      <c r="D738" s="147"/>
      <c r="E738" s="146"/>
      <c r="F738" s="148" t="str">
        <f>+IFERROR(VLOOKUP(E738,Data!C734:D829,2,0),"")</f>
        <v/>
      </c>
      <c r="G738" s="146"/>
      <c r="H738" s="149"/>
      <c r="I738" s="150"/>
      <c r="J738" s="151" t="str">
        <f t="shared" si="33"/>
        <v>-</v>
      </c>
      <c r="K738" s="152"/>
      <c r="L738" s="149"/>
      <c r="M738" s="149"/>
      <c r="N738" s="153">
        <f t="shared" si="34"/>
        <v>0</v>
      </c>
      <c r="O738" s="153">
        <f t="shared" si="35"/>
        <v>0</v>
      </c>
      <c r="P738" s="146"/>
    </row>
    <row r="739" spans="2:16" x14ac:dyDescent="0.3">
      <c r="B739" s="146">
        <v>732</v>
      </c>
      <c r="C739" s="147"/>
      <c r="D739" s="147"/>
      <c r="E739" s="146"/>
      <c r="F739" s="148" t="str">
        <f>+IFERROR(VLOOKUP(E739,Data!C735:D830,2,0),"")</f>
        <v/>
      </c>
      <c r="G739" s="146"/>
      <c r="H739" s="149"/>
      <c r="I739" s="150"/>
      <c r="J739" s="151" t="str">
        <f t="shared" si="33"/>
        <v>-</v>
      </c>
      <c r="K739" s="152"/>
      <c r="L739" s="149"/>
      <c r="M739" s="149"/>
      <c r="N739" s="153">
        <f t="shared" si="34"/>
        <v>0</v>
      </c>
      <c r="O739" s="153">
        <f t="shared" si="35"/>
        <v>0</v>
      </c>
      <c r="P739" s="146"/>
    </row>
    <row r="740" spans="2:16" x14ac:dyDescent="0.3">
      <c r="B740" s="146">
        <v>733</v>
      </c>
      <c r="C740" s="147"/>
      <c r="D740" s="147"/>
      <c r="E740" s="146"/>
      <c r="F740" s="148" t="str">
        <f>+IFERROR(VLOOKUP(E740,Data!C736:D831,2,0),"")</f>
        <v/>
      </c>
      <c r="G740" s="146"/>
      <c r="H740" s="149"/>
      <c r="I740" s="150"/>
      <c r="J740" s="151" t="str">
        <f t="shared" si="33"/>
        <v>-</v>
      </c>
      <c r="K740" s="152"/>
      <c r="L740" s="149"/>
      <c r="M740" s="149"/>
      <c r="N740" s="153">
        <f t="shared" si="34"/>
        <v>0</v>
      </c>
      <c r="O740" s="153">
        <f t="shared" si="35"/>
        <v>0</v>
      </c>
      <c r="P740" s="146"/>
    </row>
    <row r="741" spans="2:16" x14ac:dyDescent="0.3">
      <c r="B741" s="146">
        <v>734</v>
      </c>
      <c r="C741" s="147"/>
      <c r="D741" s="147"/>
      <c r="E741" s="146"/>
      <c r="F741" s="148" t="str">
        <f>+IFERROR(VLOOKUP(E741,Data!C737:D832,2,0),"")</f>
        <v/>
      </c>
      <c r="G741" s="146"/>
      <c r="H741" s="149"/>
      <c r="I741" s="150"/>
      <c r="J741" s="151" t="str">
        <f t="shared" si="33"/>
        <v>-</v>
      </c>
      <c r="K741" s="152"/>
      <c r="L741" s="149"/>
      <c r="M741" s="149"/>
      <c r="N741" s="153">
        <f t="shared" si="34"/>
        <v>0</v>
      </c>
      <c r="O741" s="153">
        <f t="shared" si="35"/>
        <v>0</v>
      </c>
      <c r="P741" s="146"/>
    </row>
    <row r="742" spans="2:16" x14ac:dyDescent="0.3">
      <c r="B742" s="146">
        <v>735</v>
      </c>
      <c r="C742" s="147"/>
      <c r="D742" s="147"/>
      <c r="E742" s="146"/>
      <c r="F742" s="148" t="str">
        <f>+IFERROR(VLOOKUP(E742,Data!C738:D833,2,0),"")</f>
        <v/>
      </c>
      <c r="G742" s="146"/>
      <c r="H742" s="149"/>
      <c r="I742" s="150"/>
      <c r="J742" s="151" t="str">
        <f t="shared" si="33"/>
        <v>-</v>
      </c>
      <c r="K742" s="152"/>
      <c r="L742" s="149"/>
      <c r="M742" s="149"/>
      <c r="N742" s="153">
        <f t="shared" si="34"/>
        <v>0</v>
      </c>
      <c r="O742" s="153">
        <f t="shared" si="35"/>
        <v>0</v>
      </c>
      <c r="P742" s="146"/>
    </row>
    <row r="743" spans="2:16" x14ac:dyDescent="0.3">
      <c r="B743" s="146">
        <v>736</v>
      </c>
      <c r="C743" s="147"/>
      <c r="D743" s="147"/>
      <c r="E743" s="146"/>
      <c r="F743" s="148" t="str">
        <f>+IFERROR(VLOOKUP(E743,Data!C739:D834,2,0),"")</f>
        <v/>
      </c>
      <c r="G743" s="146"/>
      <c r="H743" s="149"/>
      <c r="I743" s="150"/>
      <c r="J743" s="151" t="str">
        <f t="shared" si="33"/>
        <v>-</v>
      </c>
      <c r="K743" s="152"/>
      <c r="L743" s="149"/>
      <c r="M743" s="149"/>
      <c r="N743" s="153">
        <f t="shared" si="34"/>
        <v>0</v>
      </c>
      <c r="O743" s="153">
        <f t="shared" si="35"/>
        <v>0</v>
      </c>
      <c r="P743" s="146"/>
    </row>
    <row r="744" spans="2:16" x14ac:dyDescent="0.3">
      <c r="B744" s="146">
        <v>737</v>
      </c>
      <c r="C744" s="147"/>
      <c r="D744" s="147"/>
      <c r="E744" s="146"/>
      <c r="F744" s="148" t="str">
        <f>+IFERROR(VLOOKUP(E744,Data!C740:D835,2,0),"")</f>
        <v/>
      </c>
      <c r="G744" s="146"/>
      <c r="H744" s="149"/>
      <c r="I744" s="150"/>
      <c r="J744" s="151" t="str">
        <f t="shared" si="33"/>
        <v>-</v>
      </c>
      <c r="K744" s="152"/>
      <c r="L744" s="149"/>
      <c r="M744" s="149"/>
      <c r="N744" s="153">
        <f t="shared" si="34"/>
        <v>0</v>
      </c>
      <c r="O744" s="153">
        <f t="shared" si="35"/>
        <v>0</v>
      </c>
      <c r="P744" s="146"/>
    </row>
    <row r="745" spans="2:16" x14ac:dyDescent="0.3">
      <c r="B745" s="146">
        <v>738</v>
      </c>
      <c r="C745" s="147"/>
      <c r="D745" s="147"/>
      <c r="E745" s="146"/>
      <c r="F745" s="148" t="str">
        <f>+IFERROR(VLOOKUP(E745,Data!C741:D836,2,0),"")</f>
        <v/>
      </c>
      <c r="G745" s="146"/>
      <c r="H745" s="149"/>
      <c r="I745" s="150"/>
      <c r="J745" s="151" t="str">
        <f t="shared" si="33"/>
        <v>-</v>
      </c>
      <c r="K745" s="152"/>
      <c r="L745" s="149"/>
      <c r="M745" s="149"/>
      <c r="N745" s="153">
        <f t="shared" si="34"/>
        <v>0</v>
      </c>
      <c r="O745" s="153">
        <f t="shared" si="35"/>
        <v>0</v>
      </c>
      <c r="P745" s="146"/>
    </row>
    <row r="746" spans="2:16" x14ac:dyDescent="0.3">
      <c r="B746" s="146">
        <v>739</v>
      </c>
      <c r="C746" s="147"/>
      <c r="D746" s="147"/>
      <c r="E746" s="146"/>
      <c r="F746" s="148" t="str">
        <f>+IFERROR(VLOOKUP(E746,Data!C742:D837,2,0),"")</f>
        <v/>
      </c>
      <c r="G746" s="146"/>
      <c r="H746" s="149"/>
      <c r="I746" s="150"/>
      <c r="J746" s="151" t="str">
        <f t="shared" si="33"/>
        <v>-</v>
      </c>
      <c r="K746" s="152"/>
      <c r="L746" s="149"/>
      <c r="M746" s="149"/>
      <c r="N746" s="153">
        <f t="shared" si="34"/>
        <v>0</v>
      </c>
      <c r="O746" s="153">
        <f t="shared" si="35"/>
        <v>0</v>
      </c>
      <c r="P746" s="146"/>
    </row>
    <row r="747" spans="2:16" x14ac:dyDescent="0.3">
      <c r="B747" s="146">
        <v>740</v>
      </c>
      <c r="C747" s="147"/>
      <c r="D747" s="147"/>
      <c r="E747" s="146"/>
      <c r="F747" s="148" t="str">
        <f>+IFERROR(VLOOKUP(E747,Data!C743:D838,2,0),"")</f>
        <v/>
      </c>
      <c r="G747" s="146"/>
      <c r="H747" s="149"/>
      <c r="I747" s="150"/>
      <c r="J747" s="151" t="str">
        <f t="shared" si="33"/>
        <v>-</v>
      </c>
      <c r="K747" s="152"/>
      <c r="L747" s="149"/>
      <c r="M747" s="149"/>
      <c r="N747" s="153">
        <f t="shared" si="34"/>
        <v>0</v>
      </c>
      <c r="O747" s="153">
        <f t="shared" si="35"/>
        <v>0</v>
      </c>
      <c r="P747" s="146"/>
    </row>
    <row r="748" spans="2:16" x14ac:dyDescent="0.3">
      <c r="B748" s="146">
        <v>741</v>
      </c>
      <c r="C748" s="147"/>
      <c r="D748" s="147"/>
      <c r="E748" s="146"/>
      <c r="F748" s="148" t="str">
        <f>+IFERROR(VLOOKUP(E748,Data!C744:D839,2,0),"")</f>
        <v/>
      </c>
      <c r="G748" s="146"/>
      <c r="H748" s="149"/>
      <c r="I748" s="150"/>
      <c r="J748" s="151" t="str">
        <f t="shared" si="33"/>
        <v>-</v>
      </c>
      <c r="K748" s="152"/>
      <c r="L748" s="149"/>
      <c r="M748" s="149"/>
      <c r="N748" s="153">
        <f t="shared" si="34"/>
        <v>0</v>
      </c>
      <c r="O748" s="153">
        <f t="shared" si="35"/>
        <v>0</v>
      </c>
      <c r="P748" s="146"/>
    </row>
    <row r="749" spans="2:16" x14ac:dyDescent="0.3">
      <c r="B749" s="146">
        <v>742</v>
      </c>
      <c r="C749" s="147"/>
      <c r="D749" s="147"/>
      <c r="E749" s="146"/>
      <c r="F749" s="148" t="str">
        <f>+IFERROR(VLOOKUP(E749,Data!C745:D840,2,0),"")</f>
        <v/>
      </c>
      <c r="G749" s="146"/>
      <c r="H749" s="149"/>
      <c r="I749" s="150"/>
      <c r="J749" s="151" t="str">
        <f t="shared" si="33"/>
        <v>-</v>
      </c>
      <c r="K749" s="152"/>
      <c r="L749" s="149"/>
      <c r="M749" s="149"/>
      <c r="N749" s="153">
        <f t="shared" si="34"/>
        <v>0</v>
      </c>
      <c r="O749" s="153">
        <f t="shared" si="35"/>
        <v>0</v>
      </c>
      <c r="P749" s="146"/>
    </row>
    <row r="750" spans="2:16" x14ac:dyDescent="0.3">
      <c r="B750" s="146">
        <v>743</v>
      </c>
      <c r="C750" s="147"/>
      <c r="D750" s="147"/>
      <c r="E750" s="146"/>
      <c r="F750" s="148" t="str">
        <f>+IFERROR(VLOOKUP(E750,Data!C746:D841,2,0),"")</f>
        <v/>
      </c>
      <c r="G750" s="146"/>
      <c r="H750" s="149"/>
      <c r="I750" s="150"/>
      <c r="J750" s="151" t="str">
        <f t="shared" si="33"/>
        <v>-</v>
      </c>
      <c r="K750" s="152"/>
      <c r="L750" s="149"/>
      <c r="M750" s="149"/>
      <c r="N750" s="153">
        <f t="shared" si="34"/>
        <v>0</v>
      </c>
      <c r="O750" s="153">
        <f t="shared" si="35"/>
        <v>0</v>
      </c>
      <c r="P750" s="146"/>
    </row>
    <row r="751" spans="2:16" x14ac:dyDescent="0.3">
      <c r="B751" s="146">
        <v>744</v>
      </c>
      <c r="C751" s="147"/>
      <c r="D751" s="147"/>
      <c r="E751" s="146"/>
      <c r="F751" s="148" t="str">
        <f>+IFERROR(VLOOKUP(E751,Data!C747:D842,2,0),"")</f>
        <v/>
      </c>
      <c r="G751" s="146"/>
      <c r="H751" s="149"/>
      <c r="I751" s="150"/>
      <c r="J751" s="151" t="str">
        <f t="shared" si="33"/>
        <v>-</v>
      </c>
      <c r="K751" s="152"/>
      <c r="L751" s="149"/>
      <c r="M751" s="149"/>
      <c r="N751" s="153">
        <f t="shared" si="34"/>
        <v>0</v>
      </c>
      <c r="O751" s="153">
        <f t="shared" si="35"/>
        <v>0</v>
      </c>
      <c r="P751" s="146"/>
    </row>
    <row r="752" spans="2:16" x14ac:dyDescent="0.3">
      <c r="B752" s="146">
        <v>745</v>
      </c>
      <c r="C752" s="147"/>
      <c r="D752" s="147"/>
      <c r="E752" s="146"/>
      <c r="F752" s="148" t="str">
        <f>+IFERROR(VLOOKUP(E752,Data!C748:D843,2,0),"")</f>
        <v/>
      </c>
      <c r="G752" s="146"/>
      <c r="H752" s="149"/>
      <c r="I752" s="150"/>
      <c r="J752" s="151" t="str">
        <f t="shared" si="33"/>
        <v>-</v>
      </c>
      <c r="K752" s="152"/>
      <c r="L752" s="149"/>
      <c r="M752" s="149"/>
      <c r="N752" s="153">
        <f t="shared" si="34"/>
        <v>0</v>
      </c>
      <c r="O752" s="153">
        <f t="shared" si="35"/>
        <v>0</v>
      </c>
      <c r="P752" s="146"/>
    </row>
    <row r="753" spans="2:16" x14ac:dyDescent="0.3">
      <c r="B753" s="146">
        <v>746</v>
      </c>
      <c r="C753" s="147"/>
      <c r="D753" s="147"/>
      <c r="E753" s="146"/>
      <c r="F753" s="148" t="str">
        <f>+IFERROR(VLOOKUP(E753,Data!C749:D844,2,0),"")</f>
        <v/>
      </c>
      <c r="G753" s="146"/>
      <c r="H753" s="149"/>
      <c r="I753" s="150"/>
      <c r="J753" s="151" t="str">
        <f t="shared" si="33"/>
        <v>-</v>
      </c>
      <c r="K753" s="152"/>
      <c r="L753" s="149"/>
      <c r="M753" s="149"/>
      <c r="N753" s="153">
        <f t="shared" si="34"/>
        <v>0</v>
      </c>
      <c r="O753" s="153">
        <f t="shared" si="35"/>
        <v>0</v>
      </c>
      <c r="P753" s="146"/>
    </row>
    <row r="754" spans="2:16" x14ac:dyDescent="0.3">
      <c r="B754" s="146">
        <v>747</v>
      </c>
      <c r="C754" s="147"/>
      <c r="D754" s="147"/>
      <c r="E754" s="146"/>
      <c r="F754" s="148" t="str">
        <f>+IFERROR(VLOOKUP(E754,Data!C750:D845,2,0),"")</f>
        <v/>
      </c>
      <c r="G754" s="146"/>
      <c r="H754" s="149"/>
      <c r="I754" s="150"/>
      <c r="J754" s="151" t="str">
        <f t="shared" si="33"/>
        <v>-</v>
      </c>
      <c r="K754" s="152"/>
      <c r="L754" s="149"/>
      <c r="M754" s="149"/>
      <c r="N754" s="153">
        <f t="shared" si="34"/>
        <v>0</v>
      </c>
      <c r="O754" s="153">
        <f t="shared" si="35"/>
        <v>0</v>
      </c>
      <c r="P754" s="146"/>
    </row>
    <row r="755" spans="2:16" x14ac:dyDescent="0.3">
      <c r="B755" s="146">
        <v>748</v>
      </c>
      <c r="C755" s="147"/>
      <c r="D755" s="147"/>
      <c r="E755" s="146"/>
      <c r="F755" s="148" t="str">
        <f>+IFERROR(VLOOKUP(E755,Data!C751:D846,2,0),"")</f>
        <v/>
      </c>
      <c r="G755" s="146"/>
      <c r="H755" s="149"/>
      <c r="I755" s="150"/>
      <c r="J755" s="151" t="str">
        <f t="shared" si="33"/>
        <v>-</v>
      </c>
      <c r="K755" s="152"/>
      <c r="L755" s="149"/>
      <c r="M755" s="149"/>
      <c r="N755" s="153">
        <f t="shared" si="34"/>
        <v>0</v>
      </c>
      <c r="O755" s="153">
        <f t="shared" si="35"/>
        <v>0</v>
      </c>
      <c r="P755" s="146"/>
    </row>
    <row r="756" spans="2:16" x14ac:dyDescent="0.3">
      <c r="B756" s="146">
        <v>749</v>
      </c>
      <c r="C756" s="147"/>
      <c r="D756" s="147"/>
      <c r="E756" s="146"/>
      <c r="F756" s="148" t="str">
        <f>+IFERROR(VLOOKUP(E756,Data!C752:D847,2,0),"")</f>
        <v/>
      </c>
      <c r="G756" s="146"/>
      <c r="H756" s="149"/>
      <c r="I756" s="150"/>
      <c r="J756" s="151" t="str">
        <f t="shared" si="33"/>
        <v>-</v>
      </c>
      <c r="K756" s="152"/>
      <c r="L756" s="149"/>
      <c r="M756" s="149"/>
      <c r="N756" s="153">
        <f t="shared" si="34"/>
        <v>0</v>
      </c>
      <c r="O756" s="153">
        <f t="shared" si="35"/>
        <v>0</v>
      </c>
      <c r="P756" s="146"/>
    </row>
    <row r="757" spans="2:16" x14ac:dyDescent="0.3">
      <c r="B757" s="146">
        <v>750</v>
      </c>
      <c r="C757" s="147"/>
      <c r="D757" s="147"/>
      <c r="E757" s="146"/>
      <c r="F757" s="148" t="str">
        <f>+IFERROR(VLOOKUP(E757,Data!C753:D848,2,0),"")</f>
        <v/>
      </c>
      <c r="G757" s="146"/>
      <c r="H757" s="149"/>
      <c r="I757" s="150"/>
      <c r="J757" s="151" t="str">
        <f t="shared" si="33"/>
        <v>-</v>
      </c>
      <c r="K757" s="152"/>
      <c r="L757" s="149"/>
      <c r="M757" s="149"/>
      <c r="N757" s="153">
        <f t="shared" si="34"/>
        <v>0</v>
      </c>
      <c r="O757" s="153">
        <f t="shared" si="35"/>
        <v>0</v>
      </c>
      <c r="P757" s="146"/>
    </row>
    <row r="758" spans="2:16" x14ac:dyDescent="0.3">
      <c r="B758" s="146">
        <v>751</v>
      </c>
      <c r="C758" s="147"/>
      <c r="D758" s="147"/>
      <c r="E758" s="146"/>
      <c r="F758" s="148" t="str">
        <f>+IFERROR(VLOOKUP(E758,Data!C754:D849,2,0),"")</f>
        <v/>
      </c>
      <c r="G758" s="146"/>
      <c r="H758" s="149"/>
      <c r="I758" s="150"/>
      <c r="J758" s="151" t="str">
        <f t="shared" ref="J758:J821" si="36">IFERROR(+I758/H758,"-")</f>
        <v>-</v>
      </c>
      <c r="K758" s="152"/>
      <c r="L758" s="149"/>
      <c r="M758" s="149"/>
      <c r="N758" s="153">
        <f t="shared" ref="N758:N821" si="37">+L758+M758</f>
        <v>0</v>
      </c>
      <c r="O758" s="153">
        <f t="shared" ref="O758:O821" si="38">+N758-K758</f>
        <v>0</v>
      </c>
      <c r="P758" s="146"/>
    </row>
    <row r="759" spans="2:16" x14ac:dyDescent="0.3">
      <c r="B759" s="146">
        <v>752</v>
      </c>
      <c r="C759" s="147"/>
      <c r="D759" s="147"/>
      <c r="E759" s="146"/>
      <c r="F759" s="148" t="str">
        <f>+IFERROR(VLOOKUP(E759,Data!C755:D850,2,0),"")</f>
        <v/>
      </c>
      <c r="G759" s="146"/>
      <c r="H759" s="149"/>
      <c r="I759" s="150"/>
      <c r="J759" s="151" t="str">
        <f t="shared" si="36"/>
        <v>-</v>
      </c>
      <c r="K759" s="152"/>
      <c r="L759" s="149"/>
      <c r="M759" s="149"/>
      <c r="N759" s="153">
        <f t="shared" si="37"/>
        <v>0</v>
      </c>
      <c r="O759" s="153">
        <f t="shared" si="38"/>
        <v>0</v>
      </c>
      <c r="P759" s="146"/>
    </row>
    <row r="760" spans="2:16" x14ac:dyDescent="0.3">
      <c r="B760" s="146">
        <v>753</v>
      </c>
      <c r="C760" s="147"/>
      <c r="D760" s="147"/>
      <c r="E760" s="146"/>
      <c r="F760" s="148" t="str">
        <f>+IFERROR(VLOOKUP(E760,Data!C756:D851,2,0),"")</f>
        <v/>
      </c>
      <c r="G760" s="146"/>
      <c r="H760" s="149"/>
      <c r="I760" s="150"/>
      <c r="J760" s="151" t="str">
        <f t="shared" si="36"/>
        <v>-</v>
      </c>
      <c r="K760" s="152"/>
      <c r="L760" s="149"/>
      <c r="M760" s="149"/>
      <c r="N760" s="153">
        <f t="shared" si="37"/>
        <v>0</v>
      </c>
      <c r="O760" s="153">
        <f t="shared" si="38"/>
        <v>0</v>
      </c>
      <c r="P760" s="146"/>
    </row>
    <row r="761" spans="2:16" x14ac:dyDescent="0.3">
      <c r="B761" s="146">
        <v>754</v>
      </c>
      <c r="C761" s="147"/>
      <c r="D761" s="147"/>
      <c r="E761" s="146"/>
      <c r="F761" s="148" t="str">
        <f>+IFERROR(VLOOKUP(E761,Data!C757:D852,2,0),"")</f>
        <v/>
      </c>
      <c r="G761" s="146"/>
      <c r="H761" s="149"/>
      <c r="I761" s="150"/>
      <c r="J761" s="151" t="str">
        <f t="shared" si="36"/>
        <v>-</v>
      </c>
      <c r="K761" s="152"/>
      <c r="L761" s="149"/>
      <c r="M761" s="149"/>
      <c r="N761" s="153">
        <f t="shared" si="37"/>
        <v>0</v>
      </c>
      <c r="O761" s="153">
        <f t="shared" si="38"/>
        <v>0</v>
      </c>
      <c r="P761" s="146"/>
    </row>
    <row r="762" spans="2:16" x14ac:dyDescent="0.3">
      <c r="B762" s="146">
        <v>755</v>
      </c>
      <c r="C762" s="147"/>
      <c r="D762" s="147"/>
      <c r="E762" s="146"/>
      <c r="F762" s="148" t="str">
        <f>+IFERROR(VLOOKUP(E762,Data!C758:D853,2,0),"")</f>
        <v/>
      </c>
      <c r="G762" s="146"/>
      <c r="H762" s="149"/>
      <c r="I762" s="150"/>
      <c r="J762" s="151" t="str">
        <f t="shared" si="36"/>
        <v>-</v>
      </c>
      <c r="K762" s="152"/>
      <c r="L762" s="149"/>
      <c r="M762" s="149"/>
      <c r="N762" s="153">
        <f t="shared" si="37"/>
        <v>0</v>
      </c>
      <c r="O762" s="153">
        <f t="shared" si="38"/>
        <v>0</v>
      </c>
      <c r="P762" s="146"/>
    </row>
    <row r="763" spans="2:16" x14ac:dyDescent="0.3">
      <c r="B763" s="146">
        <v>756</v>
      </c>
      <c r="C763" s="147"/>
      <c r="D763" s="147"/>
      <c r="E763" s="146"/>
      <c r="F763" s="148" t="str">
        <f>+IFERROR(VLOOKUP(E763,Data!C759:D854,2,0),"")</f>
        <v/>
      </c>
      <c r="G763" s="146"/>
      <c r="H763" s="149"/>
      <c r="I763" s="150"/>
      <c r="J763" s="151" t="str">
        <f t="shared" si="36"/>
        <v>-</v>
      </c>
      <c r="K763" s="152"/>
      <c r="L763" s="149"/>
      <c r="M763" s="149"/>
      <c r="N763" s="153">
        <f t="shared" si="37"/>
        <v>0</v>
      </c>
      <c r="O763" s="153">
        <f t="shared" si="38"/>
        <v>0</v>
      </c>
      <c r="P763" s="146"/>
    </row>
    <row r="764" spans="2:16" x14ac:dyDescent="0.3">
      <c r="B764" s="146">
        <v>757</v>
      </c>
      <c r="C764" s="147"/>
      <c r="D764" s="147"/>
      <c r="E764" s="146"/>
      <c r="F764" s="148" t="str">
        <f>+IFERROR(VLOOKUP(E764,Data!C760:D855,2,0),"")</f>
        <v/>
      </c>
      <c r="G764" s="146"/>
      <c r="H764" s="149"/>
      <c r="I764" s="150"/>
      <c r="J764" s="151" t="str">
        <f t="shared" si="36"/>
        <v>-</v>
      </c>
      <c r="K764" s="152"/>
      <c r="L764" s="149"/>
      <c r="M764" s="149"/>
      <c r="N764" s="153">
        <f t="shared" si="37"/>
        <v>0</v>
      </c>
      <c r="O764" s="153">
        <f t="shared" si="38"/>
        <v>0</v>
      </c>
      <c r="P764" s="146"/>
    </row>
    <row r="765" spans="2:16" x14ac:dyDescent="0.3">
      <c r="B765" s="146">
        <v>758</v>
      </c>
      <c r="C765" s="147"/>
      <c r="D765" s="147"/>
      <c r="E765" s="146"/>
      <c r="F765" s="148" t="str">
        <f>+IFERROR(VLOOKUP(E765,Data!C761:D856,2,0),"")</f>
        <v/>
      </c>
      <c r="G765" s="146"/>
      <c r="H765" s="149"/>
      <c r="I765" s="150"/>
      <c r="J765" s="151" t="str">
        <f t="shared" si="36"/>
        <v>-</v>
      </c>
      <c r="K765" s="152"/>
      <c r="L765" s="149"/>
      <c r="M765" s="149"/>
      <c r="N765" s="153">
        <f t="shared" si="37"/>
        <v>0</v>
      </c>
      <c r="O765" s="153">
        <f t="shared" si="38"/>
        <v>0</v>
      </c>
      <c r="P765" s="146"/>
    </row>
    <row r="766" spans="2:16" x14ac:dyDescent="0.3">
      <c r="B766" s="146">
        <v>759</v>
      </c>
      <c r="C766" s="147"/>
      <c r="D766" s="147"/>
      <c r="E766" s="146"/>
      <c r="F766" s="148" t="str">
        <f>+IFERROR(VLOOKUP(E766,Data!C762:D857,2,0),"")</f>
        <v/>
      </c>
      <c r="G766" s="146"/>
      <c r="H766" s="149"/>
      <c r="I766" s="150"/>
      <c r="J766" s="151" t="str">
        <f t="shared" si="36"/>
        <v>-</v>
      </c>
      <c r="K766" s="152"/>
      <c r="L766" s="149"/>
      <c r="M766" s="149"/>
      <c r="N766" s="153">
        <f t="shared" si="37"/>
        <v>0</v>
      </c>
      <c r="O766" s="153">
        <f t="shared" si="38"/>
        <v>0</v>
      </c>
      <c r="P766" s="146"/>
    </row>
    <row r="767" spans="2:16" x14ac:dyDescent="0.3">
      <c r="B767" s="146">
        <v>760</v>
      </c>
      <c r="C767" s="147"/>
      <c r="D767" s="147"/>
      <c r="E767" s="146"/>
      <c r="F767" s="148" t="str">
        <f>+IFERROR(VLOOKUP(E767,Data!C763:D858,2,0),"")</f>
        <v/>
      </c>
      <c r="G767" s="146"/>
      <c r="H767" s="149"/>
      <c r="I767" s="150"/>
      <c r="J767" s="151" t="str">
        <f t="shared" si="36"/>
        <v>-</v>
      </c>
      <c r="K767" s="152"/>
      <c r="L767" s="149"/>
      <c r="M767" s="149"/>
      <c r="N767" s="153">
        <f t="shared" si="37"/>
        <v>0</v>
      </c>
      <c r="O767" s="153">
        <f t="shared" si="38"/>
        <v>0</v>
      </c>
      <c r="P767" s="146"/>
    </row>
    <row r="768" spans="2:16" x14ac:dyDescent="0.3">
      <c r="B768" s="146">
        <v>761</v>
      </c>
      <c r="C768" s="147"/>
      <c r="D768" s="147"/>
      <c r="E768" s="146"/>
      <c r="F768" s="148" t="str">
        <f>+IFERROR(VLOOKUP(E768,Data!C764:D859,2,0),"")</f>
        <v/>
      </c>
      <c r="G768" s="146"/>
      <c r="H768" s="149"/>
      <c r="I768" s="150"/>
      <c r="J768" s="151" t="str">
        <f t="shared" si="36"/>
        <v>-</v>
      </c>
      <c r="K768" s="152"/>
      <c r="L768" s="149"/>
      <c r="M768" s="149"/>
      <c r="N768" s="153">
        <f t="shared" si="37"/>
        <v>0</v>
      </c>
      <c r="O768" s="153">
        <f t="shared" si="38"/>
        <v>0</v>
      </c>
      <c r="P768" s="146"/>
    </row>
    <row r="769" spans="2:16" x14ac:dyDescent="0.3">
      <c r="B769" s="146">
        <v>762</v>
      </c>
      <c r="C769" s="147"/>
      <c r="D769" s="147"/>
      <c r="E769" s="146"/>
      <c r="F769" s="148" t="str">
        <f>+IFERROR(VLOOKUP(E769,Data!C765:D860,2,0),"")</f>
        <v/>
      </c>
      <c r="G769" s="146"/>
      <c r="H769" s="149"/>
      <c r="I769" s="150"/>
      <c r="J769" s="151" t="str">
        <f t="shared" si="36"/>
        <v>-</v>
      </c>
      <c r="K769" s="152"/>
      <c r="L769" s="149"/>
      <c r="M769" s="149"/>
      <c r="N769" s="153">
        <f t="shared" si="37"/>
        <v>0</v>
      </c>
      <c r="O769" s="153">
        <f t="shared" si="38"/>
        <v>0</v>
      </c>
      <c r="P769" s="146"/>
    </row>
    <row r="770" spans="2:16" x14ac:dyDescent="0.3">
      <c r="B770" s="146">
        <v>763</v>
      </c>
      <c r="C770" s="147"/>
      <c r="D770" s="147"/>
      <c r="E770" s="146"/>
      <c r="F770" s="148" t="str">
        <f>+IFERROR(VLOOKUP(E770,Data!C766:D861,2,0),"")</f>
        <v/>
      </c>
      <c r="G770" s="146"/>
      <c r="H770" s="149"/>
      <c r="I770" s="150"/>
      <c r="J770" s="151" t="str">
        <f t="shared" si="36"/>
        <v>-</v>
      </c>
      <c r="K770" s="152"/>
      <c r="L770" s="149"/>
      <c r="M770" s="149"/>
      <c r="N770" s="153">
        <f t="shared" si="37"/>
        <v>0</v>
      </c>
      <c r="O770" s="153">
        <f t="shared" si="38"/>
        <v>0</v>
      </c>
      <c r="P770" s="146"/>
    </row>
    <row r="771" spans="2:16" x14ac:dyDescent="0.3">
      <c r="B771" s="146">
        <v>764</v>
      </c>
      <c r="C771" s="147"/>
      <c r="D771" s="147"/>
      <c r="E771" s="146"/>
      <c r="F771" s="148" t="str">
        <f>+IFERROR(VLOOKUP(E771,Data!C767:D862,2,0),"")</f>
        <v/>
      </c>
      <c r="G771" s="146"/>
      <c r="H771" s="149"/>
      <c r="I771" s="150"/>
      <c r="J771" s="151" t="str">
        <f t="shared" si="36"/>
        <v>-</v>
      </c>
      <c r="K771" s="152"/>
      <c r="L771" s="149"/>
      <c r="M771" s="149"/>
      <c r="N771" s="153">
        <f t="shared" si="37"/>
        <v>0</v>
      </c>
      <c r="O771" s="153">
        <f t="shared" si="38"/>
        <v>0</v>
      </c>
      <c r="P771" s="146"/>
    </row>
    <row r="772" spans="2:16" x14ac:dyDescent="0.3">
      <c r="B772" s="146">
        <v>765</v>
      </c>
      <c r="C772" s="147"/>
      <c r="D772" s="147"/>
      <c r="E772" s="146"/>
      <c r="F772" s="148" t="str">
        <f>+IFERROR(VLOOKUP(E772,Data!C768:D863,2,0),"")</f>
        <v/>
      </c>
      <c r="G772" s="146"/>
      <c r="H772" s="149"/>
      <c r="I772" s="150"/>
      <c r="J772" s="151" t="str">
        <f t="shared" si="36"/>
        <v>-</v>
      </c>
      <c r="K772" s="152"/>
      <c r="L772" s="149"/>
      <c r="M772" s="149"/>
      <c r="N772" s="153">
        <f t="shared" si="37"/>
        <v>0</v>
      </c>
      <c r="O772" s="153">
        <f t="shared" si="38"/>
        <v>0</v>
      </c>
      <c r="P772" s="146"/>
    </row>
    <row r="773" spans="2:16" x14ac:dyDescent="0.3">
      <c r="B773" s="146">
        <v>766</v>
      </c>
      <c r="C773" s="147"/>
      <c r="D773" s="147"/>
      <c r="E773" s="146"/>
      <c r="F773" s="148" t="str">
        <f>+IFERROR(VLOOKUP(E773,Data!C769:D864,2,0),"")</f>
        <v/>
      </c>
      <c r="G773" s="146"/>
      <c r="H773" s="149"/>
      <c r="I773" s="150"/>
      <c r="J773" s="151" t="str">
        <f t="shared" si="36"/>
        <v>-</v>
      </c>
      <c r="K773" s="152"/>
      <c r="L773" s="149"/>
      <c r="M773" s="149"/>
      <c r="N773" s="153">
        <f t="shared" si="37"/>
        <v>0</v>
      </c>
      <c r="O773" s="153">
        <f t="shared" si="38"/>
        <v>0</v>
      </c>
      <c r="P773" s="146"/>
    </row>
    <row r="774" spans="2:16" x14ac:dyDescent="0.3">
      <c r="B774" s="146">
        <v>767</v>
      </c>
      <c r="C774" s="147"/>
      <c r="D774" s="147"/>
      <c r="E774" s="146"/>
      <c r="F774" s="148" t="str">
        <f>+IFERROR(VLOOKUP(E774,Data!C770:D865,2,0),"")</f>
        <v/>
      </c>
      <c r="G774" s="146"/>
      <c r="H774" s="149"/>
      <c r="I774" s="150"/>
      <c r="J774" s="151" t="str">
        <f t="shared" si="36"/>
        <v>-</v>
      </c>
      <c r="K774" s="152"/>
      <c r="L774" s="149"/>
      <c r="M774" s="149"/>
      <c r="N774" s="153">
        <f t="shared" si="37"/>
        <v>0</v>
      </c>
      <c r="O774" s="153">
        <f t="shared" si="38"/>
        <v>0</v>
      </c>
      <c r="P774" s="146"/>
    </row>
    <row r="775" spans="2:16" x14ac:dyDescent="0.3">
      <c r="B775" s="146">
        <v>768</v>
      </c>
      <c r="C775" s="147"/>
      <c r="D775" s="147"/>
      <c r="E775" s="146"/>
      <c r="F775" s="148" t="str">
        <f>+IFERROR(VLOOKUP(E775,Data!C771:D866,2,0),"")</f>
        <v/>
      </c>
      <c r="G775" s="146"/>
      <c r="H775" s="149"/>
      <c r="I775" s="150"/>
      <c r="J775" s="151" t="str">
        <f t="shared" si="36"/>
        <v>-</v>
      </c>
      <c r="K775" s="152"/>
      <c r="L775" s="149"/>
      <c r="M775" s="149"/>
      <c r="N775" s="153">
        <f t="shared" si="37"/>
        <v>0</v>
      </c>
      <c r="O775" s="153">
        <f t="shared" si="38"/>
        <v>0</v>
      </c>
      <c r="P775" s="146"/>
    </row>
    <row r="776" spans="2:16" x14ac:dyDescent="0.3">
      <c r="B776" s="146">
        <v>769</v>
      </c>
      <c r="C776" s="147"/>
      <c r="D776" s="147"/>
      <c r="E776" s="146"/>
      <c r="F776" s="148" t="str">
        <f>+IFERROR(VLOOKUP(E776,Data!C772:D867,2,0),"")</f>
        <v/>
      </c>
      <c r="G776" s="146"/>
      <c r="H776" s="149"/>
      <c r="I776" s="150"/>
      <c r="J776" s="151" t="str">
        <f t="shared" si="36"/>
        <v>-</v>
      </c>
      <c r="K776" s="152"/>
      <c r="L776" s="149"/>
      <c r="M776" s="149"/>
      <c r="N776" s="153">
        <f t="shared" si="37"/>
        <v>0</v>
      </c>
      <c r="O776" s="153">
        <f t="shared" si="38"/>
        <v>0</v>
      </c>
      <c r="P776" s="146"/>
    </row>
    <row r="777" spans="2:16" x14ac:dyDescent="0.3">
      <c r="B777" s="146">
        <v>770</v>
      </c>
      <c r="C777" s="147"/>
      <c r="D777" s="147"/>
      <c r="E777" s="146"/>
      <c r="F777" s="148" t="str">
        <f>+IFERROR(VLOOKUP(E777,Data!C773:D868,2,0),"")</f>
        <v/>
      </c>
      <c r="G777" s="146"/>
      <c r="H777" s="149"/>
      <c r="I777" s="150"/>
      <c r="J777" s="151" t="str">
        <f t="shared" si="36"/>
        <v>-</v>
      </c>
      <c r="K777" s="152"/>
      <c r="L777" s="149"/>
      <c r="M777" s="149"/>
      <c r="N777" s="153">
        <f t="shared" si="37"/>
        <v>0</v>
      </c>
      <c r="O777" s="153">
        <f t="shared" si="38"/>
        <v>0</v>
      </c>
      <c r="P777" s="146"/>
    </row>
    <row r="778" spans="2:16" x14ac:dyDescent="0.3">
      <c r="B778" s="146">
        <v>771</v>
      </c>
      <c r="C778" s="147"/>
      <c r="D778" s="147"/>
      <c r="E778" s="146"/>
      <c r="F778" s="148" t="str">
        <f>+IFERROR(VLOOKUP(E778,Data!C774:D869,2,0),"")</f>
        <v/>
      </c>
      <c r="G778" s="146"/>
      <c r="H778" s="149"/>
      <c r="I778" s="150"/>
      <c r="J778" s="151" t="str">
        <f t="shared" si="36"/>
        <v>-</v>
      </c>
      <c r="K778" s="152"/>
      <c r="L778" s="149"/>
      <c r="M778" s="149"/>
      <c r="N778" s="153">
        <f t="shared" si="37"/>
        <v>0</v>
      </c>
      <c r="O778" s="153">
        <f t="shared" si="38"/>
        <v>0</v>
      </c>
      <c r="P778" s="146"/>
    </row>
    <row r="779" spans="2:16" x14ac:dyDescent="0.3">
      <c r="B779" s="146">
        <v>772</v>
      </c>
      <c r="C779" s="147"/>
      <c r="D779" s="147"/>
      <c r="E779" s="146"/>
      <c r="F779" s="148" t="str">
        <f>+IFERROR(VLOOKUP(E779,Data!C775:D870,2,0),"")</f>
        <v/>
      </c>
      <c r="G779" s="146"/>
      <c r="H779" s="149"/>
      <c r="I779" s="150"/>
      <c r="J779" s="151" t="str">
        <f t="shared" si="36"/>
        <v>-</v>
      </c>
      <c r="K779" s="152"/>
      <c r="L779" s="149"/>
      <c r="M779" s="149"/>
      <c r="N779" s="153">
        <f t="shared" si="37"/>
        <v>0</v>
      </c>
      <c r="O779" s="153">
        <f t="shared" si="38"/>
        <v>0</v>
      </c>
      <c r="P779" s="146"/>
    </row>
    <row r="780" spans="2:16" x14ac:dyDescent="0.3">
      <c r="B780" s="146">
        <v>773</v>
      </c>
      <c r="C780" s="147"/>
      <c r="D780" s="147"/>
      <c r="E780" s="146"/>
      <c r="F780" s="148" t="str">
        <f>+IFERROR(VLOOKUP(E780,Data!C776:D871,2,0),"")</f>
        <v/>
      </c>
      <c r="G780" s="146"/>
      <c r="H780" s="149"/>
      <c r="I780" s="150"/>
      <c r="J780" s="151" t="str">
        <f t="shared" si="36"/>
        <v>-</v>
      </c>
      <c r="K780" s="152"/>
      <c r="L780" s="149"/>
      <c r="M780" s="149"/>
      <c r="N780" s="153">
        <f t="shared" si="37"/>
        <v>0</v>
      </c>
      <c r="O780" s="153">
        <f t="shared" si="38"/>
        <v>0</v>
      </c>
      <c r="P780" s="146"/>
    </row>
    <row r="781" spans="2:16" x14ac:dyDescent="0.3">
      <c r="B781" s="146">
        <v>774</v>
      </c>
      <c r="C781" s="147"/>
      <c r="D781" s="147"/>
      <c r="E781" s="146"/>
      <c r="F781" s="148" t="str">
        <f>+IFERROR(VLOOKUP(E781,Data!C777:D872,2,0),"")</f>
        <v/>
      </c>
      <c r="G781" s="146"/>
      <c r="H781" s="149"/>
      <c r="I781" s="150"/>
      <c r="J781" s="151" t="str">
        <f t="shared" si="36"/>
        <v>-</v>
      </c>
      <c r="K781" s="152"/>
      <c r="L781" s="149"/>
      <c r="M781" s="149"/>
      <c r="N781" s="153">
        <f t="shared" si="37"/>
        <v>0</v>
      </c>
      <c r="O781" s="153">
        <f t="shared" si="38"/>
        <v>0</v>
      </c>
      <c r="P781" s="146"/>
    </row>
    <row r="782" spans="2:16" x14ac:dyDescent="0.3">
      <c r="B782" s="146">
        <v>775</v>
      </c>
      <c r="C782" s="147"/>
      <c r="D782" s="147"/>
      <c r="E782" s="146"/>
      <c r="F782" s="148" t="str">
        <f>+IFERROR(VLOOKUP(E782,Data!C778:D873,2,0),"")</f>
        <v/>
      </c>
      <c r="G782" s="146"/>
      <c r="H782" s="149"/>
      <c r="I782" s="150"/>
      <c r="J782" s="151" t="str">
        <f t="shared" si="36"/>
        <v>-</v>
      </c>
      <c r="K782" s="152"/>
      <c r="L782" s="149"/>
      <c r="M782" s="149"/>
      <c r="N782" s="153">
        <f t="shared" si="37"/>
        <v>0</v>
      </c>
      <c r="O782" s="153">
        <f t="shared" si="38"/>
        <v>0</v>
      </c>
      <c r="P782" s="146"/>
    </row>
    <row r="783" spans="2:16" x14ac:dyDescent="0.3">
      <c r="B783" s="146">
        <v>776</v>
      </c>
      <c r="C783" s="147"/>
      <c r="D783" s="147"/>
      <c r="E783" s="146"/>
      <c r="F783" s="148" t="str">
        <f>+IFERROR(VLOOKUP(E783,Data!C779:D874,2,0),"")</f>
        <v/>
      </c>
      <c r="G783" s="146"/>
      <c r="H783" s="149"/>
      <c r="I783" s="150"/>
      <c r="J783" s="151" t="str">
        <f t="shared" si="36"/>
        <v>-</v>
      </c>
      <c r="K783" s="152"/>
      <c r="L783" s="149"/>
      <c r="M783" s="149"/>
      <c r="N783" s="153">
        <f t="shared" si="37"/>
        <v>0</v>
      </c>
      <c r="O783" s="153">
        <f t="shared" si="38"/>
        <v>0</v>
      </c>
      <c r="P783" s="146"/>
    </row>
    <row r="784" spans="2:16" x14ac:dyDescent="0.3">
      <c r="B784" s="146">
        <v>777</v>
      </c>
      <c r="C784" s="147"/>
      <c r="D784" s="147"/>
      <c r="E784" s="146"/>
      <c r="F784" s="148" t="str">
        <f>+IFERROR(VLOOKUP(E784,Data!C780:D875,2,0),"")</f>
        <v/>
      </c>
      <c r="G784" s="146"/>
      <c r="H784" s="149"/>
      <c r="I784" s="150"/>
      <c r="J784" s="151" t="str">
        <f t="shared" si="36"/>
        <v>-</v>
      </c>
      <c r="K784" s="152"/>
      <c r="L784" s="149"/>
      <c r="M784" s="149"/>
      <c r="N784" s="153">
        <f t="shared" si="37"/>
        <v>0</v>
      </c>
      <c r="O784" s="153">
        <f t="shared" si="38"/>
        <v>0</v>
      </c>
      <c r="P784" s="146"/>
    </row>
    <row r="785" spans="2:16" x14ac:dyDescent="0.3">
      <c r="B785" s="146">
        <v>778</v>
      </c>
      <c r="C785" s="147"/>
      <c r="D785" s="147"/>
      <c r="E785" s="146"/>
      <c r="F785" s="148" t="str">
        <f>+IFERROR(VLOOKUP(E785,Data!C781:D876,2,0),"")</f>
        <v/>
      </c>
      <c r="G785" s="146"/>
      <c r="H785" s="149"/>
      <c r="I785" s="150"/>
      <c r="J785" s="151" t="str">
        <f t="shared" si="36"/>
        <v>-</v>
      </c>
      <c r="K785" s="152"/>
      <c r="L785" s="149"/>
      <c r="M785" s="149"/>
      <c r="N785" s="153">
        <f t="shared" si="37"/>
        <v>0</v>
      </c>
      <c r="O785" s="153">
        <f t="shared" si="38"/>
        <v>0</v>
      </c>
      <c r="P785" s="146"/>
    </row>
    <row r="786" spans="2:16" x14ac:dyDescent="0.3">
      <c r="B786" s="146">
        <v>779</v>
      </c>
      <c r="C786" s="147"/>
      <c r="D786" s="147"/>
      <c r="E786" s="146"/>
      <c r="F786" s="148" t="str">
        <f>+IFERROR(VLOOKUP(E786,Data!C782:D877,2,0),"")</f>
        <v/>
      </c>
      <c r="G786" s="146"/>
      <c r="H786" s="149"/>
      <c r="I786" s="150"/>
      <c r="J786" s="151" t="str">
        <f t="shared" si="36"/>
        <v>-</v>
      </c>
      <c r="K786" s="152"/>
      <c r="L786" s="149"/>
      <c r="M786" s="149"/>
      <c r="N786" s="153">
        <f t="shared" si="37"/>
        <v>0</v>
      </c>
      <c r="O786" s="153">
        <f t="shared" si="38"/>
        <v>0</v>
      </c>
      <c r="P786" s="146"/>
    </row>
    <row r="787" spans="2:16" x14ac:dyDescent="0.3">
      <c r="B787" s="146">
        <v>780</v>
      </c>
      <c r="C787" s="147"/>
      <c r="D787" s="147"/>
      <c r="E787" s="146"/>
      <c r="F787" s="148" t="str">
        <f>+IFERROR(VLOOKUP(E787,Data!C783:D878,2,0),"")</f>
        <v/>
      </c>
      <c r="G787" s="146"/>
      <c r="H787" s="149"/>
      <c r="I787" s="150"/>
      <c r="J787" s="151" t="str">
        <f t="shared" si="36"/>
        <v>-</v>
      </c>
      <c r="K787" s="152"/>
      <c r="L787" s="149"/>
      <c r="M787" s="149"/>
      <c r="N787" s="153">
        <f t="shared" si="37"/>
        <v>0</v>
      </c>
      <c r="O787" s="153">
        <f t="shared" si="38"/>
        <v>0</v>
      </c>
      <c r="P787" s="146"/>
    </row>
    <row r="788" spans="2:16" x14ac:dyDescent="0.3">
      <c r="B788" s="146">
        <v>781</v>
      </c>
      <c r="C788" s="147"/>
      <c r="D788" s="147"/>
      <c r="E788" s="146"/>
      <c r="F788" s="148" t="str">
        <f>+IFERROR(VLOOKUP(E788,Data!C784:D879,2,0),"")</f>
        <v/>
      </c>
      <c r="G788" s="146"/>
      <c r="H788" s="149"/>
      <c r="I788" s="150"/>
      <c r="J788" s="151" t="str">
        <f t="shared" si="36"/>
        <v>-</v>
      </c>
      <c r="K788" s="152"/>
      <c r="L788" s="149"/>
      <c r="M788" s="149"/>
      <c r="N788" s="153">
        <f t="shared" si="37"/>
        <v>0</v>
      </c>
      <c r="O788" s="153">
        <f t="shared" si="38"/>
        <v>0</v>
      </c>
      <c r="P788" s="146"/>
    </row>
    <row r="789" spans="2:16" x14ac:dyDescent="0.3">
      <c r="B789" s="146">
        <v>782</v>
      </c>
      <c r="C789" s="147"/>
      <c r="D789" s="147"/>
      <c r="E789" s="146"/>
      <c r="F789" s="148" t="str">
        <f>+IFERROR(VLOOKUP(E789,Data!C785:D880,2,0),"")</f>
        <v/>
      </c>
      <c r="G789" s="146"/>
      <c r="H789" s="149"/>
      <c r="I789" s="150"/>
      <c r="J789" s="151" t="str">
        <f t="shared" si="36"/>
        <v>-</v>
      </c>
      <c r="K789" s="152"/>
      <c r="L789" s="149"/>
      <c r="M789" s="149"/>
      <c r="N789" s="153">
        <f t="shared" si="37"/>
        <v>0</v>
      </c>
      <c r="O789" s="153">
        <f t="shared" si="38"/>
        <v>0</v>
      </c>
      <c r="P789" s="146"/>
    </row>
    <row r="790" spans="2:16" x14ac:dyDescent="0.3">
      <c r="B790" s="146">
        <v>783</v>
      </c>
      <c r="C790" s="147"/>
      <c r="D790" s="147"/>
      <c r="E790" s="146"/>
      <c r="F790" s="148" t="str">
        <f>+IFERROR(VLOOKUP(E790,Data!C786:D881,2,0),"")</f>
        <v/>
      </c>
      <c r="G790" s="146"/>
      <c r="H790" s="149"/>
      <c r="I790" s="150"/>
      <c r="J790" s="151" t="str">
        <f t="shared" si="36"/>
        <v>-</v>
      </c>
      <c r="K790" s="152"/>
      <c r="L790" s="149"/>
      <c r="M790" s="149"/>
      <c r="N790" s="153">
        <f t="shared" si="37"/>
        <v>0</v>
      </c>
      <c r="O790" s="153">
        <f t="shared" si="38"/>
        <v>0</v>
      </c>
      <c r="P790" s="146"/>
    </row>
    <row r="791" spans="2:16" x14ac:dyDescent="0.3">
      <c r="B791" s="146">
        <v>784</v>
      </c>
      <c r="C791" s="147"/>
      <c r="D791" s="147"/>
      <c r="E791" s="146"/>
      <c r="F791" s="148" t="str">
        <f>+IFERROR(VLOOKUP(E791,Data!C787:D882,2,0),"")</f>
        <v/>
      </c>
      <c r="G791" s="146"/>
      <c r="H791" s="149"/>
      <c r="I791" s="150"/>
      <c r="J791" s="151" t="str">
        <f t="shared" si="36"/>
        <v>-</v>
      </c>
      <c r="K791" s="152"/>
      <c r="L791" s="149"/>
      <c r="M791" s="149"/>
      <c r="N791" s="153">
        <f t="shared" si="37"/>
        <v>0</v>
      </c>
      <c r="O791" s="153">
        <f t="shared" si="38"/>
        <v>0</v>
      </c>
      <c r="P791" s="146"/>
    </row>
    <row r="792" spans="2:16" x14ac:dyDescent="0.3">
      <c r="B792" s="146">
        <v>785</v>
      </c>
      <c r="C792" s="147"/>
      <c r="D792" s="147"/>
      <c r="E792" s="146"/>
      <c r="F792" s="148" t="str">
        <f>+IFERROR(VLOOKUP(E792,Data!C788:D883,2,0),"")</f>
        <v/>
      </c>
      <c r="G792" s="146"/>
      <c r="H792" s="149"/>
      <c r="I792" s="150"/>
      <c r="J792" s="151" t="str">
        <f t="shared" si="36"/>
        <v>-</v>
      </c>
      <c r="K792" s="152"/>
      <c r="L792" s="149"/>
      <c r="M792" s="149"/>
      <c r="N792" s="153">
        <f t="shared" si="37"/>
        <v>0</v>
      </c>
      <c r="O792" s="153">
        <f t="shared" si="38"/>
        <v>0</v>
      </c>
      <c r="P792" s="146"/>
    </row>
    <row r="793" spans="2:16" x14ac:dyDescent="0.3">
      <c r="B793" s="146">
        <v>786</v>
      </c>
      <c r="C793" s="147"/>
      <c r="D793" s="147"/>
      <c r="E793" s="146"/>
      <c r="F793" s="148" t="str">
        <f>+IFERROR(VLOOKUP(E793,Data!C789:D884,2,0),"")</f>
        <v/>
      </c>
      <c r="G793" s="146"/>
      <c r="H793" s="149"/>
      <c r="I793" s="150"/>
      <c r="J793" s="151" t="str">
        <f t="shared" si="36"/>
        <v>-</v>
      </c>
      <c r="K793" s="152"/>
      <c r="L793" s="149"/>
      <c r="M793" s="149"/>
      <c r="N793" s="153">
        <f t="shared" si="37"/>
        <v>0</v>
      </c>
      <c r="O793" s="153">
        <f t="shared" si="38"/>
        <v>0</v>
      </c>
      <c r="P793" s="146"/>
    </row>
    <row r="794" spans="2:16" x14ac:dyDescent="0.3">
      <c r="B794" s="146">
        <v>787</v>
      </c>
      <c r="C794" s="147"/>
      <c r="D794" s="147"/>
      <c r="E794" s="146"/>
      <c r="F794" s="148" t="str">
        <f>+IFERROR(VLOOKUP(E794,Data!C790:D885,2,0),"")</f>
        <v/>
      </c>
      <c r="G794" s="146"/>
      <c r="H794" s="149"/>
      <c r="I794" s="150"/>
      <c r="J794" s="151" t="str">
        <f t="shared" si="36"/>
        <v>-</v>
      </c>
      <c r="K794" s="152"/>
      <c r="L794" s="149"/>
      <c r="M794" s="149"/>
      <c r="N794" s="153">
        <f t="shared" si="37"/>
        <v>0</v>
      </c>
      <c r="O794" s="153">
        <f t="shared" si="38"/>
        <v>0</v>
      </c>
      <c r="P794" s="146"/>
    </row>
    <row r="795" spans="2:16" x14ac:dyDescent="0.3">
      <c r="B795" s="146">
        <v>788</v>
      </c>
      <c r="C795" s="147"/>
      <c r="D795" s="147"/>
      <c r="E795" s="146"/>
      <c r="F795" s="148" t="str">
        <f>+IFERROR(VLOOKUP(E795,Data!C791:D886,2,0),"")</f>
        <v/>
      </c>
      <c r="G795" s="146"/>
      <c r="H795" s="149"/>
      <c r="I795" s="150"/>
      <c r="J795" s="151" t="str">
        <f t="shared" si="36"/>
        <v>-</v>
      </c>
      <c r="K795" s="152"/>
      <c r="L795" s="149"/>
      <c r="M795" s="149"/>
      <c r="N795" s="153">
        <f t="shared" si="37"/>
        <v>0</v>
      </c>
      <c r="O795" s="153">
        <f t="shared" si="38"/>
        <v>0</v>
      </c>
      <c r="P795" s="146"/>
    </row>
    <row r="796" spans="2:16" x14ac:dyDescent="0.3">
      <c r="B796" s="146">
        <v>789</v>
      </c>
      <c r="C796" s="147"/>
      <c r="D796" s="147"/>
      <c r="E796" s="146"/>
      <c r="F796" s="148" t="str">
        <f>+IFERROR(VLOOKUP(E796,Data!C792:D887,2,0),"")</f>
        <v/>
      </c>
      <c r="G796" s="146"/>
      <c r="H796" s="149"/>
      <c r="I796" s="150"/>
      <c r="J796" s="151" t="str">
        <f t="shared" si="36"/>
        <v>-</v>
      </c>
      <c r="K796" s="152"/>
      <c r="L796" s="149"/>
      <c r="M796" s="149"/>
      <c r="N796" s="153">
        <f t="shared" si="37"/>
        <v>0</v>
      </c>
      <c r="O796" s="153">
        <f t="shared" si="38"/>
        <v>0</v>
      </c>
      <c r="P796" s="146"/>
    </row>
    <row r="797" spans="2:16" x14ac:dyDescent="0.3">
      <c r="B797" s="146">
        <v>790</v>
      </c>
      <c r="C797" s="147"/>
      <c r="D797" s="147"/>
      <c r="E797" s="146"/>
      <c r="F797" s="148" t="str">
        <f>+IFERROR(VLOOKUP(E797,Data!C793:D888,2,0),"")</f>
        <v/>
      </c>
      <c r="G797" s="146"/>
      <c r="H797" s="149"/>
      <c r="I797" s="150"/>
      <c r="J797" s="151" t="str">
        <f t="shared" si="36"/>
        <v>-</v>
      </c>
      <c r="K797" s="152"/>
      <c r="L797" s="149"/>
      <c r="M797" s="149"/>
      <c r="N797" s="153">
        <f t="shared" si="37"/>
        <v>0</v>
      </c>
      <c r="O797" s="153">
        <f t="shared" si="38"/>
        <v>0</v>
      </c>
      <c r="P797" s="146"/>
    </row>
    <row r="798" spans="2:16" x14ac:dyDescent="0.3">
      <c r="B798" s="146">
        <v>791</v>
      </c>
      <c r="C798" s="147"/>
      <c r="D798" s="147"/>
      <c r="E798" s="146"/>
      <c r="F798" s="148" t="str">
        <f>+IFERROR(VLOOKUP(E798,Data!C794:D889,2,0),"")</f>
        <v/>
      </c>
      <c r="G798" s="146"/>
      <c r="H798" s="149"/>
      <c r="I798" s="150"/>
      <c r="J798" s="151" t="str">
        <f t="shared" si="36"/>
        <v>-</v>
      </c>
      <c r="K798" s="152"/>
      <c r="L798" s="149"/>
      <c r="M798" s="149"/>
      <c r="N798" s="153">
        <f t="shared" si="37"/>
        <v>0</v>
      </c>
      <c r="O798" s="153">
        <f t="shared" si="38"/>
        <v>0</v>
      </c>
      <c r="P798" s="146"/>
    </row>
    <row r="799" spans="2:16" x14ac:dyDescent="0.3">
      <c r="B799" s="146">
        <v>792</v>
      </c>
      <c r="C799" s="147"/>
      <c r="D799" s="147"/>
      <c r="E799" s="146"/>
      <c r="F799" s="148" t="str">
        <f>+IFERROR(VLOOKUP(E799,Data!C795:D890,2,0),"")</f>
        <v/>
      </c>
      <c r="G799" s="146"/>
      <c r="H799" s="149"/>
      <c r="I799" s="150"/>
      <c r="J799" s="151" t="str">
        <f t="shared" si="36"/>
        <v>-</v>
      </c>
      <c r="K799" s="152"/>
      <c r="L799" s="149"/>
      <c r="M799" s="149"/>
      <c r="N799" s="153">
        <f t="shared" si="37"/>
        <v>0</v>
      </c>
      <c r="O799" s="153">
        <f t="shared" si="38"/>
        <v>0</v>
      </c>
      <c r="P799" s="146"/>
    </row>
    <row r="800" spans="2:16" x14ac:dyDescent="0.3">
      <c r="B800" s="146">
        <v>793</v>
      </c>
      <c r="C800" s="147"/>
      <c r="D800" s="147"/>
      <c r="E800" s="146"/>
      <c r="F800" s="148" t="str">
        <f>+IFERROR(VLOOKUP(E800,Data!C796:D891,2,0),"")</f>
        <v/>
      </c>
      <c r="G800" s="146"/>
      <c r="H800" s="149"/>
      <c r="I800" s="150"/>
      <c r="J800" s="151" t="str">
        <f t="shared" si="36"/>
        <v>-</v>
      </c>
      <c r="K800" s="152"/>
      <c r="L800" s="149"/>
      <c r="M800" s="149"/>
      <c r="N800" s="153">
        <f t="shared" si="37"/>
        <v>0</v>
      </c>
      <c r="O800" s="153">
        <f t="shared" si="38"/>
        <v>0</v>
      </c>
      <c r="P800" s="146"/>
    </row>
    <row r="801" spans="2:16" x14ac:dyDescent="0.3">
      <c r="B801" s="146">
        <v>794</v>
      </c>
      <c r="C801" s="147"/>
      <c r="D801" s="147"/>
      <c r="E801" s="146"/>
      <c r="F801" s="148" t="str">
        <f>+IFERROR(VLOOKUP(E801,Data!C797:D892,2,0),"")</f>
        <v/>
      </c>
      <c r="G801" s="146"/>
      <c r="H801" s="149"/>
      <c r="I801" s="150"/>
      <c r="J801" s="151" t="str">
        <f t="shared" si="36"/>
        <v>-</v>
      </c>
      <c r="K801" s="152"/>
      <c r="L801" s="149"/>
      <c r="M801" s="149"/>
      <c r="N801" s="153">
        <f t="shared" si="37"/>
        <v>0</v>
      </c>
      <c r="O801" s="153">
        <f t="shared" si="38"/>
        <v>0</v>
      </c>
      <c r="P801" s="146"/>
    </row>
    <row r="802" spans="2:16" x14ac:dyDescent="0.3">
      <c r="B802" s="146">
        <v>795</v>
      </c>
      <c r="C802" s="147"/>
      <c r="D802" s="147"/>
      <c r="E802" s="146"/>
      <c r="F802" s="148" t="str">
        <f>+IFERROR(VLOOKUP(E802,Data!C798:D893,2,0),"")</f>
        <v/>
      </c>
      <c r="G802" s="146"/>
      <c r="H802" s="149"/>
      <c r="I802" s="150"/>
      <c r="J802" s="151" t="str">
        <f t="shared" si="36"/>
        <v>-</v>
      </c>
      <c r="K802" s="152"/>
      <c r="L802" s="149"/>
      <c r="M802" s="149"/>
      <c r="N802" s="153">
        <f t="shared" si="37"/>
        <v>0</v>
      </c>
      <c r="O802" s="153">
        <f t="shared" si="38"/>
        <v>0</v>
      </c>
      <c r="P802" s="146"/>
    </row>
    <row r="803" spans="2:16" x14ac:dyDescent="0.3">
      <c r="B803" s="146">
        <v>796</v>
      </c>
      <c r="C803" s="147"/>
      <c r="D803" s="147"/>
      <c r="E803" s="146"/>
      <c r="F803" s="148" t="str">
        <f>+IFERROR(VLOOKUP(E803,Data!C799:D894,2,0),"")</f>
        <v/>
      </c>
      <c r="G803" s="146"/>
      <c r="H803" s="149"/>
      <c r="I803" s="150"/>
      <c r="J803" s="151" t="str">
        <f t="shared" si="36"/>
        <v>-</v>
      </c>
      <c r="K803" s="152"/>
      <c r="L803" s="149"/>
      <c r="M803" s="149"/>
      <c r="N803" s="153">
        <f t="shared" si="37"/>
        <v>0</v>
      </c>
      <c r="O803" s="153">
        <f t="shared" si="38"/>
        <v>0</v>
      </c>
      <c r="P803" s="146"/>
    </row>
    <row r="804" spans="2:16" x14ac:dyDescent="0.3">
      <c r="B804" s="146">
        <v>797</v>
      </c>
      <c r="C804" s="147"/>
      <c r="D804" s="147"/>
      <c r="E804" s="146"/>
      <c r="F804" s="148" t="str">
        <f>+IFERROR(VLOOKUP(E804,Data!C800:D895,2,0),"")</f>
        <v/>
      </c>
      <c r="G804" s="146"/>
      <c r="H804" s="149"/>
      <c r="I804" s="150"/>
      <c r="J804" s="151" t="str">
        <f t="shared" si="36"/>
        <v>-</v>
      </c>
      <c r="K804" s="152"/>
      <c r="L804" s="149"/>
      <c r="M804" s="149"/>
      <c r="N804" s="153">
        <f t="shared" si="37"/>
        <v>0</v>
      </c>
      <c r="O804" s="153">
        <f t="shared" si="38"/>
        <v>0</v>
      </c>
      <c r="P804" s="146"/>
    </row>
    <row r="805" spans="2:16" x14ac:dyDescent="0.3">
      <c r="B805" s="146">
        <v>798</v>
      </c>
      <c r="C805" s="147"/>
      <c r="D805" s="147"/>
      <c r="E805" s="146"/>
      <c r="F805" s="148" t="str">
        <f>+IFERROR(VLOOKUP(E805,Data!C801:D896,2,0),"")</f>
        <v/>
      </c>
      <c r="G805" s="146"/>
      <c r="H805" s="149"/>
      <c r="I805" s="150"/>
      <c r="J805" s="151" t="str">
        <f t="shared" si="36"/>
        <v>-</v>
      </c>
      <c r="K805" s="152"/>
      <c r="L805" s="149"/>
      <c r="M805" s="149"/>
      <c r="N805" s="153">
        <f t="shared" si="37"/>
        <v>0</v>
      </c>
      <c r="O805" s="153">
        <f t="shared" si="38"/>
        <v>0</v>
      </c>
      <c r="P805" s="146"/>
    </row>
    <row r="806" spans="2:16" x14ac:dyDescent="0.3">
      <c r="B806" s="146">
        <v>799</v>
      </c>
      <c r="C806" s="147"/>
      <c r="D806" s="147"/>
      <c r="E806" s="146"/>
      <c r="F806" s="148" t="str">
        <f>+IFERROR(VLOOKUP(E806,Data!C802:D897,2,0),"")</f>
        <v/>
      </c>
      <c r="G806" s="146"/>
      <c r="H806" s="149"/>
      <c r="I806" s="150"/>
      <c r="J806" s="151" t="str">
        <f t="shared" si="36"/>
        <v>-</v>
      </c>
      <c r="K806" s="152"/>
      <c r="L806" s="149"/>
      <c r="M806" s="149"/>
      <c r="N806" s="153">
        <f t="shared" si="37"/>
        <v>0</v>
      </c>
      <c r="O806" s="153">
        <f t="shared" si="38"/>
        <v>0</v>
      </c>
      <c r="P806" s="146"/>
    </row>
    <row r="807" spans="2:16" x14ac:dyDescent="0.3">
      <c r="B807" s="146">
        <v>800</v>
      </c>
      <c r="C807" s="147"/>
      <c r="D807" s="147"/>
      <c r="E807" s="146"/>
      <c r="F807" s="148" t="str">
        <f>+IFERROR(VLOOKUP(E807,Data!C803:D898,2,0),"")</f>
        <v/>
      </c>
      <c r="G807" s="146"/>
      <c r="H807" s="149"/>
      <c r="I807" s="150"/>
      <c r="J807" s="151" t="str">
        <f t="shared" si="36"/>
        <v>-</v>
      </c>
      <c r="K807" s="152"/>
      <c r="L807" s="149"/>
      <c r="M807" s="149"/>
      <c r="N807" s="153">
        <f t="shared" si="37"/>
        <v>0</v>
      </c>
      <c r="O807" s="153">
        <f t="shared" si="38"/>
        <v>0</v>
      </c>
      <c r="P807" s="146"/>
    </row>
    <row r="808" spans="2:16" x14ac:dyDescent="0.3">
      <c r="B808" s="146">
        <v>801</v>
      </c>
      <c r="C808" s="147"/>
      <c r="D808" s="147"/>
      <c r="E808" s="146"/>
      <c r="F808" s="148" t="str">
        <f>+IFERROR(VLOOKUP(E808,Data!C804:D899,2,0),"")</f>
        <v/>
      </c>
      <c r="G808" s="146"/>
      <c r="H808" s="149"/>
      <c r="I808" s="150"/>
      <c r="J808" s="151" t="str">
        <f t="shared" si="36"/>
        <v>-</v>
      </c>
      <c r="K808" s="152"/>
      <c r="L808" s="149"/>
      <c r="M808" s="149"/>
      <c r="N808" s="153">
        <f t="shared" si="37"/>
        <v>0</v>
      </c>
      <c r="O808" s="153">
        <f t="shared" si="38"/>
        <v>0</v>
      </c>
      <c r="P808" s="146"/>
    </row>
    <row r="809" spans="2:16" x14ac:dyDescent="0.3">
      <c r="B809" s="146">
        <v>802</v>
      </c>
      <c r="C809" s="147"/>
      <c r="D809" s="147"/>
      <c r="E809" s="146"/>
      <c r="F809" s="148" t="str">
        <f>+IFERROR(VLOOKUP(E809,Data!C805:D900,2,0),"")</f>
        <v/>
      </c>
      <c r="G809" s="146"/>
      <c r="H809" s="149"/>
      <c r="I809" s="150"/>
      <c r="J809" s="151" t="str">
        <f t="shared" si="36"/>
        <v>-</v>
      </c>
      <c r="K809" s="152"/>
      <c r="L809" s="149"/>
      <c r="M809" s="149"/>
      <c r="N809" s="153">
        <f t="shared" si="37"/>
        <v>0</v>
      </c>
      <c r="O809" s="153">
        <f t="shared" si="38"/>
        <v>0</v>
      </c>
      <c r="P809" s="146"/>
    </row>
    <row r="810" spans="2:16" x14ac:dyDescent="0.3">
      <c r="B810" s="146">
        <v>803</v>
      </c>
      <c r="C810" s="147"/>
      <c r="D810" s="147"/>
      <c r="E810" s="146"/>
      <c r="F810" s="148" t="str">
        <f>+IFERROR(VLOOKUP(E810,Data!C806:D901,2,0),"")</f>
        <v/>
      </c>
      <c r="G810" s="146"/>
      <c r="H810" s="149"/>
      <c r="I810" s="150"/>
      <c r="J810" s="151" t="str">
        <f t="shared" si="36"/>
        <v>-</v>
      </c>
      <c r="K810" s="152"/>
      <c r="L810" s="149"/>
      <c r="M810" s="149"/>
      <c r="N810" s="153">
        <f t="shared" si="37"/>
        <v>0</v>
      </c>
      <c r="O810" s="153">
        <f t="shared" si="38"/>
        <v>0</v>
      </c>
      <c r="P810" s="146"/>
    </row>
    <row r="811" spans="2:16" x14ac:dyDescent="0.3">
      <c r="B811" s="146">
        <v>804</v>
      </c>
      <c r="C811" s="147"/>
      <c r="D811" s="147"/>
      <c r="E811" s="146"/>
      <c r="F811" s="148" t="str">
        <f>+IFERROR(VLOOKUP(E811,Data!C807:D902,2,0),"")</f>
        <v/>
      </c>
      <c r="G811" s="146"/>
      <c r="H811" s="149"/>
      <c r="I811" s="150"/>
      <c r="J811" s="151" t="str">
        <f t="shared" si="36"/>
        <v>-</v>
      </c>
      <c r="K811" s="152"/>
      <c r="L811" s="149"/>
      <c r="M811" s="149"/>
      <c r="N811" s="153">
        <f t="shared" si="37"/>
        <v>0</v>
      </c>
      <c r="O811" s="153">
        <f t="shared" si="38"/>
        <v>0</v>
      </c>
      <c r="P811" s="146"/>
    </row>
    <row r="812" spans="2:16" x14ac:dyDescent="0.3">
      <c r="B812" s="146">
        <v>805</v>
      </c>
      <c r="C812" s="147"/>
      <c r="D812" s="147"/>
      <c r="E812" s="146"/>
      <c r="F812" s="148" t="str">
        <f>+IFERROR(VLOOKUP(E812,Data!C808:D903,2,0),"")</f>
        <v/>
      </c>
      <c r="G812" s="146"/>
      <c r="H812" s="149"/>
      <c r="I812" s="150"/>
      <c r="J812" s="151" t="str">
        <f t="shared" si="36"/>
        <v>-</v>
      </c>
      <c r="K812" s="152"/>
      <c r="L812" s="149"/>
      <c r="M812" s="149"/>
      <c r="N812" s="153">
        <f t="shared" si="37"/>
        <v>0</v>
      </c>
      <c r="O812" s="153">
        <f t="shared" si="38"/>
        <v>0</v>
      </c>
      <c r="P812" s="146"/>
    </row>
    <row r="813" spans="2:16" x14ac:dyDescent="0.3">
      <c r="B813" s="146">
        <v>806</v>
      </c>
      <c r="C813" s="147"/>
      <c r="D813" s="147"/>
      <c r="E813" s="146"/>
      <c r="F813" s="148" t="str">
        <f>+IFERROR(VLOOKUP(E813,Data!C809:D904,2,0),"")</f>
        <v/>
      </c>
      <c r="G813" s="146"/>
      <c r="H813" s="149"/>
      <c r="I813" s="150"/>
      <c r="J813" s="151" t="str">
        <f t="shared" si="36"/>
        <v>-</v>
      </c>
      <c r="K813" s="152"/>
      <c r="L813" s="149"/>
      <c r="M813" s="149"/>
      <c r="N813" s="153">
        <f t="shared" si="37"/>
        <v>0</v>
      </c>
      <c r="O813" s="153">
        <f t="shared" si="38"/>
        <v>0</v>
      </c>
      <c r="P813" s="146"/>
    </row>
    <row r="814" spans="2:16" x14ac:dyDescent="0.3">
      <c r="B814" s="146">
        <v>807</v>
      </c>
      <c r="C814" s="147"/>
      <c r="D814" s="147"/>
      <c r="E814" s="146"/>
      <c r="F814" s="148" t="str">
        <f>+IFERROR(VLOOKUP(E814,Data!C810:D905,2,0),"")</f>
        <v/>
      </c>
      <c r="G814" s="146"/>
      <c r="H814" s="149"/>
      <c r="I814" s="150"/>
      <c r="J814" s="151" t="str">
        <f t="shared" si="36"/>
        <v>-</v>
      </c>
      <c r="K814" s="152"/>
      <c r="L814" s="149"/>
      <c r="M814" s="149"/>
      <c r="N814" s="153">
        <f t="shared" si="37"/>
        <v>0</v>
      </c>
      <c r="O814" s="153">
        <f t="shared" si="38"/>
        <v>0</v>
      </c>
      <c r="P814" s="146"/>
    </row>
    <row r="815" spans="2:16" x14ac:dyDescent="0.3">
      <c r="B815" s="146">
        <v>808</v>
      </c>
      <c r="C815" s="147"/>
      <c r="D815" s="147"/>
      <c r="E815" s="146"/>
      <c r="F815" s="148" t="str">
        <f>+IFERROR(VLOOKUP(E815,Data!C811:D906,2,0),"")</f>
        <v/>
      </c>
      <c r="G815" s="146"/>
      <c r="H815" s="149"/>
      <c r="I815" s="150"/>
      <c r="J815" s="151" t="str">
        <f t="shared" si="36"/>
        <v>-</v>
      </c>
      <c r="K815" s="152"/>
      <c r="L815" s="149"/>
      <c r="M815" s="149"/>
      <c r="N815" s="153">
        <f t="shared" si="37"/>
        <v>0</v>
      </c>
      <c r="O815" s="153">
        <f t="shared" si="38"/>
        <v>0</v>
      </c>
      <c r="P815" s="146"/>
    </row>
    <row r="816" spans="2:16" x14ac:dyDescent="0.3">
      <c r="B816" s="146">
        <v>809</v>
      </c>
      <c r="C816" s="147"/>
      <c r="D816" s="147"/>
      <c r="E816" s="146"/>
      <c r="F816" s="148" t="str">
        <f>+IFERROR(VLOOKUP(E816,Data!C812:D907,2,0),"")</f>
        <v/>
      </c>
      <c r="G816" s="146"/>
      <c r="H816" s="149"/>
      <c r="I816" s="150"/>
      <c r="J816" s="151" t="str">
        <f t="shared" si="36"/>
        <v>-</v>
      </c>
      <c r="K816" s="152"/>
      <c r="L816" s="149"/>
      <c r="M816" s="149"/>
      <c r="N816" s="153">
        <f t="shared" si="37"/>
        <v>0</v>
      </c>
      <c r="O816" s="153">
        <f t="shared" si="38"/>
        <v>0</v>
      </c>
      <c r="P816" s="146"/>
    </row>
    <row r="817" spans="2:16" x14ac:dyDescent="0.3">
      <c r="B817" s="146">
        <v>810</v>
      </c>
      <c r="C817" s="147"/>
      <c r="D817" s="147"/>
      <c r="E817" s="146"/>
      <c r="F817" s="148" t="str">
        <f>+IFERROR(VLOOKUP(E817,Data!C813:D908,2,0),"")</f>
        <v/>
      </c>
      <c r="G817" s="146"/>
      <c r="H817" s="149"/>
      <c r="I817" s="150"/>
      <c r="J817" s="151" t="str">
        <f t="shared" si="36"/>
        <v>-</v>
      </c>
      <c r="K817" s="152"/>
      <c r="L817" s="149"/>
      <c r="M817" s="149"/>
      <c r="N817" s="153">
        <f t="shared" si="37"/>
        <v>0</v>
      </c>
      <c r="O817" s="153">
        <f t="shared" si="38"/>
        <v>0</v>
      </c>
      <c r="P817" s="146"/>
    </row>
    <row r="818" spans="2:16" x14ac:dyDescent="0.3">
      <c r="B818" s="146">
        <v>811</v>
      </c>
      <c r="C818" s="147"/>
      <c r="D818" s="147"/>
      <c r="E818" s="146"/>
      <c r="F818" s="148" t="str">
        <f>+IFERROR(VLOOKUP(E818,Data!C814:D909,2,0),"")</f>
        <v/>
      </c>
      <c r="G818" s="146"/>
      <c r="H818" s="149"/>
      <c r="I818" s="150"/>
      <c r="J818" s="151" t="str">
        <f t="shared" si="36"/>
        <v>-</v>
      </c>
      <c r="K818" s="152"/>
      <c r="L818" s="149"/>
      <c r="M818" s="149"/>
      <c r="N818" s="153">
        <f t="shared" si="37"/>
        <v>0</v>
      </c>
      <c r="O818" s="153">
        <f t="shared" si="38"/>
        <v>0</v>
      </c>
      <c r="P818" s="146"/>
    </row>
    <row r="819" spans="2:16" x14ac:dyDescent="0.3">
      <c r="B819" s="146">
        <v>812</v>
      </c>
      <c r="C819" s="147"/>
      <c r="D819" s="147"/>
      <c r="E819" s="146"/>
      <c r="F819" s="148" t="str">
        <f>+IFERROR(VLOOKUP(E819,Data!C815:D910,2,0),"")</f>
        <v/>
      </c>
      <c r="G819" s="146"/>
      <c r="H819" s="149"/>
      <c r="I819" s="150"/>
      <c r="J819" s="151" t="str">
        <f t="shared" si="36"/>
        <v>-</v>
      </c>
      <c r="K819" s="152"/>
      <c r="L819" s="149"/>
      <c r="M819" s="149"/>
      <c r="N819" s="153">
        <f t="shared" si="37"/>
        <v>0</v>
      </c>
      <c r="O819" s="153">
        <f t="shared" si="38"/>
        <v>0</v>
      </c>
      <c r="P819" s="146"/>
    </row>
    <row r="820" spans="2:16" x14ac:dyDescent="0.3">
      <c r="B820" s="146">
        <v>813</v>
      </c>
      <c r="C820" s="147"/>
      <c r="D820" s="147"/>
      <c r="E820" s="146"/>
      <c r="F820" s="148" t="str">
        <f>+IFERROR(VLOOKUP(E820,Data!C816:D911,2,0),"")</f>
        <v/>
      </c>
      <c r="G820" s="146"/>
      <c r="H820" s="149"/>
      <c r="I820" s="150"/>
      <c r="J820" s="151" t="str">
        <f t="shared" si="36"/>
        <v>-</v>
      </c>
      <c r="K820" s="152"/>
      <c r="L820" s="149"/>
      <c r="M820" s="149"/>
      <c r="N820" s="153">
        <f t="shared" si="37"/>
        <v>0</v>
      </c>
      <c r="O820" s="153">
        <f t="shared" si="38"/>
        <v>0</v>
      </c>
      <c r="P820" s="146"/>
    </row>
    <row r="821" spans="2:16" x14ac:dyDescent="0.3">
      <c r="B821" s="146">
        <v>814</v>
      </c>
      <c r="C821" s="147"/>
      <c r="D821" s="147"/>
      <c r="E821" s="146"/>
      <c r="F821" s="148" t="str">
        <f>+IFERROR(VLOOKUP(E821,Data!C817:D912,2,0),"")</f>
        <v/>
      </c>
      <c r="G821" s="146"/>
      <c r="H821" s="149"/>
      <c r="I821" s="150"/>
      <c r="J821" s="151" t="str">
        <f t="shared" si="36"/>
        <v>-</v>
      </c>
      <c r="K821" s="152"/>
      <c r="L821" s="149"/>
      <c r="M821" s="149"/>
      <c r="N821" s="153">
        <f t="shared" si="37"/>
        <v>0</v>
      </c>
      <c r="O821" s="153">
        <f t="shared" si="38"/>
        <v>0</v>
      </c>
      <c r="P821" s="146"/>
    </row>
    <row r="822" spans="2:16" x14ac:dyDescent="0.3">
      <c r="B822" s="146">
        <v>815</v>
      </c>
      <c r="C822" s="147"/>
      <c r="D822" s="147"/>
      <c r="E822" s="146"/>
      <c r="F822" s="148" t="str">
        <f>+IFERROR(VLOOKUP(E822,Data!C818:D913,2,0),"")</f>
        <v/>
      </c>
      <c r="G822" s="146"/>
      <c r="H822" s="149"/>
      <c r="I822" s="150"/>
      <c r="J822" s="151" t="str">
        <f t="shared" ref="J822:J885" si="39">IFERROR(+I822/H822,"-")</f>
        <v>-</v>
      </c>
      <c r="K822" s="152"/>
      <c r="L822" s="149"/>
      <c r="M822" s="149"/>
      <c r="N822" s="153">
        <f t="shared" ref="N822:N885" si="40">+L822+M822</f>
        <v>0</v>
      </c>
      <c r="O822" s="153">
        <f t="shared" ref="O822:O885" si="41">+N822-K822</f>
        <v>0</v>
      </c>
      <c r="P822" s="146"/>
    </row>
    <row r="823" spans="2:16" x14ac:dyDescent="0.3">
      <c r="B823" s="146">
        <v>816</v>
      </c>
      <c r="C823" s="147"/>
      <c r="D823" s="147"/>
      <c r="E823" s="146"/>
      <c r="F823" s="148" t="str">
        <f>+IFERROR(VLOOKUP(E823,Data!C819:D914,2,0),"")</f>
        <v/>
      </c>
      <c r="G823" s="146"/>
      <c r="H823" s="149"/>
      <c r="I823" s="150"/>
      <c r="J823" s="151" t="str">
        <f t="shared" si="39"/>
        <v>-</v>
      </c>
      <c r="K823" s="152"/>
      <c r="L823" s="149"/>
      <c r="M823" s="149"/>
      <c r="N823" s="153">
        <f t="shared" si="40"/>
        <v>0</v>
      </c>
      <c r="O823" s="153">
        <f t="shared" si="41"/>
        <v>0</v>
      </c>
      <c r="P823" s="146"/>
    </row>
    <row r="824" spans="2:16" x14ac:dyDescent="0.3">
      <c r="B824" s="146">
        <v>817</v>
      </c>
      <c r="C824" s="147"/>
      <c r="D824" s="147"/>
      <c r="E824" s="146"/>
      <c r="F824" s="148" t="str">
        <f>+IFERROR(VLOOKUP(E824,Data!C820:D915,2,0),"")</f>
        <v/>
      </c>
      <c r="G824" s="146"/>
      <c r="H824" s="149"/>
      <c r="I824" s="150"/>
      <c r="J824" s="151" t="str">
        <f t="shared" si="39"/>
        <v>-</v>
      </c>
      <c r="K824" s="152"/>
      <c r="L824" s="149"/>
      <c r="M824" s="149"/>
      <c r="N824" s="153">
        <f t="shared" si="40"/>
        <v>0</v>
      </c>
      <c r="O824" s="153">
        <f t="shared" si="41"/>
        <v>0</v>
      </c>
      <c r="P824" s="146"/>
    </row>
    <row r="825" spans="2:16" x14ac:dyDescent="0.3">
      <c r="B825" s="146">
        <v>818</v>
      </c>
      <c r="C825" s="147"/>
      <c r="D825" s="147"/>
      <c r="E825" s="146"/>
      <c r="F825" s="148" t="str">
        <f>+IFERROR(VLOOKUP(E825,Data!C821:D916,2,0),"")</f>
        <v/>
      </c>
      <c r="G825" s="146"/>
      <c r="H825" s="149"/>
      <c r="I825" s="150"/>
      <c r="J825" s="151" t="str">
        <f t="shared" si="39"/>
        <v>-</v>
      </c>
      <c r="K825" s="152"/>
      <c r="L825" s="149"/>
      <c r="M825" s="149"/>
      <c r="N825" s="153">
        <f t="shared" si="40"/>
        <v>0</v>
      </c>
      <c r="O825" s="153">
        <f t="shared" si="41"/>
        <v>0</v>
      </c>
      <c r="P825" s="146"/>
    </row>
    <row r="826" spans="2:16" x14ac:dyDescent="0.3">
      <c r="B826" s="146">
        <v>819</v>
      </c>
      <c r="C826" s="147"/>
      <c r="D826" s="147"/>
      <c r="E826" s="146"/>
      <c r="F826" s="148" t="str">
        <f>+IFERROR(VLOOKUP(E826,Data!C822:D917,2,0),"")</f>
        <v/>
      </c>
      <c r="G826" s="146"/>
      <c r="H826" s="149"/>
      <c r="I826" s="150"/>
      <c r="J826" s="151" t="str">
        <f t="shared" si="39"/>
        <v>-</v>
      </c>
      <c r="K826" s="152"/>
      <c r="L826" s="149"/>
      <c r="M826" s="149"/>
      <c r="N826" s="153">
        <f t="shared" si="40"/>
        <v>0</v>
      </c>
      <c r="O826" s="153">
        <f t="shared" si="41"/>
        <v>0</v>
      </c>
      <c r="P826" s="146"/>
    </row>
    <row r="827" spans="2:16" x14ac:dyDescent="0.3">
      <c r="B827" s="146">
        <v>820</v>
      </c>
      <c r="C827" s="147"/>
      <c r="D827" s="147"/>
      <c r="E827" s="146"/>
      <c r="F827" s="148" t="str">
        <f>+IFERROR(VLOOKUP(E827,Data!C823:D918,2,0),"")</f>
        <v/>
      </c>
      <c r="G827" s="146"/>
      <c r="H827" s="149"/>
      <c r="I827" s="150"/>
      <c r="J827" s="151" t="str">
        <f t="shared" si="39"/>
        <v>-</v>
      </c>
      <c r="K827" s="152"/>
      <c r="L827" s="149"/>
      <c r="M827" s="149"/>
      <c r="N827" s="153">
        <f t="shared" si="40"/>
        <v>0</v>
      </c>
      <c r="O827" s="153">
        <f t="shared" si="41"/>
        <v>0</v>
      </c>
      <c r="P827" s="146"/>
    </row>
    <row r="828" spans="2:16" x14ac:dyDescent="0.3">
      <c r="B828" s="146">
        <v>821</v>
      </c>
      <c r="C828" s="147"/>
      <c r="D828" s="147"/>
      <c r="E828" s="146"/>
      <c r="F828" s="148" t="str">
        <f>+IFERROR(VLOOKUP(E828,Data!C824:D919,2,0),"")</f>
        <v/>
      </c>
      <c r="G828" s="146"/>
      <c r="H828" s="149"/>
      <c r="I828" s="150"/>
      <c r="J828" s="151" t="str">
        <f t="shared" si="39"/>
        <v>-</v>
      </c>
      <c r="K828" s="152"/>
      <c r="L828" s="149"/>
      <c r="M828" s="149"/>
      <c r="N828" s="153">
        <f t="shared" si="40"/>
        <v>0</v>
      </c>
      <c r="O828" s="153">
        <f t="shared" si="41"/>
        <v>0</v>
      </c>
      <c r="P828" s="146"/>
    </row>
    <row r="829" spans="2:16" x14ac:dyDescent="0.3">
      <c r="B829" s="146">
        <v>822</v>
      </c>
      <c r="C829" s="147"/>
      <c r="D829" s="147"/>
      <c r="E829" s="146"/>
      <c r="F829" s="148" t="str">
        <f>+IFERROR(VLOOKUP(E829,Data!C825:D920,2,0),"")</f>
        <v/>
      </c>
      <c r="G829" s="146"/>
      <c r="H829" s="149"/>
      <c r="I829" s="150"/>
      <c r="J829" s="151" t="str">
        <f t="shared" si="39"/>
        <v>-</v>
      </c>
      <c r="K829" s="152"/>
      <c r="L829" s="149"/>
      <c r="M829" s="149"/>
      <c r="N829" s="153">
        <f t="shared" si="40"/>
        <v>0</v>
      </c>
      <c r="O829" s="153">
        <f t="shared" si="41"/>
        <v>0</v>
      </c>
      <c r="P829" s="146"/>
    </row>
    <row r="830" spans="2:16" x14ac:dyDescent="0.3">
      <c r="B830" s="146">
        <v>823</v>
      </c>
      <c r="C830" s="147"/>
      <c r="D830" s="147"/>
      <c r="E830" s="146"/>
      <c r="F830" s="148" t="str">
        <f>+IFERROR(VLOOKUP(E830,Data!C826:D921,2,0),"")</f>
        <v/>
      </c>
      <c r="G830" s="146"/>
      <c r="H830" s="149"/>
      <c r="I830" s="150"/>
      <c r="J830" s="151" t="str">
        <f t="shared" si="39"/>
        <v>-</v>
      </c>
      <c r="K830" s="152"/>
      <c r="L830" s="149"/>
      <c r="M830" s="149"/>
      <c r="N830" s="153">
        <f t="shared" si="40"/>
        <v>0</v>
      </c>
      <c r="O830" s="153">
        <f t="shared" si="41"/>
        <v>0</v>
      </c>
      <c r="P830" s="146"/>
    </row>
    <row r="831" spans="2:16" x14ac:dyDescent="0.3">
      <c r="B831" s="146">
        <v>824</v>
      </c>
      <c r="C831" s="147"/>
      <c r="D831" s="147"/>
      <c r="E831" s="146"/>
      <c r="F831" s="148" t="str">
        <f>+IFERROR(VLOOKUP(E831,Data!C827:D922,2,0),"")</f>
        <v/>
      </c>
      <c r="G831" s="146"/>
      <c r="H831" s="149"/>
      <c r="I831" s="150"/>
      <c r="J831" s="151" t="str">
        <f t="shared" si="39"/>
        <v>-</v>
      </c>
      <c r="K831" s="152"/>
      <c r="L831" s="149"/>
      <c r="M831" s="149"/>
      <c r="N831" s="153">
        <f t="shared" si="40"/>
        <v>0</v>
      </c>
      <c r="O831" s="153">
        <f t="shared" si="41"/>
        <v>0</v>
      </c>
      <c r="P831" s="146"/>
    </row>
    <row r="832" spans="2:16" x14ac:dyDescent="0.3">
      <c r="B832" s="146">
        <v>825</v>
      </c>
      <c r="C832" s="147"/>
      <c r="D832" s="147"/>
      <c r="E832" s="146"/>
      <c r="F832" s="148" t="str">
        <f>+IFERROR(VLOOKUP(E832,Data!C828:D923,2,0),"")</f>
        <v/>
      </c>
      <c r="G832" s="146"/>
      <c r="H832" s="149"/>
      <c r="I832" s="150"/>
      <c r="J832" s="151" t="str">
        <f t="shared" si="39"/>
        <v>-</v>
      </c>
      <c r="K832" s="152"/>
      <c r="L832" s="149"/>
      <c r="M832" s="149"/>
      <c r="N832" s="153">
        <f t="shared" si="40"/>
        <v>0</v>
      </c>
      <c r="O832" s="153">
        <f t="shared" si="41"/>
        <v>0</v>
      </c>
      <c r="P832" s="146"/>
    </row>
    <row r="833" spans="2:16" x14ac:dyDescent="0.3">
      <c r="B833" s="146">
        <v>826</v>
      </c>
      <c r="C833" s="147"/>
      <c r="D833" s="147"/>
      <c r="E833" s="146"/>
      <c r="F833" s="148" t="str">
        <f>+IFERROR(VLOOKUP(E833,Data!C829:D924,2,0),"")</f>
        <v/>
      </c>
      <c r="G833" s="146"/>
      <c r="H833" s="149"/>
      <c r="I833" s="150"/>
      <c r="J833" s="151" t="str">
        <f t="shared" si="39"/>
        <v>-</v>
      </c>
      <c r="K833" s="152"/>
      <c r="L833" s="149"/>
      <c r="M833" s="149"/>
      <c r="N833" s="153">
        <f t="shared" si="40"/>
        <v>0</v>
      </c>
      <c r="O833" s="153">
        <f t="shared" si="41"/>
        <v>0</v>
      </c>
      <c r="P833" s="146"/>
    </row>
    <row r="834" spans="2:16" x14ac:dyDescent="0.3">
      <c r="B834" s="146">
        <v>827</v>
      </c>
      <c r="C834" s="147"/>
      <c r="D834" s="147"/>
      <c r="E834" s="146"/>
      <c r="F834" s="148" t="str">
        <f>+IFERROR(VLOOKUP(E834,Data!C830:D925,2,0),"")</f>
        <v/>
      </c>
      <c r="G834" s="146"/>
      <c r="H834" s="149"/>
      <c r="I834" s="150"/>
      <c r="J834" s="151" t="str">
        <f t="shared" si="39"/>
        <v>-</v>
      </c>
      <c r="K834" s="152"/>
      <c r="L834" s="149"/>
      <c r="M834" s="149"/>
      <c r="N834" s="153">
        <f t="shared" si="40"/>
        <v>0</v>
      </c>
      <c r="O834" s="153">
        <f t="shared" si="41"/>
        <v>0</v>
      </c>
      <c r="P834" s="146"/>
    </row>
    <row r="835" spans="2:16" x14ac:dyDescent="0.3">
      <c r="B835" s="146">
        <v>828</v>
      </c>
      <c r="C835" s="147"/>
      <c r="D835" s="147"/>
      <c r="E835" s="146"/>
      <c r="F835" s="148" t="str">
        <f>+IFERROR(VLOOKUP(E835,Data!C831:D926,2,0),"")</f>
        <v/>
      </c>
      <c r="G835" s="146"/>
      <c r="H835" s="149"/>
      <c r="I835" s="150"/>
      <c r="J835" s="151" t="str">
        <f t="shared" si="39"/>
        <v>-</v>
      </c>
      <c r="K835" s="152"/>
      <c r="L835" s="149"/>
      <c r="M835" s="149"/>
      <c r="N835" s="153">
        <f t="shared" si="40"/>
        <v>0</v>
      </c>
      <c r="O835" s="153">
        <f t="shared" si="41"/>
        <v>0</v>
      </c>
      <c r="P835" s="146"/>
    </row>
    <row r="836" spans="2:16" x14ac:dyDescent="0.3">
      <c r="B836" s="146">
        <v>829</v>
      </c>
      <c r="C836" s="147"/>
      <c r="D836" s="147"/>
      <c r="E836" s="146"/>
      <c r="F836" s="148" t="str">
        <f>+IFERROR(VLOOKUP(E836,Data!C832:D927,2,0),"")</f>
        <v/>
      </c>
      <c r="G836" s="146"/>
      <c r="H836" s="149"/>
      <c r="I836" s="150"/>
      <c r="J836" s="151" t="str">
        <f t="shared" si="39"/>
        <v>-</v>
      </c>
      <c r="K836" s="152"/>
      <c r="L836" s="149"/>
      <c r="M836" s="149"/>
      <c r="N836" s="153">
        <f t="shared" si="40"/>
        <v>0</v>
      </c>
      <c r="O836" s="153">
        <f t="shared" si="41"/>
        <v>0</v>
      </c>
      <c r="P836" s="146"/>
    </row>
    <row r="837" spans="2:16" x14ac:dyDescent="0.3">
      <c r="B837" s="146">
        <v>830</v>
      </c>
      <c r="C837" s="147"/>
      <c r="D837" s="147"/>
      <c r="E837" s="146"/>
      <c r="F837" s="148" t="str">
        <f>+IFERROR(VLOOKUP(E837,Data!C833:D928,2,0),"")</f>
        <v/>
      </c>
      <c r="G837" s="146"/>
      <c r="H837" s="149"/>
      <c r="I837" s="150"/>
      <c r="J837" s="151" t="str">
        <f t="shared" si="39"/>
        <v>-</v>
      </c>
      <c r="K837" s="152"/>
      <c r="L837" s="149"/>
      <c r="M837" s="149"/>
      <c r="N837" s="153">
        <f t="shared" si="40"/>
        <v>0</v>
      </c>
      <c r="O837" s="153">
        <f t="shared" si="41"/>
        <v>0</v>
      </c>
      <c r="P837" s="146"/>
    </row>
    <row r="838" spans="2:16" x14ac:dyDescent="0.3">
      <c r="B838" s="146">
        <v>831</v>
      </c>
      <c r="C838" s="147"/>
      <c r="D838" s="147"/>
      <c r="E838" s="146"/>
      <c r="F838" s="148" t="str">
        <f>+IFERROR(VLOOKUP(E838,Data!C834:D929,2,0),"")</f>
        <v/>
      </c>
      <c r="G838" s="146"/>
      <c r="H838" s="149"/>
      <c r="I838" s="150"/>
      <c r="J838" s="151" t="str">
        <f t="shared" si="39"/>
        <v>-</v>
      </c>
      <c r="K838" s="152"/>
      <c r="L838" s="149"/>
      <c r="M838" s="149"/>
      <c r="N838" s="153">
        <f t="shared" si="40"/>
        <v>0</v>
      </c>
      <c r="O838" s="153">
        <f t="shared" si="41"/>
        <v>0</v>
      </c>
      <c r="P838" s="146"/>
    </row>
    <row r="839" spans="2:16" x14ac:dyDescent="0.3">
      <c r="B839" s="146">
        <v>832</v>
      </c>
      <c r="C839" s="147"/>
      <c r="D839" s="147"/>
      <c r="E839" s="146"/>
      <c r="F839" s="148" t="str">
        <f>+IFERROR(VLOOKUP(E839,Data!C835:D930,2,0),"")</f>
        <v/>
      </c>
      <c r="G839" s="146"/>
      <c r="H839" s="149"/>
      <c r="I839" s="150"/>
      <c r="J839" s="151" t="str">
        <f t="shared" si="39"/>
        <v>-</v>
      </c>
      <c r="K839" s="152"/>
      <c r="L839" s="149"/>
      <c r="M839" s="149"/>
      <c r="N839" s="153">
        <f t="shared" si="40"/>
        <v>0</v>
      </c>
      <c r="O839" s="153">
        <f t="shared" si="41"/>
        <v>0</v>
      </c>
      <c r="P839" s="146"/>
    </row>
    <row r="840" spans="2:16" x14ac:dyDescent="0.3">
      <c r="B840" s="146">
        <v>833</v>
      </c>
      <c r="C840" s="147"/>
      <c r="D840" s="147"/>
      <c r="E840" s="146"/>
      <c r="F840" s="148" t="str">
        <f>+IFERROR(VLOOKUP(E840,Data!C836:D931,2,0),"")</f>
        <v/>
      </c>
      <c r="G840" s="146"/>
      <c r="H840" s="149"/>
      <c r="I840" s="150"/>
      <c r="J840" s="151" t="str">
        <f t="shared" si="39"/>
        <v>-</v>
      </c>
      <c r="K840" s="152"/>
      <c r="L840" s="149"/>
      <c r="M840" s="149"/>
      <c r="N840" s="153">
        <f t="shared" si="40"/>
        <v>0</v>
      </c>
      <c r="O840" s="153">
        <f t="shared" si="41"/>
        <v>0</v>
      </c>
      <c r="P840" s="146"/>
    </row>
    <row r="841" spans="2:16" x14ac:dyDescent="0.3">
      <c r="B841" s="146">
        <v>834</v>
      </c>
      <c r="C841" s="147"/>
      <c r="D841" s="147"/>
      <c r="E841" s="146"/>
      <c r="F841" s="148" t="str">
        <f>+IFERROR(VLOOKUP(E841,Data!C837:D932,2,0),"")</f>
        <v/>
      </c>
      <c r="G841" s="146"/>
      <c r="H841" s="149"/>
      <c r="I841" s="150"/>
      <c r="J841" s="151" t="str">
        <f t="shared" si="39"/>
        <v>-</v>
      </c>
      <c r="K841" s="152"/>
      <c r="L841" s="149"/>
      <c r="M841" s="149"/>
      <c r="N841" s="153">
        <f t="shared" si="40"/>
        <v>0</v>
      </c>
      <c r="O841" s="153">
        <f t="shared" si="41"/>
        <v>0</v>
      </c>
      <c r="P841" s="146"/>
    </row>
    <row r="842" spans="2:16" x14ac:dyDescent="0.3">
      <c r="B842" s="146">
        <v>835</v>
      </c>
      <c r="C842" s="147"/>
      <c r="D842" s="147"/>
      <c r="E842" s="146"/>
      <c r="F842" s="148" t="str">
        <f>+IFERROR(VLOOKUP(E842,Data!C838:D933,2,0),"")</f>
        <v/>
      </c>
      <c r="G842" s="146"/>
      <c r="H842" s="149"/>
      <c r="I842" s="150"/>
      <c r="J842" s="151" t="str">
        <f t="shared" si="39"/>
        <v>-</v>
      </c>
      <c r="K842" s="152"/>
      <c r="L842" s="149"/>
      <c r="M842" s="149"/>
      <c r="N842" s="153">
        <f t="shared" si="40"/>
        <v>0</v>
      </c>
      <c r="O842" s="153">
        <f t="shared" si="41"/>
        <v>0</v>
      </c>
      <c r="P842" s="146"/>
    </row>
    <row r="843" spans="2:16" x14ac:dyDescent="0.3">
      <c r="B843" s="146">
        <v>836</v>
      </c>
      <c r="C843" s="147"/>
      <c r="D843" s="147"/>
      <c r="E843" s="146"/>
      <c r="F843" s="148" t="str">
        <f>+IFERROR(VLOOKUP(E843,Data!C839:D934,2,0),"")</f>
        <v/>
      </c>
      <c r="G843" s="146"/>
      <c r="H843" s="149"/>
      <c r="I843" s="150"/>
      <c r="J843" s="151" t="str">
        <f t="shared" si="39"/>
        <v>-</v>
      </c>
      <c r="K843" s="152"/>
      <c r="L843" s="149"/>
      <c r="M843" s="149"/>
      <c r="N843" s="153">
        <f t="shared" si="40"/>
        <v>0</v>
      </c>
      <c r="O843" s="153">
        <f t="shared" si="41"/>
        <v>0</v>
      </c>
      <c r="P843" s="146"/>
    </row>
    <row r="844" spans="2:16" x14ac:dyDescent="0.3">
      <c r="B844" s="146">
        <v>837</v>
      </c>
      <c r="C844" s="147"/>
      <c r="D844" s="147"/>
      <c r="E844" s="146"/>
      <c r="F844" s="148" t="str">
        <f>+IFERROR(VLOOKUP(E844,Data!C840:D935,2,0),"")</f>
        <v/>
      </c>
      <c r="G844" s="146"/>
      <c r="H844" s="149"/>
      <c r="I844" s="150"/>
      <c r="J844" s="151" t="str">
        <f t="shared" si="39"/>
        <v>-</v>
      </c>
      <c r="K844" s="152"/>
      <c r="L844" s="149"/>
      <c r="M844" s="149"/>
      <c r="N844" s="153">
        <f t="shared" si="40"/>
        <v>0</v>
      </c>
      <c r="O844" s="153">
        <f t="shared" si="41"/>
        <v>0</v>
      </c>
      <c r="P844" s="146"/>
    </row>
    <row r="845" spans="2:16" x14ac:dyDescent="0.3">
      <c r="B845" s="146">
        <v>838</v>
      </c>
      <c r="C845" s="147"/>
      <c r="D845" s="147"/>
      <c r="E845" s="146"/>
      <c r="F845" s="148" t="str">
        <f>+IFERROR(VLOOKUP(E845,Data!C841:D936,2,0),"")</f>
        <v/>
      </c>
      <c r="G845" s="146"/>
      <c r="H845" s="149"/>
      <c r="I845" s="150"/>
      <c r="J845" s="151" t="str">
        <f t="shared" si="39"/>
        <v>-</v>
      </c>
      <c r="K845" s="152"/>
      <c r="L845" s="149"/>
      <c r="M845" s="149"/>
      <c r="N845" s="153">
        <f t="shared" si="40"/>
        <v>0</v>
      </c>
      <c r="O845" s="153">
        <f t="shared" si="41"/>
        <v>0</v>
      </c>
      <c r="P845" s="146"/>
    </row>
    <row r="846" spans="2:16" x14ac:dyDescent="0.3">
      <c r="B846" s="146">
        <v>839</v>
      </c>
      <c r="C846" s="147"/>
      <c r="D846" s="147"/>
      <c r="E846" s="146"/>
      <c r="F846" s="148" t="str">
        <f>+IFERROR(VLOOKUP(E846,Data!C842:D937,2,0),"")</f>
        <v/>
      </c>
      <c r="G846" s="146"/>
      <c r="H846" s="149"/>
      <c r="I846" s="150"/>
      <c r="J846" s="151" t="str">
        <f t="shared" si="39"/>
        <v>-</v>
      </c>
      <c r="K846" s="152"/>
      <c r="L846" s="149"/>
      <c r="M846" s="149"/>
      <c r="N846" s="153">
        <f t="shared" si="40"/>
        <v>0</v>
      </c>
      <c r="O846" s="153">
        <f t="shared" si="41"/>
        <v>0</v>
      </c>
      <c r="P846" s="146"/>
    </row>
    <row r="847" spans="2:16" x14ac:dyDescent="0.3">
      <c r="B847" s="146">
        <v>840</v>
      </c>
      <c r="C847" s="147"/>
      <c r="D847" s="147"/>
      <c r="E847" s="146"/>
      <c r="F847" s="148" t="str">
        <f>+IFERROR(VLOOKUP(E847,Data!C843:D938,2,0),"")</f>
        <v/>
      </c>
      <c r="G847" s="146"/>
      <c r="H847" s="149"/>
      <c r="I847" s="150"/>
      <c r="J847" s="151" t="str">
        <f t="shared" si="39"/>
        <v>-</v>
      </c>
      <c r="K847" s="152"/>
      <c r="L847" s="149"/>
      <c r="M847" s="149"/>
      <c r="N847" s="153">
        <f t="shared" si="40"/>
        <v>0</v>
      </c>
      <c r="O847" s="153">
        <f t="shared" si="41"/>
        <v>0</v>
      </c>
      <c r="P847" s="146"/>
    </row>
    <row r="848" spans="2:16" x14ac:dyDescent="0.3">
      <c r="B848" s="146">
        <v>841</v>
      </c>
      <c r="C848" s="147"/>
      <c r="D848" s="147"/>
      <c r="E848" s="146"/>
      <c r="F848" s="148" t="str">
        <f>+IFERROR(VLOOKUP(E848,Data!C844:D939,2,0),"")</f>
        <v/>
      </c>
      <c r="G848" s="146"/>
      <c r="H848" s="149"/>
      <c r="I848" s="150"/>
      <c r="J848" s="151" t="str">
        <f t="shared" si="39"/>
        <v>-</v>
      </c>
      <c r="K848" s="152"/>
      <c r="L848" s="149"/>
      <c r="M848" s="149"/>
      <c r="N848" s="153">
        <f t="shared" si="40"/>
        <v>0</v>
      </c>
      <c r="O848" s="153">
        <f t="shared" si="41"/>
        <v>0</v>
      </c>
      <c r="P848" s="146"/>
    </row>
    <row r="849" spans="2:16" x14ac:dyDescent="0.3">
      <c r="B849" s="146">
        <v>842</v>
      </c>
      <c r="C849" s="147"/>
      <c r="D849" s="147"/>
      <c r="E849" s="146"/>
      <c r="F849" s="148" t="str">
        <f>+IFERROR(VLOOKUP(E849,Data!C845:D940,2,0),"")</f>
        <v/>
      </c>
      <c r="G849" s="146"/>
      <c r="H849" s="149"/>
      <c r="I849" s="150"/>
      <c r="J849" s="151" t="str">
        <f t="shared" si="39"/>
        <v>-</v>
      </c>
      <c r="K849" s="152"/>
      <c r="L849" s="149"/>
      <c r="M849" s="149"/>
      <c r="N849" s="153">
        <f t="shared" si="40"/>
        <v>0</v>
      </c>
      <c r="O849" s="153">
        <f t="shared" si="41"/>
        <v>0</v>
      </c>
      <c r="P849" s="146"/>
    </row>
    <row r="850" spans="2:16" x14ac:dyDescent="0.3">
      <c r="B850" s="146">
        <v>843</v>
      </c>
      <c r="C850" s="147"/>
      <c r="D850" s="147"/>
      <c r="E850" s="146"/>
      <c r="F850" s="148" t="str">
        <f>+IFERROR(VLOOKUP(E850,Data!C846:D941,2,0),"")</f>
        <v/>
      </c>
      <c r="G850" s="146"/>
      <c r="H850" s="149"/>
      <c r="I850" s="150"/>
      <c r="J850" s="151" t="str">
        <f t="shared" si="39"/>
        <v>-</v>
      </c>
      <c r="K850" s="152"/>
      <c r="L850" s="149"/>
      <c r="M850" s="149"/>
      <c r="N850" s="153">
        <f t="shared" si="40"/>
        <v>0</v>
      </c>
      <c r="O850" s="153">
        <f t="shared" si="41"/>
        <v>0</v>
      </c>
      <c r="P850" s="146"/>
    </row>
    <row r="851" spans="2:16" x14ac:dyDescent="0.3">
      <c r="B851" s="146">
        <v>844</v>
      </c>
      <c r="C851" s="147"/>
      <c r="D851" s="147"/>
      <c r="E851" s="146"/>
      <c r="F851" s="148" t="str">
        <f>+IFERROR(VLOOKUP(E851,Data!C847:D942,2,0),"")</f>
        <v/>
      </c>
      <c r="G851" s="146"/>
      <c r="H851" s="149"/>
      <c r="I851" s="150"/>
      <c r="J851" s="151" t="str">
        <f t="shared" si="39"/>
        <v>-</v>
      </c>
      <c r="K851" s="152"/>
      <c r="L851" s="149"/>
      <c r="M851" s="149"/>
      <c r="N851" s="153">
        <f t="shared" si="40"/>
        <v>0</v>
      </c>
      <c r="O851" s="153">
        <f t="shared" si="41"/>
        <v>0</v>
      </c>
      <c r="P851" s="146"/>
    </row>
    <row r="852" spans="2:16" x14ac:dyDescent="0.3">
      <c r="B852" s="146">
        <v>845</v>
      </c>
      <c r="C852" s="147"/>
      <c r="D852" s="147"/>
      <c r="E852" s="146"/>
      <c r="F852" s="148" t="str">
        <f>+IFERROR(VLOOKUP(E852,Data!C848:D943,2,0),"")</f>
        <v/>
      </c>
      <c r="G852" s="146"/>
      <c r="H852" s="149"/>
      <c r="I852" s="150"/>
      <c r="J852" s="151" t="str">
        <f t="shared" si="39"/>
        <v>-</v>
      </c>
      <c r="K852" s="152"/>
      <c r="L852" s="149"/>
      <c r="M852" s="149"/>
      <c r="N852" s="153">
        <f t="shared" si="40"/>
        <v>0</v>
      </c>
      <c r="O852" s="153">
        <f t="shared" si="41"/>
        <v>0</v>
      </c>
      <c r="P852" s="146"/>
    </row>
    <row r="853" spans="2:16" x14ac:dyDescent="0.3">
      <c r="B853" s="146">
        <v>846</v>
      </c>
      <c r="C853" s="147"/>
      <c r="D853" s="147"/>
      <c r="E853" s="146"/>
      <c r="F853" s="148" t="str">
        <f>+IFERROR(VLOOKUP(E853,Data!C849:D944,2,0),"")</f>
        <v/>
      </c>
      <c r="G853" s="146"/>
      <c r="H853" s="149"/>
      <c r="I853" s="150"/>
      <c r="J853" s="151" t="str">
        <f t="shared" si="39"/>
        <v>-</v>
      </c>
      <c r="K853" s="152"/>
      <c r="L853" s="149"/>
      <c r="M853" s="149"/>
      <c r="N853" s="153">
        <f t="shared" si="40"/>
        <v>0</v>
      </c>
      <c r="O853" s="153">
        <f t="shared" si="41"/>
        <v>0</v>
      </c>
      <c r="P853" s="146"/>
    </row>
    <row r="854" spans="2:16" x14ac:dyDescent="0.3">
      <c r="B854" s="146">
        <v>847</v>
      </c>
      <c r="C854" s="147"/>
      <c r="D854" s="147"/>
      <c r="E854" s="146"/>
      <c r="F854" s="148" t="str">
        <f>+IFERROR(VLOOKUP(E854,Data!C850:D945,2,0),"")</f>
        <v/>
      </c>
      <c r="G854" s="146"/>
      <c r="H854" s="149"/>
      <c r="I854" s="150"/>
      <c r="J854" s="151" t="str">
        <f t="shared" si="39"/>
        <v>-</v>
      </c>
      <c r="K854" s="152"/>
      <c r="L854" s="149"/>
      <c r="M854" s="149"/>
      <c r="N854" s="153">
        <f t="shared" si="40"/>
        <v>0</v>
      </c>
      <c r="O854" s="153">
        <f t="shared" si="41"/>
        <v>0</v>
      </c>
      <c r="P854" s="146"/>
    </row>
    <row r="855" spans="2:16" x14ac:dyDescent="0.3">
      <c r="B855" s="146">
        <v>848</v>
      </c>
      <c r="C855" s="147"/>
      <c r="D855" s="147"/>
      <c r="E855" s="146"/>
      <c r="F855" s="148" t="str">
        <f>+IFERROR(VLOOKUP(E855,Data!C851:D946,2,0),"")</f>
        <v/>
      </c>
      <c r="G855" s="146"/>
      <c r="H855" s="149"/>
      <c r="I855" s="150"/>
      <c r="J855" s="151" t="str">
        <f t="shared" si="39"/>
        <v>-</v>
      </c>
      <c r="K855" s="152"/>
      <c r="L855" s="149"/>
      <c r="M855" s="149"/>
      <c r="N855" s="153">
        <f t="shared" si="40"/>
        <v>0</v>
      </c>
      <c r="O855" s="153">
        <f t="shared" si="41"/>
        <v>0</v>
      </c>
      <c r="P855" s="146"/>
    </row>
    <row r="856" spans="2:16" x14ac:dyDescent="0.3">
      <c r="B856" s="146">
        <v>849</v>
      </c>
      <c r="C856" s="147"/>
      <c r="D856" s="147"/>
      <c r="E856" s="146"/>
      <c r="F856" s="148" t="str">
        <f>+IFERROR(VLOOKUP(E856,Data!C852:D947,2,0),"")</f>
        <v/>
      </c>
      <c r="G856" s="146"/>
      <c r="H856" s="149"/>
      <c r="I856" s="150"/>
      <c r="J856" s="151" t="str">
        <f t="shared" si="39"/>
        <v>-</v>
      </c>
      <c r="K856" s="152"/>
      <c r="L856" s="149"/>
      <c r="M856" s="149"/>
      <c r="N856" s="153">
        <f t="shared" si="40"/>
        <v>0</v>
      </c>
      <c r="O856" s="153">
        <f t="shared" si="41"/>
        <v>0</v>
      </c>
      <c r="P856" s="146"/>
    </row>
    <row r="857" spans="2:16" x14ac:dyDescent="0.3">
      <c r="B857" s="146">
        <v>850</v>
      </c>
      <c r="C857" s="147"/>
      <c r="D857" s="147"/>
      <c r="E857" s="146"/>
      <c r="F857" s="148" t="str">
        <f>+IFERROR(VLOOKUP(E857,Data!C853:D948,2,0),"")</f>
        <v/>
      </c>
      <c r="G857" s="146"/>
      <c r="H857" s="149"/>
      <c r="I857" s="150"/>
      <c r="J857" s="151" t="str">
        <f t="shared" si="39"/>
        <v>-</v>
      </c>
      <c r="K857" s="152"/>
      <c r="L857" s="149"/>
      <c r="M857" s="149"/>
      <c r="N857" s="153">
        <f t="shared" si="40"/>
        <v>0</v>
      </c>
      <c r="O857" s="153">
        <f t="shared" si="41"/>
        <v>0</v>
      </c>
      <c r="P857" s="146"/>
    </row>
    <row r="858" spans="2:16" x14ac:dyDescent="0.3">
      <c r="B858" s="146">
        <v>851</v>
      </c>
      <c r="C858" s="147"/>
      <c r="D858" s="147"/>
      <c r="E858" s="146"/>
      <c r="F858" s="148" t="str">
        <f>+IFERROR(VLOOKUP(E858,Data!C854:D949,2,0),"")</f>
        <v/>
      </c>
      <c r="G858" s="146"/>
      <c r="H858" s="149"/>
      <c r="I858" s="150"/>
      <c r="J858" s="151" t="str">
        <f t="shared" si="39"/>
        <v>-</v>
      </c>
      <c r="K858" s="152"/>
      <c r="L858" s="149"/>
      <c r="M858" s="149"/>
      <c r="N858" s="153">
        <f t="shared" si="40"/>
        <v>0</v>
      </c>
      <c r="O858" s="153">
        <f t="shared" si="41"/>
        <v>0</v>
      </c>
      <c r="P858" s="146"/>
    </row>
    <row r="859" spans="2:16" x14ac:dyDescent="0.3">
      <c r="B859" s="146">
        <v>852</v>
      </c>
      <c r="C859" s="147"/>
      <c r="D859" s="147"/>
      <c r="E859" s="146"/>
      <c r="F859" s="148" t="str">
        <f>+IFERROR(VLOOKUP(E859,Data!C855:D950,2,0),"")</f>
        <v/>
      </c>
      <c r="G859" s="146"/>
      <c r="H859" s="149"/>
      <c r="I859" s="150"/>
      <c r="J859" s="151" t="str">
        <f t="shared" si="39"/>
        <v>-</v>
      </c>
      <c r="K859" s="152"/>
      <c r="L859" s="149"/>
      <c r="M859" s="149"/>
      <c r="N859" s="153">
        <f t="shared" si="40"/>
        <v>0</v>
      </c>
      <c r="O859" s="153">
        <f t="shared" si="41"/>
        <v>0</v>
      </c>
      <c r="P859" s="146"/>
    </row>
    <row r="860" spans="2:16" x14ac:dyDescent="0.3">
      <c r="B860" s="146">
        <v>853</v>
      </c>
      <c r="C860" s="147"/>
      <c r="D860" s="147"/>
      <c r="E860" s="146"/>
      <c r="F860" s="148" t="str">
        <f>+IFERROR(VLOOKUP(E860,Data!C856:D951,2,0),"")</f>
        <v/>
      </c>
      <c r="G860" s="146"/>
      <c r="H860" s="149"/>
      <c r="I860" s="150"/>
      <c r="J860" s="151" t="str">
        <f t="shared" si="39"/>
        <v>-</v>
      </c>
      <c r="K860" s="152"/>
      <c r="L860" s="149"/>
      <c r="M860" s="149"/>
      <c r="N860" s="153">
        <f t="shared" si="40"/>
        <v>0</v>
      </c>
      <c r="O860" s="153">
        <f t="shared" si="41"/>
        <v>0</v>
      </c>
      <c r="P860" s="146"/>
    </row>
    <row r="861" spans="2:16" x14ac:dyDescent="0.3">
      <c r="B861" s="146">
        <v>854</v>
      </c>
      <c r="C861" s="147"/>
      <c r="D861" s="147"/>
      <c r="E861" s="146"/>
      <c r="F861" s="148" t="str">
        <f>+IFERROR(VLOOKUP(E861,Data!C857:D952,2,0),"")</f>
        <v/>
      </c>
      <c r="G861" s="146"/>
      <c r="H861" s="149"/>
      <c r="I861" s="150"/>
      <c r="J861" s="151" t="str">
        <f t="shared" si="39"/>
        <v>-</v>
      </c>
      <c r="K861" s="152"/>
      <c r="L861" s="149"/>
      <c r="M861" s="149"/>
      <c r="N861" s="153">
        <f t="shared" si="40"/>
        <v>0</v>
      </c>
      <c r="O861" s="153">
        <f t="shared" si="41"/>
        <v>0</v>
      </c>
      <c r="P861" s="146"/>
    </row>
    <row r="862" spans="2:16" x14ac:dyDescent="0.3">
      <c r="B862" s="146">
        <v>855</v>
      </c>
      <c r="C862" s="147"/>
      <c r="D862" s="147"/>
      <c r="E862" s="146"/>
      <c r="F862" s="148" t="str">
        <f>+IFERROR(VLOOKUP(E862,Data!C858:D953,2,0),"")</f>
        <v/>
      </c>
      <c r="G862" s="146"/>
      <c r="H862" s="149"/>
      <c r="I862" s="150"/>
      <c r="J862" s="151" t="str">
        <f t="shared" si="39"/>
        <v>-</v>
      </c>
      <c r="K862" s="152"/>
      <c r="L862" s="149"/>
      <c r="M862" s="149"/>
      <c r="N862" s="153">
        <f t="shared" si="40"/>
        <v>0</v>
      </c>
      <c r="O862" s="153">
        <f t="shared" si="41"/>
        <v>0</v>
      </c>
      <c r="P862" s="146"/>
    </row>
    <row r="863" spans="2:16" x14ac:dyDescent="0.3">
      <c r="B863" s="146">
        <v>856</v>
      </c>
      <c r="C863" s="147"/>
      <c r="D863" s="147"/>
      <c r="E863" s="146"/>
      <c r="F863" s="148" t="str">
        <f>+IFERROR(VLOOKUP(E863,Data!C859:D954,2,0),"")</f>
        <v/>
      </c>
      <c r="G863" s="146"/>
      <c r="H863" s="149"/>
      <c r="I863" s="150"/>
      <c r="J863" s="151" t="str">
        <f t="shared" si="39"/>
        <v>-</v>
      </c>
      <c r="K863" s="152"/>
      <c r="L863" s="149"/>
      <c r="M863" s="149"/>
      <c r="N863" s="153">
        <f t="shared" si="40"/>
        <v>0</v>
      </c>
      <c r="O863" s="153">
        <f t="shared" si="41"/>
        <v>0</v>
      </c>
      <c r="P863" s="146"/>
    </row>
    <row r="864" spans="2:16" x14ac:dyDescent="0.3">
      <c r="B864" s="146">
        <v>857</v>
      </c>
      <c r="C864" s="147"/>
      <c r="D864" s="147"/>
      <c r="E864" s="146"/>
      <c r="F864" s="148" t="str">
        <f>+IFERROR(VLOOKUP(E864,Data!C860:D955,2,0),"")</f>
        <v/>
      </c>
      <c r="G864" s="146"/>
      <c r="H864" s="149"/>
      <c r="I864" s="150"/>
      <c r="J864" s="151" t="str">
        <f t="shared" si="39"/>
        <v>-</v>
      </c>
      <c r="K864" s="152"/>
      <c r="L864" s="149"/>
      <c r="M864" s="149"/>
      <c r="N864" s="153">
        <f t="shared" si="40"/>
        <v>0</v>
      </c>
      <c r="O864" s="153">
        <f t="shared" si="41"/>
        <v>0</v>
      </c>
      <c r="P864" s="146"/>
    </row>
    <row r="865" spans="2:16" x14ac:dyDescent="0.3">
      <c r="B865" s="146">
        <v>858</v>
      </c>
      <c r="C865" s="147"/>
      <c r="D865" s="147"/>
      <c r="E865" s="146"/>
      <c r="F865" s="148" t="str">
        <f>+IFERROR(VLOOKUP(E865,Data!C861:D956,2,0),"")</f>
        <v/>
      </c>
      <c r="G865" s="146"/>
      <c r="H865" s="149"/>
      <c r="I865" s="150"/>
      <c r="J865" s="151" t="str">
        <f t="shared" si="39"/>
        <v>-</v>
      </c>
      <c r="K865" s="152"/>
      <c r="L865" s="149"/>
      <c r="M865" s="149"/>
      <c r="N865" s="153">
        <f t="shared" si="40"/>
        <v>0</v>
      </c>
      <c r="O865" s="153">
        <f t="shared" si="41"/>
        <v>0</v>
      </c>
      <c r="P865" s="146"/>
    </row>
    <row r="866" spans="2:16" x14ac:dyDescent="0.3">
      <c r="B866" s="146">
        <v>859</v>
      </c>
      <c r="C866" s="147"/>
      <c r="D866" s="147"/>
      <c r="E866" s="146"/>
      <c r="F866" s="148" t="str">
        <f>+IFERROR(VLOOKUP(E866,Data!C862:D957,2,0),"")</f>
        <v/>
      </c>
      <c r="G866" s="146"/>
      <c r="H866" s="149"/>
      <c r="I866" s="150"/>
      <c r="J866" s="151" t="str">
        <f t="shared" si="39"/>
        <v>-</v>
      </c>
      <c r="K866" s="152"/>
      <c r="L866" s="149"/>
      <c r="M866" s="149"/>
      <c r="N866" s="153">
        <f t="shared" si="40"/>
        <v>0</v>
      </c>
      <c r="O866" s="153">
        <f t="shared" si="41"/>
        <v>0</v>
      </c>
      <c r="P866" s="146"/>
    </row>
    <row r="867" spans="2:16" x14ac:dyDescent="0.3">
      <c r="B867" s="146">
        <v>860</v>
      </c>
      <c r="C867" s="147"/>
      <c r="D867" s="147"/>
      <c r="E867" s="146"/>
      <c r="F867" s="148" t="str">
        <f>+IFERROR(VLOOKUP(E867,Data!C863:D958,2,0),"")</f>
        <v/>
      </c>
      <c r="G867" s="146"/>
      <c r="H867" s="149"/>
      <c r="I867" s="150"/>
      <c r="J867" s="151" t="str">
        <f t="shared" si="39"/>
        <v>-</v>
      </c>
      <c r="K867" s="152"/>
      <c r="L867" s="149"/>
      <c r="M867" s="149"/>
      <c r="N867" s="153">
        <f t="shared" si="40"/>
        <v>0</v>
      </c>
      <c r="O867" s="153">
        <f t="shared" si="41"/>
        <v>0</v>
      </c>
      <c r="P867" s="146"/>
    </row>
    <row r="868" spans="2:16" x14ac:dyDescent="0.3">
      <c r="B868" s="146">
        <v>861</v>
      </c>
      <c r="C868" s="147"/>
      <c r="D868" s="147"/>
      <c r="E868" s="146"/>
      <c r="F868" s="148" t="str">
        <f>+IFERROR(VLOOKUP(E868,Data!C864:D959,2,0),"")</f>
        <v/>
      </c>
      <c r="G868" s="146"/>
      <c r="H868" s="149"/>
      <c r="I868" s="150"/>
      <c r="J868" s="151" t="str">
        <f t="shared" si="39"/>
        <v>-</v>
      </c>
      <c r="K868" s="152"/>
      <c r="L868" s="149"/>
      <c r="M868" s="149"/>
      <c r="N868" s="153">
        <f t="shared" si="40"/>
        <v>0</v>
      </c>
      <c r="O868" s="153">
        <f t="shared" si="41"/>
        <v>0</v>
      </c>
      <c r="P868" s="146"/>
    </row>
    <row r="869" spans="2:16" x14ac:dyDescent="0.3">
      <c r="B869" s="146">
        <v>862</v>
      </c>
      <c r="C869" s="147"/>
      <c r="D869" s="147"/>
      <c r="E869" s="146"/>
      <c r="F869" s="148" t="str">
        <f>+IFERROR(VLOOKUP(E869,Data!C865:D960,2,0),"")</f>
        <v/>
      </c>
      <c r="G869" s="146"/>
      <c r="H869" s="149"/>
      <c r="I869" s="150"/>
      <c r="J869" s="151" t="str">
        <f t="shared" si="39"/>
        <v>-</v>
      </c>
      <c r="K869" s="152"/>
      <c r="L869" s="149"/>
      <c r="M869" s="149"/>
      <c r="N869" s="153">
        <f t="shared" si="40"/>
        <v>0</v>
      </c>
      <c r="O869" s="153">
        <f t="shared" si="41"/>
        <v>0</v>
      </c>
      <c r="P869" s="146"/>
    </row>
    <row r="870" spans="2:16" x14ac:dyDescent="0.3">
      <c r="B870" s="146">
        <v>863</v>
      </c>
      <c r="C870" s="147"/>
      <c r="D870" s="147"/>
      <c r="E870" s="146"/>
      <c r="F870" s="148" t="str">
        <f>+IFERROR(VLOOKUP(E870,Data!C866:D961,2,0),"")</f>
        <v/>
      </c>
      <c r="G870" s="146"/>
      <c r="H870" s="149"/>
      <c r="I870" s="150"/>
      <c r="J870" s="151" t="str">
        <f t="shared" si="39"/>
        <v>-</v>
      </c>
      <c r="K870" s="152"/>
      <c r="L870" s="149"/>
      <c r="M870" s="149"/>
      <c r="N870" s="153">
        <f t="shared" si="40"/>
        <v>0</v>
      </c>
      <c r="O870" s="153">
        <f t="shared" si="41"/>
        <v>0</v>
      </c>
      <c r="P870" s="146"/>
    </row>
    <row r="871" spans="2:16" x14ac:dyDescent="0.3">
      <c r="B871" s="146">
        <v>864</v>
      </c>
      <c r="C871" s="147"/>
      <c r="D871" s="147"/>
      <c r="E871" s="146"/>
      <c r="F871" s="148" t="str">
        <f>+IFERROR(VLOOKUP(E871,Data!C867:D962,2,0),"")</f>
        <v/>
      </c>
      <c r="G871" s="146"/>
      <c r="H871" s="149"/>
      <c r="I871" s="150"/>
      <c r="J871" s="151" t="str">
        <f t="shared" si="39"/>
        <v>-</v>
      </c>
      <c r="K871" s="152"/>
      <c r="L871" s="149"/>
      <c r="M871" s="149"/>
      <c r="N871" s="153">
        <f t="shared" si="40"/>
        <v>0</v>
      </c>
      <c r="O871" s="153">
        <f t="shared" si="41"/>
        <v>0</v>
      </c>
      <c r="P871" s="146"/>
    </row>
    <row r="872" spans="2:16" x14ac:dyDescent="0.3">
      <c r="B872" s="146">
        <v>865</v>
      </c>
      <c r="C872" s="147"/>
      <c r="D872" s="147"/>
      <c r="E872" s="146"/>
      <c r="F872" s="148" t="str">
        <f>+IFERROR(VLOOKUP(E872,Data!C868:D963,2,0),"")</f>
        <v/>
      </c>
      <c r="G872" s="146"/>
      <c r="H872" s="149"/>
      <c r="I872" s="150"/>
      <c r="J872" s="151" t="str">
        <f t="shared" si="39"/>
        <v>-</v>
      </c>
      <c r="K872" s="152"/>
      <c r="L872" s="149"/>
      <c r="M872" s="149"/>
      <c r="N872" s="153">
        <f t="shared" si="40"/>
        <v>0</v>
      </c>
      <c r="O872" s="153">
        <f t="shared" si="41"/>
        <v>0</v>
      </c>
      <c r="P872" s="146"/>
    </row>
    <row r="873" spans="2:16" x14ac:dyDescent="0.3">
      <c r="B873" s="146">
        <v>866</v>
      </c>
      <c r="C873" s="147"/>
      <c r="D873" s="147"/>
      <c r="E873" s="146"/>
      <c r="F873" s="148" t="str">
        <f>+IFERROR(VLOOKUP(E873,Data!C869:D964,2,0),"")</f>
        <v/>
      </c>
      <c r="G873" s="146"/>
      <c r="H873" s="149"/>
      <c r="I873" s="150"/>
      <c r="J873" s="151" t="str">
        <f t="shared" si="39"/>
        <v>-</v>
      </c>
      <c r="K873" s="152"/>
      <c r="L873" s="149"/>
      <c r="M873" s="149"/>
      <c r="N873" s="153">
        <f t="shared" si="40"/>
        <v>0</v>
      </c>
      <c r="O873" s="153">
        <f t="shared" si="41"/>
        <v>0</v>
      </c>
      <c r="P873" s="146"/>
    </row>
    <row r="874" spans="2:16" x14ac:dyDescent="0.3">
      <c r="B874" s="146">
        <v>867</v>
      </c>
      <c r="C874" s="147"/>
      <c r="D874" s="147"/>
      <c r="E874" s="146"/>
      <c r="F874" s="148" t="str">
        <f>+IFERROR(VLOOKUP(E874,Data!C870:D965,2,0),"")</f>
        <v/>
      </c>
      <c r="G874" s="146"/>
      <c r="H874" s="149"/>
      <c r="I874" s="150"/>
      <c r="J874" s="151" t="str">
        <f t="shared" si="39"/>
        <v>-</v>
      </c>
      <c r="K874" s="152"/>
      <c r="L874" s="149"/>
      <c r="M874" s="149"/>
      <c r="N874" s="153">
        <f t="shared" si="40"/>
        <v>0</v>
      </c>
      <c r="O874" s="153">
        <f t="shared" si="41"/>
        <v>0</v>
      </c>
      <c r="P874" s="146"/>
    </row>
    <row r="875" spans="2:16" x14ac:dyDescent="0.3">
      <c r="B875" s="146">
        <v>868</v>
      </c>
      <c r="C875" s="147"/>
      <c r="D875" s="147"/>
      <c r="E875" s="146"/>
      <c r="F875" s="148" t="str">
        <f>+IFERROR(VLOOKUP(E875,Data!C871:D966,2,0),"")</f>
        <v/>
      </c>
      <c r="G875" s="146"/>
      <c r="H875" s="149"/>
      <c r="I875" s="150"/>
      <c r="J875" s="151" t="str">
        <f t="shared" si="39"/>
        <v>-</v>
      </c>
      <c r="K875" s="152"/>
      <c r="L875" s="149"/>
      <c r="M875" s="149"/>
      <c r="N875" s="153">
        <f t="shared" si="40"/>
        <v>0</v>
      </c>
      <c r="O875" s="153">
        <f t="shared" si="41"/>
        <v>0</v>
      </c>
      <c r="P875" s="146"/>
    </row>
    <row r="876" spans="2:16" x14ac:dyDescent="0.3">
      <c r="B876" s="146">
        <v>869</v>
      </c>
      <c r="C876" s="147"/>
      <c r="D876" s="147"/>
      <c r="E876" s="146"/>
      <c r="F876" s="148" t="str">
        <f>+IFERROR(VLOOKUP(E876,Data!C872:D967,2,0),"")</f>
        <v/>
      </c>
      <c r="G876" s="146"/>
      <c r="H876" s="149"/>
      <c r="I876" s="150"/>
      <c r="J876" s="151" t="str">
        <f t="shared" si="39"/>
        <v>-</v>
      </c>
      <c r="K876" s="152"/>
      <c r="L876" s="149"/>
      <c r="M876" s="149"/>
      <c r="N876" s="153">
        <f t="shared" si="40"/>
        <v>0</v>
      </c>
      <c r="O876" s="153">
        <f t="shared" si="41"/>
        <v>0</v>
      </c>
      <c r="P876" s="146"/>
    </row>
    <row r="877" spans="2:16" x14ac:dyDescent="0.3">
      <c r="B877" s="146">
        <v>870</v>
      </c>
      <c r="C877" s="147"/>
      <c r="D877" s="147"/>
      <c r="E877" s="146"/>
      <c r="F877" s="148" t="str">
        <f>+IFERROR(VLOOKUP(E877,Data!C873:D968,2,0),"")</f>
        <v/>
      </c>
      <c r="G877" s="146"/>
      <c r="H877" s="149"/>
      <c r="I877" s="150"/>
      <c r="J877" s="151" t="str">
        <f t="shared" si="39"/>
        <v>-</v>
      </c>
      <c r="K877" s="152"/>
      <c r="L877" s="149"/>
      <c r="M877" s="149"/>
      <c r="N877" s="153">
        <f t="shared" si="40"/>
        <v>0</v>
      </c>
      <c r="O877" s="153">
        <f t="shared" si="41"/>
        <v>0</v>
      </c>
      <c r="P877" s="146"/>
    </row>
    <row r="878" spans="2:16" x14ac:dyDescent="0.3">
      <c r="B878" s="146">
        <v>871</v>
      </c>
      <c r="C878" s="147"/>
      <c r="D878" s="147"/>
      <c r="E878" s="146"/>
      <c r="F878" s="148" t="str">
        <f>+IFERROR(VLOOKUP(E878,Data!C874:D969,2,0),"")</f>
        <v/>
      </c>
      <c r="G878" s="146"/>
      <c r="H878" s="149"/>
      <c r="I878" s="150"/>
      <c r="J878" s="151" t="str">
        <f t="shared" si="39"/>
        <v>-</v>
      </c>
      <c r="K878" s="152"/>
      <c r="L878" s="149"/>
      <c r="M878" s="149"/>
      <c r="N878" s="153">
        <f t="shared" si="40"/>
        <v>0</v>
      </c>
      <c r="O878" s="153">
        <f t="shared" si="41"/>
        <v>0</v>
      </c>
      <c r="P878" s="146"/>
    </row>
    <row r="879" spans="2:16" x14ac:dyDescent="0.3">
      <c r="B879" s="146">
        <v>872</v>
      </c>
      <c r="C879" s="147"/>
      <c r="D879" s="147"/>
      <c r="E879" s="146"/>
      <c r="F879" s="148" t="str">
        <f>+IFERROR(VLOOKUP(E879,Data!C875:D970,2,0),"")</f>
        <v/>
      </c>
      <c r="G879" s="146"/>
      <c r="H879" s="149"/>
      <c r="I879" s="150"/>
      <c r="J879" s="151" t="str">
        <f t="shared" si="39"/>
        <v>-</v>
      </c>
      <c r="K879" s="152"/>
      <c r="L879" s="149"/>
      <c r="M879" s="149"/>
      <c r="N879" s="153">
        <f t="shared" si="40"/>
        <v>0</v>
      </c>
      <c r="O879" s="153">
        <f t="shared" si="41"/>
        <v>0</v>
      </c>
      <c r="P879" s="146"/>
    </row>
    <row r="880" spans="2:16" x14ac:dyDescent="0.3">
      <c r="B880" s="146">
        <v>873</v>
      </c>
      <c r="C880" s="147"/>
      <c r="D880" s="147"/>
      <c r="E880" s="146"/>
      <c r="F880" s="148" t="str">
        <f>+IFERROR(VLOOKUP(E880,Data!C876:D971,2,0),"")</f>
        <v/>
      </c>
      <c r="G880" s="146"/>
      <c r="H880" s="149"/>
      <c r="I880" s="150"/>
      <c r="J880" s="151" t="str">
        <f t="shared" si="39"/>
        <v>-</v>
      </c>
      <c r="K880" s="152"/>
      <c r="L880" s="149"/>
      <c r="M880" s="149"/>
      <c r="N880" s="153">
        <f t="shared" si="40"/>
        <v>0</v>
      </c>
      <c r="O880" s="153">
        <f t="shared" si="41"/>
        <v>0</v>
      </c>
      <c r="P880" s="146"/>
    </row>
    <row r="881" spans="2:16" x14ac:dyDescent="0.3">
      <c r="B881" s="146">
        <v>874</v>
      </c>
      <c r="C881" s="147"/>
      <c r="D881" s="147"/>
      <c r="E881" s="146"/>
      <c r="F881" s="148" t="str">
        <f>+IFERROR(VLOOKUP(E881,Data!C877:D972,2,0),"")</f>
        <v/>
      </c>
      <c r="G881" s="146"/>
      <c r="H881" s="149"/>
      <c r="I881" s="150"/>
      <c r="J881" s="151" t="str">
        <f t="shared" si="39"/>
        <v>-</v>
      </c>
      <c r="K881" s="152"/>
      <c r="L881" s="149"/>
      <c r="M881" s="149"/>
      <c r="N881" s="153">
        <f t="shared" si="40"/>
        <v>0</v>
      </c>
      <c r="O881" s="153">
        <f t="shared" si="41"/>
        <v>0</v>
      </c>
      <c r="P881" s="146"/>
    </row>
    <row r="882" spans="2:16" x14ac:dyDescent="0.3">
      <c r="B882" s="146">
        <v>875</v>
      </c>
      <c r="C882" s="147"/>
      <c r="D882" s="147"/>
      <c r="E882" s="146"/>
      <c r="F882" s="148" t="str">
        <f>+IFERROR(VLOOKUP(E882,Data!C878:D973,2,0),"")</f>
        <v/>
      </c>
      <c r="G882" s="146"/>
      <c r="H882" s="149"/>
      <c r="I882" s="150"/>
      <c r="J882" s="151" t="str">
        <f t="shared" si="39"/>
        <v>-</v>
      </c>
      <c r="K882" s="152"/>
      <c r="L882" s="149"/>
      <c r="M882" s="149"/>
      <c r="N882" s="153">
        <f t="shared" si="40"/>
        <v>0</v>
      </c>
      <c r="O882" s="153">
        <f t="shared" si="41"/>
        <v>0</v>
      </c>
      <c r="P882" s="146"/>
    </row>
    <row r="883" spans="2:16" x14ac:dyDescent="0.3">
      <c r="B883" s="146">
        <v>876</v>
      </c>
      <c r="C883" s="147"/>
      <c r="D883" s="147"/>
      <c r="E883" s="146"/>
      <c r="F883" s="148" t="str">
        <f>+IFERROR(VLOOKUP(E883,Data!C879:D974,2,0),"")</f>
        <v/>
      </c>
      <c r="G883" s="146"/>
      <c r="H883" s="149"/>
      <c r="I883" s="150"/>
      <c r="J883" s="151" t="str">
        <f t="shared" si="39"/>
        <v>-</v>
      </c>
      <c r="K883" s="152"/>
      <c r="L883" s="149"/>
      <c r="M883" s="149"/>
      <c r="N883" s="153">
        <f t="shared" si="40"/>
        <v>0</v>
      </c>
      <c r="O883" s="153">
        <f t="shared" si="41"/>
        <v>0</v>
      </c>
      <c r="P883" s="146"/>
    </row>
    <row r="884" spans="2:16" x14ac:dyDescent="0.3">
      <c r="B884" s="146">
        <v>877</v>
      </c>
      <c r="C884" s="147"/>
      <c r="D884" s="147"/>
      <c r="E884" s="146"/>
      <c r="F884" s="148" t="str">
        <f>+IFERROR(VLOOKUP(E884,Data!C880:D975,2,0),"")</f>
        <v/>
      </c>
      <c r="G884" s="146"/>
      <c r="H884" s="149"/>
      <c r="I884" s="150"/>
      <c r="J884" s="151" t="str">
        <f t="shared" si="39"/>
        <v>-</v>
      </c>
      <c r="K884" s="152"/>
      <c r="L884" s="149"/>
      <c r="M884" s="149"/>
      <c r="N884" s="153">
        <f t="shared" si="40"/>
        <v>0</v>
      </c>
      <c r="O884" s="153">
        <f t="shared" si="41"/>
        <v>0</v>
      </c>
      <c r="P884" s="146"/>
    </row>
    <row r="885" spans="2:16" x14ac:dyDescent="0.3">
      <c r="B885" s="146">
        <v>878</v>
      </c>
      <c r="C885" s="147"/>
      <c r="D885" s="147"/>
      <c r="E885" s="146"/>
      <c r="F885" s="148" t="str">
        <f>+IFERROR(VLOOKUP(E885,Data!C881:D976,2,0),"")</f>
        <v/>
      </c>
      <c r="G885" s="146"/>
      <c r="H885" s="149"/>
      <c r="I885" s="150"/>
      <c r="J885" s="151" t="str">
        <f t="shared" si="39"/>
        <v>-</v>
      </c>
      <c r="K885" s="152"/>
      <c r="L885" s="149"/>
      <c r="M885" s="149"/>
      <c r="N885" s="153">
        <f t="shared" si="40"/>
        <v>0</v>
      </c>
      <c r="O885" s="153">
        <f t="shared" si="41"/>
        <v>0</v>
      </c>
      <c r="P885" s="146"/>
    </row>
    <row r="886" spans="2:16" x14ac:dyDescent="0.3">
      <c r="B886" s="146">
        <v>879</v>
      </c>
      <c r="C886" s="147"/>
      <c r="D886" s="147"/>
      <c r="E886" s="146"/>
      <c r="F886" s="148" t="str">
        <f>+IFERROR(VLOOKUP(E886,Data!C882:D977,2,0),"")</f>
        <v/>
      </c>
      <c r="G886" s="146"/>
      <c r="H886" s="149"/>
      <c r="I886" s="150"/>
      <c r="J886" s="151" t="str">
        <f t="shared" ref="J886:J949" si="42">IFERROR(+I886/H886,"-")</f>
        <v>-</v>
      </c>
      <c r="K886" s="152"/>
      <c r="L886" s="149"/>
      <c r="M886" s="149"/>
      <c r="N886" s="153">
        <f t="shared" ref="N886:N949" si="43">+L886+M886</f>
        <v>0</v>
      </c>
      <c r="O886" s="153">
        <f t="shared" ref="O886:O949" si="44">+N886-K886</f>
        <v>0</v>
      </c>
      <c r="P886" s="146"/>
    </row>
    <row r="887" spans="2:16" x14ac:dyDescent="0.3">
      <c r="B887" s="146">
        <v>880</v>
      </c>
      <c r="C887" s="147"/>
      <c r="D887" s="147"/>
      <c r="E887" s="146"/>
      <c r="F887" s="148" t="str">
        <f>+IFERROR(VLOOKUP(E887,Data!C883:D978,2,0),"")</f>
        <v/>
      </c>
      <c r="G887" s="146"/>
      <c r="H887" s="149"/>
      <c r="I887" s="150"/>
      <c r="J887" s="151" t="str">
        <f t="shared" si="42"/>
        <v>-</v>
      </c>
      <c r="K887" s="152"/>
      <c r="L887" s="149"/>
      <c r="M887" s="149"/>
      <c r="N887" s="153">
        <f t="shared" si="43"/>
        <v>0</v>
      </c>
      <c r="O887" s="153">
        <f t="shared" si="44"/>
        <v>0</v>
      </c>
      <c r="P887" s="146"/>
    </row>
    <row r="888" spans="2:16" x14ac:dyDescent="0.3">
      <c r="B888" s="146">
        <v>881</v>
      </c>
      <c r="C888" s="147"/>
      <c r="D888" s="147"/>
      <c r="E888" s="146"/>
      <c r="F888" s="148" t="str">
        <f>+IFERROR(VLOOKUP(E888,Data!C884:D979,2,0),"")</f>
        <v/>
      </c>
      <c r="G888" s="146"/>
      <c r="H888" s="149"/>
      <c r="I888" s="150"/>
      <c r="J888" s="151" t="str">
        <f t="shared" si="42"/>
        <v>-</v>
      </c>
      <c r="K888" s="152"/>
      <c r="L888" s="149"/>
      <c r="M888" s="149"/>
      <c r="N888" s="153">
        <f t="shared" si="43"/>
        <v>0</v>
      </c>
      <c r="O888" s="153">
        <f t="shared" si="44"/>
        <v>0</v>
      </c>
      <c r="P888" s="146"/>
    </row>
    <row r="889" spans="2:16" x14ac:dyDescent="0.3">
      <c r="B889" s="146">
        <v>882</v>
      </c>
      <c r="C889" s="147"/>
      <c r="D889" s="147"/>
      <c r="E889" s="146"/>
      <c r="F889" s="148" t="str">
        <f>+IFERROR(VLOOKUP(E889,Data!C885:D980,2,0),"")</f>
        <v/>
      </c>
      <c r="G889" s="146"/>
      <c r="H889" s="149"/>
      <c r="I889" s="150"/>
      <c r="J889" s="151" t="str">
        <f t="shared" si="42"/>
        <v>-</v>
      </c>
      <c r="K889" s="152"/>
      <c r="L889" s="149"/>
      <c r="M889" s="149"/>
      <c r="N889" s="153">
        <f t="shared" si="43"/>
        <v>0</v>
      </c>
      <c r="O889" s="153">
        <f t="shared" si="44"/>
        <v>0</v>
      </c>
      <c r="P889" s="146"/>
    </row>
    <row r="890" spans="2:16" x14ac:dyDescent="0.3">
      <c r="B890" s="146">
        <v>883</v>
      </c>
      <c r="C890" s="147"/>
      <c r="D890" s="147"/>
      <c r="E890" s="146"/>
      <c r="F890" s="148" t="str">
        <f>+IFERROR(VLOOKUP(E890,Data!C886:D981,2,0),"")</f>
        <v/>
      </c>
      <c r="G890" s="146"/>
      <c r="H890" s="149"/>
      <c r="I890" s="150"/>
      <c r="J890" s="151" t="str">
        <f t="shared" si="42"/>
        <v>-</v>
      </c>
      <c r="K890" s="152"/>
      <c r="L890" s="149"/>
      <c r="M890" s="149"/>
      <c r="N890" s="153">
        <f t="shared" si="43"/>
        <v>0</v>
      </c>
      <c r="O890" s="153">
        <f t="shared" si="44"/>
        <v>0</v>
      </c>
      <c r="P890" s="146"/>
    </row>
    <row r="891" spans="2:16" x14ac:dyDescent="0.3">
      <c r="B891" s="146">
        <v>884</v>
      </c>
      <c r="C891" s="147"/>
      <c r="D891" s="147"/>
      <c r="E891" s="146"/>
      <c r="F891" s="148" t="str">
        <f>+IFERROR(VLOOKUP(E891,Data!C887:D982,2,0),"")</f>
        <v/>
      </c>
      <c r="G891" s="146"/>
      <c r="H891" s="149"/>
      <c r="I891" s="150"/>
      <c r="J891" s="151" t="str">
        <f t="shared" si="42"/>
        <v>-</v>
      </c>
      <c r="K891" s="152"/>
      <c r="L891" s="149"/>
      <c r="M891" s="149"/>
      <c r="N891" s="153">
        <f t="shared" si="43"/>
        <v>0</v>
      </c>
      <c r="O891" s="153">
        <f t="shared" si="44"/>
        <v>0</v>
      </c>
      <c r="P891" s="146"/>
    </row>
    <row r="892" spans="2:16" x14ac:dyDescent="0.3">
      <c r="B892" s="146">
        <v>885</v>
      </c>
      <c r="C892" s="147"/>
      <c r="D892" s="147"/>
      <c r="E892" s="146"/>
      <c r="F892" s="148" t="str">
        <f>+IFERROR(VLOOKUP(E892,Data!C888:D983,2,0),"")</f>
        <v/>
      </c>
      <c r="G892" s="146"/>
      <c r="H892" s="149"/>
      <c r="I892" s="150"/>
      <c r="J892" s="151" t="str">
        <f t="shared" si="42"/>
        <v>-</v>
      </c>
      <c r="K892" s="152"/>
      <c r="L892" s="149"/>
      <c r="M892" s="149"/>
      <c r="N892" s="153">
        <f t="shared" si="43"/>
        <v>0</v>
      </c>
      <c r="O892" s="153">
        <f t="shared" si="44"/>
        <v>0</v>
      </c>
      <c r="P892" s="146"/>
    </row>
    <row r="893" spans="2:16" x14ac:dyDescent="0.3">
      <c r="B893" s="146">
        <v>886</v>
      </c>
      <c r="C893" s="147"/>
      <c r="D893" s="147"/>
      <c r="E893" s="146"/>
      <c r="F893" s="148" t="str">
        <f>+IFERROR(VLOOKUP(E893,Data!C889:D984,2,0),"")</f>
        <v/>
      </c>
      <c r="G893" s="146"/>
      <c r="H893" s="149"/>
      <c r="I893" s="150"/>
      <c r="J893" s="151" t="str">
        <f t="shared" si="42"/>
        <v>-</v>
      </c>
      <c r="K893" s="152"/>
      <c r="L893" s="149"/>
      <c r="M893" s="149"/>
      <c r="N893" s="153">
        <f t="shared" si="43"/>
        <v>0</v>
      </c>
      <c r="O893" s="153">
        <f t="shared" si="44"/>
        <v>0</v>
      </c>
      <c r="P893" s="146"/>
    </row>
    <row r="894" spans="2:16" x14ac:dyDescent="0.3">
      <c r="B894" s="146">
        <v>887</v>
      </c>
      <c r="C894" s="147"/>
      <c r="D894" s="147"/>
      <c r="E894" s="146"/>
      <c r="F894" s="148" t="str">
        <f>+IFERROR(VLOOKUP(E894,Data!C890:D985,2,0),"")</f>
        <v/>
      </c>
      <c r="G894" s="146"/>
      <c r="H894" s="149"/>
      <c r="I894" s="150"/>
      <c r="J894" s="151" t="str">
        <f t="shared" si="42"/>
        <v>-</v>
      </c>
      <c r="K894" s="152"/>
      <c r="L894" s="149"/>
      <c r="M894" s="149"/>
      <c r="N894" s="153">
        <f t="shared" si="43"/>
        <v>0</v>
      </c>
      <c r="O894" s="153">
        <f t="shared" si="44"/>
        <v>0</v>
      </c>
      <c r="P894" s="146"/>
    </row>
    <row r="895" spans="2:16" x14ac:dyDescent="0.3">
      <c r="B895" s="146">
        <v>888</v>
      </c>
      <c r="C895" s="147"/>
      <c r="D895" s="147"/>
      <c r="E895" s="146"/>
      <c r="F895" s="148" t="str">
        <f>+IFERROR(VLOOKUP(E895,Data!C891:D986,2,0),"")</f>
        <v/>
      </c>
      <c r="G895" s="146"/>
      <c r="H895" s="149"/>
      <c r="I895" s="150"/>
      <c r="J895" s="151" t="str">
        <f t="shared" si="42"/>
        <v>-</v>
      </c>
      <c r="K895" s="152"/>
      <c r="L895" s="149"/>
      <c r="M895" s="149"/>
      <c r="N895" s="153">
        <f t="shared" si="43"/>
        <v>0</v>
      </c>
      <c r="O895" s="153">
        <f t="shared" si="44"/>
        <v>0</v>
      </c>
      <c r="P895" s="146"/>
    </row>
    <row r="896" spans="2:16" x14ac:dyDescent="0.3">
      <c r="B896" s="146">
        <v>889</v>
      </c>
      <c r="C896" s="147"/>
      <c r="D896" s="147"/>
      <c r="E896" s="146"/>
      <c r="F896" s="148" t="str">
        <f>+IFERROR(VLOOKUP(E896,Data!C892:D987,2,0),"")</f>
        <v/>
      </c>
      <c r="G896" s="146"/>
      <c r="H896" s="149"/>
      <c r="I896" s="150"/>
      <c r="J896" s="151" t="str">
        <f t="shared" si="42"/>
        <v>-</v>
      </c>
      <c r="K896" s="152"/>
      <c r="L896" s="149"/>
      <c r="M896" s="149"/>
      <c r="N896" s="153">
        <f t="shared" si="43"/>
        <v>0</v>
      </c>
      <c r="O896" s="153">
        <f t="shared" si="44"/>
        <v>0</v>
      </c>
      <c r="P896" s="146"/>
    </row>
    <row r="897" spans="2:16" x14ac:dyDescent="0.3">
      <c r="B897" s="146">
        <v>890</v>
      </c>
      <c r="C897" s="147"/>
      <c r="D897" s="147"/>
      <c r="E897" s="146"/>
      <c r="F897" s="148" t="str">
        <f>+IFERROR(VLOOKUP(E897,Data!C893:D988,2,0),"")</f>
        <v/>
      </c>
      <c r="G897" s="146"/>
      <c r="H897" s="149"/>
      <c r="I897" s="150"/>
      <c r="J897" s="151" t="str">
        <f t="shared" si="42"/>
        <v>-</v>
      </c>
      <c r="K897" s="152"/>
      <c r="L897" s="149"/>
      <c r="M897" s="149"/>
      <c r="N897" s="153">
        <f t="shared" si="43"/>
        <v>0</v>
      </c>
      <c r="O897" s="153">
        <f t="shared" si="44"/>
        <v>0</v>
      </c>
      <c r="P897" s="146"/>
    </row>
    <row r="898" spans="2:16" x14ac:dyDescent="0.3">
      <c r="B898" s="146">
        <v>891</v>
      </c>
      <c r="C898" s="147"/>
      <c r="D898" s="147"/>
      <c r="E898" s="146"/>
      <c r="F898" s="148" t="str">
        <f>+IFERROR(VLOOKUP(E898,Data!C894:D989,2,0),"")</f>
        <v/>
      </c>
      <c r="G898" s="146"/>
      <c r="H898" s="149"/>
      <c r="I898" s="150"/>
      <c r="J898" s="151" t="str">
        <f t="shared" si="42"/>
        <v>-</v>
      </c>
      <c r="K898" s="152"/>
      <c r="L898" s="149"/>
      <c r="M898" s="149"/>
      <c r="N898" s="153">
        <f t="shared" si="43"/>
        <v>0</v>
      </c>
      <c r="O898" s="153">
        <f t="shared" si="44"/>
        <v>0</v>
      </c>
      <c r="P898" s="146"/>
    </row>
    <row r="899" spans="2:16" x14ac:dyDescent="0.3">
      <c r="B899" s="146">
        <v>892</v>
      </c>
      <c r="C899" s="147"/>
      <c r="D899" s="147"/>
      <c r="E899" s="146"/>
      <c r="F899" s="148" t="str">
        <f>+IFERROR(VLOOKUP(E899,Data!C895:D990,2,0),"")</f>
        <v/>
      </c>
      <c r="G899" s="146"/>
      <c r="H899" s="149"/>
      <c r="I899" s="150"/>
      <c r="J899" s="151" t="str">
        <f t="shared" si="42"/>
        <v>-</v>
      </c>
      <c r="K899" s="152"/>
      <c r="L899" s="149"/>
      <c r="M899" s="149"/>
      <c r="N899" s="153">
        <f t="shared" si="43"/>
        <v>0</v>
      </c>
      <c r="O899" s="153">
        <f t="shared" si="44"/>
        <v>0</v>
      </c>
      <c r="P899" s="146"/>
    </row>
    <row r="900" spans="2:16" x14ac:dyDescent="0.3">
      <c r="B900" s="146">
        <v>893</v>
      </c>
      <c r="C900" s="147"/>
      <c r="D900" s="147"/>
      <c r="E900" s="146"/>
      <c r="F900" s="148" t="str">
        <f>+IFERROR(VLOOKUP(E900,Data!C896:D991,2,0),"")</f>
        <v/>
      </c>
      <c r="G900" s="146"/>
      <c r="H900" s="149"/>
      <c r="I900" s="150"/>
      <c r="J900" s="151" t="str">
        <f t="shared" si="42"/>
        <v>-</v>
      </c>
      <c r="K900" s="152"/>
      <c r="L900" s="149"/>
      <c r="M900" s="149"/>
      <c r="N900" s="153">
        <f t="shared" si="43"/>
        <v>0</v>
      </c>
      <c r="O900" s="153">
        <f t="shared" si="44"/>
        <v>0</v>
      </c>
      <c r="P900" s="146"/>
    </row>
    <row r="901" spans="2:16" x14ac:dyDescent="0.3">
      <c r="B901" s="146">
        <v>894</v>
      </c>
      <c r="C901" s="147"/>
      <c r="D901" s="147"/>
      <c r="E901" s="146"/>
      <c r="F901" s="148" t="str">
        <f>+IFERROR(VLOOKUP(E901,Data!C897:D992,2,0),"")</f>
        <v/>
      </c>
      <c r="G901" s="146"/>
      <c r="H901" s="149"/>
      <c r="I901" s="150"/>
      <c r="J901" s="151" t="str">
        <f t="shared" si="42"/>
        <v>-</v>
      </c>
      <c r="K901" s="152"/>
      <c r="L901" s="149"/>
      <c r="M901" s="149"/>
      <c r="N901" s="153">
        <f t="shared" si="43"/>
        <v>0</v>
      </c>
      <c r="O901" s="153">
        <f t="shared" si="44"/>
        <v>0</v>
      </c>
      <c r="P901" s="146"/>
    </row>
    <row r="902" spans="2:16" x14ac:dyDescent="0.3">
      <c r="B902" s="146">
        <v>895</v>
      </c>
      <c r="C902" s="147"/>
      <c r="D902" s="147"/>
      <c r="E902" s="146"/>
      <c r="F902" s="148" t="str">
        <f>+IFERROR(VLOOKUP(E902,Data!C898:D993,2,0),"")</f>
        <v/>
      </c>
      <c r="G902" s="146"/>
      <c r="H902" s="149"/>
      <c r="I902" s="150"/>
      <c r="J902" s="151" t="str">
        <f t="shared" si="42"/>
        <v>-</v>
      </c>
      <c r="K902" s="152"/>
      <c r="L902" s="149"/>
      <c r="M902" s="149"/>
      <c r="N902" s="153">
        <f t="shared" si="43"/>
        <v>0</v>
      </c>
      <c r="O902" s="153">
        <f t="shared" si="44"/>
        <v>0</v>
      </c>
      <c r="P902" s="146"/>
    </row>
    <row r="903" spans="2:16" x14ac:dyDescent="0.3">
      <c r="B903" s="146">
        <v>896</v>
      </c>
      <c r="C903" s="147"/>
      <c r="D903" s="147"/>
      <c r="E903" s="146"/>
      <c r="F903" s="148" t="str">
        <f>+IFERROR(VLOOKUP(E903,Data!C899:D994,2,0),"")</f>
        <v/>
      </c>
      <c r="G903" s="146"/>
      <c r="H903" s="149"/>
      <c r="I903" s="150"/>
      <c r="J903" s="151" t="str">
        <f t="shared" si="42"/>
        <v>-</v>
      </c>
      <c r="K903" s="152"/>
      <c r="L903" s="149"/>
      <c r="M903" s="149"/>
      <c r="N903" s="153">
        <f t="shared" si="43"/>
        <v>0</v>
      </c>
      <c r="O903" s="153">
        <f t="shared" si="44"/>
        <v>0</v>
      </c>
      <c r="P903" s="146"/>
    </row>
    <row r="904" spans="2:16" x14ac:dyDescent="0.3">
      <c r="B904" s="146">
        <v>897</v>
      </c>
      <c r="C904" s="147"/>
      <c r="D904" s="147"/>
      <c r="E904" s="146"/>
      <c r="F904" s="148" t="str">
        <f>+IFERROR(VLOOKUP(E904,Data!C900:D995,2,0),"")</f>
        <v/>
      </c>
      <c r="G904" s="146"/>
      <c r="H904" s="149"/>
      <c r="I904" s="150"/>
      <c r="J904" s="151" t="str">
        <f t="shared" si="42"/>
        <v>-</v>
      </c>
      <c r="K904" s="152"/>
      <c r="L904" s="149"/>
      <c r="M904" s="149"/>
      <c r="N904" s="153">
        <f t="shared" si="43"/>
        <v>0</v>
      </c>
      <c r="O904" s="153">
        <f t="shared" si="44"/>
        <v>0</v>
      </c>
      <c r="P904" s="146"/>
    </row>
    <row r="905" spans="2:16" x14ac:dyDescent="0.3">
      <c r="B905" s="146">
        <v>898</v>
      </c>
      <c r="C905" s="147"/>
      <c r="D905" s="147"/>
      <c r="E905" s="146"/>
      <c r="F905" s="148" t="str">
        <f>+IFERROR(VLOOKUP(E905,Data!C901:D996,2,0),"")</f>
        <v/>
      </c>
      <c r="G905" s="146"/>
      <c r="H905" s="149"/>
      <c r="I905" s="150"/>
      <c r="J905" s="151" t="str">
        <f t="shared" si="42"/>
        <v>-</v>
      </c>
      <c r="K905" s="152"/>
      <c r="L905" s="149"/>
      <c r="M905" s="149"/>
      <c r="N905" s="153">
        <f t="shared" si="43"/>
        <v>0</v>
      </c>
      <c r="O905" s="153">
        <f t="shared" si="44"/>
        <v>0</v>
      </c>
      <c r="P905" s="146"/>
    </row>
    <row r="906" spans="2:16" x14ac:dyDescent="0.3">
      <c r="B906" s="146">
        <v>899</v>
      </c>
      <c r="C906" s="147"/>
      <c r="D906" s="147"/>
      <c r="E906" s="146"/>
      <c r="F906" s="148" t="str">
        <f>+IFERROR(VLOOKUP(E906,Data!C902:D997,2,0),"")</f>
        <v/>
      </c>
      <c r="G906" s="146"/>
      <c r="H906" s="149"/>
      <c r="I906" s="150"/>
      <c r="J906" s="151" t="str">
        <f t="shared" si="42"/>
        <v>-</v>
      </c>
      <c r="K906" s="152"/>
      <c r="L906" s="149"/>
      <c r="M906" s="149"/>
      <c r="N906" s="153">
        <f t="shared" si="43"/>
        <v>0</v>
      </c>
      <c r="O906" s="153">
        <f t="shared" si="44"/>
        <v>0</v>
      </c>
      <c r="P906" s="146"/>
    </row>
    <row r="907" spans="2:16" x14ac:dyDescent="0.3">
      <c r="B907" s="146">
        <v>900</v>
      </c>
      <c r="C907" s="147"/>
      <c r="D907" s="147"/>
      <c r="E907" s="146"/>
      <c r="F907" s="148" t="str">
        <f>+IFERROR(VLOOKUP(E907,Data!C903:D998,2,0),"")</f>
        <v/>
      </c>
      <c r="G907" s="146"/>
      <c r="H907" s="149"/>
      <c r="I907" s="150"/>
      <c r="J907" s="151" t="str">
        <f t="shared" si="42"/>
        <v>-</v>
      </c>
      <c r="K907" s="152"/>
      <c r="L907" s="149"/>
      <c r="M907" s="149"/>
      <c r="N907" s="153">
        <f t="shared" si="43"/>
        <v>0</v>
      </c>
      <c r="O907" s="153">
        <f t="shared" si="44"/>
        <v>0</v>
      </c>
      <c r="P907" s="146"/>
    </row>
    <row r="908" spans="2:16" x14ac:dyDescent="0.3">
      <c r="B908" s="146">
        <v>901</v>
      </c>
      <c r="C908" s="147"/>
      <c r="D908" s="147"/>
      <c r="E908" s="146"/>
      <c r="F908" s="148" t="str">
        <f>+IFERROR(VLOOKUP(E908,Data!C904:D999,2,0),"")</f>
        <v/>
      </c>
      <c r="G908" s="146"/>
      <c r="H908" s="149"/>
      <c r="I908" s="150"/>
      <c r="J908" s="151" t="str">
        <f t="shared" si="42"/>
        <v>-</v>
      </c>
      <c r="K908" s="152"/>
      <c r="L908" s="149"/>
      <c r="M908" s="149"/>
      <c r="N908" s="153">
        <f t="shared" si="43"/>
        <v>0</v>
      </c>
      <c r="O908" s="153">
        <f t="shared" si="44"/>
        <v>0</v>
      </c>
      <c r="P908" s="146"/>
    </row>
    <row r="909" spans="2:16" x14ac:dyDescent="0.3">
      <c r="B909" s="146">
        <v>902</v>
      </c>
      <c r="C909" s="147"/>
      <c r="D909" s="147"/>
      <c r="E909" s="146"/>
      <c r="F909" s="148" t="str">
        <f>+IFERROR(VLOOKUP(E909,Data!C905:D1000,2,0),"")</f>
        <v/>
      </c>
      <c r="G909" s="146"/>
      <c r="H909" s="149"/>
      <c r="I909" s="150"/>
      <c r="J909" s="151" t="str">
        <f t="shared" si="42"/>
        <v>-</v>
      </c>
      <c r="K909" s="152"/>
      <c r="L909" s="149"/>
      <c r="M909" s="149"/>
      <c r="N909" s="153">
        <f t="shared" si="43"/>
        <v>0</v>
      </c>
      <c r="O909" s="153">
        <f t="shared" si="44"/>
        <v>0</v>
      </c>
      <c r="P909" s="146"/>
    </row>
    <row r="910" spans="2:16" x14ac:dyDescent="0.3">
      <c r="B910" s="146">
        <v>903</v>
      </c>
      <c r="C910" s="147"/>
      <c r="D910" s="147"/>
      <c r="E910" s="146"/>
      <c r="F910" s="148" t="str">
        <f>+IFERROR(VLOOKUP(E910,Data!C906:D1001,2,0),"")</f>
        <v/>
      </c>
      <c r="G910" s="146"/>
      <c r="H910" s="149"/>
      <c r="I910" s="150"/>
      <c r="J910" s="151" t="str">
        <f t="shared" si="42"/>
        <v>-</v>
      </c>
      <c r="K910" s="152"/>
      <c r="L910" s="149"/>
      <c r="M910" s="149"/>
      <c r="N910" s="153">
        <f t="shared" si="43"/>
        <v>0</v>
      </c>
      <c r="O910" s="153">
        <f t="shared" si="44"/>
        <v>0</v>
      </c>
      <c r="P910" s="146"/>
    </row>
    <row r="911" spans="2:16" x14ac:dyDescent="0.3">
      <c r="B911" s="146">
        <v>904</v>
      </c>
      <c r="C911" s="147"/>
      <c r="D911" s="147"/>
      <c r="E911" s="146"/>
      <c r="F911" s="148" t="str">
        <f>+IFERROR(VLOOKUP(E911,Data!C907:D1002,2,0),"")</f>
        <v/>
      </c>
      <c r="G911" s="146"/>
      <c r="H911" s="149"/>
      <c r="I911" s="150"/>
      <c r="J911" s="151" t="str">
        <f t="shared" si="42"/>
        <v>-</v>
      </c>
      <c r="K911" s="152"/>
      <c r="L911" s="149"/>
      <c r="M911" s="149"/>
      <c r="N911" s="153">
        <f t="shared" si="43"/>
        <v>0</v>
      </c>
      <c r="O911" s="153">
        <f t="shared" si="44"/>
        <v>0</v>
      </c>
      <c r="P911" s="146"/>
    </row>
    <row r="912" spans="2:16" x14ac:dyDescent="0.3">
      <c r="B912" s="146">
        <v>905</v>
      </c>
      <c r="C912" s="147"/>
      <c r="D912" s="147"/>
      <c r="E912" s="146"/>
      <c r="F912" s="148" t="str">
        <f>+IFERROR(VLOOKUP(E912,Data!C908:D1003,2,0),"")</f>
        <v/>
      </c>
      <c r="G912" s="146"/>
      <c r="H912" s="149"/>
      <c r="I912" s="150"/>
      <c r="J912" s="151" t="str">
        <f t="shared" si="42"/>
        <v>-</v>
      </c>
      <c r="K912" s="152"/>
      <c r="L912" s="149"/>
      <c r="M912" s="149"/>
      <c r="N912" s="153">
        <f t="shared" si="43"/>
        <v>0</v>
      </c>
      <c r="O912" s="153">
        <f t="shared" si="44"/>
        <v>0</v>
      </c>
      <c r="P912" s="146"/>
    </row>
    <row r="913" spans="2:16" x14ac:dyDescent="0.3">
      <c r="B913" s="146">
        <v>906</v>
      </c>
      <c r="C913" s="147"/>
      <c r="D913" s="147"/>
      <c r="E913" s="146"/>
      <c r="F913" s="148" t="str">
        <f>+IFERROR(VLOOKUP(E913,Data!C909:D1004,2,0),"")</f>
        <v/>
      </c>
      <c r="G913" s="146"/>
      <c r="H913" s="149"/>
      <c r="I913" s="150"/>
      <c r="J913" s="151" t="str">
        <f t="shared" si="42"/>
        <v>-</v>
      </c>
      <c r="K913" s="152"/>
      <c r="L913" s="149"/>
      <c r="M913" s="149"/>
      <c r="N913" s="153">
        <f t="shared" si="43"/>
        <v>0</v>
      </c>
      <c r="O913" s="153">
        <f t="shared" si="44"/>
        <v>0</v>
      </c>
      <c r="P913" s="146"/>
    </row>
    <row r="914" spans="2:16" x14ac:dyDescent="0.3">
      <c r="B914" s="146">
        <v>907</v>
      </c>
      <c r="C914" s="147"/>
      <c r="D914" s="147"/>
      <c r="E914" s="146"/>
      <c r="F914" s="148" t="str">
        <f>+IFERROR(VLOOKUP(E914,Data!C910:D1005,2,0),"")</f>
        <v/>
      </c>
      <c r="G914" s="146"/>
      <c r="H914" s="149"/>
      <c r="I914" s="150"/>
      <c r="J914" s="151" t="str">
        <f t="shared" si="42"/>
        <v>-</v>
      </c>
      <c r="K914" s="152"/>
      <c r="L914" s="149"/>
      <c r="M914" s="149"/>
      <c r="N914" s="153">
        <f t="shared" si="43"/>
        <v>0</v>
      </c>
      <c r="O914" s="153">
        <f t="shared" si="44"/>
        <v>0</v>
      </c>
      <c r="P914" s="146"/>
    </row>
    <row r="915" spans="2:16" x14ac:dyDescent="0.3">
      <c r="B915" s="146">
        <v>908</v>
      </c>
      <c r="C915" s="147"/>
      <c r="D915" s="147"/>
      <c r="E915" s="146"/>
      <c r="F915" s="148" t="str">
        <f>+IFERROR(VLOOKUP(E915,Data!C911:D1006,2,0),"")</f>
        <v/>
      </c>
      <c r="G915" s="146"/>
      <c r="H915" s="149"/>
      <c r="I915" s="150"/>
      <c r="J915" s="151" t="str">
        <f t="shared" si="42"/>
        <v>-</v>
      </c>
      <c r="K915" s="152"/>
      <c r="L915" s="149"/>
      <c r="M915" s="149"/>
      <c r="N915" s="153">
        <f t="shared" si="43"/>
        <v>0</v>
      </c>
      <c r="O915" s="153">
        <f t="shared" si="44"/>
        <v>0</v>
      </c>
      <c r="P915" s="146"/>
    </row>
    <row r="916" spans="2:16" x14ac:dyDescent="0.3">
      <c r="B916" s="146">
        <v>909</v>
      </c>
      <c r="C916" s="147"/>
      <c r="D916" s="147"/>
      <c r="E916" s="146"/>
      <c r="F916" s="148" t="str">
        <f>+IFERROR(VLOOKUP(E916,Data!C912:D1007,2,0),"")</f>
        <v/>
      </c>
      <c r="G916" s="146"/>
      <c r="H916" s="149"/>
      <c r="I916" s="150"/>
      <c r="J916" s="151" t="str">
        <f t="shared" si="42"/>
        <v>-</v>
      </c>
      <c r="K916" s="152"/>
      <c r="L916" s="149"/>
      <c r="M916" s="149"/>
      <c r="N916" s="153">
        <f t="shared" si="43"/>
        <v>0</v>
      </c>
      <c r="O916" s="153">
        <f t="shared" si="44"/>
        <v>0</v>
      </c>
      <c r="P916" s="146"/>
    </row>
    <row r="917" spans="2:16" x14ac:dyDescent="0.3">
      <c r="B917" s="146">
        <v>910</v>
      </c>
      <c r="C917" s="147"/>
      <c r="D917" s="147"/>
      <c r="E917" s="146"/>
      <c r="F917" s="148" t="str">
        <f>+IFERROR(VLOOKUP(E917,Data!C913:D1008,2,0),"")</f>
        <v/>
      </c>
      <c r="G917" s="146"/>
      <c r="H917" s="149"/>
      <c r="I917" s="150"/>
      <c r="J917" s="151" t="str">
        <f t="shared" si="42"/>
        <v>-</v>
      </c>
      <c r="K917" s="152"/>
      <c r="L917" s="149"/>
      <c r="M917" s="149"/>
      <c r="N917" s="153">
        <f t="shared" si="43"/>
        <v>0</v>
      </c>
      <c r="O917" s="153">
        <f t="shared" si="44"/>
        <v>0</v>
      </c>
      <c r="P917" s="146"/>
    </row>
    <row r="918" spans="2:16" x14ac:dyDescent="0.3">
      <c r="B918" s="146">
        <v>911</v>
      </c>
      <c r="C918" s="147"/>
      <c r="D918" s="147"/>
      <c r="E918" s="146"/>
      <c r="F918" s="148" t="str">
        <f>+IFERROR(VLOOKUP(E918,Data!C914:D1009,2,0),"")</f>
        <v/>
      </c>
      <c r="G918" s="146"/>
      <c r="H918" s="149"/>
      <c r="I918" s="150"/>
      <c r="J918" s="151" t="str">
        <f t="shared" si="42"/>
        <v>-</v>
      </c>
      <c r="K918" s="152"/>
      <c r="L918" s="149"/>
      <c r="M918" s="149"/>
      <c r="N918" s="153">
        <f t="shared" si="43"/>
        <v>0</v>
      </c>
      <c r="O918" s="153">
        <f t="shared" si="44"/>
        <v>0</v>
      </c>
      <c r="P918" s="146"/>
    </row>
    <row r="919" spans="2:16" x14ac:dyDescent="0.3">
      <c r="B919" s="146">
        <v>912</v>
      </c>
      <c r="C919" s="147"/>
      <c r="D919" s="147"/>
      <c r="E919" s="146"/>
      <c r="F919" s="148" t="str">
        <f>+IFERROR(VLOOKUP(E919,Data!C915:D1010,2,0),"")</f>
        <v/>
      </c>
      <c r="G919" s="146"/>
      <c r="H919" s="149"/>
      <c r="I919" s="150"/>
      <c r="J919" s="151" t="str">
        <f t="shared" si="42"/>
        <v>-</v>
      </c>
      <c r="K919" s="152"/>
      <c r="L919" s="149"/>
      <c r="M919" s="149"/>
      <c r="N919" s="153">
        <f t="shared" si="43"/>
        <v>0</v>
      </c>
      <c r="O919" s="153">
        <f t="shared" si="44"/>
        <v>0</v>
      </c>
      <c r="P919" s="146"/>
    </row>
    <row r="920" spans="2:16" x14ac:dyDescent="0.3">
      <c r="B920" s="146">
        <v>913</v>
      </c>
      <c r="C920" s="147"/>
      <c r="D920" s="147"/>
      <c r="E920" s="146"/>
      <c r="F920" s="148" t="str">
        <f>+IFERROR(VLOOKUP(E920,Data!C916:D1011,2,0),"")</f>
        <v/>
      </c>
      <c r="G920" s="146"/>
      <c r="H920" s="149"/>
      <c r="I920" s="150"/>
      <c r="J920" s="151" t="str">
        <f t="shared" si="42"/>
        <v>-</v>
      </c>
      <c r="K920" s="152"/>
      <c r="L920" s="149"/>
      <c r="M920" s="149"/>
      <c r="N920" s="153">
        <f t="shared" si="43"/>
        <v>0</v>
      </c>
      <c r="O920" s="153">
        <f t="shared" si="44"/>
        <v>0</v>
      </c>
      <c r="P920" s="146"/>
    </row>
    <row r="921" spans="2:16" x14ac:dyDescent="0.3">
      <c r="B921" s="146">
        <v>914</v>
      </c>
      <c r="C921" s="147"/>
      <c r="D921" s="147"/>
      <c r="E921" s="146"/>
      <c r="F921" s="148" t="str">
        <f>+IFERROR(VLOOKUP(E921,Data!C917:D1012,2,0),"")</f>
        <v/>
      </c>
      <c r="G921" s="146"/>
      <c r="H921" s="149"/>
      <c r="I921" s="150"/>
      <c r="J921" s="151" t="str">
        <f t="shared" si="42"/>
        <v>-</v>
      </c>
      <c r="K921" s="152"/>
      <c r="L921" s="149"/>
      <c r="M921" s="149"/>
      <c r="N921" s="153">
        <f t="shared" si="43"/>
        <v>0</v>
      </c>
      <c r="O921" s="153">
        <f t="shared" si="44"/>
        <v>0</v>
      </c>
      <c r="P921" s="146"/>
    </row>
    <row r="922" spans="2:16" x14ac:dyDescent="0.3">
      <c r="B922" s="146">
        <v>915</v>
      </c>
      <c r="C922" s="147"/>
      <c r="D922" s="147"/>
      <c r="E922" s="146"/>
      <c r="F922" s="148" t="str">
        <f>+IFERROR(VLOOKUP(E922,Data!C918:D1013,2,0),"")</f>
        <v/>
      </c>
      <c r="G922" s="146"/>
      <c r="H922" s="149"/>
      <c r="I922" s="150"/>
      <c r="J922" s="151" t="str">
        <f t="shared" si="42"/>
        <v>-</v>
      </c>
      <c r="K922" s="152"/>
      <c r="L922" s="149"/>
      <c r="M922" s="149"/>
      <c r="N922" s="153">
        <f t="shared" si="43"/>
        <v>0</v>
      </c>
      <c r="O922" s="153">
        <f t="shared" si="44"/>
        <v>0</v>
      </c>
      <c r="P922" s="146"/>
    </row>
    <row r="923" spans="2:16" x14ac:dyDescent="0.3">
      <c r="B923" s="146">
        <v>916</v>
      </c>
      <c r="C923" s="147"/>
      <c r="D923" s="147"/>
      <c r="E923" s="146"/>
      <c r="F923" s="148" t="str">
        <f>+IFERROR(VLOOKUP(E923,Data!C919:D1014,2,0),"")</f>
        <v/>
      </c>
      <c r="G923" s="146"/>
      <c r="H923" s="149"/>
      <c r="I923" s="150"/>
      <c r="J923" s="151" t="str">
        <f t="shared" si="42"/>
        <v>-</v>
      </c>
      <c r="K923" s="152"/>
      <c r="L923" s="149"/>
      <c r="M923" s="149"/>
      <c r="N923" s="153">
        <f t="shared" si="43"/>
        <v>0</v>
      </c>
      <c r="O923" s="153">
        <f t="shared" si="44"/>
        <v>0</v>
      </c>
      <c r="P923" s="146"/>
    </row>
    <row r="924" spans="2:16" x14ac:dyDescent="0.3">
      <c r="B924" s="146">
        <v>917</v>
      </c>
      <c r="C924" s="147"/>
      <c r="D924" s="147"/>
      <c r="E924" s="146"/>
      <c r="F924" s="148" t="str">
        <f>+IFERROR(VLOOKUP(E924,Data!C920:D1015,2,0),"")</f>
        <v/>
      </c>
      <c r="G924" s="146"/>
      <c r="H924" s="149"/>
      <c r="I924" s="150"/>
      <c r="J924" s="151" t="str">
        <f t="shared" si="42"/>
        <v>-</v>
      </c>
      <c r="K924" s="152"/>
      <c r="L924" s="149"/>
      <c r="M924" s="149"/>
      <c r="N924" s="153">
        <f t="shared" si="43"/>
        <v>0</v>
      </c>
      <c r="O924" s="153">
        <f t="shared" si="44"/>
        <v>0</v>
      </c>
      <c r="P924" s="146"/>
    </row>
    <row r="925" spans="2:16" x14ac:dyDescent="0.3">
      <c r="B925" s="146">
        <v>918</v>
      </c>
      <c r="C925" s="147"/>
      <c r="D925" s="147"/>
      <c r="E925" s="146"/>
      <c r="F925" s="148" t="str">
        <f>+IFERROR(VLOOKUP(E925,Data!C921:D1016,2,0),"")</f>
        <v/>
      </c>
      <c r="G925" s="146"/>
      <c r="H925" s="149"/>
      <c r="I925" s="150"/>
      <c r="J925" s="151" t="str">
        <f t="shared" si="42"/>
        <v>-</v>
      </c>
      <c r="K925" s="152"/>
      <c r="L925" s="149"/>
      <c r="M925" s="149"/>
      <c r="N925" s="153">
        <f t="shared" si="43"/>
        <v>0</v>
      </c>
      <c r="O925" s="153">
        <f t="shared" si="44"/>
        <v>0</v>
      </c>
      <c r="P925" s="146"/>
    </row>
    <row r="926" spans="2:16" x14ac:dyDescent="0.3">
      <c r="B926" s="146">
        <v>919</v>
      </c>
      <c r="C926" s="147"/>
      <c r="D926" s="147"/>
      <c r="E926" s="146"/>
      <c r="F926" s="148" t="str">
        <f>+IFERROR(VLOOKUP(E926,Data!C922:D1017,2,0),"")</f>
        <v/>
      </c>
      <c r="G926" s="146"/>
      <c r="H926" s="149"/>
      <c r="I926" s="150"/>
      <c r="J926" s="151" t="str">
        <f t="shared" si="42"/>
        <v>-</v>
      </c>
      <c r="K926" s="152"/>
      <c r="L926" s="149"/>
      <c r="M926" s="149"/>
      <c r="N926" s="153">
        <f t="shared" si="43"/>
        <v>0</v>
      </c>
      <c r="O926" s="153">
        <f t="shared" si="44"/>
        <v>0</v>
      </c>
      <c r="P926" s="146"/>
    </row>
    <row r="927" spans="2:16" x14ac:dyDescent="0.3">
      <c r="B927" s="146">
        <v>920</v>
      </c>
      <c r="C927" s="147"/>
      <c r="D927" s="147"/>
      <c r="E927" s="146"/>
      <c r="F927" s="148" t="str">
        <f>+IFERROR(VLOOKUP(E927,Data!C923:D1018,2,0),"")</f>
        <v/>
      </c>
      <c r="G927" s="146"/>
      <c r="H927" s="149"/>
      <c r="I927" s="150"/>
      <c r="J927" s="151" t="str">
        <f t="shared" si="42"/>
        <v>-</v>
      </c>
      <c r="K927" s="152"/>
      <c r="L927" s="149"/>
      <c r="M927" s="149"/>
      <c r="N927" s="153">
        <f t="shared" si="43"/>
        <v>0</v>
      </c>
      <c r="O927" s="153">
        <f t="shared" si="44"/>
        <v>0</v>
      </c>
      <c r="P927" s="146"/>
    </row>
    <row r="928" spans="2:16" x14ac:dyDescent="0.3">
      <c r="B928" s="146">
        <v>921</v>
      </c>
      <c r="C928" s="147"/>
      <c r="D928" s="147"/>
      <c r="E928" s="146"/>
      <c r="F928" s="148" t="str">
        <f>+IFERROR(VLOOKUP(E928,Data!C924:D1019,2,0),"")</f>
        <v/>
      </c>
      <c r="G928" s="146"/>
      <c r="H928" s="149"/>
      <c r="I928" s="150"/>
      <c r="J928" s="151" t="str">
        <f t="shared" si="42"/>
        <v>-</v>
      </c>
      <c r="K928" s="152"/>
      <c r="L928" s="149"/>
      <c r="M928" s="149"/>
      <c r="N928" s="153">
        <f t="shared" si="43"/>
        <v>0</v>
      </c>
      <c r="O928" s="153">
        <f t="shared" si="44"/>
        <v>0</v>
      </c>
      <c r="P928" s="146"/>
    </row>
    <row r="929" spans="2:16" x14ac:dyDescent="0.3">
      <c r="B929" s="146">
        <v>922</v>
      </c>
      <c r="C929" s="147"/>
      <c r="D929" s="147"/>
      <c r="E929" s="146"/>
      <c r="F929" s="148" t="str">
        <f>+IFERROR(VLOOKUP(E929,Data!C925:D1020,2,0),"")</f>
        <v/>
      </c>
      <c r="G929" s="146"/>
      <c r="H929" s="149"/>
      <c r="I929" s="150"/>
      <c r="J929" s="151" t="str">
        <f t="shared" si="42"/>
        <v>-</v>
      </c>
      <c r="K929" s="152"/>
      <c r="L929" s="149"/>
      <c r="M929" s="149"/>
      <c r="N929" s="153">
        <f t="shared" si="43"/>
        <v>0</v>
      </c>
      <c r="O929" s="153">
        <f t="shared" si="44"/>
        <v>0</v>
      </c>
      <c r="P929" s="146"/>
    </row>
    <row r="930" spans="2:16" x14ac:dyDescent="0.3">
      <c r="B930" s="146">
        <v>923</v>
      </c>
      <c r="C930" s="147"/>
      <c r="D930" s="147"/>
      <c r="E930" s="146"/>
      <c r="F930" s="148" t="str">
        <f>+IFERROR(VLOOKUP(E930,Data!C926:D1021,2,0),"")</f>
        <v/>
      </c>
      <c r="G930" s="146"/>
      <c r="H930" s="149"/>
      <c r="I930" s="150"/>
      <c r="J930" s="151" t="str">
        <f t="shared" si="42"/>
        <v>-</v>
      </c>
      <c r="K930" s="152"/>
      <c r="L930" s="149"/>
      <c r="M930" s="149"/>
      <c r="N930" s="153">
        <f t="shared" si="43"/>
        <v>0</v>
      </c>
      <c r="O930" s="153">
        <f t="shared" si="44"/>
        <v>0</v>
      </c>
      <c r="P930" s="146"/>
    </row>
    <row r="931" spans="2:16" x14ac:dyDescent="0.3">
      <c r="B931" s="146">
        <v>924</v>
      </c>
      <c r="C931" s="147"/>
      <c r="D931" s="147"/>
      <c r="E931" s="146"/>
      <c r="F931" s="148" t="str">
        <f>+IFERROR(VLOOKUP(E931,Data!C927:D1022,2,0),"")</f>
        <v/>
      </c>
      <c r="G931" s="146"/>
      <c r="H931" s="149"/>
      <c r="I931" s="150"/>
      <c r="J931" s="151" t="str">
        <f t="shared" si="42"/>
        <v>-</v>
      </c>
      <c r="K931" s="152"/>
      <c r="L931" s="149"/>
      <c r="M931" s="149"/>
      <c r="N931" s="153">
        <f t="shared" si="43"/>
        <v>0</v>
      </c>
      <c r="O931" s="153">
        <f t="shared" si="44"/>
        <v>0</v>
      </c>
      <c r="P931" s="146"/>
    </row>
    <row r="932" spans="2:16" x14ac:dyDescent="0.3">
      <c r="B932" s="146">
        <v>925</v>
      </c>
      <c r="C932" s="147"/>
      <c r="D932" s="147"/>
      <c r="E932" s="146"/>
      <c r="F932" s="148" t="str">
        <f>+IFERROR(VLOOKUP(E932,Data!C928:D1023,2,0),"")</f>
        <v/>
      </c>
      <c r="G932" s="146"/>
      <c r="H932" s="149"/>
      <c r="I932" s="150"/>
      <c r="J932" s="151" t="str">
        <f t="shared" si="42"/>
        <v>-</v>
      </c>
      <c r="K932" s="152"/>
      <c r="L932" s="149"/>
      <c r="M932" s="149"/>
      <c r="N932" s="153">
        <f t="shared" si="43"/>
        <v>0</v>
      </c>
      <c r="O932" s="153">
        <f t="shared" si="44"/>
        <v>0</v>
      </c>
      <c r="P932" s="146"/>
    </row>
    <row r="933" spans="2:16" x14ac:dyDescent="0.3">
      <c r="B933" s="146">
        <v>926</v>
      </c>
      <c r="C933" s="147"/>
      <c r="D933" s="147"/>
      <c r="E933" s="146"/>
      <c r="F933" s="148" t="str">
        <f>+IFERROR(VLOOKUP(E933,Data!C929:D1024,2,0),"")</f>
        <v/>
      </c>
      <c r="G933" s="146"/>
      <c r="H933" s="149"/>
      <c r="I933" s="150"/>
      <c r="J933" s="151" t="str">
        <f t="shared" si="42"/>
        <v>-</v>
      </c>
      <c r="K933" s="152"/>
      <c r="L933" s="149"/>
      <c r="M933" s="149"/>
      <c r="N933" s="153">
        <f t="shared" si="43"/>
        <v>0</v>
      </c>
      <c r="O933" s="153">
        <f t="shared" si="44"/>
        <v>0</v>
      </c>
      <c r="P933" s="146"/>
    </row>
    <row r="934" spans="2:16" x14ac:dyDescent="0.3">
      <c r="B934" s="146">
        <v>927</v>
      </c>
      <c r="C934" s="147"/>
      <c r="D934" s="147"/>
      <c r="E934" s="146"/>
      <c r="F934" s="148" t="str">
        <f>+IFERROR(VLOOKUP(E934,Data!C930:D1025,2,0),"")</f>
        <v/>
      </c>
      <c r="G934" s="146"/>
      <c r="H934" s="149"/>
      <c r="I934" s="150"/>
      <c r="J934" s="151" t="str">
        <f t="shared" si="42"/>
        <v>-</v>
      </c>
      <c r="K934" s="152"/>
      <c r="L934" s="149"/>
      <c r="M934" s="149"/>
      <c r="N934" s="153">
        <f t="shared" si="43"/>
        <v>0</v>
      </c>
      <c r="O934" s="153">
        <f t="shared" si="44"/>
        <v>0</v>
      </c>
      <c r="P934" s="146"/>
    </row>
    <row r="935" spans="2:16" x14ac:dyDescent="0.3">
      <c r="B935" s="146">
        <v>928</v>
      </c>
      <c r="C935" s="147"/>
      <c r="D935" s="147"/>
      <c r="E935" s="146"/>
      <c r="F935" s="148" t="str">
        <f>+IFERROR(VLOOKUP(E935,Data!C931:D1026,2,0),"")</f>
        <v/>
      </c>
      <c r="G935" s="146"/>
      <c r="H935" s="149"/>
      <c r="I935" s="150"/>
      <c r="J935" s="151" t="str">
        <f t="shared" si="42"/>
        <v>-</v>
      </c>
      <c r="K935" s="152"/>
      <c r="L935" s="149"/>
      <c r="M935" s="149"/>
      <c r="N935" s="153">
        <f t="shared" si="43"/>
        <v>0</v>
      </c>
      <c r="O935" s="153">
        <f t="shared" si="44"/>
        <v>0</v>
      </c>
      <c r="P935" s="146"/>
    </row>
    <row r="936" spans="2:16" x14ac:dyDescent="0.3">
      <c r="B936" s="146">
        <v>929</v>
      </c>
      <c r="C936" s="147"/>
      <c r="D936" s="147"/>
      <c r="E936" s="146"/>
      <c r="F936" s="148" t="str">
        <f>+IFERROR(VLOOKUP(E936,Data!C932:D1027,2,0),"")</f>
        <v/>
      </c>
      <c r="G936" s="146"/>
      <c r="H936" s="149"/>
      <c r="I936" s="150"/>
      <c r="J936" s="151" t="str">
        <f t="shared" si="42"/>
        <v>-</v>
      </c>
      <c r="K936" s="152"/>
      <c r="L936" s="149"/>
      <c r="M936" s="149"/>
      <c r="N936" s="153">
        <f t="shared" si="43"/>
        <v>0</v>
      </c>
      <c r="O936" s="153">
        <f t="shared" si="44"/>
        <v>0</v>
      </c>
      <c r="P936" s="146"/>
    </row>
    <row r="937" spans="2:16" x14ac:dyDescent="0.3">
      <c r="B937" s="146">
        <v>930</v>
      </c>
      <c r="C937" s="147"/>
      <c r="D937" s="147"/>
      <c r="E937" s="146"/>
      <c r="F937" s="148" t="str">
        <f>+IFERROR(VLOOKUP(E937,Data!C933:D1028,2,0),"")</f>
        <v/>
      </c>
      <c r="G937" s="146"/>
      <c r="H937" s="149"/>
      <c r="I937" s="150"/>
      <c r="J937" s="151" t="str">
        <f t="shared" si="42"/>
        <v>-</v>
      </c>
      <c r="K937" s="152"/>
      <c r="L937" s="149"/>
      <c r="M937" s="149"/>
      <c r="N937" s="153">
        <f t="shared" si="43"/>
        <v>0</v>
      </c>
      <c r="O937" s="153">
        <f t="shared" si="44"/>
        <v>0</v>
      </c>
      <c r="P937" s="146"/>
    </row>
    <row r="938" spans="2:16" x14ac:dyDescent="0.3">
      <c r="B938" s="146">
        <v>931</v>
      </c>
      <c r="C938" s="147"/>
      <c r="D938" s="147"/>
      <c r="E938" s="146"/>
      <c r="F938" s="148" t="str">
        <f>+IFERROR(VLOOKUP(E938,Data!C934:D1029,2,0),"")</f>
        <v/>
      </c>
      <c r="G938" s="146"/>
      <c r="H938" s="149"/>
      <c r="I938" s="150"/>
      <c r="J938" s="151" t="str">
        <f t="shared" si="42"/>
        <v>-</v>
      </c>
      <c r="K938" s="152"/>
      <c r="L938" s="149"/>
      <c r="M938" s="149"/>
      <c r="N938" s="153">
        <f t="shared" si="43"/>
        <v>0</v>
      </c>
      <c r="O938" s="153">
        <f t="shared" si="44"/>
        <v>0</v>
      </c>
      <c r="P938" s="146"/>
    </row>
    <row r="939" spans="2:16" x14ac:dyDescent="0.3">
      <c r="B939" s="146">
        <v>932</v>
      </c>
      <c r="C939" s="147"/>
      <c r="D939" s="147"/>
      <c r="E939" s="146"/>
      <c r="F939" s="148" t="str">
        <f>+IFERROR(VLOOKUP(E939,Data!C935:D1030,2,0),"")</f>
        <v/>
      </c>
      <c r="G939" s="146"/>
      <c r="H939" s="149"/>
      <c r="I939" s="150"/>
      <c r="J939" s="151" t="str">
        <f t="shared" si="42"/>
        <v>-</v>
      </c>
      <c r="K939" s="152"/>
      <c r="L939" s="149"/>
      <c r="M939" s="149"/>
      <c r="N939" s="153">
        <f t="shared" si="43"/>
        <v>0</v>
      </c>
      <c r="O939" s="153">
        <f t="shared" si="44"/>
        <v>0</v>
      </c>
      <c r="P939" s="146"/>
    </row>
    <row r="940" spans="2:16" x14ac:dyDescent="0.3">
      <c r="B940" s="146">
        <v>933</v>
      </c>
      <c r="C940" s="147"/>
      <c r="D940" s="147"/>
      <c r="E940" s="146"/>
      <c r="F940" s="148" t="str">
        <f>+IFERROR(VLOOKUP(E940,Data!C936:D1031,2,0),"")</f>
        <v/>
      </c>
      <c r="G940" s="146"/>
      <c r="H940" s="149"/>
      <c r="I940" s="150"/>
      <c r="J940" s="151" t="str">
        <f t="shared" si="42"/>
        <v>-</v>
      </c>
      <c r="K940" s="152"/>
      <c r="L940" s="149"/>
      <c r="M940" s="149"/>
      <c r="N940" s="153">
        <f t="shared" si="43"/>
        <v>0</v>
      </c>
      <c r="O940" s="153">
        <f t="shared" si="44"/>
        <v>0</v>
      </c>
      <c r="P940" s="146"/>
    </row>
    <row r="941" spans="2:16" x14ac:dyDescent="0.3">
      <c r="B941" s="146">
        <v>934</v>
      </c>
      <c r="C941" s="147"/>
      <c r="D941" s="147"/>
      <c r="E941" s="146"/>
      <c r="F941" s="148" t="str">
        <f>+IFERROR(VLOOKUP(E941,Data!C937:D1032,2,0),"")</f>
        <v/>
      </c>
      <c r="G941" s="146"/>
      <c r="H941" s="149"/>
      <c r="I941" s="150"/>
      <c r="J941" s="151" t="str">
        <f t="shared" si="42"/>
        <v>-</v>
      </c>
      <c r="K941" s="152"/>
      <c r="L941" s="149"/>
      <c r="M941" s="149"/>
      <c r="N941" s="153">
        <f t="shared" si="43"/>
        <v>0</v>
      </c>
      <c r="O941" s="153">
        <f t="shared" si="44"/>
        <v>0</v>
      </c>
      <c r="P941" s="146"/>
    </row>
    <row r="942" spans="2:16" x14ac:dyDescent="0.3">
      <c r="B942" s="146">
        <v>935</v>
      </c>
      <c r="C942" s="147"/>
      <c r="D942" s="147"/>
      <c r="E942" s="146"/>
      <c r="F942" s="148" t="str">
        <f>+IFERROR(VLOOKUP(E942,Data!C938:D1033,2,0),"")</f>
        <v/>
      </c>
      <c r="G942" s="146"/>
      <c r="H942" s="149"/>
      <c r="I942" s="150"/>
      <c r="J942" s="151" t="str">
        <f t="shared" si="42"/>
        <v>-</v>
      </c>
      <c r="K942" s="152"/>
      <c r="L942" s="149"/>
      <c r="M942" s="149"/>
      <c r="N942" s="153">
        <f t="shared" si="43"/>
        <v>0</v>
      </c>
      <c r="O942" s="153">
        <f t="shared" si="44"/>
        <v>0</v>
      </c>
      <c r="P942" s="146"/>
    </row>
    <row r="943" spans="2:16" x14ac:dyDescent="0.3">
      <c r="B943" s="146">
        <v>936</v>
      </c>
      <c r="C943" s="147"/>
      <c r="D943" s="147"/>
      <c r="E943" s="146"/>
      <c r="F943" s="148" t="str">
        <f>+IFERROR(VLOOKUP(E943,Data!C939:D1034,2,0),"")</f>
        <v/>
      </c>
      <c r="G943" s="146"/>
      <c r="H943" s="149"/>
      <c r="I943" s="150"/>
      <c r="J943" s="151" t="str">
        <f t="shared" si="42"/>
        <v>-</v>
      </c>
      <c r="K943" s="152"/>
      <c r="L943" s="149"/>
      <c r="M943" s="149"/>
      <c r="N943" s="153">
        <f t="shared" si="43"/>
        <v>0</v>
      </c>
      <c r="O943" s="153">
        <f t="shared" si="44"/>
        <v>0</v>
      </c>
      <c r="P943" s="146"/>
    </row>
    <row r="944" spans="2:16" x14ac:dyDescent="0.3">
      <c r="B944" s="146">
        <v>937</v>
      </c>
      <c r="C944" s="147"/>
      <c r="D944" s="147"/>
      <c r="E944" s="146"/>
      <c r="F944" s="148" t="str">
        <f>+IFERROR(VLOOKUP(E944,Data!C940:D1035,2,0),"")</f>
        <v/>
      </c>
      <c r="G944" s="146"/>
      <c r="H944" s="149"/>
      <c r="I944" s="150"/>
      <c r="J944" s="151" t="str">
        <f t="shared" si="42"/>
        <v>-</v>
      </c>
      <c r="K944" s="152"/>
      <c r="L944" s="149"/>
      <c r="M944" s="149"/>
      <c r="N944" s="153">
        <f t="shared" si="43"/>
        <v>0</v>
      </c>
      <c r="O944" s="153">
        <f t="shared" si="44"/>
        <v>0</v>
      </c>
      <c r="P944" s="146"/>
    </row>
    <row r="945" spans="2:16" x14ac:dyDescent="0.3">
      <c r="B945" s="146">
        <v>938</v>
      </c>
      <c r="C945" s="147"/>
      <c r="D945" s="147"/>
      <c r="E945" s="146"/>
      <c r="F945" s="148" t="str">
        <f>+IFERROR(VLOOKUP(E945,Data!C941:D1036,2,0),"")</f>
        <v/>
      </c>
      <c r="G945" s="146"/>
      <c r="H945" s="149"/>
      <c r="I945" s="150"/>
      <c r="J945" s="151" t="str">
        <f t="shared" si="42"/>
        <v>-</v>
      </c>
      <c r="K945" s="152"/>
      <c r="L945" s="149"/>
      <c r="M945" s="149"/>
      <c r="N945" s="153">
        <f t="shared" si="43"/>
        <v>0</v>
      </c>
      <c r="O945" s="153">
        <f t="shared" si="44"/>
        <v>0</v>
      </c>
      <c r="P945" s="146"/>
    </row>
    <row r="946" spans="2:16" x14ac:dyDescent="0.3">
      <c r="B946" s="146">
        <v>939</v>
      </c>
      <c r="C946" s="147"/>
      <c r="D946" s="147"/>
      <c r="E946" s="146"/>
      <c r="F946" s="148" t="str">
        <f>+IFERROR(VLOOKUP(E946,Data!C942:D1037,2,0),"")</f>
        <v/>
      </c>
      <c r="G946" s="146"/>
      <c r="H946" s="149"/>
      <c r="I946" s="150"/>
      <c r="J946" s="151" t="str">
        <f t="shared" si="42"/>
        <v>-</v>
      </c>
      <c r="K946" s="152"/>
      <c r="L946" s="149"/>
      <c r="M946" s="149"/>
      <c r="N946" s="153">
        <f t="shared" si="43"/>
        <v>0</v>
      </c>
      <c r="O946" s="153">
        <f t="shared" si="44"/>
        <v>0</v>
      </c>
      <c r="P946" s="146"/>
    </row>
    <row r="947" spans="2:16" x14ac:dyDescent="0.3">
      <c r="B947" s="146">
        <v>940</v>
      </c>
      <c r="C947" s="147"/>
      <c r="D947" s="147"/>
      <c r="E947" s="146"/>
      <c r="F947" s="148" t="str">
        <f>+IFERROR(VLOOKUP(E947,Data!C943:D1038,2,0),"")</f>
        <v/>
      </c>
      <c r="G947" s="146"/>
      <c r="H947" s="149"/>
      <c r="I947" s="150"/>
      <c r="J947" s="151" t="str">
        <f t="shared" si="42"/>
        <v>-</v>
      </c>
      <c r="K947" s="152"/>
      <c r="L947" s="149"/>
      <c r="M947" s="149"/>
      <c r="N947" s="153">
        <f t="shared" si="43"/>
        <v>0</v>
      </c>
      <c r="O947" s="153">
        <f t="shared" si="44"/>
        <v>0</v>
      </c>
      <c r="P947" s="146"/>
    </row>
    <row r="948" spans="2:16" x14ac:dyDescent="0.3">
      <c r="B948" s="146">
        <v>941</v>
      </c>
      <c r="C948" s="147"/>
      <c r="D948" s="147"/>
      <c r="E948" s="146"/>
      <c r="F948" s="148" t="str">
        <f>+IFERROR(VLOOKUP(E948,Data!C944:D1039,2,0),"")</f>
        <v/>
      </c>
      <c r="G948" s="146"/>
      <c r="H948" s="149"/>
      <c r="I948" s="150"/>
      <c r="J948" s="151" t="str">
        <f t="shared" si="42"/>
        <v>-</v>
      </c>
      <c r="K948" s="152"/>
      <c r="L948" s="149"/>
      <c r="M948" s="149"/>
      <c r="N948" s="153">
        <f t="shared" si="43"/>
        <v>0</v>
      </c>
      <c r="O948" s="153">
        <f t="shared" si="44"/>
        <v>0</v>
      </c>
      <c r="P948" s="146"/>
    </row>
    <row r="949" spans="2:16" x14ac:dyDescent="0.3">
      <c r="B949" s="146">
        <v>942</v>
      </c>
      <c r="C949" s="147"/>
      <c r="D949" s="147"/>
      <c r="E949" s="146"/>
      <c r="F949" s="148" t="str">
        <f>+IFERROR(VLOOKUP(E949,Data!C945:D1040,2,0),"")</f>
        <v/>
      </c>
      <c r="G949" s="146"/>
      <c r="H949" s="149"/>
      <c r="I949" s="150"/>
      <c r="J949" s="151" t="str">
        <f t="shared" si="42"/>
        <v>-</v>
      </c>
      <c r="K949" s="152"/>
      <c r="L949" s="149"/>
      <c r="M949" s="149"/>
      <c r="N949" s="153">
        <f t="shared" si="43"/>
        <v>0</v>
      </c>
      <c r="O949" s="153">
        <f t="shared" si="44"/>
        <v>0</v>
      </c>
      <c r="P949" s="146"/>
    </row>
    <row r="950" spans="2:16" x14ac:dyDescent="0.3">
      <c r="B950" s="146">
        <v>943</v>
      </c>
      <c r="C950" s="147"/>
      <c r="D950" s="147"/>
      <c r="E950" s="146"/>
      <c r="F950" s="148" t="str">
        <f>+IFERROR(VLOOKUP(E950,Data!C946:D1041,2,0),"")</f>
        <v/>
      </c>
      <c r="G950" s="146"/>
      <c r="H950" s="149"/>
      <c r="I950" s="150"/>
      <c r="J950" s="151" t="str">
        <f t="shared" ref="J950:J1013" si="45">IFERROR(+I950/H950,"-")</f>
        <v>-</v>
      </c>
      <c r="K950" s="152"/>
      <c r="L950" s="149"/>
      <c r="M950" s="149"/>
      <c r="N950" s="153">
        <f t="shared" ref="N950:N1013" si="46">+L950+M950</f>
        <v>0</v>
      </c>
      <c r="O950" s="153">
        <f t="shared" ref="O950:O1013" si="47">+N950-K950</f>
        <v>0</v>
      </c>
      <c r="P950" s="146"/>
    </row>
    <row r="951" spans="2:16" x14ac:dyDescent="0.3">
      <c r="B951" s="146">
        <v>944</v>
      </c>
      <c r="C951" s="147"/>
      <c r="D951" s="147"/>
      <c r="E951" s="146"/>
      <c r="F951" s="148" t="str">
        <f>+IFERROR(VLOOKUP(E951,Data!C947:D1042,2,0),"")</f>
        <v/>
      </c>
      <c r="G951" s="146"/>
      <c r="H951" s="149"/>
      <c r="I951" s="150"/>
      <c r="J951" s="151" t="str">
        <f t="shared" si="45"/>
        <v>-</v>
      </c>
      <c r="K951" s="152"/>
      <c r="L951" s="149"/>
      <c r="M951" s="149"/>
      <c r="N951" s="153">
        <f t="shared" si="46"/>
        <v>0</v>
      </c>
      <c r="O951" s="153">
        <f t="shared" si="47"/>
        <v>0</v>
      </c>
      <c r="P951" s="146"/>
    </row>
    <row r="952" spans="2:16" x14ac:dyDescent="0.3">
      <c r="B952" s="146">
        <v>945</v>
      </c>
      <c r="C952" s="147"/>
      <c r="D952" s="147"/>
      <c r="E952" s="146"/>
      <c r="F952" s="148" t="str">
        <f>+IFERROR(VLOOKUP(E952,Data!C948:D1043,2,0),"")</f>
        <v/>
      </c>
      <c r="G952" s="146"/>
      <c r="H952" s="149"/>
      <c r="I952" s="150"/>
      <c r="J952" s="151" t="str">
        <f t="shared" si="45"/>
        <v>-</v>
      </c>
      <c r="K952" s="152"/>
      <c r="L952" s="149"/>
      <c r="M952" s="149"/>
      <c r="N952" s="153">
        <f t="shared" si="46"/>
        <v>0</v>
      </c>
      <c r="O952" s="153">
        <f t="shared" si="47"/>
        <v>0</v>
      </c>
      <c r="P952" s="146"/>
    </row>
    <row r="953" spans="2:16" x14ac:dyDescent="0.3">
      <c r="B953" s="146">
        <v>946</v>
      </c>
      <c r="C953" s="147"/>
      <c r="D953" s="147"/>
      <c r="E953" s="146"/>
      <c r="F953" s="148" t="str">
        <f>+IFERROR(VLOOKUP(E953,Data!C949:D1044,2,0),"")</f>
        <v/>
      </c>
      <c r="G953" s="146"/>
      <c r="H953" s="149"/>
      <c r="I953" s="150"/>
      <c r="J953" s="151" t="str">
        <f t="shared" si="45"/>
        <v>-</v>
      </c>
      <c r="K953" s="152"/>
      <c r="L953" s="149"/>
      <c r="M953" s="149"/>
      <c r="N953" s="153">
        <f t="shared" si="46"/>
        <v>0</v>
      </c>
      <c r="O953" s="153">
        <f t="shared" si="47"/>
        <v>0</v>
      </c>
      <c r="P953" s="146"/>
    </row>
    <row r="954" spans="2:16" x14ac:dyDescent="0.3">
      <c r="B954" s="146">
        <v>947</v>
      </c>
      <c r="C954" s="147"/>
      <c r="D954" s="147"/>
      <c r="E954" s="146"/>
      <c r="F954" s="148" t="str">
        <f>+IFERROR(VLOOKUP(E954,Data!C950:D1045,2,0),"")</f>
        <v/>
      </c>
      <c r="G954" s="146"/>
      <c r="H954" s="149"/>
      <c r="I954" s="150"/>
      <c r="J954" s="151" t="str">
        <f t="shared" si="45"/>
        <v>-</v>
      </c>
      <c r="K954" s="152"/>
      <c r="L954" s="149"/>
      <c r="M954" s="149"/>
      <c r="N954" s="153">
        <f t="shared" si="46"/>
        <v>0</v>
      </c>
      <c r="O954" s="153">
        <f t="shared" si="47"/>
        <v>0</v>
      </c>
      <c r="P954" s="146"/>
    </row>
    <row r="955" spans="2:16" x14ac:dyDescent="0.3">
      <c r="B955" s="146">
        <v>948</v>
      </c>
      <c r="C955" s="147"/>
      <c r="D955" s="147"/>
      <c r="E955" s="146"/>
      <c r="F955" s="148" t="str">
        <f>+IFERROR(VLOOKUP(E955,Data!C951:D1046,2,0),"")</f>
        <v/>
      </c>
      <c r="G955" s="146"/>
      <c r="H955" s="149"/>
      <c r="I955" s="150"/>
      <c r="J955" s="151" t="str">
        <f t="shared" si="45"/>
        <v>-</v>
      </c>
      <c r="K955" s="152"/>
      <c r="L955" s="149"/>
      <c r="M955" s="149"/>
      <c r="N955" s="153">
        <f t="shared" si="46"/>
        <v>0</v>
      </c>
      <c r="O955" s="153">
        <f t="shared" si="47"/>
        <v>0</v>
      </c>
      <c r="P955" s="146"/>
    </row>
    <row r="956" spans="2:16" x14ac:dyDescent="0.3">
      <c r="B956" s="146">
        <v>949</v>
      </c>
      <c r="C956" s="147"/>
      <c r="D956" s="147"/>
      <c r="E956" s="146"/>
      <c r="F956" s="148" t="str">
        <f>+IFERROR(VLOOKUP(E956,Data!C952:D1047,2,0),"")</f>
        <v/>
      </c>
      <c r="G956" s="146"/>
      <c r="H956" s="149"/>
      <c r="I956" s="150"/>
      <c r="J956" s="151" t="str">
        <f t="shared" si="45"/>
        <v>-</v>
      </c>
      <c r="K956" s="152"/>
      <c r="L956" s="149"/>
      <c r="M956" s="149"/>
      <c r="N956" s="153">
        <f t="shared" si="46"/>
        <v>0</v>
      </c>
      <c r="O956" s="153">
        <f t="shared" si="47"/>
        <v>0</v>
      </c>
      <c r="P956" s="146"/>
    </row>
    <row r="957" spans="2:16" x14ac:dyDescent="0.3">
      <c r="B957" s="146">
        <v>950</v>
      </c>
      <c r="C957" s="147"/>
      <c r="D957" s="147"/>
      <c r="E957" s="146"/>
      <c r="F957" s="148" t="str">
        <f>+IFERROR(VLOOKUP(E957,Data!C953:D1048,2,0),"")</f>
        <v/>
      </c>
      <c r="G957" s="146"/>
      <c r="H957" s="149"/>
      <c r="I957" s="150"/>
      <c r="J957" s="151" t="str">
        <f t="shared" si="45"/>
        <v>-</v>
      </c>
      <c r="K957" s="152"/>
      <c r="L957" s="149"/>
      <c r="M957" s="149"/>
      <c r="N957" s="153">
        <f t="shared" si="46"/>
        <v>0</v>
      </c>
      <c r="O957" s="153">
        <f t="shared" si="47"/>
        <v>0</v>
      </c>
      <c r="P957" s="146"/>
    </row>
    <row r="958" spans="2:16" x14ac:dyDescent="0.3">
      <c r="B958" s="146">
        <v>951</v>
      </c>
      <c r="C958" s="147"/>
      <c r="D958" s="147"/>
      <c r="E958" s="146"/>
      <c r="F958" s="148" t="str">
        <f>+IFERROR(VLOOKUP(E958,Data!C954:D1049,2,0),"")</f>
        <v/>
      </c>
      <c r="G958" s="146"/>
      <c r="H958" s="149"/>
      <c r="I958" s="150"/>
      <c r="J958" s="151" t="str">
        <f t="shared" si="45"/>
        <v>-</v>
      </c>
      <c r="K958" s="152"/>
      <c r="L958" s="149"/>
      <c r="M958" s="149"/>
      <c r="N958" s="153">
        <f t="shared" si="46"/>
        <v>0</v>
      </c>
      <c r="O958" s="153">
        <f t="shared" si="47"/>
        <v>0</v>
      </c>
      <c r="P958" s="146"/>
    </row>
    <row r="959" spans="2:16" x14ac:dyDescent="0.3">
      <c r="B959" s="146">
        <v>952</v>
      </c>
      <c r="C959" s="147"/>
      <c r="D959" s="147"/>
      <c r="E959" s="146"/>
      <c r="F959" s="148" t="str">
        <f>+IFERROR(VLOOKUP(E959,Data!C955:D1050,2,0),"")</f>
        <v/>
      </c>
      <c r="G959" s="146"/>
      <c r="H959" s="149"/>
      <c r="I959" s="150"/>
      <c r="J959" s="151" t="str">
        <f t="shared" si="45"/>
        <v>-</v>
      </c>
      <c r="K959" s="152"/>
      <c r="L959" s="149"/>
      <c r="M959" s="149"/>
      <c r="N959" s="153">
        <f t="shared" si="46"/>
        <v>0</v>
      </c>
      <c r="O959" s="153">
        <f t="shared" si="47"/>
        <v>0</v>
      </c>
      <c r="P959" s="146"/>
    </row>
    <row r="960" spans="2:16" x14ac:dyDescent="0.3">
      <c r="B960" s="146">
        <v>953</v>
      </c>
      <c r="C960" s="147"/>
      <c r="D960" s="147"/>
      <c r="E960" s="146"/>
      <c r="F960" s="148" t="str">
        <f>+IFERROR(VLOOKUP(E960,Data!C956:D1051,2,0),"")</f>
        <v/>
      </c>
      <c r="G960" s="146"/>
      <c r="H960" s="149"/>
      <c r="I960" s="150"/>
      <c r="J960" s="151" t="str">
        <f t="shared" si="45"/>
        <v>-</v>
      </c>
      <c r="K960" s="152"/>
      <c r="L960" s="149"/>
      <c r="M960" s="149"/>
      <c r="N960" s="153">
        <f t="shared" si="46"/>
        <v>0</v>
      </c>
      <c r="O960" s="153">
        <f t="shared" si="47"/>
        <v>0</v>
      </c>
      <c r="P960" s="146"/>
    </row>
    <row r="961" spans="2:16" x14ac:dyDescent="0.3">
      <c r="B961" s="146">
        <v>954</v>
      </c>
      <c r="C961" s="147"/>
      <c r="D961" s="147"/>
      <c r="E961" s="146"/>
      <c r="F961" s="148" t="str">
        <f>+IFERROR(VLOOKUP(E961,Data!C957:D1052,2,0),"")</f>
        <v/>
      </c>
      <c r="G961" s="146"/>
      <c r="H961" s="149"/>
      <c r="I961" s="150"/>
      <c r="J961" s="151" t="str">
        <f t="shared" si="45"/>
        <v>-</v>
      </c>
      <c r="K961" s="152"/>
      <c r="L961" s="149"/>
      <c r="M961" s="149"/>
      <c r="N961" s="153">
        <f t="shared" si="46"/>
        <v>0</v>
      </c>
      <c r="O961" s="153">
        <f t="shared" si="47"/>
        <v>0</v>
      </c>
      <c r="P961" s="146"/>
    </row>
    <row r="962" spans="2:16" x14ac:dyDescent="0.3">
      <c r="B962" s="146">
        <v>955</v>
      </c>
      <c r="C962" s="147"/>
      <c r="D962" s="147"/>
      <c r="E962" s="146"/>
      <c r="F962" s="148" t="str">
        <f>+IFERROR(VLOOKUP(E962,Data!C958:D1053,2,0),"")</f>
        <v/>
      </c>
      <c r="G962" s="146"/>
      <c r="H962" s="149"/>
      <c r="I962" s="150"/>
      <c r="J962" s="151" t="str">
        <f t="shared" si="45"/>
        <v>-</v>
      </c>
      <c r="K962" s="152"/>
      <c r="L962" s="149"/>
      <c r="M962" s="149"/>
      <c r="N962" s="153">
        <f t="shared" si="46"/>
        <v>0</v>
      </c>
      <c r="O962" s="153">
        <f t="shared" si="47"/>
        <v>0</v>
      </c>
      <c r="P962" s="146"/>
    </row>
    <row r="963" spans="2:16" x14ac:dyDescent="0.3">
      <c r="B963" s="146">
        <v>956</v>
      </c>
      <c r="C963" s="147"/>
      <c r="D963" s="147"/>
      <c r="E963" s="146"/>
      <c r="F963" s="148" t="str">
        <f>+IFERROR(VLOOKUP(E963,Data!C959:D1054,2,0),"")</f>
        <v/>
      </c>
      <c r="G963" s="146"/>
      <c r="H963" s="149"/>
      <c r="I963" s="150"/>
      <c r="J963" s="151" t="str">
        <f t="shared" si="45"/>
        <v>-</v>
      </c>
      <c r="K963" s="152"/>
      <c r="L963" s="149"/>
      <c r="M963" s="149"/>
      <c r="N963" s="153">
        <f t="shared" si="46"/>
        <v>0</v>
      </c>
      <c r="O963" s="153">
        <f t="shared" si="47"/>
        <v>0</v>
      </c>
      <c r="P963" s="146"/>
    </row>
    <row r="964" spans="2:16" x14ac:dyDescent="0.3">
      <c r="B964" s="146">
        <v>957</v>
      </c>
      <c r="C964" s="147"/>
      <c r="D964" s="147"/>
      <c r="E964" s="146"/>
      <c r="F964" s="148" t="str">
        <f>+IFERROR(VLOOKUP(E964,Data!C960:D1055,2,0),"")</f>
        <v/>
      </c>
      <c r="G964" s="146"/>
      <c r="H964" s="149"/>
      <c r="I964" s="150"/>
      <c r="J964" s="151" t="str">
        <f t="shared" si="45"/>
        <v>-</v>
      </c>
      <c r="K964" s="152"/>
      <c r="L964" s="149"/>
      <c r="M964" s="149"/>
      <c r="N964" s="153">
        <f t="shared" si="46"/>
        <v>0</v>
      </c>
      <c r="O964" s="153">
        <f t="shared" si="47"/>
        <v>0</v>
      </c>
      <c r="P964" s="146"/>
    </row>
    <row r="965" spans="2:16" x14ac:dyDescent="0.3">
      <c r="B965" s="146">
        <v>958</v>
      </c>
      <c r="C965" s="147"/>
      <c r="D965" s="147"/>
      <c r="E965" s="146"/>
      <c r="F965" s="148" t="str">
        <f>+IFERROR(VLOOKUP(E965,Data!C961:D1056,2,0),"")</f>
        <v/>
      </c>
      <c r="G965" s="146"/>
      <c r="H965" s="149"/>
      <c r="I965" s="150"/>
      <c r="J965" s="151" t="str">
        <f t="shared" si="45"/>
        <v>-</v>
      </c>
      <c r="K965" s="152"/>
      <c r="L965" s="149"/>
      <c r="M965" s="149"/>
      <c r="N965" s="153">
        <f t="shared" si="46"/>
        <v>0</v>
      </c>
      <c r="O965" s="153">
        <f t="shared" si="47"/>
        <v>0</v>
      </c>
      <c r="P965" s="146"/>
    </row>
    <row r="966" spans="2:16" x14ac:dyDescent="0.3">
      <c r="B966" s="146">
        <v>959</v>
      </c>
      <c r="C966" s="147"/>
      <c r="D966" s="147"/>
      <c r="E966" s="146"/>
      <c r="F966" s="148" t="str">
        <f>+IFERROR(VLOOKUP(E966,Data!C962:D1057,2,0),"")</f>
        <v/>
      </c>
      <c r="G966" s="146"/>
      <c r="H966" s="149"/>
      <c r="I966" s="150"/>
      <c r="J966" s="151" t="str">
        <f t="shared" si="45"/>
        <v>-</v>
      </c>
      <c r="K966" s="152"/>
      <c r="L966" s="149"/>
      <c r="M966" s="149"/>
      <c r="N966" s="153">
        <f t="shared" si="46"/>
        <v>0</v>
      </c>
      <c r="O966" s="153">
        <f t="shared" si="47"/>
        <v>0</v>
      </c>
      <c r="P966" s="146"/>
    </row>
    <row r="967" spans="2:16" x14ac:dyDescent="0.3">
      <c r="B967" s="146">
        <v>960</v>
      </c>
      <c r="C967" s="147"/>
      <c r="D967" s="147"/>
      <c r="E967" s="146"/>
      <c r="F967" s="148" t="str">
        <f>+IFERROR(VLOOKUP(E967,Data!C963:D1058,2,0),"")</f>
        <v/>
      </c>
      <c r="G967" s="146"/>
      <c r="H967" s="149"/>
      <c r="I967" s="150"/>
      <c r="J967" s="151" t="str">
        <f t="shared" si="45"/>
        <v>-</v>
      </c>
      <c r="K967" s="152"/>
      <c r="L967" s="149"/>
      <c r="M967" s="149"/>
      <c r="N967" s="153">
        <f t="shared" si="46"/>
        <v>0</v>
      </c>
      <c r="O967" s="153">
        <f t="shared" si="47"/>
        <v>0</v>
      </c>
      <c r="P967" s="146"/>
    </row>
    <row r="968" spans="2:16" x14ac:dyDescent="0.3">
      <c r="B968" s="146">
        <v>961</v>
      </c>
      <c r="C968" s="147"/>
      <c r="D968" s="147"/>
      <c r="E968" s="146"/>
      <c r="F968" s="148" t="str">
        <f>+IFERROR(VLOOKUP(E968,Data!C964:D1059,2,0),"")</f>
        <v/>
      </c>
      <c r="G968" s="146"/>
      <c r="H968" s="149"/>
      <c r="I968" s="150"/>
      <c r="J968" s="151" t="str">
        <f t="shared" si="45"/>
        <v>-</v>
      </c>
      <c r="K968" s="152"/>
      <c r="L968" s="149"/>
      <c r="M968" s="149"/>
      <c r="N968" s="153">
        <f t="shared" si="46"/>
        <v>0</v>
      </c>
      <c r="O968" s="153">
        <f t="shared" si="47"/>
        <v>0</v>
      </c>
      <c r="P968" s="146"/>
    </row>
    <row r="969" spans="2:16" x14ac:dyDescent="0.3">
      <c r="B969" s="146">
        <v>962</v>
      </c>
      <c r="C969" s="147"/>
      <c r="D969" s="147"/>
      <c r="E969" s="146"/>
      <c r="F969" s="148" t="str">
        <f>+IFERROR(VLOOKUP(E969,Data!C965:D1060,2,0),"")</f>
        <v/>
      </c>
      <c r="G969" s="146"/>
      <c r="H969" s="149"/>
      <c r="I969" s="150"/>
      <c r="J969" s="151" t="str">
        <f t="shared" si="45"/>
        <v>-</v>
      </c>
      <c r="K969" s="152"/>
      <c r="L969" s="149"/>
      <c r="M969" s="149"/>
      <c r="N969" s="153">
        <f t="shared" si="46"/>
        <v>0</v>
      </c>
      <c r="O969" s="153">
        <f t="shared" si="47"/>
        <v>0</v>
      </c>
      <c r="P969" s="146"/>
    </row>
    <row r="970" spans="2:16" x14ac:dyDescent="0.3">
      <c r="B970" s="146">
        <v>963</v>
      </c>
      <c r="C970" s="147"/>
      <c r="D970" s="147"/>
      <c r="E970" s="146"/>
      <c r="F970" s="148" t="str">
        <f>+IFERROR(VLOOKUP(E970,Data!C966:D1061,2,0),"")</f>
        <v/>
      </c>
      <c r="G970" s="146"/>
      <c r="H970" s="149"/>
      <c r="I970" s="150"/>
      <c r="J970" s="151" t="str">
        <f t="shared" si="45"/>
        <v>-</v>
      </c>
      <c r="K970" s="152"/>
      <c r="L970" s="149"/>
      <c r="M970" s="149"/>
      <c r="N970" s="153">
        <f t="shared" si="46"/>
        <v>0</v>
      </c>
      <c r="O970" s="153">
        <f t="shared" si="47"/>
        <v>0</v>
      </c>
      <c r="P970" s="146"/>
    </row>
    <row r="971" spans="2:16" x14ac:dyDescent="0.3">
      <c r="B971" s="146">
        <v>964</v>
      </c>
      <c r="C971" s="147"/>
      <c r="D971" s="147"/>
      <c r="E971" s="146"/>
      <c r="F971" s="148" t="str">
        <f>+IFERROR(VLOOKUP(E971,Data!C967:D1062,2,0),"")</f>
        <v/>
      </c>
      <c r="G971" s="146"/>
      <c r="H971" s="149"/>
      <c r="I971" s="150"/>
      <c r="J971" s="151" t="str">
        <f t="shared" si="45"/>
        <v>-</v>
      </c>
      <c r="K971" s="152"/>
      <c r="L971" s="149"/>
      <c r="M971" s="149"/>
      <c r="N971" s="153">
        <f t="shared" si="46"/>
        <v>0</v>
      </c>
      <c r="O971" s="153">
        <f t="shared" si="47"/>
        <v>0</v>
      </c>
      <c r="P971" s="146"/>
    </row>
    <row r="972" spans="2:16" x14ac:dyDescent="0.3">
      <c r="B972" s="146">
        <v>965</v>
      </c>
      <c r="C972" s="147"/>
      <c r="D972" s="147"/>
      <c r="E972" s="146"/>
      <c r="F972" s="148" t="str">
        <f>+IFERROR(VLOOKUP(E972,Data!C968:D1063,2,0),"")</f>
        <v/>
      </c>
      <c r="G972" s="146"/>
      <c r="H972" s="149"/>
      <c r="I972" s="150"/>
      <c r="J972" s="151" t="str">
        <f t="shared" si="45"/>
        <v>-</v>
      </c>
      <c r="K972" s="152"/>
      <c r="L972" s="149"/>
      <c r="M972" s="149"/>
      <c r="N972" s="153">
        <f t="shared" si="46"/>
        <v>0</v>
      </c>
      <c r="O972" s="153">
        <f t="shared" si="47"/>
        <v>0</v>
      </c>
      <c r="P972" s="146"/>
    </row>
    <row r="973" spans="2:16" x14ac:dyDescent="0.3">
      <c r="B973" s="146">
        <v>966</v>
      </c>
      <c r="C973" s="147"/>
      <c r="D973" s="147"/>
      <c r="E973" s="146"/>
      <c r="F973" s="148" t="str">
        <f>+IFERROR(VLOOKUP(E973,Data!C969:D1064,2,0),"")</f>
        <v/>
      </c>
      <c r="G973" s="146"/>
      <c r="H973" s="149"/>
      <c r="I973" s="150"/>
      <c r="J973" s="151" t="str">
        <f t="shared" si="45"/>
        <v>-</v>
      </c>
      <c r="K973" s="152"/>
      <c r="L973" s="149"/>
      <c r="M973" s="149"/>
      <c r="N973" s="153">
        <f t="shared" si="46"/>
        <v>0</v>
      </c>
      <c r="O973" s="153">
        <f t="shared" si="47"/>
        <v>0</v>
      </c>
      <c r="P973" s="146"/>
    </row>
    <row r="974" spans="2:16" x14ac:dyDescent="0.3">
      <c r="B974" s="146">
        <v>967</v>
      </c>
      <c r="C974" s="147"/>
      <c r="D974" s="147"/>
      <c r="E974" s="146"/>
      <c r="F974" s="148" t="str">
        <f>+IFERROR(VLOOKUP(E974,Data!C970:D1065,2,0),"")</f>
        <v/>
      </c>
      <c r="G974" s="146"/>
      <c r="H974" s="149"/>
      <c r="I974" s="150"/>
      <c r="J974" s="151" t="str">
        <f t="shared" si="45"/>
        <v>-</v>
      </c>
      <c r="K974" s="152"/>
      <c r="L974" s="149"/>
      <c r="M974" s="149"/>
      <c r="N974" s="153">
        <f t="shared" si="46"/>
        <v>0</v>
      </c>
      <c r="O974" s="153">
        <f t="shared" si="47"/>
        <v>0</v>
      </c>
      <c r="P974" s="146"/>
    </row>
    <row r="975" spans="2:16" x14ac:dyDescent="0.3">
      <c r="B975" s="146">
        <v>968</v>
      </c>
      <c r="C975" s="147"/>
      <c r="D975" s="147"/>
      <c r="E975" s="146"/>
      <c r="F975" s="148" t="str">
        <f>+IFERROR(VLOOKUP(E975,Data!C971:D1066,2,0),"")</f>
        <v/>
      </c>
      <c r="G975" s="146"/>
      <c r="H975" s="149"/>
      <c r="I975" s="150"/>
      <c r="J975" s="151" t="str">
        <f t="shared" si="45"/>
        <v>-</v>
      </c>
      <c r="K975" s="152"/>
      <c r="L975" s="149"/>
      <c r="M975" s="149"/>
      <c r="N975" s="153">
        <f t="shared" si="46"/>
        <v>0</v>
      </c>
      <c r="O975" s="153">
        <f t="shared" si="47"/>
        <v>0</v>
      </c>
      <c r="P975" s="146"/>
    </row>
    <row r="976" spans="2:16" x14ac:dyDescent="0.3">
      <c r="B976" s="146">
        <v>969</v>
      </c>
      <c r="C976" s="147"/>
      <c r="D976" s="147"/>
      <c r="E976" s="146"/>
      <c r="F976" s="148" t="str">
        <f>+IFERROR(VLOOKUP(E976,Data!C972:D1067,2,0),"")</f>
        <v/>
      </c>
      <c r="G976" s="146"/>
      <c r="H976" s="149"/>
      <c r="I976" s="150"/>
      <c r="J976" s="151" t="str">
        <f t="shared" si="45"/>
        <v>-</v>
      </c>
      <c r="K976" s="152"/>
      <c r="L976" s="149"/>
      <c r="M976" s="149"/>
      <c r="N976" s="153">
        <f t="shared" si="46"/>
        <v>0</v>
      </c>
      <c r="O976" s="153">
        <f t="shared" si="47"/>
        <v>0</v>
      </c>
      <c r="P976" s="146"/>
    </row>
    <row r="977" spans="2:16" x14ac:dyDescent="0.3">
      <c r="B977" s="146">
        <v>970</v>
      </c>
      <c r="C977" s="147"/>
      <c r="D977" s="147"/>
      <c r="E977" s="146"/>
      <c r="F977" s="148" t="str">
        <f>+IFERROR(VLOOKUP(E977,Data!C973:D1068,2,0),"")</f>
        <v/>
      </c>
      <c r="G977" s="146"/>
      <c r="H977" s="149"/>
      <c r="I977" s="150"/>
      <c r="J977" s="151" t="str">
        <f t="shared" si="45"/>
        <v>-</v>
      </c>
      <c r="K977" s="152"/>
      <c r="L977" s="149"/>
      <c r="M977" s="149"/>
      <c r="N977" s="153">
        <f t="shared" si="46"/>
        <v>0</v>
      </c>
      <c r="O977" s="153">
        <f t="shared" si="47"/>
        <v>0</v>
      </c>
      <c r="P977" s="146"/>
    </row>
    <row r="978" spans="2:16" x14ac:dyDescent="0.3">
      <c r="B978" s="146">
        <v>971</v>
      </c>
      <c r="C978" s="147"/>
      <c r="D978" s="147"/>
      <c r="E978" s="146"/>
      <c r="F978" s="148" t="str">
        <f>+IFERROR(VLOOKUP(E978,Data!C974:D1069,2,0),"")</f>
        <v/>
      </c>
      <c r="G978" s="146"/>
      <c r="H978" s="149"/>
      <c r="I978" s="150"/>
      <c r="J978" s="151" t="str">
        <f t="shared" si="45"/>
        <v>-</v>
      </c>
      <c r="K978" s="152"/>
      <c r="L978" s="149"/>
      <c r="M978" s="149"/>
      <c r="N978" s="153">
        <f t="shared" si="46"/>
        <v>0</v>
      </c>
      <c r="O978" s="153">
        <f t="shared" si="47"/>
        <v>0</v>
      </c>
      <c r="P978" s="146"/>
    </row>
    <row r="979" spans="2:16" x14ac:dyDescent="0.3">
      <c r="B979" s="146">
        <v>972</v>
      </c>
      <c r="C979" s="147"/>
      <c r="D979" s="147"/>
      <c r="E979" s="146"/>
      <c r="F979" s="148" t="str">
        <f>+IFERROR(VLOOKUP(E979,Data!C975:D1070,2,0),"")</f>
        <v/>
      </c>
      <c r="G979" s="146"/>
      <c r="H979" s="149"/>
      <c r="I979" s="150"/>
      <c r="J979" s="151" t="str">
        <f t="shared" si="45"/>
        <v>-</v>
      </c>
      <c r="K979" s="152"/>
      <c r="L979" s="149"/>
      <c r="M979" s="149"/>
      <c r="N979" s="153">
        <f t="shared" si="46"/>
        <v>0</v>
      </c>
      <c r="O979" s="153">
        <f t="shared" si="47"/>
        <v>0</v>
      </c>
      <c r="P979" s="146"/>
    </row>
    <row r="980" spans="2:16" x14ac:dyDescent="0.3">
      <c r="B980" s="146">
        <v>973</v>
      </c>
      <c r="C980" s="147"/>
      <c r="D980" s="147"/>
      <c r="E980" s="146"/>
      <c r="F980" s="148" t="str">
        <f>+IFERROR(VLOOKUP(E980,Data!C976:D1071,2,0),"")</f>
        <v/>
      </c>
      <c r="G980" s="146"/>
      <c r="H980" s="149"/>
      <c r="I980" s="150"/>
      <c r="J980" s="151" t="str">
        <f t="shared" si="45"/>
        <v>-</v>
      </c>
      <c r="K980" s="152"/>
      <c r="L980" s="149"/>
      <c r="M980" s="149"/>
      <c r="N980" s="153">
        <f t="shared" si="46"/>
        <v>0</v>
      </c>
      <c r="O980" s="153">
        <f t="shared" si="47"/>
        <v>0</v>
      </c>
      <c r="P980" s="146"/>
    </row>
    <row r="981" spans="2:16" x14ac:dyDescent="0.3">
      <c r="B981" s="146">
        <v>974</v>
      </c>
      <c r="C981" s="147"/>
      <c r="D981" s="147"/>
      <c r="E981" s="146"/>
      <c r="F981" s="148" t="str">
        <f>+IFERROR(VLOOKUP(E981,Data!C977:D1072,2,0),"")</f>
        <v/>
      </c>
      <c r="G981" s="146"/>
      <c r="H981" s="149"/>
      <c r="I981" s="150"/>
      <c r="J981" s="151" t="str">
        <f t="shared" si="45"/>
        <v>-</v>
      </c>
      <c r="K981" s="152"/>
      <c r="L981" s="149"/>
      <c r="M981" s="149"/>
      <c r="N981" s="153">
        <f t="shared" si="46"/>
        <v>0</v>
      </c>
      <c r="O981" s="153">
        <f t="shared" si="47"/>
        <v>0</v>
      </c>
      <c r="P981" s="146"/>
    </row>
    <row r="982" spans="2:16" x14ac:dyDescent="0.3">
      <c r="B982" s="146">
        <v>975</v>
      </c>
      <c r="C982" s="147"/>
      <c r="D982" s="147"/>
      <c r="E982" s="146"/>
      <c r="F982" s="148" t="str">
        <f>+IFERROR(VLOOKUP(E982,Data!C978:D1073,2,0),"")</f>
        <v/>
      </c>
      <c r="G982" s="146"/>
      <c r="H982" s="149"/>
      <c r="I982" s="150"/>
      <c r="J982" s="151" t="str">
        <f t="shared" si="45"/>
        <v>-</v>
      </c>
      <c r="K982" s="152"/>
      <c r="L982" s="149"/>
      <c r="M982" s="149"/>
      <c r="N982" s="153">
        <f t="shared" si="46"/>
        <v>0</v>
      </c>
      <c r="O982" s="153">
        <f t="shared" si="47"/>
        <v>0</v>
      </c>
      <c r="P982" s="146"/>
    </row>
    <row r="983" spans="2:16" x14ac:dyDescent="0.3">
      <c r="B983" s="146">
        <v>976</v>
      </c>
      <c r="C983" s="147"/>
      <c r="D983" s="147"/>
      <c r="E983" s="146"/>
      <c r="F983" s="148" t="str">
        <f>+IFERROR(VLOOKUP(E983,Data!C979:D1074,2,0),"")</f>
        <v/>
      </c>
      <c r="G983" s="146"/>
      <c r="H983" s="149"/>
      <c r="I983" s="150"/>
      <c r="J983" s="151" t="str">
        <f t="shared" si="45"/>
        <v>-</v>
      </c>
      <c r="K983" s="152"/>
      <c r="L983" s="149"/>
      <c r="M983" s="149"/>
      <c r="N983" s="153">
        <f t="shared" si="46"/>
        <v>0</v>
      </c>
      <c r="O983" s="153">
        <f t="shared" si="47"/>
        <v>0</v>
      </c>
      <c r="P983" s="146"/>
    </row>
    <row r="984" spans="2:16" x14ac:dyDescent="0.3">
      <c r="B984" s="146">
        <v>977</v>
      </c>
      <c r="C984" s="147"/>
      <c r="D984" s="147"/>
      <c r="E984" s="146"/>
      <c r="F984" s="148" t="str">
        <f>+IFERROR(VLOOKUP(E984,Data!C980:D1075,2,0),"")</f>
        <v/>
      </c>
      <c r="G984" s="146"/>
      <c r="H984" s="149"/>
      <c r="I984" s="150"/>
      <c r="J984" s="151" t="str">
        <f t="shared" si="45"/>
        <v>-</v>
      </c>
      <c r="K984" s="152"/>
      <c r="L984" s="149"/>
      <c r="M984" s="149"/>
      <c r="N984" s="153">
        <f t="shared" si="46"/>
        <v>0</v>
      </c>
      <c r="O984" s="153">
        <f t="shared" si="47"/>
        <v>0</v>
      </c>
      <c r="P984" s="146"/>
    </row>
    <row r="985" spans="2:16" x14ac:dyDescent="0.3">
      <c r="B985" s="146">
        <v>978</v>
      </c>
      <c r="C985" s="147"/>
      <c r="D985" s="147"/>
      <c r="E985" s="146"/>
      <c r="F985" s="148" t="str">
        <f>+IFERROR(VLOOKUP(E985,Data!C981:D1076,2,0),"")</f>
        <v/>
      </c>
      <c r="G985" s="146"/>
      <c r="H985" s="149"/>
      <c r="I985" s="150"/>
      <c r="J985" s="151" t="str">
        <f t="shared" si="45"/>
        <v>-</v>
      </c>
      <c r="K985" s="152"/>
      <c r="L985" s="149"/>
      <c r="M985" s="149"/>
      <c r="N985" s="153">
        <f t="shared" si="46"/>
        <v>0</v>
      </c>
      <c r="O985" s="153">
        <f t="shared" si="47"/>
        <v>0</v>
      </c>
      <c r="P985" s="146"/>
    </row>
    <row r="986" spans="2:16" x14ac:dyDescent="0.3">
      <c r="B986" s="146">
        <v>979</v>
      </c>
      <c r="C986" s="147"/>
      <c r="D986" s="147"/>
      <c r="E986" s="146"/>
      <c r="F986" s="148" t="str">
        <f>+IFERROR(VLOOKUP(E986,Data!C982:D1077,2,0),"")</f>
        <v/>
      </c>
      <c r="G986" s="146"/>
      <c r="H986" s="149"/>
      <c r="I986" s="150"/>
      <c r="J986" s="151" t="str">
        <f t="shared" si="45"/>
        <v>-</v>
      </c>
      <c r="K986" s="152"/>
      <c r="L986" s="149"/>
      <c r="M986" s="149"/>
      <c r="N986" s="153">
        <f t="shared" si="46"/>
        <v>0</v>
      </c>
      <c r="O986" s="153">
        <f t="shared" si="47"/>
        <v>0</v>
      </c>
      <c r="P986" s="146"/>
    </row>
    <row r="987" spans="2:16" x14ac:dyDescent="0.3">
      <c r="B987" s="146">
        <v>980</v>
      </c>
      <c r="C987" s="147"/>
      <c r="D987" s="147"/>
      <c r="E987" s="146"/>
      <c r="F987" s="148" t="str">
        <f>+IFERROR(VLOOKUP(E987,Data!C983:D1078,2,0),"")</f>
        <v/>
      </c>
      <c r="G987" s="146"/>
      <c r="H987" s="149"/>
      <c r="I987" s="150"/>
      <c r="J987" s="151" t="str">
        <f t="shared" si="45"/>
        <v>-</v>
      </c>
      <c r="K987" s="152"/>
      <c r="L987" s="149"/>
      <c r="M987" s="149"/>
      <c r="N987" s="153">
        <f t="shared" si="46"/>
        <v>0</v>
      </c>
      <c r="O987" s="153">
        <f t="shared" si="47"/>
        <v>0</v>
      </c>
      <c r="P987" s="146"/>
    </row>
    <row r="988" spans="2:16" x14ac:dyDescent="0.3">
      <c r="B988" s="146">
        <v>981</v>
      </c>
      <c r="C988" s="147"/>
      <c r="D988" s="147"/>
      <c r="E988" s="146"/>
      <c r="F988" s="148" t="str">
        <f>+IFERROR(VLOOKUP(E988,Data!C984:D1079,2,0),"")</f>
        <v/>
      </c>
      <c r="G988" s="146"/>
      <c r="H988" s="149"/>
      <c r="I988" s="150"/>
      <c r="J988" s="151" t="str">
        <f t="shared" si="45"/>
        <v>-</v>
      </c>
      <c r="K988" s="152"/>
      <c r="L988" s="149"/>
      <c r="M988" s="149"/>
      <c r="N988" s="153">
        <f t="shared" si="46"/>
        <v>0</v>
      </c>
      <c r="O988" s="153">
        <f t="shared" si="47"/>
        <v>0</v>
      </c>
      <c r="P988" s="146"/>
    </row>
    <row r="989" spans="2:16" x14ac:dyDescent="0.3">
      <c r="B989" s="146">
        <v>982</v>
      </c>
      <c r="C989" s="147"/>
      <c r="D989" s="147"/>
      <c r="E989" s="146"/>
      <c r="F989" s="148" t="str">
        <f>+IFERROR(VLOOKUP(E989,Data!C985:D1080,2,0),"")</f>
        <v/>
      </c>
      <c r="G989" s="146"/>
      <c r="H989" s="149"/>
      <c r="I989" s="150"/>
      <c r="J989" s="151" t="str">
        <f t="shared" si="45"/>
        <v>-</v>
      </c>
      <c r="K989" s="152"/>
      <c r="L989" s="149"/>
      <c r="M989" s="149"/>
      <c r="N989" s="153">
        <f t="shared" si="46"/>
        <v>0</v>
      </c>
      <c r="O989" s="153">
        <f t="shared" si="47"/>
        <v>0</v>
      </c>
      <c r="P989" s="146"/>
    </row>
    <row r="990" spans="2:16" x14ac:dyDescent="0.3">
      <c r="B990" s="146">
        <v>983</v>
      </c>
      <c r="C990" s="147"/>
      <c r="D990" s="147"/>
      <c r="E990" s="146"/>
      <c r="F990" s="148" t="str">
        <f>+IFERROR(VLOOKUP(E990,Data!C986:D1081,2,0),"")</f>
        <v/>
      </c>
      <c r="G990" s="146"/>
      <c r="H990" s="149"/>
      <c r="I990" s="150"/>
      <c r="J990" s="151" t="str">
        <f t="shared" si="45"/>
        <v>-</v>
      </c>
      <c r="K990" s="152"/>
      <c r="L990" s="149"/>
      <c r="M990" s="149"/>
      <c r="N990" s="153">
        <f t="shared" si="46"/>
        <v>0</v>
      </c>
      <c r="O990" s="153">
        <f t="shared" si="47"/>
        <v>0</v>
      </c>
      <c r="P990" s="146"/>
    </row>
    <row r="991" spans="2:16" x14ac:dyDescent="0.3">
      <c r="B991" s="146">
        <v>984</v>
      </c>
      <c r="C991" s="147"/>
      <c r="D991" s="147"/>
      <c r="E991" s="146"/>
      <c r="F991" s="148" t="str">
        <f>+IFERROR(VLOOKUP(E991,Data!C987:D1082,2,0),"")</f>
        <v/>
      </c>
      <c r="G991" s="146"/>
      <c r="H991" s="149"/>
      <c r="I991" s="150"/>
      <c r="J991" s="151" t="str">
        <f t="shared" si="45"/>
        <v>-</v>
      </c>
      <c r="K991" s="152"/>
      <c r="L991" s="149"/>
      <c r="M991" s="149"/>
      <c r="N991" s="153">
        <f t="shared" si="46"/>
        <v>0</v>
      </c>
      <c r="O991" s="153">
        <f t="shared" si="47"/>
        <v>0</v>
      </c>
      <c r="P991" s="146"/>
    </row>
    <row r="992" spans="2:16" x14ac:dyDescent="0.3">
      <c r="B992" s="146">
        <v>985</v>
      </c>
      <c r="C992" s="147"/>
      <c r="D992" s="147"/>
      <c r="E992" s="146"/>
      <c r="F992" s="148" t="str">
        <f>+IFERROR(VLOOKUP(E992,Data!C988:D1083,2,0),"")</f>
        <v/>
      </c>
      <c r="G992" s="146"/>
      <c r="H992" s="149"/>
      <c r="I992" s="150"/>
      <c r="J992" s="151" t="str">
        <f t="shared" si="45"/>
        <v>-</v>
      </c>
      <c r="K992" s="152"/>
      <c r="L992" s="149"/>
      <c r="M992" s="149"/>
      <c r="N992" s="153">
        <f t="shared" si="46"/>
        <v>0</v>
      </c>
      <c r="O992" s="153">
        <f t="shared" si="47"/>
        <v>0</v>
      </c>
      <c r="P992" s="146"/>
    </row>
    <row r="993" spans="2:16" x14ac:dyDescent="0.3">
      <c r="B993" s="146">
        <v>986</v>
      </c>
      <c r="C993" s="147"/>
      <c r="D993" s="147"/>
      <c r="E993" s="146"/>
      <c r="F993" s="148" t="str">
        <f>+IFERROR(VLOOKUP(E993,Data!C989:D1084,2,0),"")</f>
        <v/>
      </c>
      <c r="G993" s="146"/>
      <c r="H993" s="149"/>
      <c r="I993" s="150"/>
      <c r="J993" s="151" t="str">
        <f t="shared" si="45"/>
        <v>-</v>
      </c>
      <c r="K993" s="152"/>
      <c r="L993" s="149"/>
      <c r="M993" s="149"/>
      <c r="N993" s="153">
        <f t="shared" si="46"/>
        <v>0</v>
      </c>
      <c r="O993" s="153">
        <f t="shared" si="47"/>
        <v>0</v>
      </c>
      <c r="P993" s="146"/>
    </row>
    <row r="994" spans="2:16" x14ac:dyDescent="0.3">
      <c r="B994" s="146">
        <v>987</v>
      </c>
      <c r="C994" s="147"/>
      <c r="D994" s="147"/>
      <c r="E994" s="146"/>
      <c r="F994" s="148" t="str">
        <f>+IFERROR(VLOOKUP(E994,Data!C990:D1085,2,0),"")</f>
        <v/>
      </c>
      <c r="G994" s="146"/>
      <c r="H994" s="149"/>
      <c r="I994" s="150"/>
      <c r="J994" s="151" t="str">
        <f t="shared" si="45"/>
        <v>-</v>
      </c>
      <c r="K994" s="152"/>
      <c r="L994" s="149"/>
      <c r="M994" s="149"/>
      <c r="N994" s="153">
        <f t="shared" si="46"/>
        <v>0</v>
      </c>
      <c r="O994" s="153">
        <f t="shared" si="47"/>
        <v>0</v>
      </c>
      <c r="P994" s="146"/>
    </row>
    <row r="995" spans="2:16" x14ac:dyDescent="0.3">
      <c r="B995" s="146">
        <v>988</v>
      </c>
      <c r="C995" s="147"/>
      <c r="D995" s="147"/>
      <c r="E995" s="146"/>
      <c r="F995" s="148" t="str">
        <f>+IFERROR(VLOOKUP(E995,Data!C991:D1086,2,0),"")</f>
        <v/>
      </c>
      <c r="G995" s="146"/>
      <c r="H995" s="149"/>
      <c r="I995" s="150"/>
      <c r="J995" s="151" t="str">
        <f t="shared" si="45"/>
        <v>-</v>
      </c>
      <c r="K995" s="152"/>
      <c r="L995" s="149"/>
      <c r="M995" s="149"/>
      <c r="N995" s="153">
        <f t="shared" si="46"/>
        <v>0</v>
      </c>
      <c r="O995" s="153">
        <f t="shared" si="47"/>
        <v>0</v>
      </c>
      <c r="P995" s="146"/>
    </row>
    <row r="996" spans="2:16" x14ac:dyDescent="0.3">
      <c r="B996" s="146">
        <v>989</v>
      </c>
      <c r="C996" s="147"/>
      <c r="D996" s="147"/>
      <c r="E996" s="146"/>
      <c r="F996" s="148" t="str">
        <f>+IFERROR(VLOOKUP(E996,Data!C992:D1087,2,0),"")</f>
        <v/>
      </c>
      <c r="G996" s="146"/>
      <c r="H996" s="149"/>
      <c r="I996" s="150"/>
      <c r="J996" s="151" t="str">
        <f t="shared" si="45"/>
        <v>-</v>
      </c>
      <c r="K996" s="152"/>
      <c r="L996" s="149"/>
      <c r="M996" s="149"/>
      <c r="N996" s="153">
        <f t="shared" si="46"/>
        <v>0</v>
      </c>
      <c r="O996" s="153">
        <f t="shared" si="47"/>
        <v>0</v>
      </c>
      <c r="P996" s="146"/>
    </row>
    <row r="997" spans="2:16" x14ac:dyDescent="0.3">
      <c r="B997" s="146">
        <v>990</v>
      </c>
      <c r="C997" s="147"/>
      <c r="D997" s="147"/>
      <c r="E997" s="146"/>
      <c r="F997" s="148" t="str">
        <f>+IFERROR(VLOOKUP(E997,Data!C993:D1088,2,0),"")</f>
        <v/>
      </c>
      <c r="G997" s="146"/>
      <c r="H997" s="149"/>
      <c r="I997" s="150"/>
      <c r="J997" s="151" t="str">
        <f t="shared" si="45"/>
        <v>-</v>
      </c>
      <c r="K997" s="152"/>
      <c r="L997" s="149"/>
      <c r="M997" s="149"/>
      <c r="N997" s="153">
        <f t="shared" si="46"/>
        <v>0</v>
      </c>
      <c r="O997" s="153">
        <f t="shared" si="47"/>
        <v>0</v>
      </c>
      <c r="P997" s="146"/>
    </row>
    <row r="998" spans="2:16" x14ac:dyDescent="0.3">
      <c r="B998" s="146">
        <v>991</v>
      </c>
      <c r="C998" s="147"/>
      <c r="D998" s="147"/>
      <c r="E998" s="146"/>
      <c r="F998" s="148" t="str">
        <f>+IFERROR(VLOOKUP(E998,Data!C994:D1089,2,0),"")</f>
        <v/>
      </c>
      <c r="G998" s="146"/>
      <c r="H998" s="149"/>
      <c r="I998" s="150"/>
      <c r="J998" s="151" t="str">
        <f t="shared" si="45"/>
        <v>-</v>
      </c>
      <c r="K998" s="152"/>
      <c r="L998" s="149"/>
      <c r="M998" s="149"/>
      <c r="N998" s="153">
        <f t="shared" si="46"/>
        <v>0</v>
      </c>
      <c r="O998" s="153">
        <f t="shared" si="47"/>
        <v>0</v>
      </c>
      <c r="P998" s="146"/>
    </row>
    <row r="999" spans="2:16" x14ac:dyDescent="0.3">
      <c r="B999" s="146">
        <v>992</v>
      </c>
      <c r="C999" s="147"/>
      <c r="D999" s="147"/>
      <c r="E999" s="146"/>
      <c r="F999" s="148" t="str">
        <f>+IFERROR(VLOOKUP(E999,Data!C995:D1090,2,0),"")</f>
        <v/>
      </c>
      <c r="G999" s="146"/>
      <c r="H999" s="149"/>
      <c r="I999" s="150"/>
      <c r="J999" s="151" t="str">
        <f t="shared" si="45"/>
        <v>-</v>
      </c>
      <c r="K999" s="152"/>
      <c r="L999" s="149"/>
      <c r="M999" s="149"/>
      <c r="N999" s="153">
        <f t="shared" si="46"/>
        <v>0</v>
      </c>
      <c r="O999" s="153">
        <f t="shared" si="47"/>
        <v>0</v>
      </c>
      <c r="P999" s="146"/>
    </row>
    <row r="1000" spans="2:16" x14ac:dyDescent="0.3">
      <c r="B1000" s="146">
        <v>993</v>
      </c>
      <c r="C1000" s="147"/>
      <c r="D1000" s="147"/>
      <c r="E1000" s="146"/>
      <c r="F1000" s="148" t="str">
        <f>+IFERROR(VLOOKUP(E1000,Data!C996:D1091,2,0),"")</f>
        <v/>
      </c>
      <c r="G1000" s="146"/>
      <c r="H1000" s="149"/>
      <c r="I1000" s="150"/>
      <c r="J1000" s="151" t="str">
        <f t="shared" si="45"/>
        <v>-</v>
      </c>
      <c r="K1000" s="152"/>
      <c r="L1000" s="149"/>
      <c r="M1000" s="149"/>
      <c r="N1000" s="153">
        <f t="shared" si="46"/>
        <v>0</v>
      </c>
      <c r="O1000" s="153">
        <f t="shared" si="47"/>
        <v>0</v>
      </c>
      <c r="P1000" s="146"/>
    </row>
    <row r="1001" spans="2:16" x14ac:dyDescent="0.3">
      <c r="B1001" s="146">
        <v>994</v>
      </c>
      <c r="C1001" s="147"/>
      <c r="D1001" s="147"/>
      <c r="E1001" s="146"/>
      <c r="F1001" s="148" t="str">
        <f>+IFERROR(VLOOKUP(E1001,Data!C997:D1092,2,0),"")</f>
        <v/>
      </c>
      <c r="G1001" s="146"/>
      <c r="H1001" s="149"/>
      <c r="I1001" s="150"/>
      <c r="J1001" s="151" t="str">
        <f t="shared" si="45"/>
        <v>-</v>
      </c>
      <c r="K1001" s="152"/>
      <c r="L1001" s="149"/>
      <c r="M1001" s="149"/>
      <c r="N1001" s="153">
        <f t="shared" si="46"/>
        <v>0</v>
      </c>
      <c r="O1001" s="153">
        <f t="shared" si="47"/>
        <v>0</v>
      </c>
      <c r="P1001" s="146"/>
    </row>
    <row r="1002" spans="2:16" x14ac:dyDescent="0.3">
      <c r="B1002" s="146">
        <v>995</v>
      </c>
      <c r="C1002" s="147"/>
      <c r="D1002" s="147"/>
      <c r="E1002" s="146"/>
      <c r="F1002" s="148" t="str">
        <f>+IFERROR(VLOOKUP(E1002,Data!C998:D1093,2,0),"")</f>
        <v/>
      </c>
      <c r="G1002" s="146"/>
      <c r="H1002" s="149"/>
      <c r="I1002" s="150"/>
      <c r="J1002" s="151" t="str">
        <f t="shared" si="45"/>
        <v>-</v>
      </c>
      <c r="K1002" s="152"/>
      <c r="L1002" s="149"/>
      <c r="M1002" s="149"/>
      <c r="N1002" s="153">
        <f t="shared" si="46"/>
        <v>0</v>
      </c>
      <c r="O1002" s="153">
        <f t="shared" si="47"/>
        <v>0</v>
      </c>
      <c r="P1002" s="146"/>
    </row>
    <row r="1003" spans="2:16" x14ac:dyDescent="0.3">
      <c r="B1003" s="146">
        <v>996</v>
      </c>
      <c r="C1003" s="147"/>
      <c r="D1003" s="147"/>
      <c r="E1003" s="146"/>
      <c r="F1003" s="148" t="str">
        <f>+IFERROR(VLOOKUP(E1003,Data!C999:D1094,2,0),"")</f>
        <v/>
      </c>
      <c r="G1003" s="146"/>
      <c r="H1003" s="149"/>
      <c r="I1003" s="150"/>
      <c r="J1003" s="151" t="str">
        <f t="shared" si="45"/>
        <v>-</v>
      </c>
      <c r="K1003" s="152"/>
      <c r="L1003" s="149"/>
      <c r="M1003" s="149"/>
      <c r="N1003" s="153">
        <f t="shared" si="46"/>
        <v>0</v>
      </c>
      <c r="O1003" s="153">
        <f t="shared" si="47"/>
        <v>0</v>
      </c>
      <c r="P1003" s="146"/>
    </row>
    <row r="1004" spans="2:16" x14ac:dyDescent="0.3">
      <c r="B1004" s="146">
        <v>997</v>
      </c>
      <c r="C1004" s="147"/>
      <c r="D1004" s="147"/>
      <c r="E1004" s="146"/>
      <c r="F1004" s="148" t="str">
        <f>+IFERROR(VLOOKUP(E1004,Data!C1000:D1095,2,0),"")</f>
        <v/>
      </c>
      <c r="G1004" s="146"/>
      <c r="H1004" s="149"/>
      <c r="I1004" s="150"/>
      <c r="J1004" s="151" t="str">
        <f t="shared" si="45"/>
        <v>-</v>
      </c>
      <c r="K1004" s="152"/>
      <c r="L1004" s="149"/>
      <c r="M1004" s="149"/>
      <c r="N1004" s="153">
        <f t="shared" si="46"/>
        <v>0</v>
      </c>
      <c r="O1004" s="153">
        <f t="shared" si="47"/>
        <v>0</v>
      </c>
      <c r="P1004" s="146"/>
    </row>
    <row r="1005" spans="2:16" x14ac:dyDescent="0.3">
      <c r="B1005" s="146">
        <v>998</v>
      </c>
      <c r="C1005" s="147"/>
      <c r="D1005" s="147"/>
      <c r="E1005" s="146"/>
      <c r="F1005" s="148" t="str">
        <f>+IFERROR(VLOOKUP(E1005,Data!C1001:D1096,2,0),"")</f>
        <v/>
      </c>
      <c r="G1005" s="146"/>
      <c r="H1005" s="149"/>
      <c r="I1005" s="150"/>
      <c r="J1005" s="151" t="str">
        <f t="shared" si="45"/>
        <v>-</v>
      </c>
      <c r="K1005" s="152"/>
      <c r="L1005" s="149"/>
      <c r="M1005" s="149"/>
      <c r="N1005" s="153">
        <f t="shared" si="46"/>
        <v>0</v>
      </c>
      <c r="O1005" s="153">
        <f t="shared" si="47"/>
        <v>0</v>
      </c>
      <c r="P1005" s="146"/>
    </row>
    <row r="1006" spans="2:16" x14ac:dyDescent="0.3">
      <c r="B1006" s="146">
        <v>999</v>
      </c>
      <c r="C1006" s="147"/>
      <c r="D1006" s="147"/>
      <c r="E1006" s="146"/>
      <c r="F1006" s="148" t="str">
        <f>+IFERROR(VLOOKUP(E1006,Data!C1002:D1097,2,0),"")</f>
        <v/>
      </c>
      <c r="G1006" s="146"/>
      <c r="H1006" s="149"/>
      <c r="I1006" s="150"/>
      <c r="J1006" s="151" t="str">
        <f t="shared" si="45"/>
        <v>-</v>
      </c>
      <c r="K1006" s="152"/>
      <c r="L1006" s="149"/>
      <c r="M1006" s="149"/>
      <c r="N1006" s="153">
        <f t="shared" si="46"/>
        <v>0</v>
      </c>
      <c r="O1006" s="153">
        <f t="shared" si="47"/>
        <v>0</v>
      </c>
      <c r="P1006" s="146"/>
    </row>
    <row r="1007" spans="2:16" x14ac:dyDescent="0.3">
      <c r="B1007" s="146">
        <v>1000</v>
      </c>
      <c r="C1007" s="147"/>
      <c r="D1007" s="147"/>
      <c r="E1007" s="146"/>
      <c r="F1007" s="148" t="str">
        <f>+IFERROR(VLOOKUP(E1007,Data!C1003:D1098,2,0),"")</f>
        <v/>
      </c>
      <c r="G1007" s="146"/>
      <c r="H1007" s="149"/>
      <c r="I1007" s="150"/>
      <c r="J1007" s="151" t="str">
        <f t="shared" si="45"/>
        <v>-</v>
      </c>
      <c r="K1007" s="152"/>
      <c r="L1007" s="149"/>
      <c r="M1007" s="149"/>
      <c r="N1007" s="153">
        <f t="shared" si="46"/>
        <v>0</v>
      </c>
      <c r="O1007" s="153">
        <f t="shared" si="47"/>
        <v>0</v>
      </c>
      <c r="P1007" s="146"/>
    </row>
    <row r="1008" spans="2:16" x14ac:dyDescent="0.3">
      <c r="B1008" s="146">
        <v>1001</v>
      </c>
      <c r="C1008" s="147"/>
      <c r="D1008" s="147"/>
      <c r="E1008" s="146"/>
      <c r="F1008" s="148" t="str">
        <f>+IFERROR(VLOOKUP(E1008,Data!C1004:D1099,2,0),"")</f>
        <v/>
      </c>
      <c r="G1008" s="146"/>
      <c r="H1008" s="149"/>
      <c r="I1008" s="150"/>
      <c r="J1008" s="151" t="str">
        <f t="shared" si="45"/>
        <v>-</v>
      </c>
      <c r="K1008" s="152"/>
      <c r="L1008" s="149"/>
      <c r="M1008" s="149"/>
      <c r="N1008" s="153">
        <f t="shared" si="46"/>
        <v>0</v>
      </c>
      <c r="O1008" s="153">
        <f t="shared" si="47"/>
        <v>0</v>
      </c>
      <c r="P1008" s="146"/>
    </row>
    <row r="1009" spans="2:16" x14ac:dyDescent="0.3">
      <c r="B1009" s="146">
        <v>1002</v>
      </c>
      <c r="C1009" s="147"/>
      <c r="D1009" s="147"/>
      <c r="E1009" s="146"/>
      <c r="F1009" s="148" t="str">
        <f>+IFERROR(VLOOKUP(E1009,Data!C1005:D1100,2,0),"")</f>
        <v/>
      </c>
      <c r="G1009" s="146"/>
      <c r="H1009" s="149"/>
      <c r="I1009" s="150"/>
      <c r="J1009" s="151" t="str">
        <f t="shared" si="45"/>
        <v>-</v>
      </c>
      <c r="K1009" s="152"/>
      <c r="L1009" s="149"/>
      <c r="M1009" s="149"/>
      <c r="N1009" s="153">
        <f t="shared" si="46"/>
        <v>0</v>
      </c>
      <c r="O1009" s="153">
        <f t="shared" si="47"/>
        <v>0</v>
      </c>
      <c r="P1009" s="146"/>
    </row>
    <row r="1010" spans="2:16" x14ac:dyDescent="0.3">
      <c r="B1010" s="146">
        <v>1003</v>
      </c>
      <c r="C1010" s="147"/>
      <c r="D1010" s="147"/>
      <c r="E1010" s="146"/>
      <c r="F1010" s="148" t="str">
        <f>+IFERROR(VLOOKUP(E1010,Data!C1006:D1101,2,0),"")</f>
        <v/>
      </c>
      <c r="G1010" s="146"/>
      <c r="H1010" s="149"/>
      <c r="I1010" s="150"/>
      <c r="J1010" s="151" t="str">
        <f t="shared" si="45"/>
        <v>-</v>
      </c>
      <c r="K1010" s="152"/>
      <c r="L1010" s="149"/>
      <c r="M1010" s="149"/>
      <c r="N1010" s="153">
        <f t="shared" si="46"/>
        <v>0</v>
      </c>
      <c r="O1010" s="153">
        <f t="shared" si="47"/>
        <v>0</v>
      </c>
      <c r="P1010" s="146"/>
    </row>
    <row r="1011" spans="2:16" x14ac:dyDescent="0.3">
      <c r="B1011" s="146">
        <v>1004</v>
      </c>
      <c r="C1011" s="147"/>
      <c r="D1011" s="147"/>
      <c r="E1011" s="146"/>
      <c r="F1011" s="148" t="str">
        <f>+IFERROR(VLOOKUP(E1011,Data!C1007:D1102,2,0),"")</f>
        <v/>
      </c>
      <c r="G1011" s="146"/>
      <c r="H1011" s="149"/>
      <c r="I1011" s="150"/>
      <c r="J1011" s="151" t="str">
        <f t="shared" si="45"/>
        <v>-</v>
      </c>
      <c r="K1011" s="152"/>
      <c r="L1011" s="149"/>
      <c r="M1011" s="149"/>
      <c r="N1011" s="153">
        <f t="shared" si="46"/>
        <v>0</v>
      </c>
      <c r="O1011" s="153">
        <f t="shared" si="47"/>
        <v>0</v>
      </c>
      <c r="P1011" s="146"/>
    </row>
    <row r="1012" spans="2:16" x14ac:dyDescent="0.3">
      <c r="B1012" s="146">
        <v>1005</v>
      </c>
      <c r="C1012" s="147"/>
      <c r="D1012" s="147"/>
      <c r="E1012" s="146"/>
      <c r="F1012" s="148" t="str">
        <f>+IFERROR(VLOOKUP(E1012,Data!C1008:D1103,2,0),"")</f>
        <v/>
      </c>
      <c r="G1012" s="146"/>
      <c r="H1012" s="149"/>
      <c r="I1012" s="150"/>
      <c r="J1012" s="151" t="str">
        <f t="shared" si="45"/>
        <v>-</v>
      </c>
      <c r="K1012" s="152"/>
      <c r="L1012" s="149"/>
      <c r="M1012" s="149"/>
      <c r="N1012" s="153">
        <f t="shared" si="46"/>
        <v>0</v>
      </c>
      <c r="O1012" s="153">
        <f t="shared" si="47"/>
        <v>0</v>
      </c>
      <c r="P1012" s="146"/>
    </row>
    <row r="1013" spans="2:16" x14ac:dyDescent="0.3">
      <c r="B1013" s="146">
        <v>1006</v>
      </c>
      <c r="C1013" s="147"/>
      <c r="D1013" s="147"/>
      <c r="E1013" s="146"/>
      <c r="F1013" s="148" t="str">
        <f>+IFERROR(VLOOKUP(E1013,Data!C1009:D1104,2,0),"")</f>
        <v/>
      </c>
      <c r="G1013" s="146"/>
      <c r="H1013" s="149"/>
      <c r="I1013" s="150"/>
      <c r="J1013" s="151" t="str">
        <f t="shared" si="45"/>
        <v>-</v>
      </c>
      <c r="K1013" s="152"/>
      <c r="L1013" s="149"/>
      <c r="M1013" s="149"/>
      <c r="N1013" s="153">
        <f t="shared" si="46"/>
        <v>0</v>
      </c>
      <c r="O1013" s="153">
        <f t="shared" si="47"/>
        <v>0</v>
      </c>
      <c r="P1013" s="146"/>
    </row>
    <row r="1014" spans="2:16" x14ac:dyDescent="0.3">
      <c r="B1014" s="146">
        <v>1007</v>
      </c>
      <c r="C1014" s="147"/>
      <c r="D1014" s="147"/>
      <c r="E1014" s="146"/>
      <c r="F1014" s="148" t="str">
        <f>+IFERROR(VLOOKUP(E1014,Data!C1010:D1105,2,0),"")</f>
        <v/>
      </c>
      <c r="G1014" s="146"/>
      <c r="H1014" s="149"/>
      <c r="I1014" s="150"/>
      <c r="J1014" s="151" t="str">
        <f t="shared" ref="J1014:J1077" si="48">IFERROR(+I1014/H1014,"-")</f>
        <v>-</v>
      </c>
      <c r="K1014" s="152"/>
      <c r="L1014" s="149"/>
      <c r="M1014" s="149"/>
      <c r="N1014" s="153">
        <f t="shared" ref="N1014:N1077" si="49">+L1014+M1014</f>
        <v>0</v>
      </c>
      <c r="O1014" s="153">
        <f t="shared" ref="O1014:O1077" si="50">+N1014-K1014</f>
        <v>0</v>
      </c>
      <c r="P1014" s="146"/>
    </row>
    <row r="1015" spans="2:16" x14ac:dyDescent="0.3">
      <c r="B1015" s="146">
        <v>1008</v>
      </c>
      <c r="C1015" s="147"/>
      <c r="D1015" s="147"/>
      <c r="E1015" s="146"/>
      <c r="F1015" s="148" t="str">
        <f>+IFERROR(VLOOKUP(E1015,Data!C1011:D1106,2,0),"")</f>
        <v/>
      </c>
      <c r="G1015" s="146"/>
      <c r="H1015" s="149"/>
      <c r="I1015" s="150"/>
      <c r="J1015" s="151" t="str">
        <f t="shared" si="48"/>
        <v>-</v>
      </c>
      <c r="K1015" s="152"/>
      <c r="L1015" s="149"/>
      <c r="M1015" s="149"/>
      <c r="N1015" s="153">
        <f t="shared" si="49"/>
        <v>0</v>
      </c>
      <c r="O1015" s="153">
        <f t="shared" si="50"/>
        <v>0</v>
      </c>
      <c r="P1015" s="146"/>
    </row>
    <row r="1016" spans="2:16" x14ac:dyDescent="0.3">
      <c r="B1016" s="146">
        <v>1009</v>
      </c>
      <c r="C1016" s="147"/>
      <c r="D1016" s="147"/>
      <c r="E1016" s="146"/>
      <c r="F1016" s="148" t="str">
        <f>+IFERROR(VLOOKUP(E1016,Data!C1012:D1107,2,0),"")</f>
        <v/>
      </c>
      <c r="G1016" s="146"/>
      <c r="H1016" s="149"/>
      <c r="I1016" s="150"/>
      <c r="J1016" s="151" t="str">
        <f t="shared" si="48"/>
        <v>-</v>
      </c>
      <c r="K1016" s="152"/>
      <c r="L1016" s="149"/>
      <c r="M1016" s="149"/>
      <c r="N1016" s="153">
        <f t="shared" si="49"/>
        <v>0</v>
      </c>
      <c r="O1016" s="153">
        <f t="shared" si="50"/>
        <v>0</v>
      </c>
      <c r="P1016" s="146"/>
    </row>
    <row r="1017" spans="2:16" x14ac:dyDescent="0.3">
      <c r="B1017" s="146">
        <v>1010</v>
      </c>
      <c r="C1017" s="147"/>
      <c r="D1017" s="147"/>
      <c r="E1017" s="146"/>
      <c r="F1017" s="148" t="str">
        <f>+IFERROR(VLOOKUP(E1017,Data!C1013:D1108,2,0),"")</f>
        <v/>
      </c>
      <c r="G1017" s="146"/>
      <c r="H1017" s="149"/>
      <c r="I1017" s="150"/>
      <c r="J1017" s="151" t="str">
        <f t="shared" si="48"/>
        <v>-</v>
      </c>
      <c r="K1017" s="152"/>
      <c r="L1017" s="149"/>
      <c r="M1017" s="149"/>
      <c r="N1017" s="153">
        <f t="shared" si="49"/>
        <v>0</v>
      </c>
      <c r="O1017" s="153">
        <f t="shared" si="50"/>
        <v>0</v>
      </c>
      <c r="P1017" s="146"/>
    </row>
    <row r="1018" spans="2:16" x14ac:dyDescent="0.3">
      <c r="B1018" s="146">
        <v>1011</v>
      </c>
      <c r="C1018" s="147"/>
      <c r="D1018" s="147"/>
      <c r="E1018" s="146"/>
      <c r="F1018" s="148" t="str">
        <f>+IFERROR(VLOOKUP(E1018,Data!C1014:D1109,2,0),"")</f>
        <v/>
      </c>
      <c r="G1018" s="146"/>
      <c r="H1018" s="149"/>
      <c r="I1018" s="150"/>
      <c r="J1018" s="151" t="str">
        <f t="shared" si="48"/>
        <v>-</v>
      </c>
      <c r="K1018" s="152"/>
      <c r="L1018" s="149"/>
      <c r="M1018" s="149"/>
      <c r="N1018" s="153">
        <f t="shared" si="49"/>
        <v>0</v>
      </c>
      <c r="O1018" s="153">
        <f t="shared" si="50"/>
        <v>0</v>
      </c>
      <c r="P1018" s="146"/>
    </row>
    <row r="1019" spans="2:16" x14ac:dyDescent="0.3">
      <c r="B1019" s="146">
        <v>1012</v>
      </c>
      <c r="C1019" s="147"/>
      <c r="D1019" s="147"/>
      <c r="E1019" s="146"/>
      <c r="F1019" s="148" t="str">
        <f>+IFERROR(VLOOKUP(E1019,Data!C1015:D1110,2,0),"")</f>
        <v/>
      </c>
      <c r="G1019" s="146"/>
      <c r="H1019" s="149"/>
      <c r="I1019" s="150"/>
      <c r="J1019" s="151" t="str">
        <f t="shared" si="48"/>
        <v>-</v>
      </c>
      <c r="K1019" s="152"/>
      <c r="L1019" s="149"/>
      <c r="M1019" s="149"/>
      <c r="N1019" s="153">
        <f t="shared" si="49"/>
        <v>0</v>
      </c>
      <c r="O1019" s="153">
        <f t="shared" si="50"/>
        <v>0</v>
      </c>
      <c r="P1019" s="146"/>
    </row>
    <row r="1020" spans="2:16" x14ac:dyDescent="0.3">
      <c r="B1020" s="146">
        <v>1013</v>
      </c>
      <c r="C1020" s="147"/>
      <c r="D1020" s="147"/>
      <c r="E1020" s="146"/>
      <c r="F1020" s="148" t="str">
        <f>+IFERROR(VLOOKUP(E1020,Data!C1016:D1111,2,0),"")</f>
        <v/>
      </c>
      <c r="G1020" s="146"/>
      <c r="H1020" s="149"/>
      <c r="I1020" s="150"/>
      <c r="J1020" s="151" t="str">
        <f t="shared" si="48"/>
        <v>-</v>
      </c>
      <c r="K1020" s="152"/>
      <c r="L1020" s="149"/>
      <c r="M1020" s="149"/>
      <c r="N1020" s="153">
        <f t="shared" si="49"/>
        <v>0</v>
      </c>
      <c r="O1020" s="153">
        <f t="shared" si="50"/>
        <v>0</v>
      </c>
      <c r="P1020" s="146"/>
    </row>
    <row r="1021" spans="2:16" x14ac:dyDescent="0.3">
      <c r="B1021" s="146">
        <v>1014</v>
      </c>
      <c r="C1021" s="147"/>
      <c r="D1021" s="147"/>
      <c r="E1021" s="146"/>
      <c r="F1021" s="148" t="str">
        <f>+IFERROR(VLOOKUP(E1021,Data!C1017:D1112,2,0),"")</f>
        <v/>
      </c>
      <c r="G1021" s="146"/>
      <c r="H1021" s="149"/>
      <c r="I1021" s="150"/>
      <c r="J1021" s="151" t="str">
        <f t="shared" si="48"/>
        <v>-</v>
      </c>
      <c r="K1021" s="152"/>
      <c r="L1021" s="149"/>
      <c r="M1021" s="149"/>
      <c r="N1021" s="153">
        <f t="shared" si="49"/>
        <v>0</v>
      </c>
      <c r="O1021" s="153">
        <f t="shared" si="50"/>
        <v>0</v>
      </c>
      <c r="P1021" s="146"/>
    </row>
    <row r="1022" spans="2:16" x14ac:dyDescent="0.3">
      <c r="B1022" s="146">
        <v>1015</v>
      </c>
      <c r="C1022" s="147"/>
      <c r="D1022" s="147"/>
      <c r="E1022" s="146"/>
      <c r="F1022" s="148" t="str">
        <f>+IFERROR(VLOOKUP(E1022,Data!C1018:D1113,2,0),"")</f>
        <v/>
      </c>
      <c r="G1022" s="146"/>
      <c r="H1022" s="149"/>
      <c r="I1022" s="150"/>
      <c r="J1022" s="151" t="str">
        <f t="shared" si="48"/>
        <v>-</v>
      </c>
      <c r="K1022" s="152"/>
      <c r="L1022" s="149"/>
      <c r="M1022" s="149"/>
      <c r="N1022" s="153">
        <f t="shared" si="49"/>
        <v>0</v>
      </c>
      <c r="O1022" s="153">
        <f t="shared" si="50"/>
        <v>0</v>
      </c>
      <c r="P1022" s="146"/>
    </row>
    <row r="1023" spans="2:16" x14ac:dyDescent="0.3">
      <c r="B1023" s="146">
        <v>1016</v>
      </c>
      <c r="C1023" s="147"/>
      <c r="D1023" s="147"/>
      <c r="E1023" s="146"/>
      <c r="F1023" s="148" t="str">
        <f>+IFERROR(VLOOKUP(E1023,Data!C1019:D1114,2,0),"")</f>
        <v/>
      </c>
      <c r="G1023" s="146"/>
      <c r="H1023" s="149"/>
      <c r="I1023" s="150"/>
      <c r="J1023" s="151" t="str">
        <f t="shared" si="48"/>
        <v>-</v>
      </c>
      <c r="K1023" s="152"/>
      <c r="L1023" s="149"/>
      <c r="M1023" s="149"/>
      <c r="N1023" s="153">
        <f t="shared" si="49"/>
        <v>0</v>
      </c>
      <c r="O1023" s="153">
        <f t="shared" si="50"/>
        <v>0</v>
      </c>
      <c r="P1023" s="146"/>
    </row>
    <row r="1024" spans="2:16" x14ac:dyDescent="0.3">
      <c r="B1024" s="146">
        <v>1017</v>
      </c>
      <c r="C1024" s="147"/>
      <c r="D1024" s="147"/>
      <c r="E1024" s="146"/>
      <c r="F1024" s="148" t="str">
        <f>+IFERROR(VLOOKUP(E1024,Data!C1020:D1115,2,0),"")</f>
        <v/>
      </c>
      <c r="G1024" s="146"/>
      <c r="H1024" s="149"/>
      <c r="I1024" s="150"/>
      <c r="J1024" s="151" t="str">
        <f t="shared" si="48"/>
        <v>-</v>
      </c>
      <c r="K1024" s="152"/>
      <c r="L1024" s="149"/>
      <c r="M1024" s="149"/>
      <c r="N1024" s="153">
        <f t="shared" si="49"/>
        <v>0</v>
      </c>
      <c r="O1024" s="153">
        <f t="shared" si="50"/>
        <v>0</v>
      </c>
      <c r="P1024" s="146"/>
    </row>
    <row r="1025" spans="2:16" x14ac:dyDescent="0.3">
      <c r="B1025" s="146">
        <v>1018</v>
      </c>
      <c r="C1025" s="147"/>
      <c r="D1025" s="147"/>
      <c r="E1025" s="146"/>
      <c r="F1025" s="148" t="str">
        <f>+IFERROR(VLOOKUP(E1025,Data!C1021:D1116,2,0),"")</f>
        <v/>
      </c>
      <c r="G1025" s="146"/>
      <c r="H1025" s="149"/>
      <c r="I1025" s="150"/>
      <c r="J1025" s="151" t="str">
        <f t="shared" si="48"/>
        <v>-</v>
      </c>
      <c r="K1025" s="152"/>
      <c r="L1025" s="149"/>
      <c r="M1025" s="149"/>
      <c r="N1025" s="153">
        <f t="shared" si="49"/>
        <v>0</v>
      </c>
      <c r="O1025" s="153">
        <f t="shared" si="50"/>
        <v>0</v>
      </c>
      <c r="P1025" s="146"/>
    </row>
    <row r="1026" spans="2:16" x14ac:dyDescent="0.3">
      <c r="B1026" s="146">
        <v>1019</v>
      </c>
      <c r="C1026" s="147"/>
      <c r="D1026" s="147"/>
      <c r="E1026" s="146"/>
      <c r="F1026" s="148" t="str">
        <f>+IFERROR(VLOOKUP(E1026,Data!C1022:D1117,2,0),"")</f>
        <v/>
      </c>
      <c r="G1026" s="146"/>
      <c r="H1026" s="149"/>
      <c r="I1026" s="150"/>
      <c r="J1026" s="151" t="str">
        <f t="shared" si="48"/>
        <v>-</v>
      </c>
      <c r="K1026" s="152"/>
      <c r="L1026" s="149"/>
      <c r="M1026" s="149"/>
      <c r="N1026" s="153">
        <f t="shared" si="49"/>
        <v>0</v>
      </c>
      <c r="O1026" s="153">
        <f t="shared" si="50"/>
        <v>0</v>
      </c>
      <c r="P1026" s="146"/>
    </row>
    <row r="1027" spans="2:16" x14ac:dyDescent="0.3">
      <c r="B1027" s="146">
        <v>1020</v>
      </c>
      <c r="C1027" s="147"/>
      <c r="D1027" s="147"/>
      <c r="E1027" s="146"/>
      <c r="F1027" s="148" t="str">
        <f>+IFERROR(VLOOKUP(E1027,Data!C1023:D1118,2,0),"")</f>
        <v/>
      </c>
      <c r="G1027" s="146"/>
      <c r="H1027" s="149"/>
      <c r="I1027" s="150"/>
      <c r="J1027" s="151" t="str">
        <f t="shared" si="48"/>
        <v>-</v>
      </c>
      <c r="K1027" s="152"/>
      <c r="L1027" s="149"/>
      <c r="M1027" s="149"/>
      <c r="N1027" s="153">
        <f t="shared" si="49"/>
        <v>0</v>
      </c>
      <c r="O1027" s="153">
        <f t="shared" si="50"/>
        <v>0</v>
      </c>
      <c r="P1027" s="146"/>
    </row>
    <row r="1028" spans="2:16" x14ac:dyDescent="0.3">
      <c r="B1028" s="146">
        <v>1021</v>
      </c>
      <c r="C1028" s="147"/>
      <c r="D1028" s="147"/>
      <c r="E1028" s="146"/>
      <c r="F1028" s="148" t="str">
        <f>+IFERROR(VLOOKUP(E1028,Data!C1024:D1119,2,0),"")</f>
        <v/>
      </c>
      <c r="G1028" s="146"/>
      <c r="H1028" s="149"/>
      <c r="I1028" s="150"/>
      <c r="J1028" s="151" t="str">
        <f t="shared" si="48"/>
        <v>-</v>
      </c>
      <c r="K1028" s="152"/>
      <c r="L1028" s="149"/>
      <c r="M1028" s="149"/>
      <c r="N1028" s="153">
        <f t="shared" si="49"/>
        <v>0</v>
      </c>
      <c r="O1028" s="153">
        <f t="shared" si="50"/>
        <v>0</v>
      </c>
      <c r="P1028" s="146"/>
    </row>
    <row r="1029" spans="2:16" x14ac:dyDescent="0.3">
      <c r="B1029" s="146">
        <v>1022</v>
      </c>
      <c r="C1029" s="147"/>
      <c r="D1029" s="147"/>
      <c r="E1029" s="146"/>
      <c r="F1029" s="148" t="str">
        <f>+IFERROR(VLOOKUP(E1029,Data!C1025:D1120,2,0),"")</f>
        <v/>
      </c>
      <c r="G1029" s="146"/>
      <c r="H1029" s="149"/>
      <c r="I1029" s="150"/>
      <c r="J1029" s="151" t="str">
        <f t="shared" si="48"/>
        <v>-</v>
      </c>
      <c r="K1029" s="152"/>
      <c r="L1029" s="149"/>
      <c r="M1029" s="149"/>
      <c r="N1029" s="153">
        <f t="shared" si="49"/>
        <v>0</v>
      </c>
      <c r="O1029" s="153">
        <f t="shared" si="50"/>
        <v>0</v>
      </c>
      <c r="P1029" s="146"/>
    </row>
    <row r="1030" spans="2:16" x14ac:dyDescent="0.3">
      <c r="B1030" s="146">
        <v>1023</v>
      </c>
      <c r="C1030" s="147"/>
      <c r="D1030" s="147"/>
      <c r="E1030" s="146"/>
      <c r="F1030" s="148" t="str">
        <f>+IFERROR(VLOOKUP(E1030,Data!C1026:D1121,2,0),"")</f>
        <v/>
      </c>
      <c r="G1030" s="146"/>
      <c r="H1030" s="149"/>
      <c r="I1030" s="150"/>
      <c r="J1030" s="151" t="str">
        <f t="shared" si="48"/>
        <v>-</v>
      </c>
      <c r="K1030" s="152"/>
      <c r="L1030" s="149"/>
      <c r="M1030" s="149"/>
      <c r="N1030" s="153">
        <f t="shared" si="49"/>
        <v>0</v>
      </c>
      <c r="O1030" s="153">
        <f t="shared" si="50"/>
        <v>0</v>
      </c>
      <c r="P1030" s="146"/>
    </row>
    <row r="1031" spans="2:16" x14ac:dyDescent="0.3">
      <c r="B1031" s="146">
        <v>1024</v>
      </c>
      <c r="C1031" s="147"/>
      <c r="D1031" s="147"/>
      <c r="E1031" s="146"/>
      <c r="F1031" s="148" t="str">
        <f>+IFERROR(VLOOKUP(E1031,Data!C1027:D1122,2,0),"")</f>
        <v/>
      </c>
      <c r="G1031" s="146"/>
      <c r="H1031" s="149"/>
      <c r="I1031" s="150"/>
      <c r="J1031" s="151" t="str">
        <f t="shared" si="48"/>
        <v>-</v>
      </c>
      <c r="K1031" s="152"/>
      <c r="L1031" s="149"/>
      <c r="M1031" s="149"/>
      <c r="N1031" s="153">
        <f t="shared" si="49"/>
        <v>0</v>
      </c>
      <c r="O1031" s="153">
        <f t="shared" si="50"/>
        <v>0</v>
      </c>
      <c r="P1031" s="146"/>
    </row>
    <row r="1032" spans="2:16" x14ac:dyDescent="0.3">
      <c r="B1032" s="146">
        <v>1025</v>
      </c>
      <c r="C1032" s="147"/>
      <c r="D1032" s="147"/>
      <c r="E1032" s="146"/>
      <c r="F1032" s="148" t="str">
        <f>+IFERROR(VLOOKUP(E1032,Data!C1028:D1123,2,0),"")</f>
        <v/>
      </c>
      <c r="G1032" s="146"/>
      <c r="H1032" s="149"/>
      <c r="I1032" s="150"/>
      <c r="J1032" s="151" t="str">
        <f t="shared" si="48"/>
        <v>-</v>
      </c>
      <c r="K1032" s="152"/>
      <c r="L1032" s="149"/>
      <c r="M1032" s="149"/>
      <c r="N1032" s="153">
        <f t="shared" si="49"/>
        <v>0</v>
      </c>
      <c r="O1032" s="153">
        <f t="shared" si="50"/>
        <v>0</v>
      </c>
      <c r="P1032" s="146"/>
    </row>
    <row r="1033" spans="2:16" x14ac:dyDescent="0.3">
      <c r="B1033" s="146">
        <v>1026</v>
      </c>
      <c r="C1033" s="147"/>
      <c r="D1033" s="147"/>
      <c r="E1033" s="146"/>
      <c r="F1033" s="148" t="str">
        <f>+IFERROR(VLOOKUP(E1033,Data!C1029:D1124,2,0),"")</f>
        <v/>
      </c>
      <c r="G1033" s="146"/>
      <c r="H1033" s="149"/>
      <c r="I1033" s="150"/>
      <c r="J1033" s="151" t="str">
        <f t="shared" si="48"/>
        <v>-</v>
      </c>
      <c r="K1033" s="152"/>
      <c r="L1033" s="149"/>
      <c r="M1033" s="149"/>
      <c r="N1033" s="153">
        <f t="shared" si="49"/>
        <v>0</v>
      </c>
      <c r="O1033" s="153">
        <f t="shared" si="50"/>
        <v>0</v>
      </c>
      <c r="P1033" s="146"/>
    </row>
    <row r="1034" spans="2:16" x14ac:dyDescent="0.3">
      <c r="B1034" s="146">
        <v>1027</v>
      </c>
      <c r="C1034" s="147"/>
      <c r="D1034" s="147"/>
      <c r="E1034" s="146"/>
      <c r="F1034" s="148" t="str">
        <f>+IFERROR(VLOOKUP(E1034,Data!C1030:D1125,2,0),"")</f>
        <v/>
      </c>
      <c r="G1034" s="146"/>
      <c r="H1034" s="149"/>
      <c r="I1034" s="150"/>
      <c r="J1034" s="151" t="str">
        <f t="shared" si="48"/>
        <v>-</v>
      </c>
      <c r="K1034" s="152"/>
      <c r="L1034" s="149"/>
      <c r="M1034" s="149"/>
      <c r="N1034" s="153">
        <f t="shared" si="49"/>
        <v>0</v>
      </c>
      <c r="O1034" s="153">
        <f t="shared" si="50"/>
        <v>0</v>
      </c>
      <c r="P1034" s="146"/>
    </row>
    <row r="1035" spans="2:16" x14ac:dyDescent="0.3">
      <c r="B1035" s="146">
        <v>1028</v>
      </c>
      <c r="C1035" s="147"/>
      <c r="D1035" s="147"/>
      <c r="E1035" s="146"/>
      <c r="F1035" s="148" t="str">
        <f>+IFERROR(VLOOKUP(E1035,Data!C1031:D1126,2,0),"")</f>
        <v/>
      </c>
      <c r="G1035" s="146"/>
      <c r="H1035" s="149"/>
      <c r="I1035" s="150"/>
      <c r="J1035" s="151" t="str">
        <f t="shared" si="48"/>
        <v>-</v>
      </c>
      <c r="K1035" s="152"/>
      <c r="L1035" s="149"/>
      <c r="M1035" s="149"/>
      <c r="N1035" s="153">
        <f t="shared" si="49"/>
        <v>0</v>
      </c>
      <c r="O1035" s="153">
        <f t="shared" si="50"/>
        <v>0</v>
      </c>
      <c r="P1035" s="146"/>
    </row>
    <row r="1036" spans="2:16" x14ac:dyDescent="0.3">
      <c r="B1036" s="146">
        <v>1029</v>
      </c>
      <c r="C1036" s="147"/>
      <c r="D1036" s="147"/>
      <c r="E1036" s="146"/>
      <c r="F1036" s="148" t="str">
        <f>+IFERROR(VLOOKUP(E1036,Data!C1032:D1127,2,0),"")</f>
        <v/>
      </c>
      <c r="G1036" s="146"/>
      <c r="H1036" s="149"/>
      <c r="I1036" s="150"/>
      <c r="J1036" s="151" t="str">
        <f t="shared" si="48"/>
        <v>-</v>
      </c>
      <c r="K1036" s="152"/>
      <c r="L1036" s="149"/>
      <c r="M1036" s="149"/>
      <c r="N1036" s="153">
        <f t="shared" si="49"/>
        <v>0</v>
      </c>
      <c r="O1036" s="153">
        <f t="shared" si="50"/>
        <v>0</v>
      </c>
      <c r="P1036" s="146"/>
    </row>
    <row r="1037" spans="2:16" x14ac:dyDescent="0.3">
      <c r="B1037" s="146">
        <v>1030</v>
      </c>
      <c r="C1037" s="147"/>
      <c r="D1037" s="147"/>
      <c r="E1037" s="146"/>
      <c r="F1037" s="148" t="str">
        <f>+IFERROR(VLOOKUP(E1037,Data!C1033:D1128,2,0),"")</f>
        <v/>
      </c>
      <c r="G1037" s="146"/>
      <c r="H1037" s="149"/>
      <c r="I1037" s="150"/>
      <c r="J1037" s="151" t="str">
        <f t="shared" si="48"/>
        <v>-</v>
      </c>
      <c r="K1037" s="152"/>
      <c r="L1037" s="149"/>
      <c r="M1037" s="149"/>
      <c r="N1037" s="153">
        <f t="shared" si="49"/>
        <v>0</v>
      </c>
      <c r="O1037" s="153">
        <f t="shared" si="50"/>
        <v>0</v>
      </c>
      <c r="P1037" s="146"/>
    </row>
    <row r="1038" spans="2:16" x14ac:dyDescent="0.3">
      <c r="B1038" s="146">
        <v>1031</v>
      </c>
      <c r="C1038" s="147"/>
      <c r="D1038" s="147"/>
      <c r="E1038" s="146"/>
      <c r="F1038" s="148" t="str">
        <f>+IFERROR(VLOOKUP(E1038,Data!C1034:D1129,2,0),"")</f>
        <v/>
      </c>
      <c r="G1038" s="146"/>
      <c r="H1038" s="149"/>
      <c r="I1038" s="150"/>
      <c r="J1038" s="151" t="str">
        <f t="shared" si="48"/>
        <v>-</v>
      </c>
      <c r="K1038" s="152"/>
      <c r="L1038" s="149"/>
      <c r="M1038" s="149"/>
      <c r="N1038" s="153">
        <f t="shared" si="49"/>
        <v>0</v>
      </c>
      <c r="O1038" s="153">
        <f t="shared" si="50"/>
        <v>0</v>
      </c>
      <c r="P1038" s="146"/>
    </row>
    <row r="1039" spans="2:16" x14ac:dyDescent="0.3">
      <c r="B1039" s="146">
        <v>1032</v>
      </c>
      <c r="C1039" s="147"/>
      <c r="D1039" s="147"/>
      <c r="E1039" s="146"/>
      <c r="F1039" s="148" t="str">
        <f>+IFERROR(VLOOKUP(E1039,Data!C1035:D1130,2,0),"")</f>
        <v/>
      </c>
      <c r="G1039" s="146"/>
      <c r="H1039" s="149"/>
      <c r="I1039" s="150"/>
      <c r="J1039" s="151" t="str">
        <f t="shared" si="48"/>
        <v>-</v>
      </c>
      <c r="K1039" s="152"/>
      <c r="L1039" s="149"/>
      <c r="M1039" s="149"/>
      <c r="N1039" s="153">
        <f t="shared" si="49"/>
        <v>0</v>
      </c>
      <c r="O1039" s="153">
        <f t="shared" si="50"/>
        <v>0</v>
      </c>
      <c r="P1039" s="146"/>
    </row>
    <row r="1040" spans="2:16" x14ac:dyDescent="0.3">
      <c r="B1040" s="146">
        <v>1033</v>
      </c>
      <c r="C1040" s="147"/>
      <c r="D1040" s="147"/>
      <c r="E1040" s="146"/>
      <c r="F1040" s="148" t="str">
        <f>+IFERROR(VLOOKUP(E1040,Data!C1036:D1131,2,0),"")</f>
        <v/>
      </c>
      <c r="G1040" s="146"/>
      <c r="H1040" s="149"/>
      <c r="I1040" s="150"/>
      <c r="J1040" s="151" t="str">
        <f t="shared" si="48"/>
        <v>-</v>
      </c>
      <c r="K1040" s="152"/>
      <c r="L1040" s="149"/>
      <c r="M1040" s="149"/>
      <c r="N1040" s="153">
        <f t="shared" si="49"/>
        <v>0</v>
      </c>
      <c r="O1040" s="153">
        <f t="shared" si="50"/>
        <v>0</v>
      </c>
      <c r="P1040" s="146"/>
    </row>
    <row r="1041" spans="2:16" x14ac:dyDescent="0.3">
      <c r="B1041" s="146">
        <v>1034</v>
      </c>
      <c r="C1041" s="147"/>
      <c r="D1041" s="147"/>
      <c r="E1041" s="146"/>
      <c r="F1041" s="148" t="str">
        <f>+IFERROR(VLOOKUP(E1041,Data!C1037:D1132,2,0),"")</f>
        <v/>
      </c>
      <c r="G1041" s="146"/>
      <c r="H1041" s="149"/>
      <c r="I1041" s="150"/>
      <c r="J1041" s="151" t="str">
        <f t="shared" si="48"/>
        <v>-</v>
      </c>
      <c r="K1041" s="152"/>
      <c r="L1041" s="149"/>
      <c r="M1041" s="149"/>
      <c r="N1041" s="153">
        <f t="shared" si="49"/>
        <v>0</v>
      </c>
      <c r="O1041" s="153">
        <f t="shared" si="50"/>
        <v>0</v>
      </c>
      <c r="P1041" s="146"/>
    </row>
    <row r="1042" spans="2:16" x14ac:dyDescent="0.3">
      <c r="B1042" s="146">
        <v>1035</v>
      </c>
      <c r="C1042" s="147"/>
      <c r="D1042" s="147"/>
      <c r="E1042" s="146"/>
      <c r="F1042" s="148" t="str">
        <f>+IFERROR(VLOOKUP(E1042,Data!C1038:D1133,2,0),"")</f>
        <v/>
      </c>
      <c r="G1042" s="146"/>
      <c r="H1042" s="149"/>
      <c r="I1042" s="150"/>
      <c r="J1042" s="151" t="str">
        <f t="shared" si="48"/>
        <v>-</v>
      </c>
      <c r="K1042" s="152"/>
      <c r="L1042" s="149"/>
      <c r="M1042" s="149"/>
      <c r="N1042" s="153">
        <f t="shared" si="49"/>
        <v>0</v>
      </c>
      <c r="O1042" s="153">
        <f t="shared" si="50"/>
        <v>0</v>
      </c>
      <c r="P1042" s="146"/>
    </row>
    <row r="1043" spans="2:16" x14ac:dyDescent="0.3">
      <c r="B1043" s="146">
        <v>1036</v>
      </c>
      <c r="C1043" s="147"/>
      <c r="D1043" s="147"/>
      <c r="E1043" s="146"/>
      <c r="F1043" s="148" t="str">
        <f>+IFERROR(VLOOKUP(E1043,Data!C1039:D1134,2,0),"")</f>
        <v/>
      </c>
      <c r="G1043" s="146"/>
      <c r="H1043" s="149"/>
      <c r="I1043" s="150"/>
      <c r="J1043" s="151" t="str">
        <f t="shared" si="48"/>
        <v>-</v>
      </c>
      <c r="K1043" s="152"/>
      <c r="L1043" s="149"/>
      <c r="M1043" s="149"/>
      <c r="N1043" s="153">
        <f t="shared" si="49"/>
        <v>0</v>
      </c>
      <c r="O1043" s="153">
        <f t="shared" si="50"/>
        <v>0</v>
      </c>
      <c r="P1043" s="146"/>
    </row>
    <row r="1044" spans="2:16" x14ac:dyDescent="0.3">
      <c r="B1044" s="146">
        <v>1037</v>
      </c>
      <c r="C1044" s="147"/>
      <c r="D1044" s="147"/>
      <c r="E1044" s="146"/>
      <c r="F1044" s="148" t="str">
        <f>+IFERROR(VLOOKUP(E1044,Data!C1040:D1135,2,0),"")</f>
        <v/>
      </c>
      <c r="G1044" s="146"/>
      <c r="H1044" s="149"/>
      <c r="I1044" s="150"/>
      <c r="J1044" s="151" t="str">
        <f t="shared" si="48"/>
        <v>-</v>
      </c>
      <c r="K1044" s="152"/>
      <c r="L1044" s="149"/>
      <c r="M1044" s="149"/>
      <c r="N1044" s="153">
        <f t="shared" si="49"/>
        <v>0</v>
      </c>
      <c r="O1044" s="153">
        <f t="shared" si="50"/>
        <v>0</v>
      </c>
      <c r="P1044" s="146"/>
    </row>
    <row r="1045" spans="2:16" x14ac:dyDescent="0.3">
      <c r="B1045" s="146">
        <v>1038</v>
      </c>
      <c r="C1045" s="147"/>
      <c r="D1045" s="147"/>
      <c r="E1045" s="146"/>
      <c r="F1045" s="148" t="str">
        <f>+IFERROR(VLOOKUP(E1045,Data!C1041:D1136,2,0),"")</f>
        <v/>
      </c>
      <c r="G1045" s="146"/>
      <c r="H1045" s="149"/>
      <c r="I1045" s="150"/>
      <c r="J1045" s="151" t="str">
        <f t="shared" si="48"/>
        <v>-</v>
      </c>
      <c r="K1045" s="152"/>
      <c r="L1045" s="149"/>
      <c r="M1045" s="149"/>
      <c r="N1045" s="153">
        <f t="shared" si="49"/>
        <v>0</v>
      </c>
      <c r="O1045" s="153">
        <f t="shared" si="50"/>
        <v>0</v>
      </c>
      <c r="P1045" s="146"/>
    </row>
    <row r="1046" spans="2:16" x14ac:dyDescent="0.3">
      <c r="B1046" s="146">
        <v>1039</v>
      </c>
      <c r="C1046" s="147"/>
      <c r="D1046" s="147"/>
      <c r="E1046" s="146"/>
      <c r="F1046" s="148" t="str">
        <f>+IFERROR(VLOOKUP(E1046,Data!C1042:D1137,2,0),"")</f>
        <v/>
      </c>
      <c r="G1046" s="146"/>
      <c r="H1046" s="149"/>
      <c r="I1046" s="150"/>
      <c r="J1046" s="151" t="str">
        <f t="shared" si="48"/>
        <v>-</v>
      </c>
      <c r="K1046" s="152"/>
      <c r="L1046" s="149"/>
      <c r="M1046" s="149"/>
      <c r="N1046" s="153">
        <f t="shared" si="49"/>
        <v>0</v>
      </c>
      <c r="O1046" s="153">
        <f t="shared" si="50"/>
        <v>0</v>
      </c>
      <c r="P1046" s="146"/>
    </row>
    <row r="1047" spans="2:16" x14ac:dyDescent="0.3">
      <c r="B1047" s="146">
        <v>1040</v>
      </c>
      <c r="C1047" s="147"/>
      <c r="D1047" s="147"/>
      <c r="E1047" s="146"/>
      <c r="F1047" s="148" t="str">
        <f>+IFERROR(VLOOKUP(E1047,Data!C1043:D1138,2,0),"")</f>
        <v/>
      </c>
      <c r="G1047" s="146"/>
      <c r="H1047" s="149"/>
      <c r="I1047" s="150"/>
      <c r="J1047" s="151" t="str">
        <f t="shared" si="48"/>
        <v>-</v>
      </c>
      <c r="K1047" s="152"/>
      <c r="L1047" s="149"/>
      <c r="M1047" s="149"/>
      <c r="N1047" s="153">
        <f t="shared" si="49"/>
        <v>0</v>
      </c>
      <c r="O1047" s="153">
        <f t="shared" si="50"/>
        <v>0</v>
      </c>
      <c r="P1047" s="146"/>
    </row>
    <row r="1048" spans="2:16" x14ac:dyDescent="0.3">
      <c r="B1048" s="146">
        <v>1041</v>
      </c>
      <c r="C1048" s="147"/>
      <c r="D1048" s="147"/>
      <c r="E1048" s="146"/>
      <c r="F1048" s="148" t="str">
        <f>+IFERROR(VLOOKUP(E1048,Data!C1044:D1139,2,0),"")</f>
        <v/>
      </c>
      <c r="G1048" s="146"/>
      <c r="H1048" s="149"/>
      <c r="I1048" s="150"/>
      <c r="J1048" s="151" t="str">
        <f t="shared" si="48"/>
        <v>-</v>
      </c>
      <c r="K1048" s="152"/>
      <c r="L1048" s="149"/>
      <c r="M1048" s="149"/>
      <c r="N1048" s="153">
        <f t="shared" si="49"/>
        <v>0</v>
      </c>
      <c r="O1048" s="153">
        <f t="shared" si="50"/>
        <v>0</v>
      </c>
      <c r="P1048" s="146"/>
    </row>
    <row r="1049" spans="2:16" x14ac:dyDescent="0.3">
      <c r="B1049" s="146">
        <v>1042</v>
      </c>
      <c r="C1049" s="147"/>
      <c r="D1049" s="147"/>
      <c r="E1049" s="146"/>
      <c r="F1049" s="148" t="str">
        <f>+IFERROR(VLOOKUP(E1049,Data!C1045:D1140,2,0),"")</f>
        <v/>
      </c>
      <c r="G1049" s="146"/>
      <c r="H1049" s="149"/>
      <c r="I1049" s="150"/>
      <c r="J1049" s="151" t="str">
        <f t="shared" si="48"/>
        <v>-</v>
      </c>
      <c r="K1049" s="152"/>
      <c r="L1049" s="149"/>
      <c r="M1049" s="149"/>
      <c r="N1049" s="153">
        <f t="shared" si="49"/>
        <v>0</v>
      </c>
      <c r="O1049" s="153">
        <f t="shared" si="50"/>
        <v>0</v>
      </c>
      <c r="P1049" s="146"/>
    </row>
    <row r="1050" spans="2:16" x14ac:dyDescent="0.3">
      <c r="B1050" s="146">
        <v>1043</v>
      </c>
      <c r="C1050" s="147"/>
      <c r="D1050" s="147"/>
      <c r="E1050" s="146"/>
      <c r="F1050" s="148" t="str">
        <f>+IFERROR(VLOOKUP(E1050,Data!C1046:D1141,2,0),"")</f>
        <v/>
      </c>
      <c r="G1050" s="146"/>
      <c r="H1050" s="149"/>
      <c r="I1050" s="150"/>
      <c r="J1050" s="151" t="str">
        <f t="shared" si="48"/>
        <v>-</v>
      </c>
      <c r="K1050" s="152"/>
      <c r="L1050" s="149"/>
      <c r="M1050" s="149"/>
      <c r="N1050" s="153">
        <f t="shared" si="49"/>
        <v>0</v>
      </c>
      <c r="O1050" s="153">
        <f t="shared" si="50"/>
        <v>0</v>
      </c>
      <c r="P1050" s="146"/>
    </row>
    <row r="1051" spans="2:16" x14ac:dyDescent="0.3">
      <c r="B1051" s="146">
        <v>1044</v>
      </c>
      <c r="C1051" s="147"/>
      <c r="D1051" s="147"/>
      <c r="E1051" s="146"/>
      <c r="F1051" s="148" t="str">
        <f>+IFERROR(VLOOKUP(E1051,Data!C1047:D1142,2,0),"")</f>
        <v/>
      </c>
      <c r="G1051" s="146"/>
      <c r="H1051" s="149"/>
      <c r="I1051" s="150"/>
      <c r="J1051" s="151" t="str">
        <f t="shared" si="48"/>
        <v>-</v>
      </c>
      <c r="K1051" s="152"/>
      <c r="L1051" s="149"/>
      <c r="M1051" s="149"/>
      <c r="N1051" s="153">
        <f t="shared" si="49"/>
        <v>0</v>
      </c>
      <c r="O1051" s="153">
        <f t="shared" si="50"/>
        <v>0</v>
      </c>
      <c r="P1051" s="146"/>
    </row>
    <row r="1052" spans="2:16" x14ac:dyDescent="0.3">
      <c r="B1052" s="146">
        <v>1045</v>
      </c>
      <c r="C1052" s="147"/>
      <c r="D1052" s="147"/>
      <c r="E1052" s="146"/>
      <c r="F1052" s="148" t="str">
        <f>+IFERROR(VLOOKUP(E1052,Data!C1048:D1143,2,0),"")</f>
        <v/>
      </c>
      <c r="G1052" s="146"/>
      <c r="H1052" s="149"/>
      <c r="I1052" s="150"/>
      <c r="J1052" s="151" t="str">
        <f t="shared" si="48"/>
        <v>-</v>
      </c>
      <c r="K1052" s="152"/>
      <c r="L1052" s="149"/>
      <c r="M1052" s="149"/>
      <c r="N1052" s="153">
        <f t="shared" si="49"/>
        <v>0</v>
      </c>
      <c r="O1052" s="153">
        <f t="shared" si="50"/>
        <v>0</v>
      </c>
      <c r="P1052" s="146"/>
    </row>
    <row r="1053" spans="2:16" x14ac:dyDescent="0.3">
      <c r="B1053" s="146">
        <v>1046</v>
      </c>
      <c r="C1053" s="147"/>
      <c r="D1053" s="147"/>
      <c r="E1053" s="146"/>
      <c r="F1053" s="148" t="str">
        <f>+IFERROR(VLOOKUP(E1053,Data!C1049:D1144,2,0),"")</f>
        <v/>
      </c>
      <c r="G1053" s="146"/>
      <c r="H1053" s="149"/>
      <c r="I1053" s="150"/>
      <c r="J1053" s="151" t="str">
        <f t="shared" si="48"/>
        <v>-</v>
      </c>
      <c r="K1053" s="152"/>
      <c r="L1053" s="149"/>
      <c r="M1053" s="149"/>
      <c r="N1053" s="153">
        <f t="shared" si="49"/>
        <v>0</v>
      </c>
      <c r="O1053" s="153">
        <f t="shared" si="50"/>
        <v>0</v>
      </c>
      <c r="P1053" s="146"/>
    </row>
    <row r="1054" spans="2:16" x14ac:dyDescent="0.3">
      <c r="B1054" s="146">
        <v>1047</v>
      </c>
      <c r="C1054" s="147"/>
      <c r="D1054" s="147"/>
      <c r="E1054" s="146"/>
      <c r="F1054" s="148" t="str">
        <f>+IFERROR(VLOOKUP(E1054,Data!C1050:D1145,2,0),"")</f>
        <v/>
      </c>
      <c r="G1054" s="146"/>
      <c r="H1054" s="149"/>
      <c r="I1054" s="150"/>
      <c r="J1054" s="151" t="str">
        <f t="shared" si="48"/>
        <v>-</v>
      </c>
      <c r="K1054" s="152"/>
      <c r="L1054" s="149"/>
      <c r="M1054" s="149"/>
      <c r="N1054" s="153">
        <f t="shared" si="49"/>
        <v>0</v>
      </c>
      <c r="O1054" s="153">
        <f t="shared" si="50"/>
        <v>0</v>
      </c>
      <c r="P1054" s="146"/>
    </row>
    <row r="1055" spans="2:16" x14ac:dyDescent="0.3">
      <c r="B1055" s="146">
        <v>1048</v>
      </c>
      <c r="C1055" s="147"/>
      <c r="D1055" s="147"/>
      <c r="E1055" s="146"/>
      <c r="F1055" s="148" t="str">
        <f>+IFERROR(VLOOKUP(E1055,Data!C1051:D1146,2,0),"")</f>
        <v/>
      </c>
      <c r="G1055" s="146"/>
      <c r="H1055" s="149"/>
      <c r="I1055" s="150"/>
      <c r="J1055" s="151" t="str">
        <f t="shared" si="48"/>
        <v>-</v>
      </c>
      <c r="K1055" s="152"/>
      <c r="L1055" s="149"/>
      <c r="M1055" s="149"/>
      <c r="N1055" s="153">
        <f t="shared" si="49"/>
        <v>0</v>
      </c>
      <c r="O1055" s="153">
        <f t="shared" si="50"/>
        <v>0</v>
      </c>
      <c r="P1055" s="146"/>
    </row>
    <row r="1056" spans="2:16" x14ac:dyDescent="0.3">
      <c r="B1056" s="146">
        <v>1049</v>
      </c>
      <c r="C1056" s="147"/>
      <c r="D1056" s="147"/>
      <c r="E1056" s="146"/>
      <c r="F1056" s="148" t="str">
        <f>+IFERROR(VLOOKUP(E1056,Data!C1052:D1147,2,0),"")</f>
        <v/>
      </c>
      <c r="G1056" s="146"/>
      <c r="H1056" s="149"/>
      <c r="I1056" s="150"/>
      <c r="J1056" s="151" t="str">
        <f t="shared" si="48"/>
        <v>-</v>
      </c>
      <c r="K1056" s="152"/>
      <c r="L1056" s="149"/>
      <c r="M1056" s="149"/>
      <c r="N1056" s="153">
        <f t="shared" si="49"/>
        <v>0</v>
      </c>
      <c r="O1056" s="153">
        <f t="shared" si="50"/>
        <v>0</v>
      </c>
      <c r="P1056" s="146"/>
    </row>
    <row r="1057" spans="2:16" x14ac:dyDescent="0.3">
      <c r="B1057" s="146">
        <v>1050</v>
      </c>
      <c r="C1057" s="147"/>
      <c r="D1057" s="147"/>
      <c r="E1057" s="146"/>
      <c r="F1057" s="148" t="str">
        <f>+IFERROR(VLOOKUP(E1057,Data!C1053:D1148,2,0),"")</f>
        <v/>
      </c>
      <c r="G1057" s="146"/>
      <c r="H1057" s="149"/>
      <c r="I1057" s="150"/>
      <c r="J1057" s="151" t="str">
        <f t="shared" si="48"/>
        <v>-</v>
      </c>
      <c r="K1057" s="152"/>
      <c r="L1057" s="149"/>
      <c r="M1057" s="149"/>
      <c r="N1057" s="153">
        <f t="shared" si="49"/>
        <v>0</v>
      </c>
      <c r="O1057" s="153">
        <f t="shared" si="50"/>
        <v>0</v>
      </c>
      <c r="P1057" s="146"/>
    </row>
    <row r="1058" spans="2:16" x14ac:dyDescent="0.3">
      <c r="B1058" s="146">
        <v>1051</v>
      </c>
      <c r="C1058" s="147"/>
      <c r="D1058" s="147"/>
      <c r="E1058" s="146"/>
      <c r="F1058" s="148" t="str">
        <f>+IFERROR(VLOOKUP(E1058,Data!C1054:D1149,2,0),"")</f>
        <v/>
      </c>
      <c r="G1058" s="146"/>
      <c r="H1058" s="149"/>
      <c r="I1058" s="150"/>
      <c r="J1058" s="151" t="str">
        <f t="shared" si="48"/>
        <v>-</v>
      </c>
      <c r="K1058" s="152"/>
      <c r="L1058" s="149"/>
      <c r="M1058" s="149"/>
      <c r="N1058" s="153">
        <f t="shared" si="49"/>
        <v>0</v>
      </c>
      <c r="O1058" s="153">
        <f t="shared" si="50"/>
        <v>0</v>
      </c>
      <c r="P1058" s="146"/>
    </row>
    <row r="1059" spans="2:16" x14ac:dyDescent="0.3">
      <c r="B1059" s="146">
        <v>1052</v>
      </c>
      <c r="C1059" s="147"/>
      <c r="D1059" s="147"/>
      <c r="E1059" s="146"/>
      <c r="F1059" s="148" t="str">
        <f>+IFERROR(VLOOKUP(E1059,Data!C1055:D1150,2,0),"")</f>
        <v/>
      </c>
      <c r="G1059" s="146"/>
      <c r="H1059" s="149"/>
      <c r="I1059" s="150"/>
      <c r="J1059" s="151" t="str">
        <f t="shared" si="48"/>
        <v>-</v>
      </c>
      <c r="K1059" s="152"/>
      <c r="L1059" s="149"/>
      <c r="M1059" s="149"/>
      <c r="N1059" s="153">
        <f t="shared" si="49"/>
        <v>0</v>
      </c>
      <c r="O1059" s="153">
        <f t="shared" si="50"/>
        <v>0</v>
      </c>
      <c r="P1059" s="146"/>
    </row>
    <row r="1060" spans="2:16" x14ac:dyDescent="0.3">
      <c r="B1060" s="146">
        <v>1053</v>
      </c>
      <c r="C1060" s="147"/>
      <c r="D1060" s="147"/>
      <c r="E1060" s="146"/>
      <c r="F1060" s="148" t="str">
        <f>+IFERROR(VLOOKUP(E1060,Data!C1056:D1151,2,0),"")</f>
        <v/>
      </c>
      <c r="G1060" s="146"/>
      <c r="H1060" s="149"/>
      <c r="I1060" s="150"/>
      <c r="J1060" s="151" t="str">
        <f t="shared" si="48"/>
        <v>-</v>
      </c>
      <c r="K1060" s="152"/>
      <c r="L1060" s="149"/>
      <c r="M1060" s="149"/>
      <c r="N1060" s="153">
        <f t="shared" si="49"/>
        <v>0</v>
      </c>
      <c r="O1060" s="153">
        <f t="shared" si="50"/>
        <v>0</v>
      </c>
      <c r="P1060" s="146"/>
    </row>
    <row r="1061" spans="2:16" x14ac:dyDescent="0.3">
      <c r="B1061" s="146">
        <v>1054</v>
      </c>
      <c r="C1061" s="147"/>
      <c r="D1061" s="147"/>
      <c r="E1061" s="146"/>
      <c r="F1061" s="148" t="str">
        <f>+IFERROR(VLOOKUP(E1061,Data!C1057:D1152,2,0),"")</f>
        <v/>
      </c>
      <c r="G1061" s="146"/>
      <c r="H1061" s="149"/>
      <c r="I1061" s="150"/>
      <c r="J1061" s="151" t="str">
        <f t="shared" si="48"/>
        <v>-</v>
      </c>
      <c r="K1061" s="152"/>
      <c r="L1061" s="149"/>
      <c r="M1061" s="149"/>
      <c r="N1061" s="153">
        <f t="shared" si="49"/>
        <v>0</v>
      </c>
      <c r="O1061" s="153">
        <f t="shared" si="50"/>
        <v>0</v>
      </c>
      <c r="P1061" s="146"/>
    </row>
    <row r="1062" spans="2:16" x14ac:dyDescent="0.3">
      <c r="B1062" s="146">
        <v>1055</v>
      </c>
      <c r="C1062" s="147"/>
      <c r="D1062" s="147"/>
      <c r="E1062" s="146"/>
      <c r="F1062" s="148" t="str">
        <f>+IFERROR(VLOOKUP(E1062,Data!C1058:D1153,2,0),"")</f>
        <v/>
      </c>
      <c r="G1062" s="146"/>
      <c r="H1062" s="149"/>
      <c r="I1062" s="150"/>
      <c r="J1062" s="151" t="str">
        <f t="shared" si="48"/>
        <v>-</v>
      </c>
      <c r="K1062" s="152"/>
      <c r="L1062" s="149"/>
      <c r="M1062" s="149"/>
      <c r="N1062" s="153">
        <f t="shared" si="49"/>
        <v>0</v>
      </c>
      <c r="O1062" s="153">
        <f t="shared" si="50"/>
        <v>0</v>
      </c>
      <c r="P1062" s="146"/>
    </row>
    <row r="1063" spans="2:16" x14ac:dyDescent="0.3">
      <c r="B1063" s="146">
        <v>1056</v>
      </c>
      <c r="C1063" s="147"/>
      <c r="D1063" s="147"/>
      <c r="E1063" s="146"/>
      <c r="F1063" s="148" t="str">
        <f>+IFERROR(VLOOKUP(E1063,Data!C1059:D1154,2,0),"")</f>
        <v/>
      </c>
      <c r="G1063" s="146"/>
      <c r="H1063" s="149"/>
      <c r="I1063" s="150"/>
      <c r="J1063" s="151" t="str">
        <f t="shared" si="48"/>
        <v>-</v>
      </c>
      <c r="K1063" s="152"/>
      <c r="L1063" s="149"/>
      <c r="M1063" s="149"/>
      <c r="N1063" s="153">
        <f t="shared" si="49"/>
        <v>0</v>
      </c>
      <c r="O1063" s="153">
        <f t="shared" si="50"/>
        <v>0</v>
      </c>
      <c r="P1063" s="146"/>
    </row>
    <row r="1064" spans="2:16" x14ac:dyDescent="0.3">
      <c r="B1064" s="146">
        <v>1057</v>
      </c>
      <c r="C1064" s="147"/>
      <c r="D1064" s="147"/>
      <c r="E1064" s="146"/>
      <c r="F1064" s="148" t="str">
        <f>+IFERROR(VLOOKUP(E1064,Data!C1060:D1155,2,0),"")</f>
        <v/>
      </c>
      <c r="G1064" s="146"/>
      <c r="H1064" s="149"/>
      <c r="I1064" s="150"/>
      <c r="J1064" s="151" t="str">
        <f t="shared" si="48"/>
        <v>-</v>
      </c>
      <c r="K1064" s="152"/>
      <c r="L1064" s="149"/>
      <c r="M1064" s="149"/>
      <c r="N1064" s="153">
        <f t="shared" si="49"/>
        <v>0</v>
      </c>
      <c r="O1064" s="153">
        <f t="shared" si="50"/>
        <v>0</v>
      </c>
      <c r="P1064" s="146"/>
    </row>
    <row r="1065" spans="2:16" x14ac:dyDescent="0.3">
      <c r="B1065" s="146">
        <v>1058</v>
      </c>
      <c r="C1065" s="147"/>
      <c r="D1065" s="147"/>
      <c r="E1065" s="146"/>
      <c r="F1065" s="148" t="str">
        <f>+IFERROR(VLOOKUP(E1065,Data!C1061:D1156,2,0),"")</f>
        <v/>
      </c>
      <c r="G1065" s="146"/>
      <c r="H1065" s="149"/>
      <c r="I1065" s="150"/>
      <c r="J1065" s="151" t="str">
        <f t="shared" si="48"/>
        <v>-</v>
      </c>
      <c r="K1065" s="152"/>
      <c r="L1065" s="149"/>
      <c r="M1065" s="149"/>
      <c r="N1065" s="153">
        <f t="shared" si="49"/>
        <v>0</v>
      </c>
      <c r="O1065" s="153">
        <f t="shared" si="50"/>
        <v>0</v>
      </c>
      <c r="P1065" s="146"/>
    </row>
    <row r="1066" spans="2:16" x14ac:dyDescent="0.3">
      <c r="B1066" s="146">
        <v>1059</v>
      </c>
      <c r="C1066" s="147"/>
      <c r="D1066" s="147"/>
      <c r="E1066" s="146"/>
      <c r="F1066" s="148" t="str">
        <f>+IFERROR(VLOOKUP(E1066,Data!C1062:D1157,2,0),"")</f>
        <v/>
      </c>
      <c r="G1066" s="146"/>
      <c r="H1066" s="149"/>
      <c r="I1066" s="150"/>
      <c r="J1066" s="151" t="str">
        <f t="shared" si="48"/>
        <v>-</v>
      </c>
      <c r="K1066" s="152"/>
      <c r="L1066" s="149"/>
      <c r="M1066" s="149"/>
      <c r="N1066" s="153">
        <f t="shared" si="49"/>
        <v>0</v>
      </c>
      <c r="O1066" s="153">
        <f t="shared" si="50"/>
        <v>0</v>
      </c>
      <c r="P1066" s="146"/>
    </row>
    <row r="1067" spans="2:16" x14ac:dyDescent="0.3">
      <c r="B1067" s="146">
        <v>1060</v>
      </c>
      <c r="C1067" s="147"/>
      <c r="D1067" s="147"/>
      <c r="E1067" s="146"/>
      <c r="F1067" s="148" t="str">
        <f>+IFERROR(VLOOKUP(E1067,Data!C1063:D1158,2,0),"")</f>
        <v/>
      </c>
      <c r="G1067" s="146"/>
      <c r="H1067" s="149"/>
      <c r="I1067" s="150"/>
      <c r="J1067" s="151" t="str">
        <f t="shared" si="48"/>
        <v>-</v>
      </c>
      <c r="K1067" s="152"/>
      <c r="L1067" s="149"/>
      <c r="M1067" s="149"/>
      <c r="N1067" s="153">
        <f t="shared" si="49"/>
        <v>0</v>
      </c>
      <c r="O1067" s="153">
        <f t="shared" si="50"/>
        <v>0</v>
      </c>
      <c r="P1067" s="146"/>
    </row>
    <row r="1068" spans="2:16" x14ac:dyDescent="0.3">
      <c r="B1068" s="146">
        <v>1061</v>
      </c>
      <c r="C1068" s="147"/>
      <c r="D1068" s="147"/>
      <c r="E1068" s="146"/>
      <c r="F1068" s="148" t="str">
        <f>+IFERROR(VLOOKUP(E1068,Data!C1064:D1159,2,0),"")</f>
        <v/>
      </c>
      <c r="G1068" s="146"/>
      <c r="H1068" s="149"/>
      <c r="I1068" s="150"/>
      <c r="J1068" s="151" t="str">
        <f t="shared" si="48"/>
        <v>-</v>
      </c>
      <c r="K1068" s="152"/>
      <c r="L1068" s="149"/>
      <c r="M1068" s="149"/>
      <c r="N1068" s="153">
        <f t="shared" si="49"/>
        <v>0</v>
      </c>
      <c r="O1068" s="153">
        <f t="shared" si="50"/>
        <v>0</v>
      </c>
      <c r="P1068" s="146"/>
    </row>
    <row r="1069" spans="2:16" x14ac:dyDescent="0.3">
      <c r="B1069" s="146">
        <v>1062</v>
      </c>
      <c r="C1069" s="147"/>
      <c r="D1069" s="147"/>
      <c r="E1069" s="146"/>
      <c r="F1069" s="148" t="str">
        <f>+IFERROR(VLOOKUP(E1069,Data!C1065:D1160,2,0),"")</f>
        <v/>
      </c>
      <c r="G1069" s="146"/>
      <c r="H1069" s="149"/>
      <c r="I1069" s="150"/>
      <c r="J1069" s="151" t="str">
        <f t="shared" si="48"/>
        <v>-</v>
      </c>
      <c r="K1069" s="152"/>
      <c r="L1069" s="149"/>
      <c r="M1069" s="149"/>
      <c r="N1069" s="153">
        <f t="shared" si="49"/>
        <v>0</v>
      </c>
      <c r="O1069" s="153">
        <f t="shared" si="50"/>
        <v>0</v>
      </c>
      <c r="P1069" s="146"/>
    </row>
    <row r="1070" spans="2:16" x14ac:dyDescent="0.3">
      <c r="B1070" s="146">
        <v>1063</v>
      </c>
      <c r="C1070" s="147"/>
      <c r="D1070" s="147"/>
      <c r="E1070" s="146"/>
      <c r="F1070" s="148" t="str">
        <f>+IFERROR(VLOOKUP(E1070,Data!C1066:D1161,2,0),"")</f>
        <v/>
      </c>
      <c r="G1070" s="146"/>
      <c r="H1070" s="149"/>
      <c r="I1070" s="150"/>
      <c r="J1070" s="151" t="str">
        <f t="shared" si="48"/>
        <v>-</v>
      </c>
      <c r="K1070" s="152"/>
      <c r="L1070" s="149"/>
      <c r="M1070" s="149"/>
      <c r="N1070" s="153">
        <f t="shared" si="49"/>
        <v>0</v>
      </c>
      <c r="O1070" s="153">
        <f t="shared" si="50"/>
        <v>0</v>
      </c>
      <c r="P1070" s="146"/>
    </row>
    <row r="1071" spans="2:16" x14ac:dyDescent="0.3">
      <c r="B1071" s="146">
        <v>1064</v>
      </c>
      <c r="C1071" s="147"/>
      <c r="D1071" s="147"/>
      <c r="E1071" s="146"/>
      <c r="F1071" s="148" t="str">
        <f>+IFERROR(VLOOKUP(E1071,Data!C1067:D1162,2,0),"")</f>
        <v/>
      </c>
      <c r="G1071" s="146"/>
      <c r="H1071" s="149"/>
      <c r="I1071" s="150"/>
      <c r="J1071" s="151" t="str">
        <f t="shared" si="48"/>
        <v>-</v>
      </c>
      <c r="K1071" s="152"/>
      <c r="L1071" s="149"/>
      <c r="M1071" s="149"/>
      <c r="N1071" s="153">
        <f t="shared" si="49"/>
        <v>0</v>
      </c>
      <c r="O1071" s="153">
        <f t="shared" si="50"/>
        <v>0</v>
      </c>
      <c r="P1071" s="146"/>
    </row>
    <row r="1072" spans="2:16" x14ac:dyDescent="0.3">
      <c r="B1072" s="146">
        <v>1065</v>
      </c>
      <c r="C1072" s="147"/>
      <c r="D1072" s="147"/>
      <c r="E1072" s="146"/>
      <c r="F1072" s="148" t="str">
        <f>+IFERROR(VLOOKUP(E1072,Data!C1068:D1163,2,0),"")</f>
        <v/>
      </c>
      <c r="G1072" s="146"/>
      <c r="H1072" s="149"/>
      <c r="I1072" s="150"/>
      <c r="J1072" s="151" t="str">
        <f t="shared" si="48"/>
        <v>-</v>
      </c>
      <c r="K1072" s="152"/>
      <c r="L1072" s="149"/>
      <c r="M1072" s="149"/>
      <c r="N1072" s="153">
        <f t="shared" si="49"/>
        <v>0</v>
      </c>
      <c r="O1072" s="153">
        <f t="shared" si="50"/>
        <v>0</v>
      </c>
      <c r="P1072" s="146"/>
    </row>
    <row r="1073" spans="2:16" x14ac:dyDescent="0.3">
      <c r="B1073" s="146">
        <v>1066</v>
      </c>
      <c r="C1073" s="147"/>
      <c r="D1073" s="147"/>
      <c r="E1073" s="146"/>
      <c r="F1073" s="148" t="str">
        <f>+IFERROR(VLOOKUP(E1073,Data!C1069:D1164,2,0),"")</f>
        <v/>
      </c>
      <c r="G1073" s="146"/>
      <c r="H1073" s="149"/>
      <c r="I1073" s="150"/>
      <c r="J1073" s="151" t="str">
        <f t="shared" si="48"/>
        <v>-</v>
      </c>
      <c r="K1073" s="152"/>
      <c r="L1073" s="149"/>
      <c r="M1073" s="149"/>
      <c r="N1073" s="153">
        <f t="shared" si="49"/>
        <v>0</v>
      </c>
      <c r="O1073" s="153">
        <f t="shared" si="50"/>
        <v>0</v>
      </c>
      <c r="P1073" s="146"/>
    </row>
    <row r="1074" spans="2:16" x14ac:dyDescent="0.3">
      <c r="B1074" s="146">
        <v>1067</v>
      </c>
      <c r="C1074" s="147"/>
      <c r="D1074" s="147"/>
      <c r="E1074" s="146"/>
      <c r="F1074" s="148" t="str">
        <f>+IFERROR(VLOOKUP(E1074,Data!C1070:D1165,2,0),"")</f>
        <v/>
      </c>
      <c r="G1074" s="146"/>
      <c r="H1074" s="149"/>
      <c r="I1074" s="150"/>
      <c r="J1074" s="151" t="str">
        <f t="shared" si="48"/>
        <v>-</v>
      </c>
      <c r="K1074" s="152"/>
      <c r="L1074" s="149"/>
      <c r="M1074" s="149"/>
      <c r="N1074" s="153">
        <f t="shared" si="49"/>
        <v>0</v>
      </c>
      <c r="O1074" s="153">
        <f t="shared" si="50"/>
        <v>0</v>
      </c>
      <c r="P1074" s="146"/>
    </row>
    <row r="1075" spans="2:16" x14ac:dyDescent="0.3">
      <c r="B1075" s="146">
        <v>1068</v>
      </c>
      <c r="C1075" s="147"/>
      <c r="D1075" s="147"/>
      <c r="E1075" s="146"/>
      <c r="F1075" s="148" t="str">
        <f>+IFERROR(VLOOKUP(E1075,Data!C1071:D1166,2,0),"")</f>
        <v/>
      </c>
      <c r="G1075" s="146"/>
      <c r="H1075" s="149"/>
      <c r="I1075" s="150"/>
      <c r="J1075" s="151" t="str">
        <f t="shared" si="48"/>
        <v>-</v>
      </c>
      <c r="K1075" s="152"/>
      <c r="L1075" s="149"/>
      <c r="M1075" s="149"/>
      <c r="N1075" s="153">
        <f t="shared" si="49"/>
        <v>0</v>
      </c>
      <c r="O1075" s="153">
        <f t="shared" si="50"/>
        <v>0</v>
      </c>
      <c r="P1075" s="146"/>
    </row>
    <row r="1076" spans="2:16" x14ac:dyDescent="0.3">
      <c r="B1076" s="146">
        <v>1069</v>
      </c>
      <c r="C1076" s="147"/>
      <c r="D1076" s="147"/>
      <c r="E1076" s="146"/>
      <c r="F1076" s="148" t="str">
        <f>+IFERROR(VLOOKUP(E1076,Data!C1072:D1167,2,0),"")</f>
        <v/>
      </c>
      <c r="G1076" s="146"/>
      <c r="H1076" s="149"/>
      <c r="I1076" s="150"/>
      <c r="J1076" s="151" t="str">
        <f t="shared" si="48"/>
        <v>-</v>
      </c>
      <c r="K1076" s="152"/>
      <c r="L1076" s="149"/>
      <c r="M1076" s="149"/>
      <c r="N1076" s="153">
        <f t="shared" si="49"/>
        <v>0</v>
      </c>
      <c r="O1076" s="153">
        <f t="shared" si="50"/>
        <v>0</v>
      </c>
      <c r="P1076" s="146"/>
    </row>
    <row r="1077" spans="2:16" x14ac:dyDescent="0.3">
      <c r="B1077" s="146">
        <v>1070</v>
      </c>
      <c r="C1077" s="147"/>
      <c r="D1077" s="147"/>
      <c r="E1077" s="146"/>
      <c r="F1077" s="148" t="str">
        <f>+IFERROR(VLOOKUP(E1077,Data!C1073:D1168,2,0),"")</f>
        <v/>
      </c>
      <c r="G1077" s="146"/>
      <c r="H1077" s="149"/>
      <c r="I1077" s="150"/>
      <c r="J1077" s="151" t="str">
        <f t="shared" si="48"/>
        <v>-</v>
      </c>
      <c r="K1077" s="152"/>
      <c r="L1077" s="149"/>
      <c r="M1077" s="149"/>
      <c r="N1077" s="153">
        <f t="shared" si="49"/>
        <v>0</v>
      </c>
      <c r="O1077" s="153">
        <f t="shared" si="50"/>
        <v>0</v>
      </c>
      <c r="P1077" s="146"/>
    </row>
    <row r="1078" spans="2:16" x14ac:dyDescent="0.3">
      <c r="B1078" s="146">
        <v>1071</v>
      </c>
      <c r="C1078" s="147"/>
      <c r="D1078" s="147"/>
      <c r="E1078" s="146"/>
      <c r="F1078" s="148" t="str">
        <f>+IFERROR(VLOOKUP(E1078,Data!C1074:D1169,2,0),"")</f>
        <v/>
      </c>
      <c r="G1078" s="146"/>
      <c r="H1078" s="149"/>
      <c r="I1078" s="150"/>
      <c r="J1078" s="151" t="str">
        <f t="shared" ref="J1078:J1141" si="51">IFERROR(+I1078/H1078,"-")</f>
        <v>-</v>
      </c>
      <c r="K1078" s="152"/>
      <c r="L1078" s="149"/>
      <c r="M1078" s="149"/>
      <c r="N1078" s="153">
        <f t="shared" ref="N1078:N1141" si="52">+L1078+M1078</f>
        <v>0</v>
      </c>
      <c r="O1078" s="153">
        <f t="shared" ref="O1078:O1141" si="53">+N1078-K1078</f>
        <v>0</v>
      </c>
      <c r="P1078" s="146"/>
    </row>
    <row r="1079" spans="2:16" x14ac:dyDescent="0.3">
      <c r="B1079" s="146">
        <v>1072</v>
      </c>
      <c r="C1079" s="147"/>
      <c r="D1079" s="147"/>
      <c r="E1079" s="146"/>
      <c r="F1079" s="148" t="str">
        <f>+IFERROR(VLOOKUP(E1079,Data!C1075:D1170,2,0),"")</f>
        <v/>
      </c>
      <c r="G1079" s="146"/>
      <c r="H1079" s="149"/>
      <c r="I1079" s="150"/>
      <c r="J1079" s="151" t="str">
        <f t="shared" si="51"/>
        <v>-</v>
      </c>
      <c r="K1079" s="152"/>
      <c r="L1079" s="149"/>
      <c r="M1079" s="149"/>
      <c r="N1079" s="153">
        <f t="shared" si="52"/>
        <v>0</v>
      </c>
      <c r="O1079" s="153">
        <f t="shared" si="53"/>
        <v>0</v>
      </c>
      <c r="P1079" s="146"/>
    </row>
    <row r="1080" spans="2:16" x14ac:dyDescent="0.3">
      <c r="B1080" s="146">
        <v>1073</v>
      </c>
      <c r="C1080" s="147"/>
      <c r="D1080" s="147"/>
      <c r="E1080" s="146"/>
      <c r="F1080" s="148" t="str">
        <f>+IFERROR(VLOOKUP(E1080,Data!C1076:D1171,2,0),"")</f>
        <v/>
      </c>
      <c r="G1080" s="146"/>
      <c r="H1080" s="149"/>
      <c r="I1080" s="150"/>
      <c r="J1080" s="151" t="str">
        <f t="shared" si="51"/>
        <v>-</v>
      </c>
      <c r="K1080" s="152"/>
      <c r="L1080" s="149"/>
      <c r="M1080" s="149"/>
      <c r="N1080" s="153">
        <f t="shared" si="52"/>
        <v>0</v>
      </c>
      <c r="O1080" s="153">
        <f t="shared" si="53"/>
        <v>0</v>
      </c>
      <c r="P1080" s="146"/>
    </row>
    <row r="1081" spans="2:16" x14ac:dyDescent="0.3">
      <c r="B1081" s="146">
        <v>1074</v>
      </c>
      <c r="C1081" s="147"/>
      <c r="D1081" s="147"/>
      <c r="E1081" s="146"/>
      <c r="F1081" s="148" t="str">
        <f>+IFERROR(VLOOKUP(E1081,Data!C1077:D1172,2,0),"")</f>
        <v/>
      </c>
      <c r="G1081" s="146"/>
      <c r="H1081" s="149"/>
      <c r="I1081" s="150"/>
      <c r="J1081" s="151" t="str">
        <f t="shared" si="51"/>
        <v>-</v>
      </c>
      <c r="K1081" s="152"/>
      <c r="L1081" s="149"/>
      <c r="M1081" s="149"/>
      <c r="N1081" s="153">
        <f t="shared" si="52"/>
        <v>0</v>
      </c>
      <c r="O1081" s="153">
        <f t="shared" si="53"/>
        <v>0</v>
      </c>
      <c r="P1081" s="146"/>
    </row>
    <row r="1082" spans="2:16" x14ac:dyDescent="0.3">
      <c r="B1082" s="146">
        <v>1075</v>
      </c>
      <c r="C1082" s="147"/>
      <c r="D1082" s="147"/>
      <c r="E1082" s="146"/>
      <c r="F1082" s="148" t="str">
        <f>+IFERROR(VLOOKUP(E1082,Data!C1078:D1173,2,0),"")</f>
        <v/>
      </c>
      <c r="G1082" s="146"/>
      <c r="H1082" s="149"/>
      <c r="I1082" s="150"/>
      <c r="J1082" s="151" t="str">
        <f t="shared" si="51"/>
        <v>-</v>
      </c>
      <c r="K1082" s="152"/>
      <c r="L1082" s="149"/>
      <c r="M1082" s="149"/>
      <c r="N1082" s="153">
        <f t="shared" si="52"/>
        <v>0</v>
      </c>
      <c r="O1082" s="153">
        <f t="shared" si="53"/>
        <v>0</v>
      </c>
      <c r="P1082" s="146"/>
    </row>
    <row r="1083" spans="2:16" x14ac:dyDescent="0.3">
      <c r="B1083" s="146">
        <v>1076</v>
      </c>
      <c r="C1083" s="147"/>
      <c r="D1083" s="147"/>
      <c r="E1083" s="146"/>
      <c r="F1083" s="148" t="str">
        <f>+IFERROR(VLOOKUP(E1083,Data!C1079:D1174,2,0),"")</f>
        <v/>
      </c>
      <c r="G1083" s="146"/>
      <c r="H1083" s="149"/>
      <c r="I1083" s="150"/>
      <c r="J1083" s="151" t="str">
        <f t="shared" si="51"/>
        <v>-</v>
      </c>
      <c r="K1083" s="152"/>
      <c r="L1083" s="149"/>
      <c r="M1083" s="149"/>
      <c r="N1083" s="153">
        <f t="shared" si="52"/>
        <v>0</v>
      </c>
      <c r="O1083" s="153">
        <f t="shared" si="53"/>
        <v>0</v>
      </c>
      <c r="P1083" s="146"/>
    </row>
    <row r="1084" spans="2:16" x14ac:dyDescent="0.3">
      <c r="B1084" s="146">
        <v>1077</v>
      </c>
      <c r="C1084" s="147"/>
      <c r="D1084" s="147"/>
      <c r="E1084" s="146"/>
      <c r="F1084" s="148" t="str">
        <f>+IFERROR(VLOOKUP(E1084,Data!C1080:D1175,2,0),"")</f>
        <v/>
      </c>
      <c r="G1084" s="146"/>
      <c r="H1084" s="149"/>
      <c r="I1084" s="150"/>
      <c r="J1084" s="151" t="str">
        <f t="shared" si="51"/>
        <v>-</v>
      </c>
      <c r="K1084" s="152"/>
      <c r="L1084" s="149"/>
      <c r="M1084" s="149"/>
      <c r="N1084" s="153">
        <f t="shared" si="52"/>
        <v>0</v>
      </c>
      <c r="O1084" s="153">
        <f t="shared" si="53"/>
        <v>0</v>
      </c>
      <c r="P1084" s="146"/>
    </row>
    <row r="1085" spans="2:16" x14ac:dyDescent="0.3">
      <c r="B1085" s="146">
        <v>1078</v>
      </c>
      <c r="C1085" s="147"/>
      <c r="D1085" s="147"/>
      <c r="E1085" s="146"/>
      <c r="F1085" s="148" t="str">
        <f>+IFERROR(VLOOKUP(E1085,Data!C1081:D1176,2,0),"")</f>
        <v/>
      </c>
      <c r="G1085" s="146"/>
      <c r="H1085" s="149"/>
      <c r="I1085" s="150"/>
      <c r="J1085" s="151" t="str">
        <f t="shared" si="51"/>
        <v>-</v>
      </c>
      <c r="K1085" s="152"/>
      <c r="L1085" s="149"/>
      <c r="M1085" s="149"/>
      <c r="N1085" s="153">
        <f t="shared" si="52"/>
        <v>0</v>
      </c>
      <c r="O1085" s="153">
        <f t="shared" si="53"/>
        <v>0</v>
      </c>
      <c r="P1085" s="146"/>
    </row>
    <row r="1086" spans="2:16" x14ac:dyDescent="0.3">
      <c r="B1086" s="146">
        <v>1079</v>
      </c>
      <c r="C1086" s="147"/>
      <c r="D1086" s="147"/>
      <c r="E1086" s="146"/>
      <c r="F1086" s="148" t="str">
        <f>+IFERROR(VLOOKUP(E1086,Data!C1082:D1177,2,0),"")</f>
        <v/>
      </c>
      <c r="G1086" s="146"/>
      <c r="H1086" s="149"/>
      <c r="I1086" s="150"/>
      <c r="J1086" s="151" t="str">
        <f t="shared" si="51"/>
        <v>-</v>
      </c>
      <c r="K1086" s="152"/>
      <c r="L1086" s="149"/>
      <c r="M1086" s="149"/>
      <c r="N1086" s="153">
        <f t="shared" si="52"/>
        <v>0</v>
      </c>
      <c r="O1086" s="153">
        <f t="shared" si="53"/>
        <v>0</v>
      </c>
      <c r="P1086" s="146"/>
    </row>
    <row r="1087" spans="2:16" x14ac:dyDescent="0.3">
      <c r="B1087" s="146">
        <v>1080</v>
      </c>
      <c r="C1087" s="147"/>
      <c r="D1087" s="147"/>
      <c r="E1087" s="146"/>
      <c r="F1087" s="148" t="str">
        <f>+IFERROR(VLOOKUP(E1087,Data!C1083:D1178,2,0),"")</f>
        <v/>
      </c>
      <c r="G1087" s="146"/>
      <c r="H1087" s="149"/>
      <c r="I1087" s="150"/>
      <c r="J1087" s="151" t="str">
        <f t="shared" si="51"/>
        <v>-</v>
      </c>
      <c r="K1087" s="152"/>
      <c r="L1087" s="149"/>
      <c r="M1087" s="149"/>
      <c r="N1087" s="153">
        <f t="shared" si="52"/>
        <v>0</v>
      </c>
      <c r="O1087" s="153">
        <f t="shared" si="53"/>
        <v>0</v>
      </c>
      <c r="P1087" s="146"/>
    </row>
    <row r="1088" spans="2:16" x14ac:dyDescent="0.3">
      <c r="B1088" s="146">
        <v>1081</v>
      </c>
      <c r="C1088" s="147"/>
      <c r="D1088" s="147"/>
      <c r="E1088" s="146"/>
      <c r="F1088" s="148" t="str">
        <f>+IFERROR(VLOOKUP(E1088,Data!C1084:D1179,2,0),"")</f>
        <v/>
      </c>
      <c r="G1088" s="146"/>
      <c r="H1088" s="149"/>
      <c r="I1088" s="150"/>
      <c r="J1088" s="151" t="str">
        <f t="shared" si="51"/>
        <v>-</v>
      </c>
      <c r="K1088" s="152"/>
      <c r="L1088" s="149"/>
      <c r="M1088" s="149"/>
      <c r="N1088" s="153">
        <f t="shared" si="52"/>
        <v>0</v>
      </c>
      <c r="O1088" s="153">
        <f t="shared" si="53"/>
        <v>0</v>
      </c>
      <c r="P1088" s="146"/>
    </row>
    <row r="1089" spans="2:16" x14ac:dyDescent="0.3">
      <c r="B1089" s="146">
        <v>1082</v>
      </c>
      <c r="C1089" s="147"/>
      <c r="D1089" s="147"/>
      <c r="E1089" s="146"/>
      <c r="F1089" s="148" t="str">
        <f>+IFERROR(VLOOKUP(E1089,Data!C1085:D1180,2,0),"")</f>
        <v/>
      </c>
      <c r="G1089" s="146"/>
      <c r="H1089" s="149"/>
      <c r="I1089" s="150"/>
      <c r="J1089" s="151" t="str">
        <f t="shared" si="51"/>
        <v>-</v>
      </c>
      <c r="K1089" s="152"/>
      <c r="L1089" s="149"/>
      <c r="M1089" s="149"/>
      <c r="N1089" s="153">
        <f t="shared" si="52"/>
        <v>0</v>
      </c>
      <c r="O1089" s="153">
        <f t="shared" si="53"/>
        <v>0</v>
      </c>
      <c r="P1089" s="146"/>
    </row>
    <row r="1090" spans="2:16" x14ac:dyDescent="0.3">
      <c r="B1090" s="146">
        <v>1083</v>
      </c>
      <c r="C1090" s="147"/>
      <c r="D1090" s="147"/>
      <c r="E1090" s="146"/>
      <c r="F1090" s="148" t="str">
        <f>+IFERROR(VLOOKUP(E1090,Data!C1086:D1181,2,0),"")</f>
        <v/>
      </c>
      <c r="G1090" s="146"/>
      <c r="H1090" s="149"/>
      <c r="I1090" s="150"/>
      <c r="J1090" s="151" t="str">
        <f t="shared" si="51"/>
        <v>-</v>
      </c>
      <c r="K1090" s="152"/>
      <c r="L1090" s="149"/>
      <c r="M1090" s="149"/>
      <c r="N1090" s="153">
        <f t="shared" si="52"/>
        <v>0</v>
      </c>
      <c r="O1090" s="153">
        <f t="shared" si="53"/>
        <v>0</v>
      </c>
      <c r="P1090" s="146"/>
    </row>
    <row r="1091" spans="2:16" x14ac:dyDescent="0.3">
      <c r="B1091" s="146">
        <v>1084</v>
      </c>
      <c r="C1091" s="147"/>
      <c r="D1091" s="147"/>
      <c r="E1091" s="146"/>
      <c r="F1091" s="148" t="str">
        <f>+IFERROR(VLOOKUP(E1091,Data!C1087:D1182,2,0),"")</f>
        <v/>
      </c>
      <c r="G1091" s="146"/>
      <c r="H1091" s="149"/>
      <c r="I1091" s="150"/>
      <c r="J1091" s="151" t="str">
        <f t="shared" si="51"/>
        <v>-</v>
      </c>
      <c r="K1091" s="152"/>
      <c r="L1091" s="149"/>
      <c r="M1091" s="149"/>
      <c r="N1091" s="153">
        <f t="shared" si="52"/>
        <v>0</v>
      </c>
      <c r="O1091" s="153">
        <f t="shared" si="53"/>
        <v>0</v>
      </c>
      <c r="P1091" s="146"/>
    </row>
    <row r="1092" spans="2:16" x14ac:dyDescent="0.3">
      <c r="B1092" s="146">
        <v>1085</v>
      </c>
      <c r="C1092" s="147"/>
      <c r="D1092" s="147"/>
      <c r="E1092" s="146"/>
      <c r="F1092" s="148" t="str">
        <f>+IFERROR(VLOOKUP(E1092,Data!C1088:D1183,2,0),"")</f>
        <v/>
      </c>
      <c r="G1092" s="146"/>
      <c r="H1092" s="149"/>
      <c r="I1092" s="150"/>
      <c r="J1092" s="151" t="str">
        <f t="shared" si="51"/>
        <v>-</v>
      </c>
      <c r="K1092" s="152"/>
      <c r="L1092" s="149"/>
      <c r="M1092" s="149"/>
      <c r="N1092" s="153">
        <f t="shared" si="52"/>
        <v>0</v>
      </c>
      <c r="O1092" s="153">
        <f t="shared" si="53"/>
        <v>0</v>
      </c>
      <c r="P1092" s="146"/>
    </row>
    <row r="1093" spans="2:16" x14ac:dyDescent="0.3">
      <c r="B1093" s="146">
        <v>1086</v>
      </c>
      <c r="C1093" s="147"/>
      <c r="D1093" s="147"/>
      <c r="E1093" s="146"/>
      <c r="F1093" s="148" t="str">
        <f>+IFERROR(VLOOKUP(E1093,Data!C1089:D1184,2,0),"")</f>
        <v/>
      </c>
      <c r="G1093" s="146"/>
      <c r="H1093" s="149"/>
      <c r="I1093" s="150"/>
      <c r="J1093" s="151" t="str">
        <f t="shared" si="51"/>
        <v>-</v>
      </c>
      <c r="K1093" s="152"/>
      <c r="L1093" s="149"/>
      <c r="M1093" s="149"/>
      <c r="N1093" s="153">
        <f t="shared" si="52"/>
        <v>0</v>
      </c>
      <c r="O1093" s="153">
        <f t="shared" si="53"/>
        <v>0</v>
      </c>
      <c r="P1093" s="146"/>
    </row>
    <row r="1094" spans="2:16" x14ac:dyDescent="0.3">
      <c r="B1094" s="146">
        <v>1087</v>
      </c>
      <c r="C1094" s="147"/>
      <c r="D1094" s="147"/>
      <c r="E1094" s="146"/>
      <c r="F1094" s="148" t="str">
        <f>+IFERROR(VLOOKUP(E1094,Data!C1090:D1185,2,0),"")</f>
        <v/>
      </c>
      <c r="G1094" s="146"/>
      <c r="H1094" s="149"/>
      <c r="I1094" s="150"/>
      <c r="J1094" s="151" t="str">
        <f t="shared" si="51"/>
        <v>-</v>
      </c>
      <c r="K1094" s="152"/>
      <c r="L1094" s="149"/>
      <c r="M1094" s="149"/>
      <c r="N1094" s="153">
        <f t="shared" si="52"/>
        <v>0</v>
      </c>
      <c r="O1094" s="153">
        <f t="shared" si="53"/>
        <v>0</v>
      </c>
      <c r="P1094" s="146"/>
    </row>
    <row r="1095" spans="2:16" x14ac:dyDescent="0.3">
      <c r="B1095" s="146">
        <v>1088</v>
      </c>
      <c r="C1095" s="147"/>
      <c r="D1095" s="147"/>
      <c r="E1095" s="146"/>
      <c r="F1095" s="148" t="str">
        <f>+IFERROR(VLOOKUP(E1095,Data!C1091:D1186,2,0),"")</f>
        <v/>
      </c>
      <c r="G1095" s="146"/>
      <c r="H1095" s="149"/>
      <c r="I1095" s="150"/>
      <c r="J1095" s="151" t="str">
        <f t="shared" si="51"/>
        <v>-</v>
      </c>
      <c r="K1095" s="152"/>
      <c r="L1095" s="149"/>
      <c r="M1095" s="149"/>
      <c r="N1095" s="153">
        <f t="shared" si="52"/>
        <v>0</v>
      </c>
      <c r="O1095" s="153">
        <f t="shared" si="53"/>
        <v>0</v>
      </c>
      <c r="P1095" s="146"/>
    </row>
    <row r="1096" spans="2:16" x14ac:dyDescent="0.3">
      <c r="B1096" s="146">
        <v>1089</v>
      </c>
      <c r="C1096" s="147"/>
      <c r="D1096" s="147"/>
      <c r="E1096" s="146"/>
      <c r="F1096" s="148" t="str">
        <f>+IFERROR(VLOOKUP(E1096,Data!C1092:D1187,2,0),"")</f>
        <v/>
      </c>
      <c r="G1096" s="146"/>
      <c r="H1096" s="149"/>
      <c r="I1096" s="150"/>
      <c r="J1096" s="151" t="str">
        <f t="shared" si="51"/>
        <v>-</v>
      </c>
      <c r="K1096" s="152"/>
      <c r="L1096" s="149"/>
      <c r="M1096" s="149"/>
      <c r="N1096" s="153">
        <f t="shared" si="52"/>
        <v>0</v>
      </c>
      <c r="O1096" s="153">
        <f t="shared" si="53"/>
        <v>0</v>
      </c>
      <c r="P1096" s="146"/>
    </row>
    <row r="1097" spans="2:16" x14ac:dyDescent="0.3">
      <c r="B1097" s="146">
        <v>1090</v>
      </c>
      <c r="C1097" s="147"/>
      <c r="D1097" s="147"/>
      <c r="E1097" s="146"/>
      <c r="F1097" s="148" t="str">
        <f>+IFERROR(VLOOKUP(E1097,Data!C1093:D1188,2,0),"")</f>
        <v/>
      </c>
      <c r="G1097" s="146"/>
      <c r="H1097" s="149"/>
      <c r="I1097" s="150"/>
      <c r="J1097" s="151" t="str">
        <f t="shared" si="51"/>
        <v>-</v>
      </c>
      <c r="K1097" s="152"/>
      <c r="L1097" s="149"/>
      <c r="M1097" s="149"/>
      <c r="N1097" s="153">
        <f t="shared" si="52"/>
        <v>0</v>
      </c>
      <c r="O1097" s="153">
        <f t="shared" si="53"/>
        <v>0</v>
      </c>
      <c r="P1097" s="146"/>
    </row>
    <row r="1098" spans="2:16" x14ac:dyDescent="0.3">
      <c r="B1098" s="146">
        <v>1091</v>
      </c>
      <c r="C1098" s="147"/>
      <c r="D1098" s="147"/>
      <c r="E1098" s="146"/>
      <c r="F1098" s="148" t="str">
        <f>+IFERROR(VLOOKUP(E1098,Data!C1094:D1189,2,0),"")</f>
        <v/>
      </c>
      <c r="G1098" s="146"/>
      <c r="H1098" s="149"/>
      <c r="I1098" s="150"/>
      <c r="J1098" s="151" t="str">
        <f t="shared" si="51"/>
        <v>-</v>
      </c>
      <c r="K1098" s="152"/>
      <c r="L1098" s="149"/>
      <c r="M1098" s="149"/>
      <c r="N1098" s="153">
        <f t="shared" si="52"/>
        <v>0</v>
      </c>
      <c r="O1098" s="153">
        <f t="shared" si="53"/>
        <v>0</v>
      </c>
      <c r="P1098" s="146"/>
    </row>
    <row r="1099" spans="2:16" x14ac:dyDescent="0.3">
      <c r="B1099" s="146">
        <v>1092</v>
      </c>
      <c r="C1099" s="147"/>
      <c r="D1099" s="147"/>
      <c r="E1099" s="146"/>
      <c r="F1099" s="148" t="str">
        <f>+IFERROR(VLOOKUP(E1099,Data!C1095:D1190,2,0),"")</f>
        <v/>
      </c>
      <c r="G1099" s="146"/>
      <c r="H1099" s="149"/>
      <c r="I1099" s="150"/>
      <c r="J1099" s="151" t="str">
        <f t="shared" si="51"/>
        <v>-</v>
      </c>
      <c r="K1099" s="152"/>
      <c r="L1099" s="149"/>
      <c r="M1099" s="149"/>
      <c r="N1099" s="153">
        <f t="shared" si="52"/>
        <v>0</v>
      </c>
      <c r="O1099" s="153">
        <f t="shared" si="53"/>
        <v>0</v>
      </c>
      <c r="P1099" s="146"/>
    </row>
    <row r="1100" spans="2:16" x14ac:dyDescent="0.3">
      <c r="B1100" s="146">
        <v>1093</v>
      </c>
      <c r="C1100" s="147"/>
      <c r="D1100" s="147"/>
      <c r="E1100" s="146"/>
      <c r="F1100" s="148" t="str">
        <f>+IFERROR(VLOOKUP(E1100,Data!C1096:D1191,2,0),"")</f>
        <v/>
      </c>
      <c r="G1100" s="146"/>
      <c r="H1100" s="149"/>
      <c r="I1100" s="150"/>
      <c r="J1100" s="151" t="str">
        <f t="shared" si="51"/>
        <v>-</v>
      </c>
      <c r="K1100" s="152"/>
      <c r="L1100" s="149"/>
      <c r="M1100" s="149"/>
      <c r="N1100" s="153">
        <f t="shared" si="52"/>
        <v>0</v>
      </c>
      <c r="O1100" s="153">
        <f t="shared" si="53"/>
        <v>0</v>
      </c>
      <c r="P1100" s="146"/>
    </row>
    <row r="1101" spans="2:16" x14ac:dyDescent="0.3">
      <c r="B1101" s="146">
        <v>1094</v>
      </c>
      <c r="C1101" s="147"/>
      <c r="D1101" s="147"/>
      <c r="E1101" s="146"/>
      <c r="F1101" s="148" t="str">
        <f>+IFERROR(VLOOKUP(E1101,Data!C1097:D1192,2,0),"")</f>
        <v/>
      </c>
      <c r="G1101" s="146"/>
      <c r="H1101" s="149"/>
      <c r="I1101" s="150"/>
      <c r="J1101" s="151" t="str">
        <f t="shared" si="51"/>
        <v>-</v>
      </c>
      <c r="K1101" s="152"/>
      <c r="L1101" s="149"/>
      <c r="M1101" s="149"/>
      <c r="N1101" s="153">
        <f t="shared" si="52"/>
        <v>0</v>
      </c>
      <c r="O1101" s="153">
        <f t="shared" si="53"/>
        <v>0</v>
      </c>
      <c r="P1101" s="146"/>
    </row>
    <row r="1102" spans="2:16" x14ac:dyDescent="0.3">
      <c r="B1102" s="146">
        <v>1095</v>
      </c>
      <c r="C1102" s="147"/>
      <c r="D1102" s="147"/>
      <c r="E1102" s="146"/>
      <c r="F1102" s="148" t="str">
        <f>+IFERROR(VLOOKUP(E1102,Data!C1098:D1193,2,0),"")</f>
        <v/>
      </c>
      <c r="G1102" s="146"/>
      <c r="H1102" s="149"/>
      <c r="I1102" s="150"/>
      <c r="J1102" s="151" t="str">
        <f t="shared" si="51"/>
        <v>-</v>
      </c>
      <c r="K1102" s="152"/>
      <c r="L1102" s="149"/>
      <c r="M1102" s="149"/>
      <c r="N1102" s="153">
        <f t="shared" si="52"/>
        <v>0</v>
      </c>
      <c r="O1102" s="153">
        <f t="shared" si="53"/>
        <v>0</v>
      </c>
      <c r="P1102" s="146"/>
    </row>
    <row r="1103" spans="2:16" x14ac:dyDescent="0.3">
      <c r="B1103" s="146">
        <v>1096</v>
      </c>
      <c r="C1103" s="147"/>
      <c r="D1103" s="147"/>
      <c r="E1103" s="146"/>
      <c r="F1103" s="148" t="str">
        <f>+IFERROR(VLOOKUP(E1103,Data!C1099:D1194,2,0),"")</f>
        <v/>
      </c>
      <c r="G1103" s="146"/>
      <c r="H1103" s="149"/>
      <c r="I1103" s="150"/>
      <c r="J1103" s="151" t="str">
        <f t="shared" si="51"/>
        <v>-</v>
      </c>
      <c r="K1103" s="152"/>
      <c r="L1103" s="149"/>
      <c r="M1103" s="149"/>
      <c r="N1103" s="153">
        <f t="shared" si="52"/>
        <v>0</v>
      </c>
      <c r="O1103" s="153">
        <f t="shared" si="53"/>
        <v>0</v>
      </c>
      <c r="P1103" s="146"/>
    </row>
    <row r="1104" spans="2:16" x14ac:dyDescent="0.3">
      <c r="B1104" s="146">
        <v>1097</v>
      </c>
      <c r="C1104" s="147"/>
      <c r="D1104" s="147"/>
      <c r="E1104" s="146"/>
      <c r="F1104" s="148" t="str">
        <f>+IFERROR(VLOOKUP(E1104,Data!C1100:D1195,2,0),"")</f>
        <v/>
      </c>
      <c r="G1104" s="146"/>
      <c r="H1104" s="149"/>
      <c r="I1104" s="150"/>
      <c r="J1104" s="151" t="str">
        <f t="shared" si="51"/>
        <v>-</v>
      </c>
      <c r="K1104" s="152"/>
      <c r="L1104" s="149"/>
      <c r="M1104" s="149"/>
      <c r="N1104" s="153">
        <f t="shared" si="52"/>
        <v>0</v>
      </c>
      <c r="O1104" s="153">
        <f t="shared" si="53"/>
        <v>0</v>
      </c>
      <c r="P1104" s="146"/>
    </row>
    <row r="1105" spans="2:16" x14ac:dyDescent="0.3">
      <c r="B1105" s="146">
        <v>1098</v>
      </c>
      <c r="C1105" s="147"/>
      <c r="D1105" s="147"/>
      <c r="E1105" s="146"/>
      <c r="F1105" s="148" t="str">
        <f>+IFERROR(VLOOKUP(E1105,Data!C1101:D1196,2,0),"")</f>
        <v/>
      </c>
      <c r="G1105" s="146"/>
      <c r="H1105" s="149"/>
      <c r="I1105" s="150"/>
      <c r="J1105" s="151" t="str">
        <f t="shared" si="51"/>
        <v>-</v>
      </c>
      <c r="K1105" s="152"/>
      <c r="L1105" s="149"/>
      <c r="M1105" s="149"/>
      <c r="N1105" s="153">
        <f t="shared" si="52"/>
        <v>0</v>
      </c>
      <c r="O1105" s="153">
        <f t="shared" si="53"/>
        <v>0</v>
      </c>
      <c r="P1105" s="146"/>
    </row>
    <row r="1106" spans="2:16" x14ac:dyDescent="0.3">
      <c r="B1106" s="146">
        <v>1099</v>
      </c>
      <c r="C1106" s="147"/>
      <c r="D1106" s="147"/>
      <c r="E1106" s="146"/>
      <c r="F1106" s="148" t="str">
        <f>+IFERROR(VLOOKUP(E1106,Data!C1102:D1197,2,0),"")</f>
        <v/>
      </c>
      <c r="G1106" s="146"/>
      <c r="H1106" s="149"/>
      <c r="I1106" s="150"/>
      <c r="J1106" s="151" t="str">
        <f t="shared" si="51"/>
        <v>-</v>
      </c>
      <c r="K1106" s="152"/>
      <c r="L1106" s="149"/>
      <c r="M1106" s="149"/>
      <c r="N1106" s="153">
        <f t="shared" si="52"/>
        <v>0</v>
      </c>
      <c r="O1106" s="153">
        <f t="shared" si="53"/>
        <v>0</v>
      </c>
      <c r="P1106" s="146"/>
    </row>
    <row r="1107" spans="2:16" x14ac:dyDescent="0.3">
      <c r="B1107" s="146">
        <v>1100</v>
      </c>
      <c r="C1107" s="147"/>
      <c r="D1107" s="147"/>
      <c r="E1107" s="146"/>
      <c r="F1107" s="148" t="str">
        <f>+IFERROR(VLOOKUP(E1107,Data!C1103:D1198,2,0),"")</f>
        <v/>
      </c>
      <c r="G1107" s="146"/>
      <c r="H1107" s="149"/>
      <c r="I1107" s="150"/>
      <c r="J1107" s="151" t="str">
        <f t="shared" si="51"/>
        <v>-</v>
      </c>
      <c r="K1107" s="152"/>
      <c r="L1107" s="149"/>
      <c r="M1107" s="149"/>
      <c r="N1107" s="153">
        <f t="shared" si="52"/>
        <v>0</v>
      </c>
      <c r="O1107" s="153">
        <f t="shared" si="53"/>
        <v>0</v>
      </c>
      <c r="P1107" s="146"/>
    </row>
    <row r="1108" spans="2:16" x14ac:dyDescent="0.3">
      <c r="B1108" s="146">
        <v>1101</v>
      </c>
      <c r="C1108" s="147"/>
      <c r="D1108" s="147"/>
      <c r="E1108" s="146"/>
      <c r="F1108" s="148" t="str">
        <f>+IFERROR(VLOOKUP(E1108,Data!C1104:D1199,2,0),"")</f>
        <v/>
      </c>
      <c r="G1108" s="146"/>
      <c r="H1108" s="149"/>
      <c r="I1108" s="150"/>
      <c r="J1108" s="151" t="str">
        <f t="shared" si="51"/>
        <v>-</v>
      </c>
      <c r="K1108" s="152"/>
      <c r="L1108" s="149"/>
      <c r="M1108" s="149"/>
      <c r="N1108" s="153">
        <f t="shared" si="52"/>
        <v>0</v>
      </c>
      <c r="O1108" s="153">
        <f t="shared" si="53"/>
        <v>0</v>
      </c>
      <c r="P1108" s="146"/>
    </row>
    <row r="1109" spans="2:16" x14ac:dyDescent="0.3">
      <c r="B1109" s="146">
        <v>1102</v>
      </c>
      <c r="C1109" s="147"/>
      <c r="D1109" s="147"/>
      <c r="E1109" s="146"/>
      <c r="F1109" s="148" t="str">
        <f>+IFERROR(VLOOKUP(E1109,Data!C1105:D1200,2,0),"")</f>
        <v/>
      </c>
      <c r="G1109" s="146"/>
      <c r="H1109" s="149"/>
      <c r="I1109" s="150"/>
      <c r="J1109" s="151" t="str">
        <f t="shared" si="51"/>
        <v>-</v>
      </c>
      <c r="K1109" s="152"/>
      <c r="L1109" s="149"/>
      <c r="M1109" s="149"/>
      <c r="N1109" s="153">
        <f t="shared" si="52"/>
        <v>0</v>
      </c>
      <c r="O1109" s="153">
        <f t="shared" si="53"/>
        <v>0</v>
      </c>
      <c r="P1109" s="146"/>
    </row>
    <row r="1110" spans="2:16" x14ac:dyDescent="0.3">
      <c r="B1110" s="146">
        <v>1103</v>
      </c>
      <c r="C1110" s="147"/>
      <c r="D1110" s="147"/>
      <c r="E1110" s="146"/>
      <c r="F1110" s="148" t="str">
        <f>+IFERROR(VLOOKUP(E1110,Data!C1106:D1201,2,0),"")</f>
        <v/>
      </c>
      <c r="G1110" s="146"/>
      <c r="H1110" s="149"/>
      <c r="I1110" s="150"/>
      <c r="J1110" s="151" t="str">
        <f t="shared" si="51"/>
        <v>-</v>
      </c>
      <c r="K1110" s="152"/>
      <c r="L1110" s="149"/>
      <c r="M1110" s="149"/>
      <c r="N1110" s="153">
        <f t="shared" si="52"/>
        <v>0</v>
      </c>
      <c r="O1110" s="153">
        <f t="shared" si="53"/>
        <v>0</v>
      </c>
      <c r="P1110" s="146"/>
    </row>
    <row r="1111" spans="2:16" x14ac:dyDescent="0.3">
      <c r="B1111" s="146">
        <v>1104</v>
      </c>
      <c r="C1111" s="147"/>
      <c r="D1111" s="147"/>
      <c r="E1111" s="146"/>
      <c r="F1111" s="148" t="str">
        <f>+IFERROR(VLOOKUP(E1111,Data!C1107:D1202,2,0),"")</f>
        <v/>
      </c>
      <c r="G1111" s="146"/>
      <c r="H1111" s="149"/>
      <c r="I1111" s="150"/>
      <c r="J1111" s="151" t="str">
        <f t="shared" si="51"/>
        <v>-</v>
      </c>
      <c r="K1111" s="152"/>
      <c r="L1111" s="149"/>
      <c r="M1111" s="149"/>
      <c r="N1111" s="153">
        <f t="shared" si="52"/>
        <v>0</v>
      </c>
      <c r="O1111" s="153">
        <f t="shared" si="53"/>
        <v>0</v>
      </c>
      <c r="P1111" s="146"/>
    </row>
    <row r="1112" spans="2:16" x14ac:dyDescent="0.3">
      <c r="B1112" s="146">
        <v>1105</v>
      </c>
      <c r="C1112" s="147"/>
      <c r="D1112" s="147"/>
      <c r="E1112" s="146"/>
      <c r="F1112" s="148" t="str">
        <f>+IFERROR(VLOOKUP(E1112,Data!C1108:D1203,2,0),"")</f>
        <v/>
      </c>
      <c r="G1112" s="146"/>
      <c r="H1112" s="149"/>
      <c r="I1112" s="150"/>
      <c r="J1112" s="151" t="str">
        <f t="shared" si="51"/>
        <v>-</v>
      </c>
      <c r="K1112" s="152"/>
      <c r="L1112" s="149"/>
      <c r="M1112" s="149"/>
      <c r="N1112" s="153">
        <f t="shared" si="52"/>
        <v>0</v>
      </c>
      <c r="O1112" s="153">
        <f t="shared" si="53"/>
        <v>0</v>
      </c>
      <c r="P1112" s="146"/>
    </row>
    <row r="1113" spans="2:16" x14ac:dyDescent="0.3">
      <c r="B1113" s="146">
        <v>1106</v>
      </c>
      <c r="C1113" s="147"/>
      <c r="D1113" s="147"/>
      <c r="E1113" s="146"/>
      <c r="F1113" s="148" t="str">
        <f>+IFERROR(VLOOKUP(E1113,Data!C1109:D1204,2,0),"")</f>
        <v/>
      </c>
      <c r="G1113" s="146"/>
      <c r="H1113" s="149"/>
      <c r="I1113" s="150"/>
      <c r="J1113" s="151" t="str">
        <f t="shared" si="51"/>
        <v>-</v>
      </c>
      <c r="K1113" s="152"/>
      <c r="L1113" s="149"/>
      <c r="M1113" s="149"/>
      <c r="N1113" s="153">
        <f t="shared" si="52"/>
        <v>0</v>
      </c>
      <c r="O1113" s="153">
        <f t="shared" si="53"/>
        <v>0</v>
      </c>
      <c r="P1113" s="146"/>
    </row>
    <row r="1114" spans="2:16" x14ac:dyDescent="0.3">
      <c r="B1114" s="146">
        <v>1107</v>
      </c>
      <c r="C1114" s="147"/>
      <c r="D1114" s="147"/>
      <c r="E1114" s="146"/>
      <c r="F1114" s="148" t="str">
        <f>+IFERROR(VLOOKUP(E1114,Data!C1110:D1205,2,0),"")</f>
        <v/>
      </c>
      <c r="G1114" s="146"/>
      <c r="H1114" s="149"/>
      <c r="I1114" s="150"/>
      <c r="J1114" s="151" t="str">
        <f t="shared" si="51"/>
        <v>-</v>
      </c>
      <c r="K1114" s="152"/>
      <c r="L1114" s="149"/>
      <c r="M1114" s="149"/>
      <c r="N1114" s="153">
        <f t="shared" si="52"/>
        <v>0</v>
      </c>
      <c r="O1114" s="153">
        <f t="shared" si="53"/>
        <v>0</v>
      </c>
      <c r="P1114" s="146"/>
    </row>
    <row r="1115" spans="2:16" x14ac:dyDescent="0.3">
      <c r="B1115" s="146">
        <v>1108</v>
      </c>
      <c r="C1115" s="147"/>
      <c r="D1115" s="147"/>
      <c r="E1115" s="146"/>
      <c r="F1115" s="148" t="str">
        <f>+IFERROR(VLOOKUP(E1115,Data!C1111:D1206,2,0),"")</f>
        <v/>
      </c>
      <c r="G1115" s="146"/>
      <c r="H1115" s="149"/>
      <c r="I1115" s="150"/>
      <c r="J1115" s="151" t="str">
        <f t="shared" si="51"/>
        <v>-</v>
      </c>
      <c r="K1115" s="152"/>
      <c r="L1115" s="149"/>
      <c r="M1115" s="149"/>
      <c r="N1115" s="153">
        <f t="shared" si="52"/>
        <v>0</v>
      </c>
      <c r="O1115" s="153">
        <f t="shared" si="53"/>
        <v>0</v>
      </c>
      <c r="P1115" s="146"/>
    </row>
    <row r="1116" spans="2:16" x14ac:dyDescent="0.3">
      <c r="B1116" s="146">
        <v>1109</v>
      </c>
      <c r="C1116" s="147"/>
      <c r="D1116" s="147"/>
      <c r="E1116" s="146"/>
      <c r="F1116" s="148" t="str">
        <f>+IFERROR(VLOOKUP(E1116,Data!C1112:D1207,2,0),"")</f>
        <v/>
      </c>
      <c r="G1116" s="146"/>
      <c r="H1116" s="149"/>
      <c r="I1116" s="150"/>
      <c r="J1116" s="151" t="str">
        <f t="shared" si="51"/>
        <v>-</v>
      </c>
      <c r="K1116" s="152"/>
      <c r="L1116" s="149"/>
      <c r="M1116" s="149"/>
      <c r="N1116" s="153">
        <f t="shared" si="52"/>
        <v>0</v>
      </c>
      <c r="O1116" s="153">
        <f t="shared" si="53"/>
        <v>0</v>
      </c>
      <c r="P1116" s="146"/>
    </row>
    <row r="1117" spans="2:16" x14ac:dyDescent="0.3">
      <c r="B1117" s="146">
        <v>1110</v>
      </c>
      <c r="C1117" s="147"/>
      <c r="D1117" s="147"/>
      <c r="E1117" s="146"/>
      <c r="F1117" s="148" t="str">
        <f>+IFERROR(VLOOKUP(E1117,Data!C1113:D1208,2,0),"")</f>
        <v/>
      </c>
      <c r="G1117" s="146"/>
      <c r="H1117" s="149"/>
      <c r="I1117" s="150"/>
      <c r="J1117" s="151" t="str">
        <f t="shared" si="51"/>
        <v>-</v>
      </c>
      <c r="K1117" s="152"/>
      <c r="L1117" s="149"/>
      <c r="M1117" s="149"/>
      <c r="N1117" s="153">
        <f t="shared" si="52"/>
        <v>0</v>
      </c>
      <c r="O1117" s="153">
        <f t="shared" si="53"/>
        <v>0</v>
      </c>
      <c r="P1117" s="146"/>
    </row>
    <row r="1118" spans="2:16" x14ac:dyDescent="0.3">
      <c r="B1118" s="146">
        <v>1111</v>
      </c>
      <c r="C1118" s="147"/>
      <c r="D1118" s="147"/>
      <c r="E1118" s="146"/>
      <c r="F1118" s="148" t="str">
        <f>+IFERROR(VLOOKUP(E1118,Data!C1114:D1209,2,0),"")</f>
        <v/>
      </c>
      <c r="G1118" s="146"/>
      <c r="H1118" s="149"/>
      <c r="I1118" s="150"/>
      <c r="J1118" s="151" t="str">
        <f t="shared" si="51"/>
        <v>-</v>
      </c>
      <c r="K1118" s="152"/>
      <c r="L1118" s="149"/>
      <c r="M1118" s="149"/>
      <c r="N1118" s="153">
        <f t="shared" si="52"/>
        <v>0</v>
      </c>
      <c r="O1118" s="153">
        <f t="shared" si="53"/>
        <v>0</v>
      </c>
      <c r="P1118" s="146"/>
    </row>
    <row r="1119" spans="2:16" x14ac:dyDescent="0.3">
      <c r="B1119" s="146">
        <v>1112</v>
      </c>
      <c r="C1119" s="147"/>
      <c r="D1119" s="147"/>
      <c r="E1119" s="146"/>
      <c r="F1119" s="148" t="str">
        <f>+IFERROR(VLOOKUP(E1119,Data!C1115:D1210,2,0),"")</f>
        <v/>
      </c>
      <c r="G1119" s="146"/>
      <c r="H1119" s="149"/>
      <c r="I1119" s="150"/>
      <c r="J1119" s="151" t="str">
        <f t="shared" si="51"/>
        <v>-</v>
      </c>
      <c r="K1119" s="152"/>
      <c r="L1119" s="149"/>
      <c r="M1119" s="149"/>
      <c r="N1119" s="153">
        <f t="shared" si="52"/>
        <v>0</v>
      </c>
      <c r="O1119" s="153">
        <f t="shared" si="53"/>
        <v>0</v>
      </c>
      <c r="P1119" s="146"/>
    </row>
    <row r="1120" spans="2:16" x14ac:dyDescent="0.3">
      <c r="B1120" s="146">
        <v>1113</v>
      </c>
      <c r="C1120" s="147"/>
      <c r="D1120" s="147"/>
      <c r="E1120" s="146"/>
      <c r="F1120" s="148" t="str">
        <f>+IFERROR(VLOOKUP(E1120,Data!C1116:D1211,2,0),"")</f>
        <v/>
      </c>
      <c r="G1120" s="146"/>
      <c r="H1120" s="149"/>
      <c r="I1120" s="150"/>
      <c r="J1120" s="151" t="str">
        <f t="shared" si="51"/>
        <v>-</v>
      </c>
      <c r="K1120" s="152"/>
      <c r="L1120" s="149"/>
      <c r="M1120" s="149"/>
      <c r="N1120" s="153">
        <f t="shared" si="52"/>
        <v>0</v>
      </c>
      <c r="O1120" s="153">
        <f t="shared" si="53"/>
        <v>0</v>
      </c>
      <c r="P1120" s="146"/>
    </row>
    <row r="1121" spans="2:16" x14ac:dyDescent="0.3">
      <c r="B1121" s="146">
        <v>1114</v>
      </c>
      <c r="C1121" s="147"/>
      <c r="D1121" s="147"/>
      <c r="E1121" s="146"/>
      <c r="F1121" s="148" t="str">
        <f>+IFERROR(VLOOKUP(E1121,Data!C1117:D1212,2,0),"")</f>
        <v/>
      </c>
      <c r="G1121" s="146"/>
      <c r="H1121" s="149"/>
      <c r="I1121" s="150"/>
      <c r="J1121" s="151" t="str">
        <f t="shared" si="51"/>
        <v>-</v>
      </c>
      <c r="K1121" s="152"/>
      <c r="L1121" s="149"/>
      <c r="M1121" s="149"/>
      <c r="N1121" s="153">
        <f t="shared" si="52"/>
        <v>0</v>
      </c>
      <c r="O1121" s="153">
        <f t="shared" si="53"/>
        <v>0</v>
      </c>
      <c r="P1121" s="146"/>
    </row>
    <row r="1122" spans="2:16" x14ac:dyDescent="0.3">
      <c r="B1122" s="146">
        <v>1115</v>
      </c>
      <c r="C1122" s="147"/>
      <c r="D1122" s="147"/>
      <c r="E1122" s="146"/>
      <c r="F1122" s="148" t="str">
        <f>+IFERROR(VLOOKUP(E1122,Data!C1118:D1213,2,0),"")</f>
        <v/>
      </c>
      <c r="G1122" s="146"/>
      <c r="H1122" s="149"/>
      <c r="I1122" s="150"/>
      <c r="J1122" s="151" t="str">
        <f t="shared" si="51"/>
        <v>-</v>
      </c>
      <c r="K1122" s="152"/>
      <c r="L1122" s="149"/>
      <c r="M1122" s="149"/>
      <c r="N1122" s="153">
        <f t="shared" si="52"/>
        <v>0</v>
      </c>
      <c r="O1122" s="153">
        <f t="shared" si="53"/>
        <v>0</v>
      </c>
      <c r="P1122" s="146"/>
    </row>
    <row r="1123" spans="2:16" x14ac:dyDescent="0.3">
      <c r="B1123" s="146">
        <v>1116</v>
      </c>
      <c r="C1123" s="147"/>
      <c r="D1123" s="147"/>
      <c r="E1123" s="146"/>
      <c r="F1123" s="148" t="str">
        <f>+IFERROR(VLOOKUP(E1123,Data!C1119:D1214,2,0),"")</f>
        <v/>
      </c>
      <c r="G1123" s="146"/>
      <c r="H1123" s="149"/>
      <c r="I1123" s="150"/>
      <c r="J1123" s="151" t="str">
        <f t="shared" si="51"/>
        <v>-</v>
      </c>
      <c r="K1123" s="152"/>
      <c r="L1123" s="149"/>
      <c r="M1123" s="149"/>
      <c r="N1123" s="153">
        <f t="shared" si="52"/>
        <v>0</v>
      </c>
      <c r="O1123" s="153">
        <f t="shared" si="53"/>
        <v>0</v>
      </c>
      <c r="P1123" s="146"/>
    </row>
    <row r="1124" spans="2:16" x14ac:dyDescent="0.3">
      <c r="B1124" s="146">
        <v>1117</v>
      </c>
      <c r="C1124" s="147"/>
      <c r="D1124" s="147"/>
      <c r="E1124" s="146"/>
      <c r="F1124" s="148" t="str">
        <f>+IFERROR(VLOOKUP(E1124,Data!C1120:D1215,2,0),"")</f>
        <v/>
      </c>
      <c r="G1124" s="146"/>
      <c r="H1124" s="149"/>
      <c r="I1124" s="150"/>
      <c r="J1124" s="151" t="str">
        <f t="shared" si="51"/>
        <v>-</v>
      </c>
      <c r="K1124" s="152"/>
      <c r="L1124" s="149"/>
      <c r="M1124" s="149"/>
      <c r="N1124" s="153">
        <f t="shared" si="52"/>
        <v>0</v>
      </c>
      <c r="O1124" s="153">
        <f t="shared" si="53"/>
        <v>0</v>
      </c>
      <c r="P1124" s="146"/>
    </row>
    <row r="1125" spans="2:16" x14ac:dyDescent="0.3">
      <c r="B1125" s="146">
        <v>1118</v>
      </c>
      <c r="C1125" s="147"/>
      <c r="D1125" s="147"/>
      <c r="E1125" s="146"/>
      <c r="F1125" s="148" t="str">
        <f>+IFERROR(VLOOKUP(E1125,Data!C1121:D1216,2,0),"")</f>
        <v/>
      </c>
      <c r="G1125" s="146"/>
      <c r="H1125" s="149"/>
      <c r="I1125" s="150"/>
      <c r="J1125" s="151" t="str">
        <f t="shared" si="51"/>
        <v>-</v>
      </c>
      <c r="K1125" s="152"/>
      <c r="L1125" s="149"/>
      <c r="M1125" s="149"/>
      <c r="N1125" s="153">
        <f t="shared" si="52"/>
        <v>0</v>
      </c>
      <c r="O1125" s="153">
        <f t="shared" si="53"/>
        <v>0</v>
      </c>
      <c r="P1125" s="146"/>
    </row>
    <row r="1126" spans="2:16" x14ac:dyDescent="0.3">
      <c r="B1126" s="146">
        <v>1119</v>
      </c>
      <c r="C1126" s="147"/>
      <c r="D1126" s="147"/>
      <c r="E1126" s="146"/>
      <c r="F1126" s="148" t="str">
        <f>+IFERROR(VLOOKUP(E1126,Data!C1122:D1217,2,0),"")</f>
        <v/>
      </c>
      <c r="G1126" s="146"/>
      <c r="H1126" s="149"/>
      <c r="I1126" s="150"/>
      <c r="J1126" s="151" t="str">
        <f t="shared" si="51"/>
        <v>-</v>
      </c>
      <c r="K1126" s="152"/>
      <c r="L1126" s="149"/>
      <c r="M1126" s="149"/>
      <c r="N1126" s="153">
        <f t="shared" si="52"/>
        <v>0</v>
      </c>
      <c r="O1126" s="153">
        <f t="shared" si="53"/>
        <v>0</v>
      </c>
      <c r="P1126" s="146"/>
    </row>
    <row r="1127" spans="2:16" x14ac:dyDescent="0.3">
      <c r="B1127" s="146">
        <v>1120</v>
      </c>
      <c r="C1127" s="147"/>
      <c r="D1127" s="147"/>
      <c r="E1127" s="146"/>
      <c r="F1127" s="148" t="str">
        <f>+IFERROR(VLOOKUP(E1127,Data!C1123:D1218,2,0),"")</f>
        <v/>
      </c>
      <c r="G1127" s="146"/>
      <c r="H1127" s="149"/>
      <c r="I1127" s="150"/>
      <c r="J1127" s="151" t="str">
        <f t="shared" si="51"/>
        <v>-</v>
      </c>
      <c r="K1127" s="152"/>
      <c r="L1127" s="149"/>
      <c r="M1127" s="149"/>
      <c r="N1127" s="153">
        <f t="shared" si="52"/>
        <v>0</v>
      </c>
      <c r="O1127" s="153">
        <f t="shared" si="53"/>
        <v>0</v>
      </c>
      <c r="P1127" s="146"/>
    </row>
    <row r="1128" spans="2:16" x14ac:dyDescent="0.3">
      <c r="B1128" s="146">
        <v>1121</v>
      </c>
      <c r="C1128" s="147"/>
      <c r="D1128" s="147"/>
      <c r="E1128" s="146"/>
      <c r="F1128" s="148" t="str">
        <f>+IFERROR(VLOOKUP(E1128,Data!C1124:D1219,2,0),"")</f>
        <v/>
      </c>
      <c r="G1128" s="146"/>
      <c r="H1128" s="149"/>
      <c r="I1128" s="150"/>
      <c r="J1128" s="151" t="str">
        <f t="shared" si="51"/>
        <v>-</v>
      </c>
      <c r="K1128" s="152"/>
      <c r="L1128" s="149"/>
      <c r="M1128" s="149"/>
      <c r="N1128" s="153">
        <f t="shared" si="52"/>
        <v>0</v>
      </c>
      <c r="O1128" s="153">
        <f t="shared" si="53"/>
        <v>0</v>
      </c>
      <c r="P1128" s="146"/>
    </row>
    <row r="1129" spans="2:16" x14ac:dyDescent="0.3">
      <c r="B1129" s="146">
        <v>1122</v>
      </c>
      <c r="C1129" s="147"/>
      <c r="D1129" s="147"/>
      <c r="E1129" s="146"/>
      <c r="F1129" s="148" t="str">
        <f>+IFERROR(VLOOKUP(E1129,Data!C1125:D1220,2,0),"")</f>
        <v/>
      </c>
      <c r="G1129" s="146"/>
      <c r="H1129" s="149"/>
      <c r="I1129" s="150"/>
      <c r="J1129" s="151" t="str">
        <f t="shared" si="51"/>
        <v>-</v>
      </c>
      <c r="K1129" s="152"/>
      <c r="L1129" s="149"/>
      <c r="M1129" s="149"/>
      <c r="N1129" s="153">
        <f t="shared" si="52"/>
        <v>0</v>
      </c>
      <c r="O1129" s="153">
        <f t="shared" si="53"/>
        <v>0</v>
      </c>
      <c r="P1129" s="146"/>
    </row>
    <row r="1130" spans="2:16" x14ac:dyDescent="0.3">
      <c r="B1130" s="146">
        <v>1123</v>
      </c>
      <c r="C1130" s="147"/>
      <c r="D1130" s="147"/>
      <c r="E1130" s="146"/>
      <c r="F1130" s="148" t="str">
        <f>+IFERROR(VLOOKUP(E1130,Data!C1126:D1221,2,0),"")</f>
        <v/>
      </c>
      <c r="G1130" s="146"/>
      <c r="H1130" s="149"/>
      <c r="I1130" s="150"/>
      <c r="J1130" s="151" t="str">
        <f t="shared" si="51"/>
        <v>-</v>
      </c>
      <c r="K1130" s="152"/>
      <c r="L1130" s="149"/>
      <c r="M1130" s="149"/>
      <c r="N1130" s="153">
        <f t="shared" si="52"/>
        <v>0</v>
      </c>
      <c r="O1130" s="153">
        <f t="shared" si="53"/>
        <v>0</v>
      </c>
      <c r="P1130" s="146"/>
    </row>
    <row r="1131" spans="2:16" x14ac:dyDescent="0.3">
      <c r="B1131" s="146">
        <v>1124</v>
      </c>
      <c r="C1131" s="147"/>
      <c r="D1131" s="147"/>
      <c r="E1131" s="146"/>
      <c r="F1131" s="148" t="str">
        <f>+IFERROR(VLOOKUP(E1131,Data!C1127:D1222,2,0),"")</f>
        <v/>
      </c>
      <c r="G1131" s="146"/>
      <c r="H1131" s="149"/>
      <c r="I1131" s="150"/>
      <c r="J1131" s="151" t="str">
        <f t="shared" si="51"/>
        <v>-</v>
      </c>
      <c r="K1131" s="152"/>
      <c r="L1131" s="149"/>
      <c r="M1131" s="149"/>
      <c r="N1131" s="153">
        <f t="shared" si="52"/>
        <v>0</v>
      </c>
      <c r="O1131" s="153">
        <f t="shared" si="53"/>
        <v>0</v>
      </c>
      <c r="P1131" s="146"/>
    </row>
    <row r="1132" spans="2:16" x14ac:dyDescent="0.3">
      <c r="B1132" s="146">
        <v>1125</v>
      </c>
      <c r="C1132" s="147"/>
      <c r="D1132" s="147"/>
      <c r="E1132" s="146"/>
      <c r="F1132" s="148" t="str">
        <f>+IFERROR(VLOOKUP(E1132,Data!C1128:D1223,2,0),"")</f>
        <v/>
      </c>
      <c r="G1132" s="146"/>
      <c r="H1132" s="149"/>
      <c r="I1132" s="150"/>
      <c r="J1132" s="151" t="str">
        <f t="shared" si="51"/>
        <v>-</v>
      </c>
      <c r="K1132" s="152"/>
      <c r="L1132" s="149"/>
      <c r="M1132" s="149"/>
      <c r="N1132" s="153">
        <f t="shared" si="52"/>
        <v>0</v>
      </c>
      <c r="O1132" s="153">
        <f t="shared" si="53"/>
        <v>0</v>
      </c>
      <c r="P1132" s="146"/>
    </row>
    <row r="1133" spans="2:16" x14ac:dyDescent="0.3">
      <c r="B1133" s="146">
        <v>1126</v>
      </c>
      <c r="C1133" s="147"/>
      <c r="D1133" s="147"/>
      <c r="E1133" s="146"/>
      <c r="F1133" s="148" t="str">
        <f>+IFERROR(VLOOKUP(E1133,Data!C1129:D1224,2,0),"")</f>
        <v/>
      </c>
      <c r="G1133" s="146"/>
      <c r="H1133" s="149"/>
      <c r="I1133" s="150"/>
      <c r="J1133" s="151" t="str">
        <f t="shared" si="51"/>
        <v>-</v>
      </c>
      <c r="K1133" s="152"/>
      <c r="L1133" s="149"/>
      <c r="M1133" s="149"/>
      <c r="N1133" s="153">
        <f t="shared" si="52"/>
        <v>0</v>
      </c>
      <c r="O1133" s="153">
        <f t="shared" si="53"/>
        <v>0</v>
      </c>
      <c r="P1133" s="146"/>
    </row>
    <row r="1134" spans="2:16" x14ac:dyDescent="0.3">
      <c r="B1134" s="146">
        <v>1127</v>
      </c>
      <c r="C1134" s="147"/>
      <c r="D1134" s="147"/>
      <c r="E1134" s="146"/>
      <c r="F1134" s="148" t="str">
        <f>+IFERROR(VLOOKUP(E1134,Data!C1130:D1225,2,0),"")</f>
        <v/>
      </c>
      <c r="G1134" s="146"/>
      <c r="H1134" s="149"/>
      <c r="I1134" s="150"/>
      <c r="J1134" s="151" t="str">
        <f t="shared" si="51"/>
        <v>-</v>
      </c>
      <c r="K1134" s="152"/>
      <c r="L1134" s="149"/>
      <c r="M1134" s="149"/>
      <c r="N1134" s="153">
        <f t="shared" si="52"/>
        <v>0</v>
      </c>
      <c r="O1134" s="153">
        <f t="shared" si="53"/>
        <v>0</v>
      </c>
      <c r="P1134" s="146"/>
    </row>
    <row r="1135" spans="2:16" x14ac:dyDescent="0.3">
      <c r="B1135" s="146">
        <v>1128</v>
      </c>
      <c r="C1135" s="147"/>
      <c r="D1135" s="147"/>
      <c r="E1135" s="146"/>
      <c r="F1135" s="148" t="str">
        <f>+IFERROR(VLOOKUP(E1135,Data!C1131:D1226,2,0),"")</f>
        <v/>
      </c>
      <c r="G1135" s="146"/>
      <c r="H1135" s="149"/>
      <c r="I1135" s="150"/>
      <c r="J1135" s="151" t="str">
        <f t="shared" si="51"/>
        <v>-</v>
      </c>
      <c r="K1135" s="152"/>
      <c r="L1135" s="149"/>
      <c r="M1135" s="149"/>
      <c r="N1135" s="153">
        <f t="shared" si="52"/>
        <v>0</v>
      </c>
      <c r="O1135" s="153">
        <f t="shared" si="53"/>
        <v>0</v>
      </c>
      <c r="P1135" s="146"/>
    </row>
    <row r="1136" spans="2:16" x14ac:dyDescent="0.3">
      <c r="B1136" s="146">
        <v>1129</v>
      </c>
      <c r="C1136" s="147"/>
      <c r="D1136" s="147"/>
      <c r="E1136" s="146"/>
      <c r="F1136" s="148" t="str">
        <f>+IFERROR(VLOOKUP(E1136,Data!C1132:D1227,2,0),"")</f>
        <v/>
      </c>
      <c r="G1136" s="146"/>
      <c r="H1136" s="149"/>
      <c r="I1136" s="150"/>
      <c r="J1136" s="151" t="str">
        <f t="shared" si="51"/>
        <v>-</v>
      </c>
      <c r="K1136" s="152"/>
      <c r="L1136" s="149"/>
      <c r="M1136" s="149"/>
      <c r="N1136" s="153">
        <f t="shared" si="52"/>
        <v>0</v>
      </c>
      <c r="O1136" s="153">
        <f t="shared" si="53"/>
        <v>0</v>
      </c>
      <c r="P1136" s="146"/>
    </row>
    <row r="1137" spans="2:16" x14ac:dyDescent="0.3">
      <c r="B1137" s="146">
        <v>1130</v>
      </c>
      <c r="C1137" s="147"/>
      <c r="D1137" s="147"/>
      <c r="E1137" s="146"/>
      <c r="F1137" s="148" t="str">
        <f>+IFERROR(VLOOKUP(E1137,Data!C1133:D1228,2,0),"")</f>
        <v/>
      </c>
      <c r="G1137" s="146"/>
      <c r="H1137" s="149"/>
      <c r="I1137" s="150"/>
      <c r="J1137" s="151" t="str">
        <f t="shared" si="51"/>
        <v>-</v>
      </c>
      <c r="K1137" s="152"/>
      <c r="L1137" s="149"/>
      <c r="M1137" s="149"/>
      <c r="N1137" s="153">
        <f t="shared" si="52"/>
        <v>0</v>
      </c>
      <c r="O1137" s="153">
        <f t="shared" si="53"/>
        <v>0</v>
      </c>
      <c r="P1137" s="146"/>
    </row>
    <row r="1138" spans="2:16" x14ac:dyDescent="0.3">
      <c r="B1138" s="146">
        <v>1131</v>
      </c>
      <c r="C1138" s="147"/>
      <c r="D1138" s="147"/>
      <c r="E1138" s="146"/>
      <c r="F1138" s="148" t="str">
        <f>+IFERROR(VLOOKUP(E1138,Data!C1134:D1229,2,0),"")</f>
        <v/>
      </c>
      <c r="G1138" s="146"/>
      <c r="H1138" s="149"/>
      <c r="I1138" s="150"/>
      <c r="J1138" s="151" t="str">
        <f t="shared" si="51"/>
        <v>-</v>
      </c>
      <c r="K1138" s="152"/>
      <c r="L1138" s="149"/>
      <c r="M1138" s="149"/>
      <c r="N1138" s="153">
        <f t="shared" si="52"/>
        <v>0</v>
      </c>
      <c r="O1138" s="153">
        <f t="shared" si="53"/>
        <v>0</v>
      </c>
      <c r="P1138" s="146"/>
    </row>
    <row r="1139" spans="2:16" x14ac:dyDescent="0.3">
      <c r="B1139" s="146">
        <v>1132</v>
      </c>
      <c r="C1139" s="147"/>
      <c r="D1139" s="147"/>
      <c r="E1139" s="146"/>
      <c r="F1139" s="148" t="str">
        <f>+IFERROR(VLOOKUP(E1139,Data!C1135:D1230,2,0),"")</f>
        <v/>
      </c>
      <c r="G1139" s="146"/>
      <c r="H1139" s="149"/>
      <c r="I1139" s="150"/>
      <c r="J1139" s="151" t="str">
        <f t="shared" si="51"/>
        <v>-</v>
      </c>
      <c r="K1139" s="152"/>
      <c r="L1139" s="149"/>
      <c r="M1139" s="149"/>
      <c r="N1139" s="153">
        <f t="shared" si="52"/>
        <v>0</v>
      </c>
      <c r="O1139" s="153">
        <f t="shared" si="53"/>
        <v>0</v>
      </c>
      <c r="P1139" s="146"/>
    </row>
    <row r="1140" spans="2:16" x14ac:dyDescent="0.3">
      <c r="B1140" s="146">
        <v>1133</v>
      </c>
      <c r="C1140" s="147"/>
      <c r="D1140" s="147"/>
      <c r="E1140" s="146"/>
      <c r="F1140" s="148" t="str">
        <f>+IFERROR(VLOOKUP(E1140,Data!C1136:D1231,2,0),"")</f>
        <v/>
      </c>
      <c r="G1140" s="146"/>
      <c r="H1140" s="149"/>
      <c r="I1140" s="150"/>
      <c r="J1140" s="151" t="str">
        <f t="shared" si="51"/>
        <v>-</v>
      </c>
      <c r="K1140" s="152"/>
      <c r="L1140" s="149"/>
      <c r="M1140" s="149"/>
      <c r="N1140" s="153">
        <f t="shared" si="52"/>
        <v>0</v>
      </c>
      <c r="O1140" s="153">
        <f t="shared" si="53"/>
        <v>0</v>
      </c>
      <c r="P1140" s="146"/>
    </row>
    <row r="1141" spans="2:16" x14ac:dyDescent="0.3">
      <c r="B1141" s="146">
        <v>1134</v>
      </c>
      <c r="C1141" s="147"/>
      <c r="D1141" s="147"/>
      <c r="E1141" s="146"/>
      <c r="F1141" s="148" t="str">
        <f>+IFERROR(VLOOKUP(E1141,Data!C1137:D1232,2,0),"")</f>
        <v/>
      </c>
      <c r="G1141" s="146"/>
      <c r="H1141" s="149"/>
      <c r="I1141" s="150"/>
      <c r="J1141" s="151" t="str">
        <f t="shared" si="51"/>
        <v>-</v>
      </c>
      <c r="K1141" s="152"/>
      <c r="L1141" s="149"/>
      <c r="M1141" s="149"/>
      <c r="N1141" s="153">
        <f t="shared" si="52"/>
        <v>0</v>
      </c>
      <c r="O1141" s="153">
        <f t="shared" si="53"/>
        <v>0</v>
      </c>
      <c r="P1141" s="146"/>
    </row>
    <row r="1142" spans="2:16" x14ac:dyDescent="0.3">
      <c r="B1142" s="146">
        <v>1135</v>
      </c>
      <c r="C1142" s="147"/>
      <c r="D1142" s="147"/>
      <c r="E1142" s="146"/>
      <c r="F1142" s="148" t="str">
        <f>+IFERROR(VLOOKUP(E1142,Data!C1138:D1233,2,0),"")</f>
        <v/>
      </c>
      <c r="G1142" s="146"/>
      <c r="H1142" s="149"/>
      <c r="I1142" s="150"/>
      <c r="J1142" s="151" t="str">
        <f t="shared" ref="J1142:J1205" si="54">IFERROR(+I1142/H1142,"-")</f>
        <v>-</v>
      </c>
      <c r="K1142" s="152"/>
      <c r="L1142" s="149"/>
      <c r="M1142" s="149"/>
      <c r="N1142" s="153">
        <f t="shared" ref="N1142:N1205" si="55">+L1142+M1142</f>
        <v>0</v>
      </c>
      <c r="O1142" s="153">
        <f t="shared" ref="O1142:O1205" si="56">+N1142-K1142</f>
        <v>0</v>
      </c>
      <c r="P1142" s="146"/>
    </row>
    <row r="1143" spans="2:16" x14ac:dyDescent="0.3">
      <c r="B1143" s="146">
        <v>1136</v>
      </c>
      <c r="C1143" s="147"/>
      <c r="D1143" s="147"/>
      <c r="E1143" s="146"/>
      <c r="F1143" s="148" t="str">
        <f>+IFERROR(VLOOKUP(E1143,Data!C1139:D1234,2,0),"")</f>
        <v/>
      </c>
      <c r="G1143" s="146"/>
      <c r="H1143" s="149"/>
      <c r="I1143" s="150"/>
      <c r="J1143" s="151" t="str">
        <f t="shared" si="54"/>
        <v>-</v>
      </c>
      <c r="K1143" s="152"/>
      <c r="L1143" s="149"/>
      <c r="M1143" s="149"/>
      <c r="N1143" s="153">
        <f t="shared" si="55"/>
        <v>0</v>
      </c>
      <c r="O1143" s="153">
        <f t="shared" si="56"/>
        <v>0</v>
      </c>
      <c r="P1143" s="146"/>
    </row>
    <row r="1144" spans="2:16" x14ac:dyDescent="0.3">
      <c r="B1144" s="146">
        <v>1137</v>
      </c>
      <c r="C1144" s="147"/>
      <c r="D1144" s="147"/>
      <c r="E1144" s="146"/>
      <c r="F1144" s="148" t="str">
        <f>+IFERROR(VLOOKUP(E1144,Data!C1140:D1235,2,0),"")</f>
        <v/>
      </c>
      <c r="G1144" s="146"/>
      <c r="H1144" s="149"/>
      <c r="I1144" s="150"/>
      <c r="J1144" s="151" t="str">
        <f t="shared" si="54"/>
        <v>-</v>
      </c>
      <c r="K1144" s="152"/>
      <c r="L1144" s="149"/>
      <c r="M1144" s="149"/>
      <c r="N1144" s="153">
        <f t="shared" si="55"/>
        <v>0</v>
      </c>
      <c r="O1144" s="153">
        <f t="shared" si="56"/>
        <v>0</v>
      </c>
      <c r="P1144" s="146"/>
    </row>
    <row r="1145" spans="2:16" x14ac:dyDescent="0.3">
      <c r="B1145" s="146">
        <v>1138</v>
      </c>
      <c r="C1145" s="147"/>
      <c r="D1145" s="147"/>
      <c r="E1145" s="146"/>
      <c r="F1145" s="148" t="str">
        <f>+IFERROR(VLOOKUP(E1145,Data!C1141:D1236,2,0),"")</f>
        <v/>
      </c>
      <c r="G1145" s="146"/>
      <c r="H1145" s="149"/>
      <c r="I1145" s="150"/>
      <c r="J1145" s="151" t="str">
        <f t="shared" si="54"/>
        <v>-</v>
      </c>
      <c r="K1145" s="152"/>
      <c r="L1145" s="149"/>
      <c r="M1145" s="149"/>
      <c r="N1145" s="153">
        <f t="shared" si="55"/>
        <v>0</v>
      </c>
      <c r="O1145" s="153">
        <f t="shared" si="56"/>
        <v>0</v>
      </c>
      <c r="P1145" s="146"/>
    </row>
    <row r="1146" spans="2:16" x14ac:dyDescent="0.3">
      <c r="B1146" s="146">
        <v>1139</v>
      </c>
      <c r="C1146" s="147"/>
      <c r="D1146" s="147"/>
      <c r="E1146" s="146"/>
      <c r="F1146" s="148" t="str">
        <f>+IFERROR(VLOOKUP(E1146,Data!C1142:D1237,2,0),"")</f>
        <v/>
      </c>
      <c r="G1146" s="146"/>
      <c r="H1146" s="149"/>
      <c r="I1146" s="150"/>
      <c r="J1146" s="151" t="str">
        <f t="shared" si="54"/>
        <v>-</v>
      </c>
      <c r="K1146" s="152"/>
      <c r="L1146" s="149"/>
      <c r="M1146" s="149"/>
      <c r="N1146" s="153">
        <f t="shared" si="55"/>
        <v>0</v>
      </c>
      <c r="O1146" s="153">
        <f t="shared" si="56"/>
        <v>0</v>
      </c>
      <c r="P1146" s="146"/>
    </row>
    <row r="1147" spans="2:16" x14ac:dyDescent="0.3">
      <c r="B1147" s="146">
        <v>1140</v>
      </c>
      <c r="C1147" s="147"/>
      <c r="D1147" s="147"/>
      <c r="E1147" s="146"/>
      <c r="F1147" s="148" t="str">
        <f>+IFERROR(VLOOKUP(E1147,Data!C1143:D1238,2,0),"")</f>
        <v/>
      </c>
      <c r="G1147" s="146"/>
      <c r="H1147" s="149"/>
      <c r="I1147" s="150"/>
      <c r="J1147" s="151" t="str">
        <f t="shared" si="54"/>
        <v>-</v>
      </c>
      <c r="K1147" s="152"/>
      <c r="L1147" s="149"/>
      <c r="M1147" s="149"/>
      <c r="N1147" s="153">
        <f t="shared" si="55"/>
        <v>0</v>
      </c>
      <c r="O1147" s="153">
        <f t="shared" si="56"/>
        <v>0</v>
      </c>
      <c r="P1147" s="146"/>
    </row>
    <row r="1148" spans="2:16" x14ac:dyDescent="0.3">
      <c r="B1148" s="146">
        <v>1141</v>
      </c>
      <c r="C1148" s="147"/>
      <c r="D1148" s="147"/>
      <c r="E1148" s="146"/>
      <c r="F1148" s="148" t="str">
        <f>+IFERROR(VLOOKUP(E1148,Data!C1144:D1239,2,0),"")</f>
        <v/>
      </c>
      <c r="G1148" s="146"/>
      <c r="H1148" s="149"/>
      <c r="I1148" s="150"/>
      <c r="J1148" s="151" t="str">
        <f t="shared" si="54"/>
        <v>-</v>
      </c>
      <c r="K1148" s="152"/>
      <c r="L1148" s="149"/>
      <c r="M1148" s="149"/>
      <c r="N1148" s="153">
        <f t="shared" si="55"/>
        <v>0</v>
      </c>
      <c r="O1148" s="153">
        <f t="shared" si="56"/>
        <v>0</v>
      </c>
      <c r="P1148" s="146"/>
    </row>
    <row r="1149" spans="2:16" x14ac:dyDescent="0.3">
      <c r="B1149" s="146">
        <v>1142</v>
      </c>
      <c r="C1149" s="147"/>
      <c r="D1149" s="147"/>
      <c r="E1149" s="146"/>
      <c r="F1149" s="148" t="str">
        <f>+IFERROR(VLOOKUP(E1149,Data!C1145:D1240,2,0),"")</f>
        <v/>
      </c>
      <c r="G1149" s="146"/>
      <c r="H1149" s="149"/>
      <c r="I1149" s="150"/>
      <c r="J1149" s="151" t="str">
        <f t="shared" si="54"/>
        <v>-</v>
      </c>
      <c r="K1149" s="152"/>
      <c r="L1149" s="149"/>
      <c r="M1149" s="149"/>
      <c r="N1149" s="153">
        <f t="shared" si="55"/>
        <v>0</v>
      </c>
      <c r="O1149" s="153">
        <f t="shared" si="56"/>
        <v>0</v>
      </c>
      <c r="P1149" s="146"/>
    </row>
    <row r="1150" spans="2:16" x14ac:dyDescent="0.3">
      <c r="B1150" s="146">
        <v>1143</v>
      </c>
      <c r="C1150" s="147"/>
      <c r="D1150" s="147"/>
      <c r="E1150" s="146"/>
      <c r="F1150" s="148" t="str">
        <f>+IFERROR(VLOOKUP(E1150,Data!C1146:D1241,2,0),"")</f>
        <v/>
      </c>
      <c r="G1150" s="146"/>
      <c r="H1150" s="149"/>
      <c r="I1150" s="150"/>
      <c r="J1150" s="151" t="str">
        <f t="shared" si="54"/>
        <v>-</v>
      </c>
      <c r="K1150" s="152"/>
      <c r="L1150" s="149"/>
      <c r="M1150" s="149"/>
      <c r="N1150" s="153">
        <f t="shared" si="55"/>
        <v>0</v>
      </c>
      <c r="O1150" s="153">
        <f t="shared" si="56"/>
        <v>0</v>
      </c>
      <c r="P1150" s="146"/>
    </row>
    <row r="1151" spans="2:16" x14ac:dyDescent="0.3">
      <c r="B1151" s="146">
        <v>1144</v>
      </c>
      <c r="C1151" s="147"/>
      <c r="D1151" s="147"/>
      <c r="E1151" s="146"/>
      <c r="F1151" s="148" t="str">
        <f>+IFERROR(VLOOKUP(E1151,Data!C1147:D1242,2,0),"")</f>
        <v/>
      </c>
      <c r="G1151" s="146"/>
      <c r="H1151" s="149"/>
      <c r="I1151" s="150"/>
      <c r="J1151" s="151" t="str">
        <f t="shared" si="54"/>
        <v>-</v>
      </c>
      <c r="K1151" s="152"/>
      <c r="L1151" s="149"/>
      <c r="M1151" s="149"/>
      <c r="N1151" s="153">
        <f t="shared" si="55"/>
        <v>0</v>
      </c>
      <c r="O1151" s="153">
        <f t="shared" si="56"/>
        <v>0</v>
      </c>
      <c r="P1151" s="146"/>
    </row>
    <row r="1152" spans="2:16" x14ac:dyDescent="0.3">
      <c r="B1152" s="146">
        <v>1145</v>
      </c>
      <c r="C1152" s="147"/>
      <c r="D1152" s="147"/>
      <c r="E1152" s="146"/>
      <c r="F1152" s="148" t="str">
        <f>+IFERROR(VLOOKUP(E1152,Data!C1148:D1243,2,0),"")</f>
        <v/>
      </c>
      <c r="G1152" s="146"/>
      <c r="H1152" s="149"/>
      <c r="I1152" s="150"/>
      <c r="J1152" s="151" t="str">
        <f t="shared" si="54"/>
        <v>-</v>
      </c>
      <c r="K1152" s="152"/>
      <c r="L1152" s="149"/>
      <c r="M1152" s="149"/>
      <c r="N1152" s="153">
        <f t="shared" si="55"/>
        <v>0</v>
      </c>
      <c r="O1152" s="153">
        <f t="shared" si="56"/>
        <v>0</v>
      </c>
      <c r="P1152" s="146"/>
    </row>
    <row r="1153" spans="2:16" x14ac:dyDescent="0.3">
      <c r="B1153" s="146">
        <v>1146</v>
      </c>
      <c r="C1153" s="147"/>
      <c r="D1153" s="147"/>
      <c r="E1153" s="146"/>
      <c r="F1153" s="148" t="str">
        <f>+IFERROR(VLOOKUP(E1153,Data!C1149:D1244,2,0),"")</f>
        <v/>
      </c>
      <c r="G1153" s="146"/>
      <c r="H1153" s="149"/>
      <c r="I1153" s="150"/>
      <c r="J1153" s="151" t="str">
        <f t="shared" si="54"/>
        <v>-</v>
      </c>
      <c r="K1153" s="152"/>
      <c r="L1153" s="149"/>
      <c r="M1153" s="149"/>
      <c r="N1153" s="153">
        <f t="shared" si="55"/>
        <v>0</v>
      </c>
      <c r="O1153" s="153">
        <f t="shared" si="56"/>
        <v>0</v>
      </c>
      <c r="P1153" s="146"/>
    </row>
    <row r="1154" spans="2:16" x14ac:dyDescent="0.3">
      <c r="B1154" s="146">
        <v>1147</v>
      </c>
      <c r="C1154" s="147"/>
      <c r="D1154" s="147"/>
      <c r="E1154" s="146"/>
      <c r="F1154" s="148" t="str">
        <f>+IFERROR(VLOOKUP(E1154,Data!C1150:D1245,2,0),"")</f>
        <v/>
      </c>
      <c r="G1154" s="146"/>
      <c r="H1154" s="149"/>
      <c r="I1154" s="150"/>
      <c r="J1154" s="151" t="str">
        <f t="shared" si="54"/>
        <v>-</v>
      </c>
      <c r="K1154" s="152"/>
      <c r="L1154" s="149"/>
      <c r="M1154" s="149"/>
      <c r="N1154" s="153">
        <f t="shared" si="55"/>
        <v>0</v>
      </c>
      <c r="O1154" s="153">
        <f t="shared" si="56"/>
        <v>0</v>
      </c>
      <c r="P1154" s="146"/>
    </row>
    <row r="1155" spans="2:16" x14ac:dyDescent="0.3">
      <c r="B1155" s="146">
        <v>1148</v>
      </c>
      <c r="C1155" s="147"/>
      <c r="D1155" s="147"/>
      <c r="E1155" s="146"/>
      <c r="F1155" s="148" t="str">
        <f>+IFERROR(VLOOKUP(E1155,Data!C1151:D1246,2,0),"")</f>
        <v/>
      </c>
      <c r="G1155" s="146"/>
      <c r="H1155" s="149"/>
      <c r="I1155" s="150"/>
      <c r="J1155" s="151" t="str">
        <f t="shared" si="54"/>
        <v>-</v>
      </c>
      <c r="K1155" s="152"/>
      <c r="L1155" s="149"/>
      <c r="M1155" s="149"/>
      <c r="N1155" s="153">
        <f t="shared" si="55"/>
        <v>0</v>
      </c>
      <c r="O1155" s="153">
        <f t="shared" si="56"/>
        <v>0</v>
      </c>
      <c r="P1155" s="146"/>
    </row>
    <row r="1156" spans="2:16" x14ac:dyDescent="0.3">
      <c r="B1156" s="146">
        <v>1149</v>
      </c>
      <c r="C1156" s="147"/>
      <c r="D1156" s="147"/>
      <c r="E1156" s="146"/>
      <c r="F1156" s="148" t="str">
        <f>+IFERROR(VLOOKUP(E1156,Data!C1152:D1247,2,0),"")</f>
        <v/>
      </c>
      <c r="G1156" s="146"/>
      <c r="H1156" s="149"/>
      <c r="I1156" s="150"/>
      <c r="J1156" s="151" t="str">
        <f t="shared" si="54"/>
        <v>-</v>
      </c>
      <c r="K1156" s="152"/>
      <c r="L1156" s="149"/>
      <c r="M1156" s="149"/>
      <c r="N1156" s="153">
        <f t="shared" si="55"/>
        <v>0</v>
      </c>
      <c r="O1156" s="153">
        <f t="shared" si="56"/>
        <v>0</v>
      </c>
      <c r="P1156" s="146"/>
    </row>
    <row r="1157" spans="2:16" x14ac:dyDescent="0.3">
      <c r="B1157" s="146">
        <v>1150</v>
      </c>
      <c r="C1157" s="147"/>
      <c r="D1157" s="147"/>
      <c r="E1157" s="146"/>
      <c r="F1157" s="148" t="str">
        <f>+IFERROR(VLOOKUP(E1157,Data!C1153:D1248,2,0),"")</f>
        <v/>
      </c>
      <c r="G1157" s="146"/>
      <c r="H1157" s="149"/>
      <c r="I1157" s="150"/>
      <c r="J1157" s="151" t="str">
        <f t="shared" si="54"/>
        <v>-</v>
      </c>
      <c r="K1157" s="152"/>
      <c r="L1157" s="149"/>
      <c r="M1157" s="149"/>
      <c r="N1157" s="153">
        <f t="shared" si="55"/>
        <v>0</v>
      </c>
      <c r="O1157" s="153">
        <f t="shared" si="56"/>
        <v>0</v>
      </c>
      <c r="P1157" s="146"/>
    </row>
    <row r="1158" spans="2:16" x14ac:dyDescent="0.3">
      <c r="B1158" s="146">
        <v>1151</v>
      </c>
      <c r="C1158" s="147"/>
      <c r="D1158" s="147"/>
      <c r="E1158" s="146"/>
      <c r="F1158" s="148" t="str">
        <f>+IFERROR(VLOOKUP(E1158,Data!C1154:D1249,2,0),"")</f>
        <v/>
      </c>
      <c r="G1158" s="146"/>
      <c r="H1158" s="149"/>
      <c r="I1158" s="150"/>
      <c r="J1158" s="151" t="str">
        <f t="shared" si="54"/>
        <v>-</v>
      </c>
      <c r="K1158" s="152"/>
      <c r="L1158" s="149"/>
      <c r="M1158" s="149"/>
      <c r="N1158" s="153">
        <f t="shared" si="55"/>
        <v>0</v>
      </c>
      <c r="O1158" s="153">
        <f t="shared" si="56"/>
        <v>0</v>
      </c>
      <c r="P1158" s="146"/>
    </row>
    <row r="1159" spans="2:16" x14ac:dyDescent="0.3">
      <c r="B1159" s="146">
        <v>1152</v>
      </c>
      <c r="C1159" s="147"/>
      <c r="D1159" s="147"/>
      <c r="E1159" s="146"/>
      <c r="F1159" s="148" t="str">
        <f>+IFERROR(VLOOKUP(E1159,Data!C1155:D1250,2,0),"")</f>
        <v/>
      </c>
      <c r="G1159" s="146"/>
      <c r="H1159" s="149"/>
      <c r="I1159" s="150"/>
      <c r="J1159" s="151" t="str">
        <f t="shared" si="54"/>
        <v>-</v>
      </c>
      <c r="K1159" s="152"/>
      <c r="L1159" s="149"/>
      <c r="M1159" s="149"/>
      <c r="N1159" s="153">
        <f t="shared" si="55"/>
        <v>0</v>
      </c>
      <c r="O1159" s="153">
        <f t="shared" si="56"/>
        <v>0</v>
      </c>
      <c r="P1159" s="146"/>
    </row>
    <row r="1160" spans="2:16" x14ac:dyDescent="0.3">
      <c r="B1160" s="146">
        <v>1153</v>
      </c>
      <c r="C1160" s="147"/>
      <c r="D1160" s="147"/>
      <c r="E1160" s="146"/>
      <c r="F1160" s="148" t="str">
        <f>+IFERROR(VLOOKUP(E1160,Data!C1156:D1251,2,0),"")</f>
        <v/>
      </c>
      <c r="G1160" s="146"/>
      <c r="H1160" s="149"/>
      <c r="I1160" s="150"/>
      <c r="J1160" s="151" t="str">
        <f t="shared" si="54"/>
        <v>-</v>
      </c>
      <c r="K1160" s="152"/>
      <c r="L1160" s="149"/>
      <c r="M1160" s="149"/>
      <c r="N1160" s="153">
        <f t="shared" si="55"/>
        <v>0</v>
      </c>
      <c r="O1160" s="153">
        <f t="shared" si="56"/>
        <v>0</v>
      </c>
      <c r="P1160" s="146"/>
    </row>
    <row r="1161" spans="2:16" x14ac:dyDescent="0.3">
      <c r="B1161" s="146">
        <v>1154</v>
      </c>
      <c r="C1161" s="147"/>
      <c r="D1161" s="147"/>
      <c r="E1161" s="146"/>
      <c r="F1161" s="148" t="str">
        <f>+IFERROR(VLOOKUP(E1161,Data!C1157:D1252,2,0),"")</f>
        <v/>
      </c>
      <c r="G1161" s="146"/>
      <c r="H1161" s="149"/>
      <c r="I1161" s="150"/>
      <c r="J1161" s="151" t="str">
        <f t="shared" si="54"/>
        <v>-</v>
      </c>
      <c r="K1161" s="152"/>
      <c r="L1161" s="149"/>
      <c r="M1161" s="149"/>
      <c r="N1161" s="153">
        <f t="shared" si="55"/>
        <v>0</v>
      </c>
      <c r="O1161" s="153">
        <f t="shared" si="56"/>
        <v>0</v>
      </c>
      <c r="P1161" s="146"/>
    </row>
    <row r="1162" spans="2:16" x14ac:dyDescent="0.3">
      <c r="B1162" s="146">
        <v>1155</v>
      </c>
      <c r="C1162" s="147"/>
      <c r="D1162" s="147"/>
      <c r="E1162" s="146"/>
      <c r="F1162" s="148" t="str">
        <f>+IFERROR(VLOOKUP(E1162,Data!C1158:D1253,2,0),"")</f>
        <v/>
      </c>
      <c r="G1162" s="146"/>
      <c r="H1162" s="149"/>
      <c r="I1162" s="150"/>
      <c r="J1162" s="151" t="str">
        <f t="shared" si="54"/>
        <v>-</v>
      </c>
      <c r="K1162" s="152"/>
      <c r="L1162" s="149"/>
      <c r="M1162" s="149"/>
      <c r="N1162" s="153">
        <f t="shared" si="55"/>
        <v>0</v>
      </c>
      <c r="O1162" s="153">
        <f t="shared" si="56"/>
        <v>0</v>
      </c>
      <c r="P1162" s="146"/>
    </row>
    <row r="1163" spans="2:16" x14ac:dyDescent="0.3">
      <c r="B1163" s="146">
        <v>1156</v>
      </c>
      <c r="C1163" s="147"/>
      <c r="D1163" s="147"/>
      <c r="E1163" s="146"/>
      <c r="F1163" s="148" t="str">
        <f>+IFERROR(VLOOKUP(E1163,Data!C1159:D1254,2,0),"")</f>
        <v/>
      </c>
      <c r="G1163" s="146"/>
      <c r="H1163" s="149"/>
      <c r="I1163" s="150"/>
      <c r="J1163" s="151" t="str">
        <f t="shared" si="54"/>
        <v>-</v>
      </c>
      <c r="K1163" s="152"/>
      <c r="L1163" s="149"/>
      <c r="M1163" s="149"/>
      <c r="N1163" s="153">
        <f t="shared" si="55"/>
        <v>0</v>
      </c>
      <c r="O1163" s="153">
        <f t="shared" si="56"/>
        <v>0</v>
      </c>
      <c r="P1163" s="146"/>
    </row>
    <row r="1164" spans="2:16" x14ac:dyDescent="0.3">
      <c r="B1164" s="146">
        <v>1157</v>
      </c>
      <c r="C1164" s="147"/>
      <c r="D1164" s="147"/>
      <c r="E1164" s="146"/>
      <c r="F1164" s="148" t="str">
        <f>+IFERROR(VLOOKUP(E1164,Data!C1160:D1255,2,0),"")</f>
        <v/>
      </c>
      <c r="G1164" s="146"/>
      <c r="H1164" s="149"/>
      <c r="I1164" s="150"/>
      <c r="J1164" s="151" t="str">
        <f t="shared" si="54"/>
        <v>-</v>
      </c>
      <c r="K1164" s="152"/>
      <c r="L1164" s="149"/>
      <c r="M1164" s="149"/>
      <c r="N1164" s="153">
        <f t="shared" si="55"/>
        <v>0</v>
      </c>
      <c r="O1164" s="153">
        <f t="shared" si="56"/>
        <v>0</v>
      </c>
      <c r="P1164" s="146"/>
    </row>
    <row r="1165" spans="2:16" x14ac:dyDescent="0.3">
      <c r="B1165" s="146">
        <v>1158</v>
      </c>
      <c r="C1165" s="147"/>
      <c r="D1165" s="147"/>
      <c r="E1165" s="146"/>
      <c r="F1165" s="148" t="str">
        <f>+IFERROR(VLOOKUP(E1165,Data!C1161:D1256,2,0),"")</f>
        <v/>
      </c>
      <c r="G1165" s="146"/>
      <c r="H1165" s="149"/>
      <c r="I1165" s="150"/>
      <c r="J1165" s="151" t="str">
        <f t="shared" si="54"/>
        <v>-</v>
      </c>
      <c r="K1165" s="152"/>
      <c r="L1165" s="149"/>
      <c r="M1165" s="149"/>
      <c r="N1165" s="153">
        <f t="shared" si="55"/>
        <v>0</v>
      </c>
      <c r="O1165" s="153">
        <f t="shared" si="56"/>
        <v>0</v>
      </c>
      <c r="P1165" s="146"/>
    </row>
    <row r="1166" spans="2:16" x14ac:dyDescent="0.3">
      <c r="B1166" s="146">
        <v>1159</v>
      </c>
      <c r="C1166" s="147"/>
      <c r="D1166" s="147"/>
      <c r="E1166" s="146"/>
      <c r="F1166" s="148" t="str">
        <f>+IFERROR(VLOOKUP(E1166,Data!C1162:D1257,2,0),"")</f>
        <v/>
      </c>
      <c r="G1166" s="146"/>
      <c r="H1166" s="149"/>
      <c r="I1166" s="150"/>
      <c r="J1166" s="151" t="str">
        <f t="shared" si="54"/>
        <v>-</v>
      </c>
      <c r="K1166" s="152"/>
      <c r="L1166" s="149"/>
      <c r="M1166" s="149"/>
      <c r="N1166" s="153">
        <f t="shared" si="55"/>
        <v>0</v>
      </c>
      <c r="O1166" s="153">
        <f t="shared" si="56"/>
        <v>0</v>
      </c>
      <c r="P1166" s="146"/>
    </row>
    <row r="1167" spans="2:16" x14ac:dyDescent="0.3">
      <c r="B1167" s="146">
        <v>1160</v>
      </c>
      <c r="C1167" s="147"/>
      <c r="D1167" s="147"/>
      <c r="E1167" s="146"/>
      <c r="F1167" s="148" t="str">
        <f>+IFERROR(VLOOKUP(E1167,Data!C1163:D1258,2,0),"")</f>
        <v/>
      </c>
      <c r="G1167" s="146"/>
      <c r="H1167" s="149"/>
      <c r="I1167" s="150"/>
      <c r="J1167" s="151" t="str">
        <f t="shared" si="54"/>
        <v>-</v>
      </c>
      <c r="K1167" s="152"/>
      <c r="L1167" s="149"/>
      <c r="M1167" s="149"/>
      <c r="N1167" s="153">
        <f t="shared" si="55"/>
        <v>0</v>
      </c>
      <c r="O1167" s="153">
        <f t="shared" si="56"/>
        <v>0</v>
      </c>
      <c r="P1167" s="146"/>
    </row>
    <row r="1168" spans="2:16" x14ac:dyDescent="0.3">
      <c r="B1168" s="146">
        <v>1161</v>
      </c>
      <c r="C1168" s="147"/>
      <c r="D1168" s="147"/>
      <c r="E1168" s="146"/>
      <c r="F1168" s="148" t="str">
        <f>+IFERROR(VLOOKUP(E1168,Data!C1164:D1259,2,0),"")</f>
        <v/>
      </c>
      <c r="G1168" s="146"/>
      <c r="H1168" s="149"/>
      <c r="I1168" s="150"/>
      <c r="J1168" s="151" t="str">
        <f t="shared" si="54"/>
        <v>-</v>
      </c>
      <c r="K1168" s="152"/>
      <c r="L1168" s="149"/>
      <c r="M1168" s="149"/>
      <c r="N1168" s="153">
        <f t="shared" si="55"/>
        <v>0</v>
      </c>
      <c r="O1168" s="153">
        <f t="shared" si="56"/>
        <v>0</v>
      </c>
      <c r="P1168" s="146"/>
    </row>
    <row r="1169" spans="2:16" x14ac:dyDescent="0.3">
      <c r="B1169" s="146">
        <v>1162</v>
      </c>
      <c r="C1169" s="147"/>
      <c r="D1169" s="147"/>
      <c r="E1169" s="146"/>
      <c r="F1169" s="148" t="str">
        <f>+IFERROR(VLOOKUP(E1169,Data!C1165:D1260,2,0),"")</f>
        <v/>
      </c>
      <c r="G1169" s="146"/>
      <c r="H1169" s="149"/>
      <c r="I1169" s="150"/>
      <c r="J1169" s="151" t="str">
        <f t="shared" si="54"/>
        <v>-</v>
      </c>
      <c r="K1169" s="152"/>
      <c r="L1169" s="149"/>
      <c r="M1169" s="149"/>
      <c r="N1169" s="153">
        <f t="shared" si="55"/>
        <v>0</v>
      </c>
      <c r="O1169" s="153">
        <f t="shared" si="56"/>
        <v>0</v>
      </c>
      <c r="P1169" s="146"/>
    </row>
    <row r="1170" spans="2:16" x14ac:dyDescent="0.3">
      <c r="B1170" s="146">
        <v>1163</v>
      </c>
      <c r="C1170" s="147"/>
      <c r="D1170" s="147"/>
      <c r="E1170" s="146"/>
      <c r="F1170" s="148" t="str">
        <f>+IFERROR(VLOOKUP(E1170,Data!C1166:D1261,2,0),"")</f>
        <v/>
      </c>
      <c r="G1170" s="146"/>
      <c r="H1170" s="149"/>
      <c r="I1170" s="150"/>
      <c r="J1170" s="151" t="str">
        <f t="shared" si="54"/>
        <v>-</v>
      </c>
      <c r="K1170" s="152"/>
      <c r="L1170" s="149"/>
      <c r="M1170" s="149"/>
      <c r="N1170" s="153">
        <f t="shared" si="55"/>
        <v>0</v>
      </c>
      <c r="O1170" s="153">
        <f t="shared" si="56"/>
        <v>0</v>
      </c>
      <c r="P1170" s="146"/>
    </row>
    <row r="1171" spans="2:16" x14ac:dyDescent="0.3">
      <c r="B1171" s="146">
        <v>1164</v>
      </c>
      <c r="C1171" s="147"/>
      <c r="D1171" s="147"/>
      <c r="E1171" s="146"/>
      <c r="F1171" s="148" t="str">
        <f>+IFERROR(VLOOKUP(E1171,Data!C1167:D1262,2,0),"")</f>
        <v/>
      </c>
      <c r="G1171" s="146"/>
      <c r="H1171" s="149"/>
      <c r="I1171" s="150"/>
      <c r="J1171" s="151" t="str">
        <f t="shared" si="54"/>
        <v>-</v>
      </c>
      <c r="K1171" s="152"/>
      <c r="L1171" s="149"/>
      <c r="M1171" s="149"/>
      <c r="N1171" s="153">
        <f t="shared" si="55"/>
        <v>0</v>
      </c>
      <c r="O1171" s="153">
        <f t="shared" si="56"/>
        <v>0</v>
      </c>
      <c r="P1171" s="146"/>
    </row>
    <row r="1172" spans="2:16" x14ac:dyDescent="0.3">
      <c r="B1172" s="146">
        <v>1165</v>
      </c>
      <c r="C1172" s="147"/>
      <c r="D1172" s="147"/>
      <c r="E1172" s="146"/>
      <c r="F1172" s="148" t="str">
        <f>+IFERROR(VLOOKUP(E1172,Data!C1168:D1263,2,0),"")</f>
        <v/>
      </c>
      <c r="G1172" s="146"/>
      <c r="H1172" s="149"/>
      <c r="I1172" s="150"/>
      <c r="J1172" s="151" t="str">
        <f t="shared" si="54"/>
        <v>-</v>
      </c>
      <c r="K1172" s="152"/>
      <c r="L1172" s="149"/>
      <c r="M1172" s="149"/>
      <c r="N1172" s="153">
        <f t="shared" si="55"/>
        <v>0</v>
      </c>
      <c r="O1172" s="153">
        <f t="shared" si="56"/>
        <v>0</v>
      </c>
      <c r="P1172" s="146"/>
    </row>
    <row r="1173" spans="2:16" x14ac:dyDescent="0.3">
      <c r="B1173" s="146">
        <v>1166</v>
      </c>
      <c r="C1173" s="147"/>
      <c r="D1173" s="147"/>
      <c r="E1173" s="146"/>
      <c r="F1173" s="148" t="str">
        <f>+IFERROR(VLOOKUP(E1173,Data!C1169:D1264,2,0),"")</f>
        <v/>
      </c>
      <c r="G1173" s="146"/>
      <c r="H1173" s="149"/>
      <c r="I1173" s="150"/>
      <c r="J1173" s="151" t="str">
        <f t="shared" si="54"/>
        <v>-</v>
      </c>
      <c r="K1173" s="152"/>
      <c r="L1173" s="149"/>
      <c r="M1173" s="149"/>
      <c r="N1173" s="153">
        <f t="shared" si="55"/>
        <v>0</v>
      </c>
      <c r="O1173" s="153">
        <f t="shared" si="56"/>
        <v>0</v>
      </c>
      <c r="P1173" s="146"/>
    </row>
    <row r="1174" spans="2:16" x14ac:dyDescent="0.3">
      <c r="B1174" s="146">
        <v>1167</v>
      </c>
      <c r="C1174" s="147"/>
      <c r="D1174" s="147"/>
      <c r="E1174" s="146"/>
      <c r="F1174" s="148" t="str">
        <f>+IFERROR(VLOOKUP(E1174,Data!C1170:D1265,2,0),"")</f>
        <v/>
      </c>
      <c r="G1174" s="146"/>
      <c r="H1174" s="149"/>
      <c r="I1174" s="150"/>
      <c r="J1174" s="151" t="str">
        <f t="shared" si="54"/>
        <v>-</v>
      </c>
      <c r="K1174" s="152"/>
      <c r="L1174" s="149"/>
      <c r="M1174" s="149"/>
      <c r="N1174" s="153">
        <f t="shared" si="55"/>
        <v>0</v>
      </c>
      <c r="O1174" s="153">
        <f t="shared" si="56"/>
        <v>0</v>
      </c>
      <c r="P1174" s="146"/>
    </row>
    <row r="1175" spans="2:16" x14ac:dyDescent="0.3">
      <c r="B1175" s="146">
        <v>1168</v>
      </c>
      <c r="C1175" s="147"/>
      <c r="D1175" s="147"/>
      <c r="E1175" s="146"/>
      <c r="F1175" s="148" t="str">
        <f>+IFERROR(VLOOKUP(E1175,Data!C1171:D1266,2,0),"")</f>
        <v/>
      </c>
      <c r="G1175" s="146"/>
      <c r="H1175" s="149"/>
      <c r="I1175" s="150"/>
      <c r="J1175" s="151" t="str">
        <f t="shared" si="54"/>
        <v>-</v>
      </c>
      <c r="K1175" s="152"/>
      <c r="L1175" s="149"/>
      <c r="M1175" s="149"/>
      <c r="N1175" s="153">
        <f t="shared" si="55"/>
        <v>0</v>
      </c>
      <c r="O1175" s="153">
        <f t="shared" si="56"/>
        <v>0</v>
      </c>
      <c r="P1175" s="146"/>
    </row>
    <row r="1176" spans="2:16" x14ac:dyDescent="0.3">
      <c r="B1176" s="146">
        <v>1169</v>
      </c>
      <c r="C1176" s="147"/>
      <c r="D1176" s="147"/>
      <c r="E1176" s="146"/>
      <c r="F1176" s="148" t="str">
        <f>+IFERROR(VLOOKUP(E1176,Data!C1172:D1267,2,0),"")</f>
        <v/>
      </c>
      <c r="G1176" s="146"/>
      <c r="H1176" s="149"/>
      <c r="I1176" s="150"/>
      <c r="J1176" s="151" t="str">
        <f t="shared" si="54"/>
        <v>-</v>
      </c>
      <c r="K1176" s="152"/>
      <c r="L1176" s="149"/>
      <c r="M1176" s="149"/>
      <c r="N1176" s="153">
        <f t="shared" si="55"/>
        <v>0</v>
      </c>
      <c r="O1176" s="153">
        <f t="shared" si="56"/>
        <v>0</v>
      </c>
      <c r="P1176" s="146"/>
    </row>
    <row r="1177" spans="2:16" x14ac:dyDescent="0.3">
      <c r="B1177" s="146">
        <v>1170</v>
      </c>
      <c r="C1177" s="147"/>
      <c r="D1177" s="147"/>
      <c r="E1177" s="146"/>
      <c r="F1177" s="148" t="str">
        <f>+IFERROR(VLOOKUP(E1177,Data!C1173:D1268,2,0),"")</f>
        <v/>
      </c>
      <c r="G1177" s="146"/>
      <c r="H1177" s="149"/>
      <c r="I1177" s="150"/>
      <c r="J1177" s="151" t="str">
        <f t="shared" si="54"/>
        <v>-</v>
      </c>
      <c r="K1177" s="152"/>
      <c r="L1177" s="149"/>
      <c r="M1177" s="149"/>
      <c r="N1177" s="153">
        <f t="shared" si="55"/>
        <v>0</v>
      </c>
      <c r="O1177" s="153">
        <f t="shared" si="56"/>
        <v>0</v>
      </c>
      <c r="P1177" s="146"/>
    </row>
    <row r="1178" spans="2:16" x14ac:dyDescent="0.3">
      <c r="B1178" s="146">
        <v>1171</v>
      </c>
      <c r="C1178" s="147"/>
      <c r="D1178" s="147"/>
      <c r="E1178" s="146"/>
      <c r="F1178" s="148" t="str">
        <f>+IFERROR(VLOOKUP(E1178,Data!C1174:D1269,2,0),"")</f>
        <v/>
      </c>
      <c r="G1178" s="146"/>
      <c r="H1178" s="149"/>
      <c r="I1178" s="150"/>
      <c r="J1178" s="151" t="str">
        <f t="shared" si="54"/>
        <v>-</v>
      </c>
      <c r="K1178" s="152"/>
      <c r="L1178" s="149"/>
      <c r="M1178" s="149"/>
      <c r="N1178" s="153">
        <f t="shared" si="55"/>
        <v>0</v>
      </c>
      <c r="O1178" s="153">
        <f t="shared" si="56"/>
        <v>0</v>
      </c>
      <c r="P1178" s="146"/>
    </row>
    <row r="1179" spans="2:16" x14ac:dyDescent="0.3">
      <c r="B1179" s="146">
        <v>1172</v>
      </c>
      <c r="C1179" s="147"/>
      <c r="D1179" s="147"/>
      <c r="E1179" s="146"/>
      <c r="F1179" s="148" t="str">
        <f>+IFERROR(VLOOKUP(E1179,Data!C1175:D1270,2,0),"")</f>
        <v/>
      </c>
      <c r="G1179" s="146"/>
      <c r="H1179" s="149"/>
      <c r="I1179" s="150"/>
      <c r="J1179" s="151" t="str">
        <f t="shared" si="54"/>
        <v>-</v>
      </c>
      <c r="K1179" s="152"/>
      <c r="L1179" s="149"/>
      <c r="M1179" s="149"/>
      <c r="N1179" s="153">
        <f t="shared" si="55"/>
        <v>0</v>
      </c>
      <c r="O1179" s="153">
        <f t="shared" si="56"/>
        <v>0</v>
      </c>
      <c r="P1179" s="146"/>
    </row>
    <row r="1180" spans="2:16" x14ac:dyDescent="0.3">
      <c r="B1180" s="146">
        <v>1173</v>
      </c>
      <c r="C1180" s="147"/>
      <c r="D1180" s="147"/>
      <c r="E1180" s="146"/>
      <c r="F1180" s="148" t="str">
        <f>+IFERROR(VLOOKUP(E1180,Data!C1176:D1271,2,0),"")</f>
        <v/>
      </c>
      <c r="G1180" s="146"/>
      <c r="H1180" s="149"/>
      <c r="I1180" s="150"/>
      <c r="J1180" s="151" t="str">
        <f t="shared" si="54"/>
        <v>-</v>
      </c>
      <c r="K1180" s="152"/>
      <c r="L1180" s="149"/>
      <c r="M1180" s="149"/>
      <c r="N1180" s="153">
        <f t="shared" si="55"/>
        <v>0</v>
      </c>
      <c r="O1180" s="153">
        <f t="shared" si="56"/>
        <v>0</v>
      </c>
      <c r="P1180" s="146"/>
    </row>
    <row r="1181" spans="2:16" x14ac:dyDescent="0.3">
      <c r="B1181" s="146">
        <v>1174</v>
      </c>
      <c r="C1181" s="147"/>
      <c r="D1181" s="147"/>
      <c r="E1181" s="146"/>
      <c r="F1181" s="148" t="str">
        <f>+IFERROR(VLOOKUP(E1181,Data!C1177:D1272,2,0),"")</f>
        <v/>
      </c>
      <c r="G1181" s="146"/>
      <c r="H1181" s="149"/>
      <c r="I1181" s="150"/>
      <c r="J1181" s="151" t="str">
        <f t="shared" si="54"/>
        <v>-</v>
      </c>
      <c r="K1181" s="152"/>
      <c r="L1181" s="149"/>
      <c r="M1181" s="149"/>
      <c r="N1181" s="153">
        <f t="shared" si="55"/>
        <v>0</v>
      </c>
      <c r="O1181" s="153">
        <f t="shared" si="56"/>
        <v>0</v>
      </c>
      <c r="P1181" s="146"/>
    </row>
    <row r="1182" spans="2:16" x14ac:dyDescent="0.3">
      <c r="B1182" s="146">
        <v>1175</v>
      </c>
      <c r="C1182" s="147"/>
      <c r="D1182" s="147"/>
      <c r="E1182" s="146"/>
      <c r="F1182" s="148" t="str">
        <f>+IFERROR(VLOOKUP(E1182,Data!C1178:D1273,2,0),"")</f>
        <v/>
      </c>
      <c r="G1182" s="146"/>
      <c r="H1182" s="149"/>
      <c r="I1182" s="150"/>
      <c r="J1182" s="151" t="str">
        <f t="shared" si="54"/>
        <v>-</v>
      </c>
      <c r="K1182" s="152"/>
      <c r="L1182" s="149"/>
      <c r="M1182" s="149"/>
      <c r="N1182" s="153">
        <f t="shared" si="55"/>
        <v>0</v>
      </c>
      <c r="O1182" s="153">
        <f t="shared" si="56"/>
        <v>0</v>
      </c>
      <c r="P1182" s="146"/>
    </row>
    <row r="1183" spans="2:16" x14ac:dyDescent="0.3">
      <c r="B1183" s="146">
        <v>1176</v>
      </c>
      <c r="C1183" s="147"/>
      <c r="D1183" s="147"/>
      <c r="E1183" s="146"/>
      <c r="F1183" s="148" t="str">
        <f>+IFERROR(VLOOKUP(E1183,Data!C1179:D1274,2,0),"")</f>
        <v/>
      </c>
      <c r="G1183" s="146"/>
      <c r="H1183" s="149"/>
      <c r="I1183" s="150"/>
      <c r="J1183" s="151" t="str">
        <f t="shared" si="54"/>
        <v>-</v>
      </c>
      <c r="K1183" s="152"/>
      <c r="L1183" s="149"/>
      <c r="M1183" s="149"/>
      <c r="N1183" s="153">
        <f t="shared" si="55"/>
        <v>0</v>
      </c>
      <c r="O1183" s="153">
        <f t="shared" si="56"/>
        <v>0</v>
      </c>
      <c r="P1183" s="146"/>
    </row>
    <row r="1184" spans="2:16" x14ac:dyDescent="0.3">
      <c r="B1184" s="146">
        <v>1177</v>
      </c>
      <c r="C1184" s="147"/>
      <c r="D1184" s="147"/>
      <c r="E1184" s="146"/>
      <c r="F1184" s="148" t="str">
        <f>+IFERROR(VLOOKUP(E1184,Data!C1180:D1275,2,0),"")</f>
        <v/>
      </c>
      <c r="G1184" s="146"/>
      <c r="H1184" s="149"/>
      <c r="I1184" s="150"/>
      <c r="J1184" s="151" t="str">
        <f t="shared" si="54"/>
        <v>-</v>
      </c>
      <c r="K1184" s="152"/>
      <c r="L1184" s="149"/>
      <c r="M1184" s="149"/>
      <c r="N1184" s="153">
        <f t="shared" si="55"/>
        <v>0</v>
      </c>
      <c r="O1184" s="153">
        <f t="shared" si="56"/>
        <v>0</v>
      </c>
      <c r="P1184" s="146"/>
    </row>
    <row r="1185" spans="2:16" x14ac:dyDescent="0.3">
      <c r="B1185" s="146">
        <v>1178</v>
      </c>
      <c r="C1185" s="147"/>
      <c r="D1185" s="147"/>
      <c r="E1185" s="146"/>
      <c r="F1185" s="148" t="str">
        <f>+IFERROR(VLOOKUP(E1185,Data!C1181:D1276,2,0),"")</f>
        <v/>
      </c>
      <c r="G1185" s="146"/>
      <c r="H1185" s="149"/>
      <c r="I1185" s="150"/>
      <c r="J1185" s="151" t="str">
        <f t="shared" si="54"/>
        <v>-</v>
      </c>
      <c r="K1185" s="152"/>
      <c r="L1185" s="149"/>
      <c r="M1185" s="149"/>
      <c r="N1185" s="153">
        <f t="shared" si="55"/>
        <v>0</v>
      </c>
      <c r="O1185" s="153">
        <f t="shared" si="56"/>
        <v>0</v>
      </c>
      <c r="P1185" s="146"/>
    </row>
    <row r="1186" spans="2:16" x14ac:dyDescent="0.3">
      <c r="B1186" s="146">
        <v>1179</v>
      </c>
      <c r="C1186" s="147"/>
      <c r="D1186" s="147"/>
      <c r="E1186" s="146"/>
      <c r="F1186" s="148" t="str">
        <f>+IFERROR(VLOOKUP(E1186,Data!C1182:D1277,2,0),"")</f>
        <v/>
      </c>
      <c r="G1186" s="146"/>
      <c r="H1186" s="149"/>
      <c r="I1186" s="150"/>
      <c r="J1186" s="151" t="str">
        <f t="shared" si="54"/>
        <v>-</v>
      </c>
      <c r="K1186" s="152"/>
      <c r="L1186" s="149"/>
      <c r="M1186" s="149"/>
      <c r="N1186" s="153">
        <f t="shared" si="55"/>
        <v>0</v>
      </c>
      <c r="O1186" s="153">
        <f t="shared" si="56"/>
        <v>0</v>
      </c>
      <c r="P1186" s="146"/>
    </row>
    <row r="1187" spans="2:16" x14ac:dyDescent="0.3">
      <c r="B1187" s="146">
        <v>1180</v>
      </c>
      <c r="C1187" s="147"/>
      <c r="D1187" s="147"/>
      <c r="E1187" s="146"/>
      <c r="F1187" s="148" t="str">
        <f>+IFERROR(VLOOKUP(E1187,Data!C1183:D1278,2,0),"")</f>
        <v/>
      </c>
      <c r="G1187" s="146"/>
      <c r="H1187" s="149"/>
      <c r="I1187" s="150"/>
      <c r="J1187" s="151" t="str">
        <f t="shared" si="54"/>
        <v>-</v>
      </c>
      <c r="K1187" s="152"/>
      <c r="L1187" s="149"/>
      <c r="M1187" s="149"/>
      <c r="N1187" s="153">
        <f t="shared" si="55"/>
        <v>0</v>
      </c>
      <c r="O1187" s="153">
        <f t="shared" si="56"/>
        <v>0</v>
      </c>
      <c r="P1187" s="146"/>
    </row>
    <row r="1188" spans="2:16" x14ac:dyDescent="0.3">
      <c r="B1188" s="146">
        <v>1181</v>
      </c>
      <c r="C1188" s="147"/>
      <c r="D1188" s="147"/>
      <c r="E1188" s="146"/>
      <c r="F1188" s="148" t="str">
        <f>+IFERROR(VLOOKUP(E1188,Data!C1184:D1279,2,0),"")</f>
        <v/>
      </c>
      <c r="G1188" s="146"/>
      <c r="H1188" s="149"/>
      <c r="I1188" s="150"/>
      <c r="J1188" s="151" t="str">
        <f t="shared" si="54"/>
        <v>-</v>
      </c>
      <c r="K1188" s="152"/>
      <c r="L1188" s="149"/>
      <c r="M1188" s="149"/>
      <c r="N1188" s="153">
        <f t="shared" si="55"/>
        <v>0</v>
      </c>
      <c r="O1188" s="153">
        <f t="shared" si="56"/>
        <v>0</v>
      </c>
      <c r="P1188" s="146"/>
    </row>
    <row r="1189" spans="2:16" x14ac:dyDescent="0.3">
      <c r="B1189" s="146">
        <v>1182</v>
      </c>
      <c r="C1189" s="147"/>
      <c r="D1189" s="147"/>
      <c r="E1189" s="146"/>
      <c r="F1189" s="148" t="str">
        <f>+IFERROR(VLOOKUP(E1189,Data!C1185:D1280,2,0),"")</f>
        <v/>
      </c>
      <c r="G1189" s="146"/>
      <c r="H1189" s="149"/>
      <c r="I1189" s="150"/>
      <c r="J1189" s="151" t="str">
        <f t="shared" si="54"/>
        <v>-</v>
      </c>
      <c r="K1189" s="152"/>
      <c r="L1189" s="149"/>
      <c r="M1189" s="149"/>
      <c r="N1189" s="153">
        <f t="shared" si="55"/>
        <v>0</v>
      </c>
      <c r="O1189" s="153">
        <f t="shared" si="56"/>
        <v>0</v>
      </c>
      <c r="P1189" s="146"/>
    </row>
    <row r="1190" spans="2:16" x14ac:dyDescent="0.3">
      <c r="B1190" s="146">
        <v>1183</v>
      </c>
      <c r="C1190" s="147"/>
      <c r="D1190" s="147"/>
      <c r="E1190" s="146"/>
      <c r="F1190" s="148" t="str">
        <f>+IFERROR(VLOOKUP(E1190,Data!C1186:D1281,2,0),"")</f>
        <v/>
      </c>
      <c r="G1190" s="146"/>
      <c r="H1190" s="149"/>
      <c r="I1190" s="150"/>
      <c r="J1190" s="151" t="str">
        <f t="shared" si="54"/>
        <v>-</v>
      </c>
      <c r="K1190" s="152"/>
      <c r="L1190" s="149"/>
      <c r="M1190" s="149"/>
      <c r="N1190" s="153">
        <f t="shared" si="55"/>
        <v>0</v>
      </c>
      <c r="O1190" s="153">
        <f t="shared" si="56"/>
        <v>0</v>
      </c>
      <c r="P1190" s="146"/>
    </row>
    <row r="1191" spans="2:16" x14ac:dyDescent="0.3">
      <c r="B1191" s="146">
        <v>1184</v>
      </c>
      <c r="C1191" s="147"/>
      <c r="D1191" s="147"/>
      <c r="E1191" s="146"/>
      <c r="F1191" s="148" t="str">
        <f>+IFERROR(VLOOKUP(E1191,Data!C1187:D1282,2,0),"")</f>
        <v/>
      </c>
      <c r="G1191" s="146"/>
      <c r="H1191" s="149"/>
      <c r="I1191" s="150"/>
      <c r="J1191" s="151" t="str">
        <f t="shared" si="54"/>
        <v>-</v>
      </c>
      <c r="K1191" s="152"/>
      <c r="L1191" s="149"/>
      <c r="M1191" s="149"/>
      <c r="N1191" s="153">
        <f t="shared" si="55"/>
        <v>0</v>
      </c>
      <c r="O1191" s="153">
        <f t="shared" si="56"/>
        <v>0</v>
      </c>
      <c r="P1191" s="146"/>
    </row>
    <row r="1192" spans="2:16" x14ac:dyDescent="0.3">
      <c r="B1192" s="146">
        <v>1185</v>
      </c>
      <c r="C1192" s="147"/>
      <c r="D1192" s="147"/>
      <c r="E1192" s="146"/>
      <c r="F1192" s="148" t="str">
        <f>+IFERROR(VLOOKUP(E1192,Data!C1188:D1283,2,0),"")</f>
        <v/>
      </c>
      <c r="G1192" s="146"/>
      <c r="H1192" s="149"/>
      <c r="I1192" s="150"/>
      <c r="J1192" s="151" t="str">
        <f t="shared" si="54"/>
        <v>-</v>
      </c>
      <c r="K1192" s="152"/>
      <c r="L1192" s="149"/>
      <c r="M1192" s="149"/>
      <c r="N1192" s="153">
        <f t="shared" si="55"/>
        <v>0</v>
      </c>
      <c r="O1192" s="153">
        <f t="shared" si="56"/>
        <v>0</v>
      </c>
      <c r="P1192" s="146"/>
    </row>
    <row r="1193" spans="2:16" x14ac:dyDescent="0.3">
      <c r="B1193" s="146">
        <v>1186</v>
      </c>
      <c r="C1193" s="147"/>
      <c r="D1193" s="147"/>
      <c r="E1193" s="146"/>
      <c r="F1193" s="148" t="str">
        <f>+IFERROR(VLOOKUP(E1193,Data!C1189:D1284,2,0),"")</f>
        <v/>
      </c>
      <c r="G1193" s="146"/>
      <c r="H1193" s="149"/>
      <c r="I1193" s="150"/>
      <c r="J1193" s="151" t="str">
        <f t="shared" si="54"/>
        <v>-</v>
      </c>
      <c r="K1193" s="152"/>
      <c r="L1193" s="149"/>
      <c r="M1193" s="149"/>
      <c r="N1193" s="153">
        <f t="shared" si="55"/>
        <v>0</v>
      </c>
      <c r="O1193" s="153">
        <f t="shared" si="56"/>
        <v>0</v>
      </c>
      <c r="P1193" s="146"/>
    </row>
    <row r="1194" spans="2:16" x14ac:dyDescent="0.3">
      <c r="B1194" s="146">
        <v>1187</v>
      </c>
      <c r="C1194" s="147"/>
      <c r="D1194" s="147"/>
      <c r="E1194" s="146"/>
      <c r="F1194" s="148" t="str">
        <f>+IFERROR(VLOOKUP(E1194,Data!C1190:D1285,2,0),"")</f>
        <v/>
      </c>
      <c r="G1194" s="146"/>
      <c r="H1194" s="149"/>
      <c r="I1194" s="150"/>
      <c r="J1194" s="151" t="str">
        <f t="shared" si="54"/>
        <v>-</v>
      </c>
      <c r="K1194" s="152"/>
      <c r="L1194" s="149"/>
      <c r="M1194" s="149"/>
      <c r="N1194" s="153">
        <f t="shared" si="55"/>
        <v>0</v>
      </c>
      <c r="O1194" s="153">
        <f t="shared" si="56"/>
        <v>0</v>
      </c>
      <c r="P1194" s="146"/>
    </row>
    <row r="1195" spans="2:16" x14ac:dyDescent="0.3">
      <c r="B1195" s="146">
        <v>1188</v>
      </c>
      <c r="C1195" s="147"/>
      <c r="D1195" s="147"/>
      <c r="E1195" s="146"/>
      <c r="F1195" s="148" t="str">
        <f>+IFERROR(VLOOKUP(E1195,Data!C1191:D1286,2,0),"")</f>
        <v/>
      </c>
      <c r="G1195" s="146"/>
      <c r="H1195" s="149"/>
      <c r="I1195" s="150"/>
      <c r="J1195" s="151" t="str">
        <f t="shared" si="54"/>
        <v>-</v>
      </c>
      <c r="K1195" s="152"/>
      <c r="L1195" s="149"/>
      <c r="M1195" s="149"/>
      <c r="N1195" s="153">
        <f t="shared" si="55"/>
        <v>0</v>
      </c>
      <c r="O1195" s="153">
        <f t="shared" si="56"/>
        <v>0</v>
      </c>
      <c r="P1195" s="146"/>
    </row>
    <row r="1196" spans="2:16" x14ac:dyDescent="0.3">
      <c r="B1196" s="146">
        <v>1189</v>
      </c>
      <c r="C1196" s="147"/>
      <c r="D1196" s="147"/>
      <c r="E1196" s="146"/>
      <c r="F1196" s="148" t="str">
        <f>+IFERROR(VLOOKUP(E1196,Data!C1192:D1287,2,0),"")</f>
        <v/>
      </c>
      <c r="G1196" s="146"/>
      <c r="H1196" s="149"/>
      <c r="I1196" s="150"/>
      <c r="J1196" s="151" t="str">
        <f t="shared" si="54"/>
        <v>-</v>
      </c>
      <c r="K1196" s="152"/>
      <c r="L1196" s="149"/>
      <c r="M1196" s="149"/>
      <c r="N1196" s="153">
        <f t="shared" si="55"/>
        <v>0</v>
      </c>
      <c r="O1196" s="153">
        <f t="shared" si="56"/>
        <v>0</v>
      </c>
      <c r="P1196" s="146"/>
    </row>
    <row r="1197" spans="2:16" x14ac:dyDescent="0.3">
      <c r="B1197" s="146">
        <v>1190</v>
      </c>
      <c r="C1197" s="147"/>
      <c r="D1197" s="147"/>
      <c r="E1197" s="146"/>
      <c r="F1197" s="148" t="str">
        <f>+IFERROR(VLOOKUP(E1197,Data!C1193:D1288,2,0),"")</f>
        <v/>
      </c>
      <c r="G1197" s="146"/>
      <c r="H1197" s="149"/>
      <c r="I1197" s="150"/>
      <c r="J1197" s="151" t="str">
        <f t="shared" si="54"/>
        <v>-</v>
      </c>
      <c r="K1197" s="152"/>
      <c r="L1197" s="149"/>
      <c r="M1197" s="149"/>
      <c r="N1197" s="153">
        <f t="shared" si="55"/>
        <v>0</v>
      </c>
      <c r="O1197" s="153">
        <f t="shared" si="56"/>
        <v>0</v>
      </c>
      <c r="P1197" s="146"/>
    </row>
    <row r="1198" spans="2:16" x14ac:dyDescent="0.3">
      <c r="B1198" s="146">
        <v>1191</v>
      </c>
      <c r="C1198" s="147"/>
      <c r="D1198" s="147"/>
      <c r="E1198" s="146"/>
      <c r="F1198" s="148" t="str">
        <f>+IFERROR(VLOOKUP(E1198,Data!C1194:D1289,2,0),"")</f>
        <v/>
      </c>
      <c r="G1198" s="146"/>
      <c r="H1198" s="149"/>
      <c r="I1198" s="150"/>
      <c r="J1198" s="151" t="str">
        <f t="shared" si="54"/>
        <v>-</v>
      </c>
      <c r="K1198" s="152"/>
      <c r="L1198" s="149"/>
      <c r="M1198" s="149"/>
      <c r="N1198" s="153">
        <f t="shared" si="55"/>
        <v>0</v>
      </c>
      <c r="O1198" s="153">
        <f t="shared" si="56"/>
        <v>0</v>
      </c>
      <c r="P1198" s="146"/>
    </row>
    <row r="1199" spans="2:16" x14ac:dyDescent="0.3">
      <c r="B1199" s="146">
        <v>1192</v>
      </c>
      <c r="C1199" s="147"/>
      <c r="D1199" s="147"/>
      <c r="E1199" s="146"/>
      <c r="F1199" s="148" t="str">
        <f>+IFERROR(VLOOKUP(E1199,Data!C1195:D1290,2,0),"")</f>
        <v/>
      </c>
      <c r="G1199" s="146"/>
      <c r="H1199" s="149"/>
      <c r="I1199" s="150"/>
      <c r="J1199" s="151" t="str">
        <f t="shared" si="54"/>
        <v>-</v>
      </c>
      <c r="K1199" s="152"/>
      <c r="L1199" s="149"/>
      <c r="M1199" s="149"/>
      <c r="N1199" s="153">
        <f t="shared" si="55"/>
        <v>0</v>
      </c>
      <c r="O1199" s="153">
        <f t="shared" si="56"/>
        <v>0</v>
      </c>
      <c r="P1199" s="146"/>
    </row>
    <row r="1200" spans="2:16" x14ac:dyDescent="0.3">
      <c r="B1200" s="146">
        <v>1193</v>
      </c>
      <c r="C1200" s="147"/>
      <c r="D1200" s="147"/>
      <c r="E1200" s="146"/>
      <c r="F1200" s="148" t="str">
        <f>+IFERROR(VLOOKUP(E1200,Data!C1196:D1291,2,0),"")</f>
        <v/>
      </c>
      <c r="G1200" s="146"/>
      <c r="H1200" s="149"/>
      <c r="I1200" s="150"/>
      <c r="J1200" s="151" t="str">
        <f t="shared" si="54"/>
        <v>-</v>
      </c>
      <c r="K1200" s="152"/>
      <c r="L1200" s="149"/>
      <c r="M1200" s="149"/>
      <c r="N1200" s="153">
        <f t="shared" si="55"/>
        <v>0</v>
      </c>
      <c r="O1200" s="153">
        <f t="shared" si="56"/>
        <v>0</v>
      </c>
      <c r="P1200" s="146"/>
    </row>
    <row r="1201" spans="2:16" x14ac:dyDescent="0.3">
      <c r="B1201" s="146">
        <v>1194</v>
      </c>
      <c r="C1201" s="147"/>
      <c r="D1201" s="147"/>
      <c r="E1201" s="146"/>
      <c r="F1201" s="148" t="str">
        <f>+IFERROR(VLOOKUP(E1201,Data!C1197:D1292,2,0),"")</f>
        <v/>
      </c>
      <c r="G1201" s="146"/>
      <c r="H1201" s="149"/>
      <c r="I1201" s="150"/>
      <c r="J1201" s="151" t="str">
        <f t="shared" si="54"/>
        <v>-</v>
      </c>
      <c r="K1201" s="152"/>
      <c r="L1201" s="149"/>
      <c r="M1201" s="149"/>
      <c r="N1201" s="153">
        <f t="shared" si="55"/>
        <v>0</v>
      </c>
      <c r="O1201" s="153">
        <f t="shared" si="56"/>
        <v>0</v>
      </c>
      <c r="P1201" s="146"/>
    </row>
    <row r="1202" spans="2:16" x14ac:dyDescent="0.3">
      <c r="B1202" s="146">
        <v>1195</v>
      </c>
      <c r="C1202" s="147"/>
      <c r="D1202" s="147"/>
      <c r="E1202" s="146"/>
      <c r="F1202" s="148" t="str">
        <f>+IFERROR(VLOOKUP(E1202,Data!C1198:D1293,2,0),"")</f>
        <v/>
      </c>
      <c r="G1202" s="146"/>
      <c r="H1202" s="149"/>
      <c r="I1202" s="150"/>
      <c r="J1202" s="151" t="str">
        <f t="shared" si="54"/>
        <v>-</v>
      </c>
      <c r="K1202" s="152"/>
      <c r="L1202" s="149"/>
      <c r="M1202" s="149"/>
      <c r="N1202" s="153">
        <f t="shared" si="55"/>
        <v>0</v>
      </c>
      <c r="O1202" s="153">
        <f t="shared" si="56"/>
        <v>0</v>
      </c>
      <c r="P1202" s="146"/>
    </row>
    <row r="1203" spans="2:16" x14ac:dyDescent="0.3">
      <c r="B1203" s="146">
        <v>1196</v>
      </c>
      <c r="C1203" s="147"/>
      <c r="D1203" s="147"/>
      <c r="E1203" s="146"/>
      <c r="F1203" s="148" t="str">
        <f>+IFERROR(VLOOKUP(E1203,Data!C1199:D1294,2,0),"")</f>
        <v/>
      </c>
      <c r="G1203" s="146"/>
      <c r="H1203" s="149"/>
      <c r="I1203" s="150"/>
      <c r="J1203" s="151" t="str">
        <f t="shared" si="54"/>
        <v>-</v>
      </c>
      <c r="K1203" s="152"/>
      <c r="L1203" s="149"/>
      <c r="M1203" s="149"/>
      <c r="N1203" s="153">
        <f t="shared" si="55"/>
        <v>0</v>
      </c>
      <c r="O1203" s="153">
        <f t="shared" si="56"/>
        <v>0</v>
      </c>
      <c r="P1203" s="146"/>
    </row>
    <row r="1204" spans="2:16" x14ac:dyDescent="0.3">
      <c r="B1204" s="146">
        <v>1197</v>
      </c>
      <c r="C1204" s="147"/>
      <c r="D1204" s="147"/>
      <c r="E1204" s="146"/>
      <c r="F1204" s="148" t="str">
        <f>+IFERROR(VLOOKUP(E1204,Data!C1200:D1295,2,0),"")</f>
        <v/>
      </c>
      <c r="G1204" s="146"/>
      <c r="H1204" s="149"/>
      <c r="I1204" s="150"/>
      <c r="J1204" s="151" t="str">
        <f t="shared" si="54"/>
        <v>-</v>
      </c>
      <c r="K1204" s="152"/>
      <c r="L1204" s="149"/>
      <c r="M1204" s="149"/>
      <c r="N1204" s="153">
        <f t="shared" si="55"/>
        <v>0</v>
      </c>
      <c r="O1204" s="153">
        <f t="shared" si="56"/>
        <v>0</v>
      </c>
      <c r="P1204" s="146"/>
    </row>
    <row r="1205" spans="2:16" x14ac:dyDescent="0.3">
      <c r="B1205" s="146">
        <v>1198</v>
      </c>
      <c r="C1205" s="147"/>
      <c r="D1205" s="147"/>
      <c r="E1205" s="146"/>
      <c r="F1205" s="148" t="str">
        <f>+IFERROR(VLOOKUP(E1205,Data!C1201:D1296,2,0),"")</f>
        <v/>
      </c>
      <c r="G1205" s="146"/>
      <c r="H1205" s="149"/>
      <c r="I1205" s="150"/>
      <c r="J1205" s="151" t="str">
        <f t="shared" si="54"/>
        <v>-</v>
      </c>
      <c r="K1205" s="152"/>
      <c r="L1205" s="149"/>
      <c r="M1205" s="149"/>
      <c r="N1205" s="153">
        <f t="shared" si="55"/>
        <v>0</v>
      </c>
      <c r="O1205" s="153">
        <f t="shared" si="56"/>
        <v>0</v>
      </c>
      <c r="P1205" s="146"/>
    </row>
    <row r="1206" spans="2:16" x14ac:dyDescent="0.3">
      <c r="B1206" s="146">
        <v>1199</v>
      </c>
      <c r="C1206" s="147"/>
      <c r="D1206" s="147"/>
      <c r="E1206" s="146"/>
      <c r="F1206" s="148" t="str">
        <f>+IFERROR(VLOOKUP(E1206,Data!C1202:D1297,2,0),"")</f>
        <v/>
      </c>
      <c r="G1206" s="146"/>
      <c r="H1206" s="149"/>
      <c r="I1206" s="150"/>
      <c r="J1206" s="151" t="str">
        <f t="shared" ref="J1206:J1269" si="57">IFERROR(+I1206/H1206,"-")</f>
        <v>-</v>
      </c>
      <c r="K1206" s="152"/>
      <c r="L1206" s="149"/>
      <c r="M1206" s="149"/>
      <c r="N1206" s="153">
        <f t="shared" ref="N1206:N1269" si="58">+L1206+M1206</f>
        <v>0</v>
      </c>
      <c r="O1206" s="153">
        <f t="shared" ref="O1206:O1269" si="59">+N1206-K1206</f>
        <v>0</v>
      </c>
      <c r="P1206" s="146"/>
    </row>
    <row r="1207" spans="2:16" x14ac:dyDescent="0.3">
      <c r="B1207" s="146">
        <v>1200</v>
      </c>
      <c r="C1207" s="147"/>
      <c r="D1207" s="147"/>
      <c r="E1207" s="146"/>
      <c r="F1207" s="148" t="str">
        <f>+IFERROR(VLOOKUP(E1207,Data!C1203:D1298,2,0),"")</f>
        <v/>
      </c>
      <c r="G1207" s="146"/>
      <c r="H1207" s="149"/>
      <c r="I1207" s="150"/>
      <c r="J1207" s="151" t="str">
        <f t="shared" si="57"/>
        <v>-</v>
      </c>
      <c r="K1207" s="152"/>
      <c r="L1207" s="149"/>
      <c r="M1207" s="149"/>
      <c r="N1207" s="153">
        <f t="shared" si="58"/>
        <v>0</v>
      </c>
      <c r="O1207" s="153">
        <f t="shared" si="59"/>
        <v>0</v>
      </c>
      <c r="P1207" s="146"/>
    </row>
    <row r="1208" spans="2:16" x14ac:dyDescent="0.3">
      <c r="B1208" s="146">
        <v>1201</v>
      </c>
      <c r="C1208" s="147"/>
      <c r="D1208" s="147"/>
      <c r="E1208" s="146"/>
      <c r="F1208" s="148" t="str">
        <f>+IFERROR(VLOOKUP(E1208,Data!C1204:D1299,2,0),"")</f>
        <v/>
      </c>
      <c r="G1208" s="146"/>
      <c r="H1208" s="149"/>
      <c r="I1208" s="150"/>
      <c r="J1208" s="151" t="str">
        <f t="shared" si="57"/>
        <v>-</v>
      </c>
      <c r="K1208" s="152"/>
      <c r="L1208" s="149"/>
      <c r="M1208" s="149"/>
      <c r="N1208" s="153">
        <f t="shared" si="58"/>
        <v>0</v>
      </c>
      <c r="O1208" s="153">
        <f t="shared" si="59"/>
        <v>0</v>
      </c>
      <c r="P1208" s="146"/>
    </row>
    <row r="1209" spans="2:16" x14ac:dyDescent="0.3">
      <c r="B1209" s="146">
        <v>1202</v>
      </c>
      <c r="C1209" s="147"/>
      <c r="D1209" s="147"/>
      <c r="E1209" s="146"/>
      <c r="F1209" s="148" t="str">
        <f>+IFERROR(VLOOKUP(E1209,Data!C1205:D1300,2,0),"")</f>
        <v/>
      </c>
      <c r="G1209" s="146"/>
      <c r="H1209" s="149"/>
      <c r="I1209" s="150"/>
      <c r="J1209" s="151" t="str">
        <f t="shared" si="57"/>
        <v>-</v>
      </c>
      <c r="K1209" s="152"/>
      <c r="L1209" s="149"/>
      <c r="M1209" s="149"/>
      <c r="N1209" s="153">
        <f t="shared" si="58"/>
        <v>0</v>
      </c>
      <c r="O1209" s="153">
        <f t="shared" si="59"/>
        <v>0</v>
      </c>
      <c r="P1209" s="146"/>
    </row>
    <row r="1210" spans="2:16" x14ac:dyDescent="0.3">
      <c r="B1210" s="146">
        <v>1203</v>
      </c>
      <c r="C1210" s="147"/>
      <c r="D1210" s="147"/>
      <c r="E1210" s="146"/>
      <c r="F1210" s="148" t="str">
        <f>+IFERROR(VLOOKUP(E1210,Data!C1206:D1301,2,0),"")</f>
        <v/>
      </c>
      <c r="G1210" s="146"/>
      <c r="H1210" s="149"/>
      <c r="I1210" s="150"/>
      <c r="J1210" s="151" t="str">
        <f t="shared" si="57"/>
        <v>-</v>
      </c>
      <c r="K1210" s="152"/>
      <c r="L1210" s="149"/>
      <c r="M1210" s="149"/>
      <c r="N1210" s="153">
        <f t="shared" si="58"/>
        <v>0</v>
      </c>
      <c r="O1210" s="153">
        <f t="shared" si="59"/>
        <v>0</v>
      </c>
      <c r="P1210" s="146"/>
    </row>
    <row r="1211" spans="2:16" x14ac:dyDescent="0.3">
      <c r="B1211" s="146">
        <v>1204</v>
      </c>
      <c r="C1211" s="147"/>
      <c r="D1211" s="147"/>
      <c r="E1211" s="146"/>
      <c r="F1211" s="148" t="str">
        <f>+IFERROR(VLOOKUP(E1211,Data!C1207:D1302,2,0),"")</f>
        <v/>
      </c>
      <c r="G1211" s="146"/>
      <c r="H1211" s="149"/>
      <c r="I1211" s="150"/>
      <c r="J1211" s="151" t="str">
        <f t="shared" si="57"/>
        <v>-</v>
      </c>
      <c r="K1211" s="152"/>
      <c r="L1211" s="149"/>
      <c r="M1211" s="149"/>
      <c r="N1211" s="153">
        <f t="shared" si="58"/>
        <v>0</v>
      </c>
      <c r="O1211" s="153">
        <f t="shared" si="59"/>
        <v>0</v>
      </c>
      <c r="P1211" s="146"/>
    </row>
    <row r="1212" spans="2:16" x14ac:dyDescent="0.3">
      <c r="B1212" s="146">
        <v>1205</v>
      </c>
      <c r="C1212" s="147"/>
      <c r="D1212" s="147"/>
      <c r="E1212" s="146"/>
      <c r="F1212" s="148" t="str">
        <f>+IFERROR(VLOOKUP(E1212,Data!C1208:D1303,2,0),"")</f>
        <v/>
      </c>
      <c r="G1212" s="146"/>
      <c r="H1212" s="149"/>
      <c r="I1212" s="150"/>
      <c r="J1212" s="151" t="str">
        <f t="shared" si="57"/>
        <v>-</v>
      </c>
      <c r="K1212" s="152"/>
      <c r="L1212" s="149"/>
      <c r="M1212" s="149"/>
      <c r="N1212" s="153">
        <f t="shared" si="58"/>
        <v>0</v>
      </c>
      <c r="O1212" s="153">
        <f t="shared" si="59"/>
        <v>0</v>
      </c>
      <c r="P1212" s="146"/>
    </row>
    <row r="1213" spans="2:16" x14ac:dyDescent="0.3">
      <c r="B1213" s="146">
        <v>1206</v>
      </c>
      <c r="C1213" s="147"/>
      <c r="D1213" s="147"/>
      <c r="E1213" s="146"/>
      <c r="F1213" s="148" t="str">
        <f>+IFERROR(VLOOKUP(E1213,Data!C1209:D1304,2,0),"")</f>
        <v/>
      </c>
      <c r="G1213" s="146"/>
      <c r="H1213" s="149"/>
      <c r="I1213" s="150"/>
      <c r="J1213" s="151" t="str">
        <f t="shared" si="57"/>
        <v>-</v>
      </c>
      <c r="K1213" s="152"/>
      <c r="L1213" s="149"/>
      <c r="M1213" s="149"/>
      <c r="N1213" s="153">
        <f t="shared" si="58"/>
        <v>0</v>
      </c>
      <c r="O1213" s="153">
        <f t="shared" si="59"/>
        <v>0</v>
      </c>
      <c r="P1213" s="146"/>
    </row>
    <row r="1214" spans="2:16" x14ac:dyDescent="0.3">
      <c r="B1214" s="146">
        <v>1207</v>
      </c>
      <c r="C1214" s="147"/>
      <c r="D1214" s="147"/>
      <c r="E1214" s="146"/>
      <c r="F1214" s="148" t="str">
        <f>+IFERROR(VLOOKUP(E1214,Data!C1210:D1305,2,0),"")</f>
        <v/>
      </c>
      <c r="G1214" s="146"/>
      <c r="H1214" s="149"/>
      <c r="I1214" s="150"/>
      <c r="J1214" s="151" t="str">
        <f t="shared" si="57"/>
        <v>-</v>
      </c>
      <c r="K1214" s="152"/>
      <c r="L1214" s="149"/>
      <c r="M1214" s="149"/>
      <c r="N1214" s="153">
        <f t="shared" si="58"/>
        <v>0</v>
      </c>
      <c r="O1214" s="153">
        <f t="shared" si="59"/>
        <v>0</v>
      </c>
      <c r="P1214" s="146"/>
    </row>
    <row r="1215" spans="2:16" x14ac:dyDescent="0.3">
      <c r="B1215" s="146">
        <v>1208</v>
      </c>
      <c r="C1215" s="147"/>
      <c r="D1215" s="147"/>
      <c r="E1215" s="146"/>
      <c r="F1215" s="148" t="str">
        <f>+IFERROR(VLOOKUP(E1215,Data!C1211:D1306,2,0),"")</f>
        <v/>
      </c>
      <c r="G1215" s="146"/>
      <c r="H1215" s="149"/>
      <c r="I1215" s="150"/>
      <c r="J1215" s="151" t="str">
        <f t="shared" si="57"/>
        <v>-</v>
      </c>
      <c r="K1215" s="152"/>
      <c r="L1215" s="149"/>
      <c r="M1215" s="149"/>
      <c r="N1215" s="153">
        <f t="shared" si="58"/>
        <v>0</v>
      </c>
      <c r="O1215" s="153">
        <f t="shared" si="59"/>
        <v>0</v>
      </c>
      <c r="P1215" s="146"/>
    </row>
    <row r="1216" spans="2:16" x14ac:dyDescent="0.3">
      <c r="B1216" s="146">
        <v>1209</v>
      </c>
      <c r="C1216" s="147"/>
      <c r="D1216" s="147"/>
      <c r="E1216" s="146"/>
      <c r="F1216" s="148" t="str">
        <f>+IFERROR(VLOOKUP(E1216,Data!C1212:D1307,2,0),"")</f>
        <v/>
      </c>
      <c r="G1216" s="146"/>
      <c r="H1216" s="149"/>
      <c r="I1216" s="150"/>
      <c r="J1216" s="151" t="str">
        <f t="shared" si="57"/>
        <v>-</v>
      </c>
      <c r="K1216" s="152"/>
      <c r="L1216" s="149"/>
      <c r="M1216" s="149"/>
      <c r="N1216" s="153">
        <f t="shared" si="58"/>
        <v>0</v>
      </c>
      <c r="O1216" s="153">
        <f t="shared" si="59"/>
        <v>0</v>
      </c>
      <c r="P1216" s="146"/>
    </row>
    <row r="1217" spans="2:16" x14ac:dyDescent="0.3">
      <c r="B1217" s="146">
        <v>1210</v>
      </c>
      <c r="C1217" s="147"/>
      <c r="D1217" s="147"/>
      <c r="E1217" s="146"/>
      <c r="F1217" s="148" t="str">
        <f>+IFERROR(VLOOKUP(E1217,Data!C1213:D1308,2,0),"")</f>
        <v/>
      </c>
      <c r="G1217" s="146"/>
      <c r="H1217" s="149"/>
      <c r="I1217" s="150"/>
      <c r="J1217" s="151" t="str">
        <f t="shared" si="57"/>
        <v>-</v>
      </c>
      <c r="K1217" s="152"/>
      <c r="L1217" s="149"/>
      <c r="M1217" s="149"/>
      <c r="N1217" s="153">
        <f t="shared" si="58"/>
        <v>0</v>
      </c>
      <c r="O1217" s="153">
        <f t="shared" si="59"/>
        <v>0</v>
      </c>
      <c r="P1217" s="146"/>
    </row>
    <row r="1218" spans="2:16" x14ac:dyDescent="0.3">
      <c r="B1218" s="146">
        <v>1211</v>
      </c>
      <c r="C1218" s="147"/>
      <c r="D1218" s="147"/>
      <c r="E1218" s="146"/>
      <c r="F1218" s="148" t="str">
        <f>+IFERROR(VLOOKUP(E1218,Data!C1214:D1309,2,0),"")</f>
        <v/>
      </c>
      <c r="G1218" s="146"/>
      <c r="H1218" s="149"/>
      <c r="I1218" s="150"/>
      <c r="J1218" s="151" t="str">
        <f t="shared" si="57"/>
        <v>-</v>
      </c>
      <c r="K1218" s="152"/>
      <c r="L1218" s="149"/>
      <c r="M1218" s="149"/>
      <c r="N1218" s="153">
        <f t="shared" si="58"/>
        <v>0</v>
      </c>
      <c r="O1218" s="153">
        <f t="shared" si="59"/>
        <v>0</v>
      </c>
      <c r="P1218" s="146"/>
    </row>
    <row r="1219" spans="2:16" x14ac:dyDescent="0.3">
      <c r="B1219" s="146">
        <v>1212</v>
      </c>
      <c r="C1219" s="147"/>
      <c r="D1219" s="147"/>
      <c r="E1219" s="146"/>
      <c r="F1219" s="148" t="str">
        <f>+IFERROR(VLOOKUP(E1219,Data!C1215:D1310,2,0),"")</f>
        <v/>
      </c>
      <c r="G1219" s="146"/>
      <c r="H1219" s="149"/>
      <c r="I1219" s="150"/>
      <c r="J1219" s="151" t="str">
        <f t="shared" si="57"/>
        <v>-</v>
      </c>
      <c r="K1219" s="152"/>
      <c r="L1219" s="149"/>
      <c r="M1219" s="149"/>
      <c r="N1219" s="153">
        <f t="shared" si="58"/>
        <v>0</v>
      </c>
      <c r="O1219" s="153">
        <f t="shared" si="59"/>
        <v>0</v>
      </c>
      <c r="P1219" s="146"/>
    </row>
    <row r="1220" spans="2:16" x14ac:dyDescent="0.3">
      <c r="B1220" s="146">
        <v>1213</v>
      </c>
      <c r="C1220" s="147"/>
      <c r="D1220" s="147"/>
      <c r="E1220" s="146"/>
      <c r="F1220" s="148" t="str">
        <f>+IFERROR(VLOOKUP(E1220,Data!C1216:D1311,2,0),"")</f>
        <v/>
      </c>
      <c r="G1220" s="146"/>
      <c r="H1220" s="149"/>
      <c r="I1220" s="150"/>
      <c r="J1220" s="151" t="str">
        <f t="shared" si="57"/>
        <v>-</v>
      </c>
      <c r="K1220" s="152"/>
      <c r="L1220" s="149"/>
      <c r="M1220" s="149"/>
      <c r="N1220" s="153">
        <f t="shared" si="58"/>
        <v>0</v>
      </c>
      <c r="O1220" s="153">
        <f t="shared" si="59"/>
        <v>0</v>
      </c>
      <c r="P1220" s="146"/>
    </row>
    <row r="1221" spans="2:16" x14ac:dyDescent="0.3">
      <c r="B1221" s="146">
        <v>1214</v>
      </c>
      <c r="C1221" s="147"/>
      <c r="D1221" s="147"/>
      <c r="E1221" s="146"/>
      <c r="F1221" s="148" t="str">
        <f>+IFERROR(VLOOKUP(E1221,Data!C1217:D1312,2,0),"")</f>
        <v/>
      </c>
      <c r="G1221" s="146"/>
      <c r="H1221" s="149"/>
      <c r="I1221" s="150"/>
      <c r="J1221" s="151" t="str">
        <f t="shared" si="57"/>
        <v>-</v>
      </c>
      <c r="K1221" s="152"/>
      <c r="L1221" s="149"/>
      <c r="M1221" s="149"/>
      <c r="N1221" s="153">
        <f t="shared" si="58"/>
        <v>0</v>
      </c>
      <c r="O1221" s="153">
        <f t="shared" si="59"/>
        <v>0</v>
      </c>
      <c r="P1221" s="146"/>
    </row>
    <row r="1222" spans="2:16" x14ac:dyDescent="0.3">
      <c r="B1222" s="146">
        <v>1215</v>
      </c>
      <c r="C1222" s="147"/>
      <c r="D1222" s="147"/>
      <c r="E1222" s="146"/>
      <c r="F1222" s="148" t="str">
        <f>+IFERROR(VLOOKUP(E1222,Data!C1218:D1313,2,0),"")</f>
        <v/>
      </c>
      <c r="G1222" s="146"/>
      <c r="H1222" s="149"/>
      <c r="I1222" s="150"/>
      <c r="J1222" s="151" t="str">
        <f t="shared" si="57"/>
        <v>-</v>
      </c>
      <c r="K1222" s="152"/>
      <c r="L1222" s="149"/>
      <c r="M1222" s="149"/>
      <c r="N1222" s="153">
        <f t="shared" si="58"/>
        <v>0</v>
      </c>
      <c r="O1222" s="153">
        <f t="shared" si="59"/>
        <v>0</v>
      </c>
      <c r="P1222" s="146"/>
    </row>
    <row r="1223" spans="2:16" x14ac:dyDescent="0.3">
      <c r="B1223" s="146">
        <v>1216</v>
      </c>
      <c r="C1223" s="147"/>
      <c r="D1223" s="147"/>
      <c r="E1223" s="146"/>
      <c r="F1223" s="148" t="str">
        <f>+IFERROR(VLOOKUP(E1223,Data!C1219:D1314,2,0),"")</f>
        <v/>
      </c>
      <c r="G1223" s="146"/>
      <c r="H1223" s="149"/>
      <c r="I1223" s="150"/>
      <c r="J1223" s="151" t="str">
        <f t="shared" si="57"/>
        <v>-</v>
      </c>
      <c r="K1223" s="152"/>
      <c r="L1223" s="149"/>
      <c r="M1223" s="149"/>
      <c r="N1223" s="153">
        <f t="shared" si="58"/>
        <v>0</v>
      </c>
      <c r="O1223" s="153">
        <f t="shared" si="59"/>
        <v>0</v>
      </c>
      <c r="P1223" s="146"/>
    </row>
    <row r="1224" spans="2:16" x14ac:dyDescent="0.3">
      <c r="B1224" s="146">
        <v>1217</v>
      </c>
      <c r="C1224" s="147"/>
      <c r="D1224" s="147"/>
      <c r="E1224" s="146"/>
      <c r="F1224" s="148" t="str">
        <f>+IFERROR(VLOOKUP(E1224,Data!C1220:D1315,2,0),"")</f>
        <v/>
      </c>
      <c r="G1224" s="146"/>
      <c r="H1224" s="149"/>
      <c r="I1224" s="150"/>
      <c r="J1224" s="151" t="str">
        <f t="shared" si="57"/>
        <v>-</v>
      </c>
      <c r="K1224" s="152"/>
      <c r="L1224" s="149"/>
      <c r="M1224" s="149"/>
      <c r="N1224" s="153">
        <f t="shared" si="58"/>
        <v>0</v>
      </c>
      <c r="O1224" s="153">
        <f t="shared" si="59"/>
        <v>0</v>
      </c>
      <c r="P1224" s="146"/>
    </row>
    <row r="1225" spans="2:16" x14ac:dyDescent="0.3">
      <c r="B1225" s="146">
        <v>1218</v>
      </c>
      <c r="C1225" s="147"/>
      <c r="D1225" s="147"/>
      <c r="E1225" s="146"/>
      <c r="F1225" s="148" t="str">
        <f>+IFERROR(VLOOKUP(E1225,Data!C1221:D1316,2,0),"")</f>
        <v/>
      </c>
      <c r="G1225" s="146"/>
      <c r="H1225" s="149"/>
      <c r="I1225" s="150"/>
      <c r="J1225" s="151" t="str">
        <f t="shared" si="57"/>
        <v>-</v>
      </c>
      <c r="K1225" s="152"/>
      <c r="L1225" s="149"/>
      <c r="M1225" s="149"/>
      <c r="N1225" s="153">
        <f t="shared" si="58"/>
        <v>0</v>
      </c>
      <c r="O1225" s="153">
        <f t="shared" si="59"/>
        <v>0</v>
      </c>
      <c r="P1225" s="146"/>
    </row>
    <row r="1226" spans="2:16" x14ac:dyDescent="0.3">
      <c r="B1226" s="146">
        <v>1219</v>
      </c>
      <c r="C1226" s="147"/>
      <c r="D1226" s="147"/>
      <c r="E1226" s="146"/>
      <c r="F1226" s="148" t="str">
        <f>+IFERROR(VLOOKUP(E1226,Data!C1222:D1317,2,0),"")</f>
        <v/>
      </c>
      <c r="G1226" s="146"/>
      <c r="H1226" s="149"/>
      <c r="I1226" s="150"/>
      <c r="J1226" s="151" t="str">
        <f t="shared" si="57"/>
        <v>-</v>
      </c>
      <c r="K1226" s="152"/>
      <c r="L1226" s="149"/>
      <c r="M1226" s="149"/>
      <c r="N1226" s="153">
        <f t="shared" si="58"/>
        <v>0</v>
      </c>
      <c r="O1226" s="153">
        <f t="shared" si="59"/>
        <v>0</v>
      </c>
      <c r="P1226" s="146"/>
    </row>
    <row r="1227" spans="2:16" x14ac:dyDescent="0.3">
      <c r="B1227" s="146">
        <v>1220</v>
      </c>
      <c r="C1227" s="147"/>
      <c r="D1227" s="147"/>
      <c r="E1227" s="146"/>
      <c r="F1227" s="148" t="str">
        <f>+IFERROR(VLOOKUP(E1227,Data!C1223:D1318,2,0),"")</f>
        <v/>
      </c>
      <c r="G1227" s="146"/>
      <c r="H1227" s="149"/>
      <c r="I1227" s="150"/>
      <c r="J1227" s="151" t="str">
        <f t="shared" si="57"/>
        <v>-</v>
      </c>
      <c r="K1227" s="152"/>
      <c r="L1227" s="149"/>
      <c r="M1227" s="149"/>
      <c r="N1227" s="153">
        <f t="shared" si="58"/>
        <v>0</v>
      </c>
      <c r="O1227" s="153">
        <f t="shared" si="59"/>
        <v>0</v>
      </c>
      <c r="P1227" s="146"/>
    </row>
    <row r="1228" spans="2:16" x14ac:dyDescent="0.3">
      <c r="B1228" s="146">
        <v>1221</v>
      </c>
      <c r="C1228" s="147"/>
      <c r="D1228" s="147"/>
      <c r="E1228" s="146"/>
      <c r="F1228" s="148" t="str">
        <f>+IFERROR(VLOOKUP(E1228,Data!C1224:D1319,2,0),"")</f>
        <v/>
      </c>
      <c r="G1228" s="146"/>
      <c r="H1228" s="149"/>
      <c r="I1228" s="150"/>
      <c r="J1228" s="151" t="str">
        <f t="shared" si="57"/>
        <v>-</v>
      </c>
      <c r="K1228" s="152"/>
      <c r="L1228" s="149"/>
      <c r="M1228" s="149"/>
      <c r="N1228" s="153">
        <f t="shared" si="58"/>
        <v>0</v>
      </c>
      <c r="O1228" s="153">
        <f t="shared" si="59"/>
        <v>0</v>
      </c>
      <c r="P1228" s="146"/>
    </row>
    <row r="1229" spans="2:16" x14ac:dyDescent="0.3">
      <c r="B1229" s="146">
        <v>1222</v>
      </c>
      <c r="C1229" s="147"/>
      <c r="D1229" s="147"/>
      <c r="E1229" s="146"/>
      <c r="F1229" s="148" t="str">
        <f>+IFERROR(VLOOKUP(E1229,Data!C1225:D1320,2,0),"")</f>
        <v/>
      </c>
      <c r="G1229" s="146"/>
      <c r="H1229" s="149"/>
      <c r="I1229" s="150"/>
      <c r="J1229" s="151" t="str">
        <f t="shared" si="57"/>
        <v>-</v>
      </c>
      <c r="K1229" s="152"/>
      <c r="L1229" s="149"/>
      <c r="M1229" s="149"/>
      <c r="N1229" s="153">
        <f t="shared" si="58"/>
        <v>0</v>
      </c>
      <c r="O1229" s="153">
        <f t="shared" si="59"/>
        <v>0</v>
      </c>
      <c r="P1229" s="146"/>
    </row>
    <row r="1230" spans="2:16" x14ac:dyDescent="0.3">
      <c r="B1230" s="146">
        <v>1223</v>
      </c>
      <c r="C1230" s="147"/>
      <c r="D1230" s="147"/>
      <c r="E1230" s="146"/>
      <c r="F1230" s="148" t="str">
        <f>+IFERROR(VLOOKUP(E1230,Data!C1226:D1321,2,0),"")</f>
        <v/>
      </c>
      <c r="G1230" s="146"/>
      <c r="H1230" s="149"/>
      <c r="I1230" s="150"/>
      <c r="J1230" s="151" t="str">
        <f t="shared" si="57"/>
        <v>-</v>
      </c>
      <c r="K1230" s="152"/>
      <c r="L1230" s="149"/>
      <c r="M1230" s="149"/>
      <c r="N1230" s="153">
        <f t="shared" si="58"/>
        <v>0</v>
      </c>
      <c r="O1230" s="153">
        <f t="shared" si="59"/>
        <v>0</v>
      </c>
      <c r="P1230" s="146"/>
    </row>
    <row r="1231" spans="2:16" x14ac:dyDescent="0.3">
      <c r="B1231" s="146">
        <v>1224</v>
      </c>
      <c r="C1231" s="147"/>
      <c r="D1231" s="147"/>
      <c r="E1231" s="146"/>
      <c r="F1231" s="148" t="str">
        <f>+IFERROR(VLOOKUP(E1231,Data!C1227:D1322,2,0),"")</f>
        <v/>
      </c>
      <c r="G1231" s="146"/>
      <c r="H1231" s="149"/>
      <c r="I1231" s="150"/>
      <c r="J1231" s="151" t="str">
        <f t="shared" si="57"/>
        <v>-</v>
      </c>
      <c r="K1231" s="152"/>
      <c r="L1231" s="149"/>
      <c r="M1231" s="149"/>
      <c r="N1231" s="153">
        <f t="shared" si="58"/>
        <v>0</v>
      </c>
      <c r="O1231" s="153">
        <f t="shared" si="59"/>
        <v>0</v>
      </c>
      <c r="P1231" s="146"/>
    </row>
    <row r="1232" spans="2:16" x14ac:dyDescent="0.3">
      <c r="B1232" s="146">
        <v>1225</v>
      </c>
      <c r="C1232" s="147"/>
      <c r="D1232" s="147"/>
      <c r="E1232" s="146"/>
      <c r="F1232" s="148" t="str">
        <f>+IFERROR(VLOOKUP(E1232,Data!C1228:D1323,2,0),"")</f>
        <v/>
      </c>
      <c r="G1232" s="146"/>
      <c r="H1232" s="149"/>
      <c r="I1232" s="150"/>
      <c r="J1232" s="151" t="str">
        <f t="shared" si="57"/>
        <v>-</v>
      </c>
      <c r="K1232" s="152"/>
      <c r="L1232" s="149"/>
      <c r="M1232" s="149"/>
      <c r="N1232" s="153">
        <f t="shared" si="58"/>
        <v>0</v>
      </c>
      <c r="O1232" s="153">
        <f t="shared" si="59"/>
        <v>0</v>
      </c>
      <c r="P1232" s="146"/>
    </row>
    <row r="1233" spans="2:16" x14ac:dyDescent="0.3">
      <c r="B1233" s="146">
        <v>1226</v>
      </c>
      <c r="C1233" s="147"/>
      <c r="D1233" s="147"/>
      <c r="E1233" s="146"/>
      <c r="F1233" s="148" t="str">
        <f>+IFERROR(VLOOKUP(E1233,Data!C1229:D1324,2,0),"")</f>
        <v/>
      </c>
      <c r="G1233" s="146"/>
      <c r="H1233" s="149"/>
      <c r="I1233" s="150"/>
      <c r="J1233" s="151" t="str">
        <f t="shared" si="57"/>
        <v>-</v>
      </c>
      <c r="K1233" s="152"/>
      <c r="L1233" s="149"/>
      <c r="M1233" s="149"/>
      <c r="N1233" s="153">
        <f t="shared" si="58"/>
        <v>0</v>
      </c>
      <c r="O1233" s="153">
        <f t="shared" si="59"/>
        <v>0</v>
      </c>
      <c r="P1233" s="146"/>
    </row>
    <row r="1234" spans="2:16" x14ac:dyDescent="0.3">
      <c r="B1234" s="146">
        <v>1227</v>
      </c>
      <c r="C1234" s="147"/>
      <c r="D1234" s="147"/>
      <c r="E1234" s="146"/>
      <c r="F1234" s="148" t="str">
        <f>+IFERROR(VLOOKUP(E1234,Data!C1230:D1325,2,0),"")</f>
        <v/>
      </c>
      <c r="G1234" s="146"/>
      <c r="H1234" s="149"/>
      <c r="I1234" s="150"/>
      <c r="J1234" s="151" t="str">
        <f t="shared" si="57"/>
        <v>-</v>
      </c>
      <c r="K1234" s="152"/>
      <c r="L1234" s="149"/>
      <c r="M1234" s="149"/>
      <c r="N1234" s="153">
        <f t="shared" si="58"/>
        <v>0</v>
      </c>
      <c r="O1234" s="153">
        <f t="shared" si="59"/>
        <v>0</v>
      </c>
      <c r="P1234" s="146"/>
    </row>
    <row r="1235" spans="2:16" x14ac:dyDescent="0.3">
      <c r="B1235" s="146">
        <v>1228</v>
      </c>
      <c r="C1235" s="147"/>
      <c r="D1235" s="147"/>
      <c r="E1235" s="146"/>
      <c r="F1235" s="148" t="str">
        <f>+IFERROR(VLOOKUP(E1235,Data!C1231:D1326,2,0),"")</f>
        <v/>
      </c>
      <c r="G1235" s="146"/>
      <c r="H1235" s="149"/>
      <c r="I1235" s="150"/>
      <c r="J1235" s="151" t="str">
        <f t="shared" si="57"/>
        <v>-</v>
      </c>
      <c r="K1235" s="152"/>
      <c r="L1235" s="149"/>
      <c r="M1235" s="149"/>
      <c r="N1235" s="153">
        <f t="shared" si="58"/>
        <v>0</v>
      </c>
      <c r="O1235" s="153">
        <f t="shared" si="59"/>
        <v>0</v>
      </c>
      <c r="P1235" s="146"/>
    </row>
    <row r="1236" spans="2:16" x14ac:dyDescent="0.3">
      <c r="B1236" s="146">
        <v>1229</v>
      </c>
      <c r="C1236" s="147"/>
      <c r="D1236" s="147"/>
      <c r="E1236" s="146"/>
      <c r="F1236" s="148" t="str">
        <f>+IFERROR(VLOOKUP(E1236,Data!C1232:D1327,2,0),"")</f>
        <v/>
      </c>
      <c r="G1236" s="146"/>
      <c r="H1236" s="149"/>
      <c r="I1236" s="150"/>
      <c r="J1236" s="151" t="str">
        <f t="shared" si="57"/>
        <v>-</v>
      </c>
      <c r="K1236" s="152"/>
      <c r="L1236" s="149"/>
      <c r="M1236" s="149"/>
      <c r="N1236" s="153">
        <f t="shared" si="58"/>
        <v>0</v>
      </c>
      <c r="O1236" s="153">
        <f t="shared" si="59"/>
        <v>0</v>
      </c>
      <c r="P1236" s="146"/>
    </row>
    <row r="1237" spans="2:16" x14ac:dyDescent="0.3">
      <c r="B1237" s="146">
        <v>1230</v>
      </c>
      <c r="C1237" s="147"/>
      <c r="D1237" s="147"/>
      <c r="E1237" s="146"/>
      <c r="F1237" s="148" t="str">
        <f>+IFERROR(VLOOKUP(E1237,Data!C1233:D1328,2,0),"")</f>
        <v/>
      </c>
      <c r="G1237" s="146"/>
      <c r="H1237" s="149"/>
      <c r="I1237" s="150"/>
      <c r="J1237" s="151" t="str">
        <f t="shared" si="57"/>
        <v>-</v>
      </c>
      <c r="K1237" s="152"/>
      <c r="L1237" s="149"/>
      <c r="M1237" s="149"/>
      <c r="N1237" s="153">
        <f t="shared" si="58"/>
        <v>0</v>
      </c>
      <c r="O1237" s="153">
        <f t="shared" si="59"/>
        <v>0</v>
      </c>
      <c r="P1237" s="146"/>
    </row>
    <row r="1238" spans="2:16" x14ac:dyDescent="0.3">
      <c r="B1238" s="146">
        <v>1231</v>
      </c>
      <c r="C1238" s="147"/>
      <c r="D1238" s="147"/>
      <c r="E1238" s="146"/>
      <c r="F1238" s="148" t="str">
        <f>+IFERROR(VLOOKUP(E1238,Data!C1234:D1329,2,0),"")</f>
        <v/>
      </c>
      <c r="G1238" s="146"/>
      <c r="H1238" s="149"/>
      <c r="I1238" s="150"/>
      <c r="J1238" s="151" t="str">
        <f t="shared" si="57"/>
        <v>-</v>
      </c>
      <c r="K1238" s="152"/>
      <c r="L1238" s="149"/>
      <c r="M1238" s="149"/>
      <c r="N1238" s="153">
        <f t="shared" si="58"/>
        <v>0</v>
      </c>
      <c r="O1238" s="153">
        <f t="shared" si="59"/>
        <v>0</v>
      </c>
      <c r="P1238" s="146"/>
    </row>
    <row r="1239" spans="2:16" x14ac:dyDescent="0.3">
      <c r="B1239" s="146">
        <v>1232</v>
      </c>
      <c r="C1239" s="147"/>
      <c r="D1239" s="147"/>
      <c r="E1239" s="146"/>
      <c r="F1239" s="148" t="str">
        <f>+IFERROR(VLOOKUP(E1239,Data!C1235:D1330,2,0),"")</f>
        <v/>
      </c>
      <c r="G1239" s="146"/>
      <c r="H1239" s="149"/>
      <c r="I1239" s="150"/>
      <c r="J1239" s="151" t="str">
        <f t="shared" si="57"/>
        <v>-</v>
      </c>
      <c r="K1239" s="152"/>
      <c r="L1239" s="149"/>
      <c r="M1239" s="149"/>
      <c r="N1239" s="153">
        <f t="shared" si="58"/>
        <v>0</v>
      </c>
      <c r="O1239" s="153">
        <f t="shared" si="59"/>
        <v>0</v>
      </c>
      <c r="P1239" s="146"/>
    </row>
    <row r="1240" spans="2:16" x14ac:dyDescent="0.3">
      <c r="B1240" s="146">
        <v>1233</v>
      </c>
      <c r="C1240" s="147"/>
      <c r="D1240" s="147"/>
      <c r="E1240" s="146"/>
      <c r="F1240" s="148" t="str">
        <f>+IFERROR(VLOOKUP(E1240,Data!C1236:D1331,2,0),"")</f>
        <v/>
      </c>
      <c r="G1240" s="146"/>
      <c r="H1240" s="149"/>
      <c r="I1240" s="150"/>
      <c r="J1240" s="151" t="str">
        <f t="shared" si="57"/>
        <v>-</v>
      </c>
      <c r="K1240" s="152"/>
      <c r="L1240" s="149"/>
      <c r="M1240" s="149"/>
      <c r="N1240" s="153">
        <f t="shared" si="58"/>
        <v>0</v>
      </c>
      <c r="O1240" s="153">
        <f t="shared" si="59"/>
        <v>0</v>
      </c>
      <c r="P1240" s="146"/>
    </row>
    <row r="1241" spans="2:16" x14ac:dyDescent="0.3">
      <c r="B1241" s="146">
        <v>1234</v>
      </c>
      <c r="C1241" s="147"/>
      <c r="D1241" s="147"/>
      <c r="E1241" s="146"/>
      <c r="F1241" s="148" t="str">
        <f>+IFERROR(VLOOKUP(E1241,Data!C1237:D1332,2,0),"")</f>
        <v/>
      </c>
      <c r="G1241" s="146"/>
      <c r="H1241" s="149"/>
      <c r="I1241" s="150"/>
      <c r="J1241" s="151" t="str">
        <f t="shared" si="57"/>
        <v>-</v>
      </c>
      <c r="K1241" s="152"/>
      <c r="L1241" s="149"/>
      <c r="M1241" s="149"/>
      <c r="N1241" s="153">
        <f t="shared" si="58"/>
        <v>0</v>
      </c>
      <c r="O1241" s="153">
        <f t="shared" si="59"/>
        <v>0</v>
      </c>
      <c r="P1241" s="146"/>
    </row>
    <row r="1242" spans="2:16" x14ac:dyDescent="0.3">
      <c r="B1242" s="146">
        <v>1235</v>
      </c>
      <c r="C1242" s="147"/>
      <c r="D1242" s="147"/>
      <c r="E1242" s="146"/>
      <c r="F1242" s="148" t="str">
        <f>+IFERROR(VLOOKUP(E1242,Data!C1238:D1333,2,0),"")</f>
        <v/>
      </c>
      <c r="G1242" s="146"/>
      <c r="H1242" s="149"/>
      <c r="I1242" s="150"/>
      <c r="J1242" s="151" t="str">
        <f t="shared" si="57"/>
        <v>-</v>
      </c>
      <c r="K1242" s="152"/>
      <c r="L1242" s="149"/>
      <c r="M1242" s="149"/>
      <c r="N1242" s="153">
        <f t="shared" si="58"/>
        <v>0</v>
      </c>
      <c r="O1242" s="153">
        <f t="shared" si="59"/>
        <v>0</v>
      </c>
      <c r="P1242" s="146"/>
    </row>
    <row r="1243" spans="2:16" x14ac:dyDescent="0.3">
      <c r="B1243" s="146">
        <v>1236</v>
      </c>
      <c r="C1243" s="147"/>
      <c r="D1243" s="147"/>
      <c r="E1243" s="146"/>
      <c r="F1243" s="148" t="str">
        <f>+IFERROR(VLOOKUP(E1243,Data!C1239:D1334,2,0),"")</f>
        <v/>
      </c>
      <c r="G1243" s="146"/>
      <c r="H1243" s="149"/>
      <c r="I1243" s="150"/>
      <c r="J1243" s="151" t="str">
        <f t="shared" si="57"/>
        <v>-</v>
      </c>
      <c r="K1243" s="152"/>
      <c r="L1243" s="149"/>
      <c r="M1243" s="149"/>
      <c r="N1243" s="153">
        <f t="shared" si="58"/>
        <v>0</v>
      </c>
      <c r="O1243" s="153">
        <f t="shared" si="59"/>
        <v>0</v>
      </c>
      <c r="P1243" s="146"/>
    </row>
    <row r="1244" spans="2:16" x14ac:dyDescent="0.3">
      <c r="B1244" s="146">
        <v>1237</v>
      </c>
      <c r="C1244" s="147"/>
      <c r="D1244" s="147"/>
      <c r="E1244" s="146"/>
      <c r="F1244" s="148" t="str">
        <f>+IFERROR(VLOOKUP(E1244,Data!C1240:D1335,2,0),"")</f>
        <v/>
      </c>
      <c r="G1244" s="146"/>
      <c r="H1244" s="149"/>
      <c r="I1244" s="150"/>
      <c r="J1244" s="151" t="str">
        <f t="shared" si="57"/>
        <v>-</v>
      </c>
      <c r="K1244" s="152"/>
      <c r="L1244" s="149"/>
      <c r="M1244" s="149"/>
      <c r="N1244" s="153">
        <f t="shared" si="58"/>
        <v>0</v>
      </c>
      <c r="O1244" s="153">
        <f t="shared" si="59"/>
        <v>0</v>
      </c>
      <c r="P1244" s="146"/>
    </row>
    <row r="1245" spans="2:16" x14ac:dyDescent="0.3">
      <c r="B1245" s="146">
        <v>1238</v>
      </c>
      <c r="C1245" s="147"/>
      <c r="D1245" s="147"/>
      <c r="E1245" s="146"/>
      <c r="F1245" s="148" t="str">
        <f>+IFERROR(VLOOKUP(E1245,Data!C1241:D1336,2,0),"")</f>
        <v/>
      </c>
      <c r="G1245" s="146"/>
      <c r="H1245" s="149"/>
      <c r="I1245" s="150"/>
      <c r="J1245" s="151" t="str">
        <f t="shared" si="57"/>
        <v>-</v>
      </c>
      <c r="K1245" s="152"/>
      <c r="L1245" s="149"/>
      <c r="M1245" s="149"/>
      <c r="N1245" s="153">
        <f t="shared" si="58"/>
        <v>0</v>
      </c>
      <c r="O1245" s="153">
        <f t="shared" si="59"/>
        <v>0</v>
      </c>
      <c r="P1245" s="146"/>
    </row>
    <row r="1246" spans="2:16" x14ac:dyDescent="0.3">
      <c r="B1246" s="146">
        <v>1239</v>
      </c>
      <c r="C1246" s="147"/>
      <c r="D1246" s="147"/>
      <c r="E1246" s="146"/>
      <c r="F1246" s="148" t="str">
        <f>+IFERROR(VLOOKUP(E1246,Data!C1242:D1337,2,0),"")</f>
        <v/>
      </c>
      <c r="G1246" s="146"/>
      <c r="H1246" s="149"/>
      <c r="I1246" s="150"/>
      <c r="J1246" s="151" t="str">
        <f t="shared" si="57"/>
        <v>-</v>
      </c>
      <c r="K1246" s="152"/>
      <c r="L1246" s="149"/>
      <c r="M1246" s="149"/>
      <c r="N1246" s="153">
        <f t="shared" si="58"/>
        <v>0</v>
      </c>
      <c r="O1246" s="153">
        <f t="shared" si="59"/>
        <v>0</v>
      </c>
      <c r="P1246" s="146"/>
    </row>
    <row r="1247" spans="2:16" x14ac:dyDescent="0.3">
      <c r="B1247" s="146">
        <v>1240</v>
      </c>
      <c r="C1247" s="147"/>
      <c r="D1247" s="147"/>
      <c r="E1247" s="146"/>
      <c r="F1247" s="148" t="str">
        <f>+IFERROR(VLOOKUP(E1247,Data!C1243:D1338,2,0),"")</f>
        <v/>
      </c>
      <c r="G1247" s="146"/>
      <c r="H1247" s="149"/>
      <c r="I1247" s="150"/>
      <c r="J1247" s="151" t="str">
        <f t="shared" si="57"/>
        <v>-</v>
      </c>
      <c r="K1247" s="152"/>
      <c r="L1247" s="149"/>
      <c r="M1247" s="149"/>
      <c r="N1247" s="153">
        <f t="shared" si="58"/>
        <v>0</v>
      </c>
      <c r="O1247" s="153">
        <f t="shared" si="59"/>
        <v>0</v>
      </c>
      <c r="P1247" s="146"/>
    </row>
    <row r="1248" spans="2:16" x14ac:dyDescent="0.3">
      <c r="B1248" s="146">
        <v>1241</v>
      </c>
      <c r="C1248" s="147"/>
      <c r="D1248" s="147"/>
      <c r="E1248" s="146"/>
      <c r="F1248" s="148" t="str">
        <f>+IFERROR(VLOOKUP(E1248,Data!C1244:D1339,2,0),"")</f>
        <v/>
      </c>
      <c r="G1248" s="146"/>
      <c r="H1248" s="149"/>
      <c r="I1248" s="150"/>
      <c r="J1248" s="151" t="str">
        <f t="shared" si="57"/>
        <v>-</v>
      </c>
      <c r="K1248" s="152"/>
      <c r="L1248" s="149"/>
      <c r="M1248" s="149"/>
      <c r="N1248" s="153">
        <f t="shared" si="58"/>
        <v>0</v>
      </c>
      <c r="O1248" s="153">
        <f t="shared" si="59"/>
        <v>0</v>
      </c>
      <c r="P1248" s="146"/>
    </row>
    <row r="1249" spans="2:16" x14ac:dyDescent="0.3">
      <c r="B1249" s="146">
        <v>1242</v>
      </c>
      <c r="C1249" s="147"/>
      <c r="D1249" s="147"/>
      <c r="E1249" s="146"/>
      <c r="F1249" s="148" t="str">
        <f>+IFERROR(VLOOKUP(E1249,Data!C1245:D1340,2,0),"")</f>
        <v/>
      </c>
      <c r="G1249" s="146"/>
      <c r="H1249" s="149"/>
      <c r="I1249" s="150"/>
      <c r="J1249" s="151" t="str">
        <f t="shared" si="57"/>
        <v>-</v>
      </c>
      <c r="K1249" s="152"/>
      <c r="L1249" s="149"/>
      <c r="M1249" s="149"/>
      <c r="N1249" s="153">
        <f t="shared" si="58"/>
        <v>0</v>
      </c>
      <c r="O1249" s="153">
        <f t="shared" si="59"/>
        <v>0</v>
      </c>
      <c r="P1249" s="146"/>
    </row>
    <row r="1250" spans="2:16" x14ac:dyDescent="0.3">
      <c r="B1250" s="146">
        <v>1243</v>
      </c>
      <c r="C1250" s="147"/>
      <c r="D1250" s="147"/>
      <c r="E1250" s="146"/>
      <c r="F1250" s="148" t="str">
        <f>+IFERROR(VLOOKUP(E1250,Data!C1246:D1341,2,0),"")</f>
        <v/>
      </c>
      <c r="G1250" s="146"/>
      <c r="H1250" s="149"/>
      <c r="I1250" s="150"/>
      <c r="J1250" s="151" t="str">
        <f t="shared" si="57"/>
        <v>-</v>
      </c>
      <c r="K1250" s="152"/>
      <c r="L1250" s="149"/>
      <c r="M1250" s="149"/>
      <c r="N1250" s="153">
        <f t="shared" si="58"/>
        <v>0</v>
      </c>
      <c r="O1250" s="153">
        <f t="shared" si="59"/>
        <v>0</v>
      </c>
      <c r="P1250" s="146"/>
    </row>
    <row r="1251" spans="2:16" x14ac:dyDescent="0.3">
      <c r="B1251" s="146">
        <v>1244</v>
      </c>
      <c r="C1251" s="147"/>
      <c r="D1251" s="147"/>
      <c r="E1251" s="146"/>
      <c r="F1251" s="148" t="str">
        <f>+IFERROR(VLOOKUP(E1251,Data!C1247:D1342,2,0),"")</f>
        <v/>
      </c>
      <c r="G1251" s="146"/>
      <c r="H1251" s="149"/>
      <c r="I1251" s="150"/>
      <c r="J1251" s="151" t="str">
        <f t="shared" si="57"/>
        <v>-</v>
      </c>
      <c r="K1251" s="152"/>
      <c r="L1251" s="149"/>
      <c r="M1251" s="149"/>
      <c r="N1251" s="153">
        <f t="shared" si="58"/>
        <v>0</v>
      </c>
      <c r="O1251" s="153">
        <f t="shared" si="59"/>
        <v>0</v>
      </c>
      <c r="P1251" s="146"/>
    </row>
    <row r="1252" spans="2:16" x14ac:dyDescent="0.3">
      <c r="B1252" s="146">
        <v>1245</v>
      </c>
      <c r="C1252" s="147"/>
      <c r="D1252" s="147"/>
      <c r="E1252" s="146"/>
      <c r="F1252" s="148" t="str">
        <f>+IFERROR(VLOOKUP(E1252,Data!C1248:D1343,2,0),"")</f>
        <v/>
      </c>
      <c r="G1252" s="146"/>
      <c r="H1252" s="149"/>
      <c r="I1252" s="150"/>
      <c r="J1252" s="151" t="str">
        <f t="shared" si="57"/>
        <v>-</v>
      </c>
      <c r="K1252" s="152"/>
      <c r="L1252" s="149"/>
      <c r="M1252" s="149"/>
      <c r="N1252" s="153">
        <f t="shared" si="58"/>
        <v>0</v>
      </c>
      <c r="O1252" s="153">
        <f t="shared" si="59"/>
        <v>0</v>
      </c>
      <c r="P1252" s="146"/>
    </row>
    <row r="1253" spans="2:16" x14ac:dyDescent="0.3">
      <c r="B1253" s="146">
        <v>1246</v>
      </c>
      <c r="C1253" s="147"/>
      <c r="D1253" s="147"/>
      <c r="E1253" s="146"/>
      <c r="F1253" s="148" t="str">
        <f>+IFERROR(VLOOKUP(E1253,Data!C1249:D1344,2,0),"")</f>
        <v/>
      </c>
      <c r="G1253" s="146"/>
      <c r="H1253" s="149"/>
      <c r="I1253" s="150"/>
      <c r="J1253" s="151" t="str">
        <f t="shared" si="57"/>
        <v>-</v>
      </c>
      <c r="K1253" s="152"/>
      <c r="L1253" s="149"/>
      <c r="M1253" s="149"/>
      <c r="N1253" s="153">
        <f t="shared" si="58"/>
        <v>0</v>
      </c>
      <c r="O1253" s="153">
        <f t="shared" si="59"/>
        <v>0</v>
      </c>
      <c r="P1253" s="146"/>
    </row>
    <row r="1254" spans="2:16" x14ac:dyDescent="0.3">
      <c r="B1254" s="146">
        <v>1247</v>
      </c>
      <c r="C1254" s="147"/>
      <c r="D1254" s="147"/>
      <c r="E1254" s="146"/>
      <c r="F1254" s="148" t="str">
        <f>+IFERROR(VLOOKUP(E1254,Data!C1250:D1345,2,0),"")</f>
        <v/>
      </c>
      <c r="G1254" s="146"/>
      <c r="H1254" s="149"/>
      <c r="I1254" s="150"/>
      <c r="J1254" s="151" t="str">
        <f t="shared" si="57"/>
        <v>-</v>
      </c>
      <c r="K1254" s="152"/>
      <c r="L1254" s="149"/>
      <c r="M1254" s="149"/>
      <c r="N1254" s="153">
        <f t="shared" si="58"/>
        <v>0</v>
      </c>
      <c r="O1254" s="153">
        <f t="shared" si="59"/>
        <v>0</v>
      </c>
      <c r="P1254" s="146"/>
    </row>
    <row r="1255" spans="2:16" x14ac:dyDescent="0.3">
      <c r="B1255" s="146">
        <v>1248</v>
      </c>
      <c r="C1255" s="147"/>
      <c r="D1255" s="147"/>
      <c r="E1255" s="146"/>
      <c r="F1255" s="148" t="str">
        <f>+IFERROR(VLOOKUP(E1255,Data!C1251:D1346,2,0),"")</f>
        <v/>
      </c>
      <c r="G1255" s="146"/>
      <c r="H1255" s="149"/>
      <c r="I1255" s="150"/>
      <c r="J1255" s="151" t="str">
        <f t="shared" si="57"/>
        <v>-</v>
      </c>
      <c r="K1255" s="152"/>
      <c r="L1255" s="149"/>
      <c r="M1255" s="149"/>
      <c r="N1255" s="153">
        <f t="shared" si="58"/>
        <v>0</v>
      </c>
      <c r="O1255" s="153">
        <f t="shared" si="59"/>
        <v>0</v>
      </c>
      <c r="P1255" s="146"/>
    </row>
    <row r="1256" spans="2:16" x14ac:dyDescent="0.3">
      <c r="B1256" s="146">
        <v>1249</v>
      </c>
      <c r="C1256" s="147"/>
      <c r="D1256" s="147"/>
      <c r="E1256" s="146"/>
      <c r="F1256" s="148" t="str">
        <f>+IFERROR(VLOOKUP(E1256,Data!C1252:D1347,2,0),"")</f>
        <v/>
      </c>
      <c r="G1256" s="146"/>
      <c r="H1256" s="149"/>
      <c r="I1256" s="150"/>
      <c r="J1256" s="151" t="str">
        <f t="shared" si="57"/>
        <v>-</v>
      </c>
      <c r="K1256" s="152"/>
      <c r="L1256" s="149"/>
      <c r="M1256" s="149"/>
      <c r="N1256" s="153">
        <f t="shared" si="58"/>
        <v>0</v>
      </c>
      <c r="O1256" s="153">
        <f t="shared" si="59"/>
        <v>0</v>
      </c>
      <c r="P1256" s="146"/>
    </row>
    <row r="1257" spans="2:16" x14ac:dyDescent="0.3">
      <c r="B1257" s="146">
        <v>1250</v>
      </c>
      <c r="C1257" s="147"/>
      <c r="D1257" s="147"/>
      <c r="E1257" s="146"/>
      <c r="F1257" s="148" t="str">
        <f>+IFERROR(VLOOKUP(E1257,Data!C1253:D1348,2,0),"")</f>
        <v/>
      </c>
      <c r="G1257" s="146"/>
      <c r="H1257" s="149"/>
      <c r="I1257" s="150"/>
      <c r="J1257" s="151" t="str">
        <f t="shared" si="57"/>
        <v>-</v>
      </c>
      <c r="K1257" s="152"/>
      <c r="L1257" s="149"/>
      <c r="M1257" s="149"/>
      <c r="N1257" s="153">
        <f t="shared" si="58"/>
        <v>0</v>
      </c>
      <c r="O1257" s="153">
        <f t="shared" si="59"/>
        <v>0</v>
      </c>
      <c r="P1257" s="146"/>
    </row>
    <row r="1258" spans="2:16" x14ac:dyDescent="0.3">
      <c r="B1258" s="146">
        <v>1251</v>
      </c>
      <c r="C1258" s="147"/>
      <c r="D1258" s="147"/>
      <c r="E1258" s="146"/>
      <c r="F1258" s="148" t="str">
        <f>+IFERROR(VLOOKUP(E1258,Data!C1254:D1349,2,0),"")</f>
        <v/>
      </c>
      <c r="G1258" s="146"/>
      <c r="H1258" s="149"/>
      <c r="I1258" s="150"/>
      <c r="J1258" s="151" t="str">
        <f t="shared" si="57"/>
        <v>-</v>
      </c>
      <c r="K1258" s="152"/>
      <c r="L1258" s="149"/>
      <c r="M1258" s="149"/>
      <c r="N1258" s="153">
        <f t="shared" si="58"/>
        <v>0</v>
      </c>
      <c r="O1258" s="153">
        <f t="shared" si="59"/>
        <v>0</v>
      </c>
      <c r="P1258" s="146"/>
    </row>
    <row r="1259" spans="2:16" x14ac:dyDescent="0.3">
      <c r="B1259" s="146">
        <v>1252</v>
      </c>
      <c r="C1259" s="147"/>
      <c r="D1259" s="147"/>
      <c r="E1259" s="146"/>
      <c r="F1259" s="148" t="str">
        <f>+IFERROR(VLOOKUP(E1259,Data!C1255:D1350,2,0),"")</f>
        <v/>
      </c>
      <c r="G1259" s="146"/>
      <c r="H1259" s="149"/>
      <c r="I1259" s="150"/>
      <c r="J1259" s="151" t="str">
        <f t="shared" si="57"/>
        <v>-</v>
      </c>
      <c r="K1259" s="152"/>
      <c r="L1259" s="149"/>
      <c r="M1259" s="149"/>
      <c r="N1259" s="153">
        <f t="shared" si="58"/>
        <v>0</v>
      </c>
      <c r="O1259" s="153">
        <f t="shared" si="59"/>
        <v>0</v>
      </c>
      <c r="P1259" s="146"/>
    </row>
    <row r="1260" spans="2:16" x14ac:dyDescent="0.3">
      <c r="B1260" s="146">
        <v>1253</v>
      </c>
      <c r="C1260" s="147"/>
      <c r="D1260" s="147"/>
      <c r="E1260" s="146"/>
      <c r="F1260" s="148" t="str">
        <f>+IFERROR(VLOOKUP(E1260,Data!C1256:D1351,2,0),"")</f>
        <v/>
      </c>
      <c r="G1260" s="146"/>
      <c r="H1260" s="149"/>
      <c r="I1260" s="150"/>
      <c r="J1260" s="151" t="str">
        <f t="shared" si="57"/>
        <v>-</v>
      </c>
      <c r="K1260" s="152"/>
      <c r="L1260" s="149"/>
      <c r="M1260" s="149"/>
      <c r="N1260" s="153">
        <f t="shared" si="58"/>
        <v>0</v>
      </c>
      <c r="O1260" s="153">
        <f t="shared" si="59"/>
        <v>0</v>
      </c>
      <c r="P1260" s="146"/>
    </row>
    <row r="1261" spans="2:16" x14ac:dyDescent="0.3">
      <c r="B1261" s="146">
        <v>1254</v>
      </c>
      <c r="C1261" s="147"/>
      <c r="D1261" s="147"/>
      <c r="E1261" s="146"/>
      <c r="F1261" s="148" t="str">
        <f>+IFERROR(VLOOKUP(E1261,Data!C1257:D1352,2,0),"")</f>
        <v/>
      </c>
      <c r="G1261" s="146"/>
      <c r="H1261" s="149"/>
      <c r="I1261" s="150"/>
      <c r="J1261" s="151" t="str">
        <f t="shared" si="57"/>
        <v>-</v>
      </c>
      <c r="K1261" s="152"/>
      <c r="L1261" s="149"/>
      <c r="M1261" s="149"/>
      <c r="N1261" s="153">
        <f t="shared" si="58"/>
        <v>0</v>
      </c>
      <c r="O1261" s="153">
        <f t="shared" si="59"/>
        <v>0</v>
      </c>
      <c r="P1261" s="146"/>
    </row>
    <row r="1262" spans="2:16" x14ac:dyDescent="0.3">
      <c r="B1262" s="146">
        <v>1255</v>
      </c>
      <c r="C1262" s="147"/>
      <c r="D1262" s="147"/>
      <c r="E1262" s="146"/>
      <c r="F1262" s="148" t="str">
        <f>+IFERROR(VLOOKUP(E1262,Data!C1258:D1353,2,0),"")</f>
        <v/>
      </c>
      <c r="G1262" s="146"/>
      <c r="H1262" s="149"/>
      <c r="I1262" s="150"/>
      <c r="J1262" s="151" t="str">
        <f t="shared" si="57"/>
        <v>-</v>
      </c>
      <c r="K1262" s="152"/>
      <c r="L1262" s="149"/>
      <c r="M1262" s="149"/>
      <c r="N1262" s="153">
        <f t="shared" si="58"/>
        <v>0</v>
      </c>
      <c r="O1262" s="153">
        <f t="shared" si="59"/>
        <v>0</v>
      </c>
      <c r="P1262" s="146"/>
    </row>
    <row r="1263" spans="2:16" x14ac:dyDescent="0.3">
      <c r="B1263" s="146">
        <v>1256</v>
      </c>
      <c r="C1263" s="147"/>
      <c r="D1263" s="147"/>
      <c r="E1263" s="146"/>
      <c r="F1263" s="148" t="str">
        <f>+IFERROR(VLOOKUP(E1263,Data!C1259:D1354,2,0),"")</f>
        <v/>
      </c>
      <c r="G1263" s="146"/>
      <c r="H1263" s="149"/>
      <c r="I1263" s="150"/>
      <c r="J1263" s="151" t="str">
        <f t="shared" si="57"/>
        <v>-</v>
      </c>
      <c r="K1263" s="152"/>
      <c r="L1263" s="149"/>
      <c r="M1263" s="149"/>
      <c r="N1263" s="153">
        <f t="shared" si="58"/>
        <v>0</v>
      </c>
      <c r="O1263" s="153">
        <f t="shared" si="59"/>
        <v>0</v>
      </c>
      <c r="P1263" s="146"/>
    </row>
    <row r="1264" spans="2:16" x14ac:dyDescent="0.3">
      <c r="B1264" s="146">
        <v>1257</v>
      </c>
      <c r="C1264" s="147"/>
      <c r="D1264" s="147"/>
      <c r="E1264" s="146"/>
      <c r="F1264" s="148" t="str">
        <f>+IFERROR(VLOOKUP(E1264,Data!C1260:D1355,2,0),"")</f>
        <v/>
      </c>
      <c r="G1264" s="146"/>
      <c r="H1264" s="149"/>
      <c r="I1264" s="150"/>
      <c r="J1264" s="151" t="str">
        <f t="shared" si="57"/>
        <v>-</v>
      </c>
      <c r="K1264" s="152"/>
      <c r="L1264" s="149"/>
      <c r="M1264" s="149"/>
      <c r="N1264" s="153">
        <f t="shared" si="58"/>
        <v>0</v>
      </c>
      <c r="O1264" s="153">
        <f t="shared" si="59"/>
        <v>0</v>
      </c>
      <c r="P1264" s="146"/>
    </row>
    <row r="1265" spans="2:16" x14ac:dyDescent="0.3">
      <c r="B1265" s="146">
        <v>1258</v>
      </c>
      <c r="C1265" s="147"/>
      <c r="D1265" s="147"/>
      <c r="E1265" s="146"/>
      <c r="F1265" s="148" t="str">
        <f>+IFERROR(VLOOKUP(E1265,Data!C1261:D1356,2,0),"")</f>
        <v/>
      </c>
      <c r="G1265" s="146"/>
      <c r="H1265" s="149"/>
      <c r="I1265" s="150"/>
      <c r="J1265" s="151" t="str">
        <f t="shared" si="57"/>
        <v>-</v>
      </c>
      <c r="K1265" s="152"/>
      <c r="L1265" s="149"/>
      <c r="M1265" s="149"/>
      <c r="N1265" s="153">
        <f t="shared" si="58"/>
        <v>0</v>
      </c>
      <c r="O1265" s="153">
        <f t="shared" si="59"/>
        <v>0</v>
      </c>
      <c r="P1265" s="146"/>
    </row>
    <row r="1266" spans="2:16" x14ac:dyDescent="0.3">
      <c r="B1266" s="146">
        <v>1259</v>
      </c>
      <c r="C1266" s="147"/>
      <c r="D1266" s="147"/>
      <c r="E1266" s="146"/>
      <c r="F1266" s="148" t="str">
        <f>+IFERROR(VLOOKUP(E1266,Data!C1262:D1357,2,0),"")</f>
        <v/>
      </c>
      <c r="G1266" s="146"/>
      <c r="H1266" s="149"/>
      <c r="I1266" s="150"/>
      <c r="J1266" s="151" t="str">
        <f t="shared" si="57"/>
        <v>-</v>
      </c>
      <c r="K1266" s="152"/>
      <c r="L1266" s="149"/>
      <c r="M1266" s="149"/>
      <c r="N1266" s="153">
        <f t="shared" si="58"/>
        <v>0</v>
      </c>
      <c r="O1266" s="153">
        <f t="shared" si="59"/>
        <v>0</v>
      </c>
      <c r="P1266" s="146"/>
    </row>
    <row r="1267" spans="2:16" x14ac:dyDescent="0.3">
      <c r="B1267" s="146">
        <v>1260</v>
      </c>
      <c r="C1267" s="147"/>
      <c r="D1267" s="147"/>
      <c r="E1267" s="146"/>
      <c r="F1267" s="148" t="str">
        <f>+IFERROR(VLOOKUP(E1267,Data!C1263:D1358,2,0),"")</f>
        <v/>
      </c>
      <c r="G1267" s="146"/>
      <c r="H1267" s="149"/>
      <c r="I1267" s="150"/>
      <c r="J1267" s="151" t="str">
        <f t="shared" si="57"/>
        <v>-</v>
      </c>
      <c r="K1267" s="152"/>
      <c r="L1267" s="149"/>
      <c r="M1267" s="149"/>
      <c r="N1267" s="153">
        <f t="shared" si="58"/>
        <v>0</v>
      </c>
      <c r="O1267" s="153">
        <f t="shared" si="59"/>
        <v>0</v>
      </c>
      <c r="P1267" s="146"/>
    </row>
    <row r="1268" spans="2:16" x14ac:dyDescent="0.3">
      <c r="B1268" s="146">
        <v>1261</v>
      </c>
      <c r="C1268" s="147"/>
      <c r="D1268" s="147"/>
      <c r="E1268" s="146"/>
      <c r="F1268" s="148" t="str">
        <f>+IFERROR(VLOOKUP(E1268,Data!C1264:D1359,2,0),"")</f>
        <v/>
      </c>
      <c r="G1268" s="146"/>
      <c r="H1268" s="149"/>
      <c r="I1268" s="150"/>
      <c r="J1268" s="151" t="str">
        <f t="shared" si="57"/>
        <v>-</v>
      </c>
      <c r="K1268" s="152"/>
      <c r="L1268" s="149"/>
      <c r="M1268" s="149"/>
      <c r="N1268" s="153">
        <f t="shared" si="58"/>
        <v>0</v>
      </c>
      <c r="O1268" s="153">
        <f t="shared" si="59"/>
        <v>0</v>
      </c>
      <c r="P1268" s="146"/>
    </row>
    <row r="1269" spans="2:16" x14ac:dyDescent="0.3">
      <c r="B1269" s="146">
        <v>1262</v>
      </c>
      <c r="C1269" s="147"/>
      <c r="D1269" s="147"/>
      <c r="E1269" s="146"/>
      <c r="F1269" s="148" t="str">
        <f>+IFERROR(VLOOKUP(E1269,Data!C1265:D1360,2,0),"")</f>
        <v/>
      </c>
      <c r="G1269" s="146"/>
      <c r="H1269" s="149"/>
      <c r="I1269" s="150"/>
      <c r="J1269" s="151" t="str">
        <f t="shared" si="57"/>
        <v>-</v>
      </c>
      <c r="K1269" s="152"/>
      <c r="L1269" s="149"/>
      <c r="M1269" s="149"/>
      <c r="N1269" s="153">
        <f t="shared" si="58"/>
        <v>0</v>
      </c>
      <c r="O1269" s="153">
        <f t="shared" si="59"/>
        <v>0</v>
      </c>
      <c r="P1269" s="146"/>
    </row>
    <row r="1270" spans="2:16" x14ac:dyDescent="0.3">
      <c r="B1270" s="146">
        <v>1263</v>
      </c>
      <c r="C1270" s="147"/>
      <c r="D1270" s="147"/>
      <c r="E1270" s="146"/>
      <c r="F1270" s="148" t="str">
        <f>+IFERROR(VLOOKUP(E1270,Data!C1266:D1361,2,0),"")</f>
        <v/>
      </c>
      <c r="G1270" s="146"/>
      <c r="H1270" s="149"/>
      <c r="I1270" s="150"/>
      <c r="J1270" s="151" t="str">
        <f t="shared" ref="J1270:J1333" si="60">IFERROR(+I1270/H1270,"-")</f>
        <v>-</v>
      </c>
      <c r="K1270" s="152"/>
      <c r="L1270" s="149"/>
      <c r="M1270" s="149"/>
      <c r="N1270" s="153">
        <f t="shared" ref="N1270:N1333" si="61">+L1270+M1270</f>
        <v>0</v>
      </c>
      <c r="O1270" s="153">
        <f t="shared" ref="O1270:O1333" si="62">+N1270-K1270</f>
        <v>0</v>
      </c>
      <c r="P1270" s="146"/>
    </row>
    <row r="1271" spans="2:16" x14ac:dyDescent="0.3">
      <c r="B1271" s="146">
        <v>1264</v>
      </c>
      <c r="C1271" s="147"/>
      <c r="D1271" s="147"/>
      <c r="E1271" s="146"/>
      <c r="F1271" s="148" t="str">
        <f>+IFERROR(VLOOKUP(E1271,Data!C1267:D1362,2,0),"")</f>
        <v/>
      </c>
      <c r="G1271" s="146"/>
      <c r="H1271" s="149"/>
      <c r="I1271" s="150"/>
      <c r="J1271" s="151" t="str">
        <f t="shared" si="60"/>
        <v>-</v>
      </c>
      <c r="K1271" s="152"/>
      <c r="L1271" s="149"/>
      <c r="M1271" s="149"/>
      <c r="N1271" s="153">
        <f t="shared" si="61"/>
        <v>0</v>
      </c>
      <c r="O1271" s="153">
        <f t="shared" si="62"/>
        <v>0</v>
      </c>
      <c r="P1271" s="146"/>
    </row>
    <row r="1272" spans="2:16" x14ac:dyDescent="0.3">
      <c r="B1272" s="146">
        <v>1265</v>
      </c>
      <c r="C1272" s="147"/>
      <c r="D1272" s="147"/>
      <c r="E1272" s="146"/>
      <c r="F1272" s="148" t="str">
        <f>+IFERROR(VLOOKUP(E1272,Data!C1268:D1363,2,0),"")</f>
        <v/>
      </c>
      <c r="G1272" s="146"/>
      <c r="H1272" s="149"/>
      <c r="I1272" s="150"/>
      <c r="J1272" s="151" t="str">
        <f t="shared" si="60"/>
        <v>-</v>
      </c>
      <c r="K1272" s="152"/>
      <c r="L1272" s="149"/>
      <c r="M1272" s="149"/>
      <c r="N1272" s="153">
        <f t="shared" si="61"/>
        <v>0</v>
      </c>
      <c r="O1272" s="153">
        <f t="shared" si="62"/>
        <v>0</v>
      </c>
      <c r="P1272" s="146"/>
    </row>
    <row r="1273" spans="2:16" x14ac:dyDescent="0.3">
      <c r="B1273" s="146">
        <v>1266</v>
      </c>
      <c r="C1273" s="147"/>
      <c r="D1273" s="147"/>
      <c r="E1273" s="146"/>
      <c r="F1273" s="148" t="str">
        <f>+IFERROR(VLOOKUP(E1273,Data!C1269:D1364,2,0),"")</f>
        <v/>
      </c>
      <c r="G1273" s="146"/>
      <c r="H1273" s="149"/>
      <c r="I1273" s="150"/>
      <c r="J1273" s="151" t="str">
        <f t="shared" si="60"/>
        <v>-</v>
      </c>
      <c r="K1273" s="152"/>
      <c r="L1273" s="149"/>
      <c r="M1273" s="149"/>
      <c r="N1273" s="153">
        <f t="shared" si="61"/>
        <v>0</v>
      </c>
      <c r="O1273" s="153">
        <f t="shared" si="62"/>
        <v>0</v>
      </c>
      <c r="P1273" s="146"/>
    </row>
    <row r="1274" spans="2:16" x14ac:dyDescent="0.3">
      <c r="B1274" s="146">
        <v>1267</v>
      </c>
      <c r="C1274" s="147"/>
      <c r="D1274" s="147"/>
      <c r="E1274" s="146"/>
      <c r="F1274" s="148" t="str">
        <f>+IFERROR(VLOOKUP(E1274,Data!C1270:D1365,2,0),"")</f>
        <v/>
      </c>
      <c r="G1274" s="146"/>
      <c r="H1274" s="149"/>
      <c r="I1274" s="150"/>
      <c r="J1274" s="151" t="str">
        <f t="shared" si="60"/>
        <v>-</v>
      </c>
      <c r="K1274" s="152"/>
      <c r="L1274" s="149"/>
      <c r="M1274" s="149"/>
      <c r="N1274" s="153">
        <f t="shared" si="61"/>
        <v>0</v>
      </c>
      <c r="O1274" s="153">
        <f t="shared" si="62"/>
        <v>0</v>
      </c>
      <c r="P1274" s="146"/>
    </row>
    <row r="1275" spans="2:16" x14ac:dyDescent="0.3">
      <c r="B1275" s="146">
        <v>1268</v>
      </c>
      <c r="C1275" s="147"/>
      <c r="D1275" s="147"/>
      <c r="E1275" s="146"/>
      <c r="F1275" s="148" t="str">
        <f>+IFERROR(VLOOKUP(E1275,Data!C1271:D1366,2,0),"")</f>
        <v/>
      </c>
      <c r="G1275" s="146"/>
      <c r="H1275" s="149"/>
      <c r="I1275" s="150"/>
      <c r="J1275" s="151" t="str">
        <f t="shared" si="60"/>
        <v>-</v>
      </c>
      <c r="K1275" s="152"/>
      <c r="L1275" s="149"/>
      <c r="M1275" s="149"/>
      <c r="N1275" s="153">
        <f t="shared" si="61"/>
        <v>0</v>
      </c>
      <c r="O1275" s="153">
        <f t="shared" si="62"/>
        <v>0</v>
      </c>
      <c r="P1275" s="146"/>
    </row>
    <row r="1276" spans="2:16" x14ac:dyDescent="0.3">
      <c r="B1276" s="146">
        <v>1269</v>
      </c>
      <c r="C1276" s="147"/>
      <c r="D1276" s="147"/>
      <c r="E1276" s="146"/>
      <c r="F1276" s="148" t="str">
        <f>+IFERROR(VLOOKUP(E1276,Data!C1272:D1367,2,0),"")</f>
        <v/>
      </c>
      <c r="G1276" s="146"/>
      <c r="H1276" s="149"/>
      <c r="I1276" s="150"/>
      <c r="J1276" s="151" t="str">
        <f t="shared" si="60"/>
        <v>-</v>
      </c>
      <c r="K1276" s="152"/>
      <c r="L1276" s="149"/>
      <c r="M1276" s="149"/>
      <c r="N1276" s="153">
        <f t="shared" si="61"/>
        <v>0</v>
      </c>
      <c r="O1276" s="153">
        <f t="shared" si="62"/>
        <v>0</v>
      </c>
      <c r="P1276" s="146"/>
    </row>
    <row r="1277" spans="2:16" x14ac:dyDescent="0.3">
      <c r="B1277" s="146">
        <v>1270</v>
      </c>
      <c r="C1277" s="147"/>
      <c r="D1277" s="147"/>
      <c r="E1277" s="146"/>
      <c r="F1277" s="148" t="str">
        <f>+IFERROR(VLOOKUP(E1277,Data!C1273:D1368,2,0),"")</f>
        <v/>
      </c>
      <c r="G1277" s="146"/>
      <c r="H1277" s="149"/>
      <c r="I1277" s="150"/>
      <c r="J1277" s="151" t="str">
        <f t="shared" si="60"/>
        <v>-</v>
      </c>
      <c r="K1277" s="152"/>
      <c r="L1277" s="149"/>
      <c r="M1277" s="149"/>
      <c r="N1277" s="153">
        <f t="shared" si="61"/>
        <v>0</v>
      </c>
      <c r="O1277" s="153">
        <f t="shared" si="62"/>
        <v>0</v>
      </c>
      <c r="P1277" s="146"/>
    </row>
    <row r="1278" spans="2:16" x14ac:dyDescent="0.3">
      <c r="B1278" s="146">
        <v>1271</v>
      </c>
      <c r="C1278" s="147"/>
      <c r="D1278" s="147"/>
      <c r="E1278" s="146"/>
      <c r="F1278" s="148" t="str">
        <f>+IFERROR(VLOOKUP(E1278,Data!C1274:D1369,2,0),"")</f>
        <v/>
      </c>
      <c r="G1278" s="146"/>
      <c r="H1278" s="149"/>
      <c r="I1278" s="150"/>
      <c r="J1278" s="151" t="str">
        <f t="shared" si="60"/>
        <v>-</v>
      </c>
      <c r="K1278" s="152"/>
      <c r="L1278" s="149"/>
      <c r="M1278" s="149"/>
      <c r="N1278" s="153">
        <f t="shared" si="61"/>
        <v>0</v>
      </c>
      <c r="O1278" s="153">
        <f t="shared" si="62"/>
        <v>0</v>
      </c>
      <c r="P1278" s="146"/>
    </row>
    <row r="1279" spans="2:16" x14ac:dyDescent="0.3">
      <c r="B1279" s="146">
        <v>1272</v>
      </c>
      <c r="C1279" s="147"/>
      <c r="D1279" s="147"/>
      <c r="E1279" s="146"/>
      <c r="F1279" s="148" t="str">
        <f>+IFERROR(VLOOKUP(E1279,Data!C1275:D1370,2,0),"")</f>
        <v/>
      </c>
      <c r="G1279" s="146"/>
      <c r="H1279" s="149"/>
      <c r="I1279" s="150"/>
      <c r="J1279" s="151" t="str">
        <f t="shared" si="60"/>
        <v>-</v>
      </c>
      <c r="K1279" s="152"/>
      <c r="L1279" s="149"/>
      <c r="M1279" s="149"/>
      <c r="N1279" s="153">
        <f t="shared" si="61"/>
        <v>0</v>
      </c>
      <c r="O1279" s="153">
        <f t="shared" si="62"/>
        <v>0</v>
      </c>
      <c r="P1279" s="146"/>
    </row>
    <row r="1280" spans="2:16" x14ac:dyDescent="0.3">
      <c r="B1280" s="146">
        <v>1273</v>
      </c>
      <c r="C1280" s="147"/>
      <c r="D1280" s="147"/>
      <c r="E1280" s="146"/>
      <c r="F1280" s="148" t="str">
        <f>+IFERROR(VLOOKUP(E1280,Data!C1276:D1371,2,0),"")</f>
        <v/>
      </c>
      <c r="G1280" s="146"/>
      <c r="H1280" s="149"/>
      <c r="I1280" s="150"/>
      <c r="J1280" s="151" t="str">
        <f t="shared" si="60"/>
        <v>-</v>
      </c>
      <c r="K1280" s="152"/>
      <c r="L1280" s="149"/>
      <c r="M1280" s="149"/>
      <c r="N1280" s="153">
        <f t="shared" si="61"/>
        <v>0</v>
      </c>
      <c r="O1280" s="153">
        <f t="shared" si="62"/>
        <v>0</v>
      </c>
      <c r="P1280" s="146"/>
    </row>
    <row r="1281" spans="2:16" x14ac:dyDescent="0.3">
      <c r="B1281" s="146">
        <v>1274</v>
      </c>
      <c r="C1281" s="147"/>
      <c r="D1281" s="147"/>
      <c r="E1281" s="146"/>
      <c r="F1281" s="148" t="str">
        <f>+IFERROR(VLOOKUP(E1281,Data!C1277:D1372,2,0),"")</f>
        <v/>
      </c>
      <c r="G1281" s="146"/>
      <c r="H1281" s="149"/>
      <c r="I1281" s="150"/>
      <c r="J1281" s="151" t="str">
        <f t="shared" si="60"/>
        <v>-</v>
      </c>
      <c r="K1281" s="152"/>
      <c r="L1281" s="149"/>
      <c r="M1281" s="149"/>
      <c r="N1281" s="153">
        <f t="shared" si="61"/>
        <v>0</v>
      </c>
      <c r="O1281" s="153">
        <f t="shared" si="62"/>
        <v>0</v>
      </c>
      <c r="P1281" s="146"/>
    </row>
    <row r="1282" spans="2:16" x14ac:dyDescent="0.3">
      <c r="B1282" s="146">
        <v>1275</v>
      </c>
      <c r="C1282" s="147"/>
      <c r="D1282" s="147"/>
      <c r="E1282" s="146"/>
      <c r="F1282" s="148" t="str">
        <f>+IFERROR(VLOOKUP(E1282,Data!C1278:D1373,2,0),"")</f>
        <v/>
      </c>
      <c r="G1282" s="146"/>
      <c r="H1282" s="149"/>
      <c r="I1282" s="150"/>
      <c r="J1282" s="151" t="str">
        <f t="shared" si="60"/>
        <v>-</v>
      </c>
      <c r="K1282" s="152"/>
      <c r="L1282" s="149"/>
      <c r="M1282" s="149"/>
      <c r="N1282" s="153">
        <f t="shared" si="61"/>
        <v>0</v>
      </c>
      <c r="O1282" s="153">
        <f t="shared" si="62"/>
        <v>0</v>
      </c>
      <c r="P1282" s="146"/>
    </row>
    <row r="1283" spans="2:16" x14ac:dyDescent="0.3">
      <c r="B1283" s="146">
        <v>1276</v>
      </c>
      <c r="C1283" s="147"/>
      <c r="D1283" s="147"/>
      <c r="E1283" s="146"/>
      <c r="F1283" s="148" t="str">
        <f>+IFERROR(VLOOKUP(E1283,Data!C1279:D1374,2,0),"")</f>
        <v/>
      </c>
      <c r="G1283" s="146"/>
      <c r="H1283" s="149"/>
      <c r="I1283" s="150"/>
      <c r="J1283" s="151" t="str">
        <f t="shared" si="60"/>
        <v>-</v>
      </c>
      <c r="K1283" s="152"/>
      <c r="L1283" s="149"/>
      <c r="M1283" s="149"/>
      <c r="N1283" s="153">
        <f t="shared" si="61"/>
        <v>0</v>
      </c>
      <c r="O1283" s="153">
        <f t="shared" si="62"/>
        <v>0</v>
      </c>
      <c r="P1283" s="146"/>
    </row>
    <row r="1284" spans="2:16" x14ac:dyDescent="0.3">
      <c r="B1284" s="146">
        <v>1277</v>
      </c>
      <c r="C1284" s="147"/>
      <c r="D1284" s="147"/>
      <c r="E1284" s="146"/>
      <c r="F1284" s="148" t="str">
        <f>+IFERROR(VLOOKUP(E1284,Data!C1280:D1375,2,0),"")</f>
        <v/>
      </c>
      <c r="G1284" s="146"/>
      <c r="H1284" s="149"/>
      <c r="I1284" s="150"/>
      <c r="J1284" s="151" t="str">
        <f t="shared" si="60"/>
        <v>-</v>
      </c>
      <c r="K1284" s="152"/>
      <c r="L1284" s="149"/>
      <c r="M1284" s="149"/>
      <c r="N1284" s="153">
        <f t="shared" si="61"/>
        <v>0</v>
      </c>
      <c r="O1284" s="153">
        <f t="shared" si="62"/>
        <v>0</v>
      </c>
      <c r="P1284" s="146"/>
    </row>
    <row r="1285" spans="2:16" x14ac:dyDescent="0.3">
      <c r="B1285" s="146">
        <v>1278</v>
      </c>
      <c r="C1285" s="147"/>
      <c r="D1285" s="147"/>
      <c r="E1285" s="146"/>
      <c r="F1285" s="148" t="str">
        <f>+IFERROR(VLOOKUP(E1285,Data!C1281:D1376,2,0),"")</f>
        <v/>
      </c>
      <c r="G1285" s="146"/>
      <c r="H1285" s="149"/>
      <c r="I1285" s="150"/>
      <c r="J1285" s="151" t="str">
        <f t="shared" si="60"/>
        <v>-</v>
      </c>
      <c r="K1285" s="152"/>
      <c r="L1285" s="149"/>
      <c r="M1285" s="149"/>
      <c r="N1285" s="153">
        <f t="shared" si="61"/>
        <v>0</v>
      </c>
      <c r="O1285" s="153">
        <f t="shared" si="62"/>
        <v>0</v>
      </c>
      <c r="P1285" s="146"/>
    </row>
    <row r="1286" spans="2:16" x14ac:dyDescent="0.3">
      <c r="B1286" s="146">
        <v>1279</v>
      </c>
      <c r="C1286" s="147"/>
      <c r="D1286" s="147"/>
      <c r="E1286" s="146"/>
      <c r="F1286" s="148" t="str">
        <f>+IFERROR(VLOOKUP(E1286,Data!C1282:D1377,2,0),"")</f>
        <v/>
      </c>
      <c r="G1286" s="146"/>
      <c r="H1286" s="149"/>
      <c r="I1286" s="150"/>
      <c r="J1286" s="151" t="str">
        <f t="shared" si="60"/>
        <v>-</v>
      </c>
      <c r="K1286" s="152"/>
      <c r="L1286" s="149"/>
      <c r="M1286" s="149"/>
      <c r="N1286" s="153">
        <f t="shared" si="61"/>
        <v>0</v>
      </c>
      <c r="O1286" s="153">
        <f t="shared" si="62"/>
        <v>0</v>
      </c>
      <c r="P1286" s="146"/>
    </row>
    <row r="1287" spans="2:16" x14ac:dyDescent="0.3">
      <c r="B1287" s="146">
        <v>1280</v>
      </c>
      <c r="C1287" s="147"/>
      <c r="D1287" s="147"/>
      <c r="E1287" s="146"/>
      <c r="F1287" s="148" t="str">
        <f>+IFERROR(VLOOKUP(E1287,Data!C1283:D1378,2,0),"")</f>
        <v/>
      </c>
      <c r="G1287" s="146"/>
      <c r="H1287" s="149"/>
      <c r="I1287" s="150"/>
      <c r="J1287" s="151" t="str">
        <f t="shared" si="60"/>
        <v>-</v>
      </c>
      <c r="K1287" s="152"/>
      <c r="L1287" s="149"/>
      <c r="M1287" s="149"/>
      <c r="N1287" s="153">
        <f t="shared" si="61"/>
        <v>0</v>
      </c>
      <c r="O1287" s="153">
        <f t="shared" si="62"/>
        <v>0</v>
      </c>
      <c r="P1287" s="146"/>
    </row>
    <row r="1288" spans="2:16" x14ac:dyDescent="0.3">
      <c r="B1288" s="146">
        <v>1281</v>
      </c>
      <c r="C1288" s="147"/>
      <c r="D1288" s="147"/>
      <c r="E1288" s="146"/>
      <c r="F1288" s="148" t="str">
        <f>+IFERROR(VLOOKUP(E1288,Data!C1284:D1379,2,0),"")</f>
        <v/>
      </c>
      <c r="G1288" s="146"/>
      <c r="H1288" s="149"/>
      <c r="I1288" s="150"/>
      <c r="J1288" s="151" t="str">
        <f t="shared" si="60"/>
        <v>-</v>
      </c>
      <c r="K1288" s="152"/>
      <c r="L1288" s="149"/>
      <c r="M1288" s="149"/>
      <c r="N1288" s="153">
        <f t="shared" si="61"/>
        <v>0</v>
      </c>
      <c r="O1288" s="153">
        <f t="shared" si="62"/>
        <v>0</v>
      </c>
      <c r="P1288" s="146"/>
    </row>
    <row r="1289" spans="2:16" x14ac:dyDescent="0.3">
      <c r="B1289" s="146">
        <v>1282</v>
      </c>
      <c r="C1289" s="147"/>
      <c r="D1289" s="147"/>
      <c r="E1289" s="146"/>
      <c r="F1289" s="148" t="str">
        <f>+IFERROR(VLOOKUP(E1289,Data!C1285:D1380,2,0),"")</f>
        <v/>
      </c>
      <c r="G1289" s="146"/>
      <c r="H1289" s="149"/>
      <c r="I1289" s="150"/>
      <c r="J1289" s="151" t="str">
        <f t="shared" si="60"/>
        <v>-</v>
      </c>
      <c r="K1289" s="152"/>
      <c r="L1289" s="149"/>
      <c r="M1289" s="149"/>
      <c r="N1289" s="153">
        <f t="shared" si="61"/>
        <v>0</v>
      </c>
      <c r="O1289" s="153">
        <f t="shared" si="62"/>
        <v>0</v>
      </c>
      <c r="P1289" s="146"/>
    </row>
    <row r="1290" spans="2:16" x14ac:dyDescent="0.3">
      <c r="B1290" s="146">
        <v>1283</v>
      </c>
      <c r="C1290" s="147"/>
      <c r="D1290" s="147"/>
      <c r="E1290" s="146"/>
      <c r="F1290" s="148" t="str">
        <f>+IFERROR(VLOOKUP(E1290,Data!C1286:D1381,2,0),"")</f>
        <v/>
      </c>
      <c r="G1290" s="146"/>
      <c r="H1290" s="149"/>
      <c r="I1290" s="150"/>
      <c r="J1290" s="151" t="str">
        <f t="shared" si="60"/>
        <v>-</v>
      </c>
      <c r="K1290" s="152"/>
      <c r="L1290" s="149"/>
      <c r="M1290" s="149"/>
      <c r="N1290" s="153">
        <f t="shared" si="61"/>
        <v>0</v>
      </c>
      <c r="O1290" s="153">
        <f t="shared" si="62"/>
        <v>0</v>
      </c>
      <c r="P1290" s="146"/>
    </row>
    <row r="1291" spans="2:16" x14ac:dyDescent="0.3">
      <c r="B1291" s="146">
        <v>1284</v>
      </c>
      <c r="C1291" s="147"/>
      <c r="D1291" s="147"/>
      <c r="E1291" s="146"/>
      <c r="F1291" s="148" t="str">
        <f>+IFERROR(VLOOKUP(E1291,Data!C1287:D1382,2,0),"")</f>
        <v/>
      </c>
      <c r="G1291" s="146"/>
      <c r="H1291" s="149"/>
      <c r="I1291" s="150"/>
      <c r="J1291" s="151" t="str">
        <f t="shared" si="60"/>
        <v>-</v>
      </c>
      <c r="K1291" s="152"/>
      <c r="L1291" s="149"/>
      <c r="M1291" s="149"/>
      <c r="N1291" s="153">
        <f t="shared" si="61"/>
        <v>0</v>
      </c>
      <c r="O1291" s="153">
        <f t="shared" si="62"/>
        <v>0</v>
      </c>
      <c r="P1291" s="146"/>
    </row>
    <row r="1292" spans="2:16" x14ac:dyDescent="0.3">
      <c r="B1292" s="146">
        <v>1285</v>
      </c>
      <c r="C1292" s="147"/>
      <c r="D1292" s="147"/>
      <c r="E1292" s="146"/>
      <c r="F1292" s="148" t="str">
        <f>+IFERROR(VLOOKUP(E1292,Data!C1288:D1383,2,0),"")</f>
        <v/>
      </c>
      <c r="G1292" s="146"/>
      <c r="H1292" s="149"/>
      <c r="I1292" s="150"/>
      <c r="J1292" s="151" t="str">
        <f t="shared" si="60"/>
        <v>-</v>
      </c>
      <c r="K1292" s="152"/>
      <c r="L1292" s="149"/>
      <c r="M1292" s="149"/>
      <c r="N1292" s="153">
        <f t="shared" si="61"/>
        <v>0</v>
      </c>
      <c r="O1292" s="153">
        <f t="shared" si="62"/>
        <v>0</v>
      </c>
      <c r="P1292" s="146"/>
    </row>
    <row r="1293" spans="2:16" x14ac:dyDescent="0.3">
      <c r="B1293" s="146">
        <v>1286</v>
      </c>
      <c r="C1293" s="147"/>
      <c r="D1293" s="147"/>
      <c r="E1293" s="146"/>
      <c r="F1293" s="148" t="str">
        <f>+IFERROR(VLOOKUP(E1293,Data!C1289:D1384,2,0),"")</f>
        <v/>
      </c>
      <c r="G1293" s="146"/>
      <c r="H1293" s="149"/>
      <c r="I1293" s="150"/>
      <c r="J1293" s="151" t="str">
        <f t="shared" si="60"/>
        <v>-</v>
      </c>
      <c r="K1293" s="152"/>
      <c r="L1293" s="149"/>
      <c r="M1293" s="149"/>
      <c r="N1293" s="153">
        <f t="shared" si="61"/>
        <v>0</v>
      </c>
      <c r="O1293" s="153">
        <f t="shared" si="62"/>
        <v>0</v>
      </c>
      <c r="P1293" s="146"/>
    </row>
    <row r="1294" spans="2:16" x14ac:dyDescent="0.3">
      <c r="B1294" s="146">
        <v>1287</v>
      </c>
      <c r="C1294" s="147"/>
      <c r="D1294" s="147"/>
      <c r="E1294" s="146"/>
      <c r="F1294" s="148" t="str">
        <f>+IFERROR(VLOOKUP(E1294,Data!C1290:D1385,2,0),"")</f>
        <v/>
      </c>
      <c r="G1294" s="146"/>
      <c r="H1294" s="149"/>
      <c r="I1294" s="150"/>
      <c r="J1294" s="151" t="str">
        <f t="shared" si="60"/>
        <v>-</v>
      </c>
      <c r="K1294" s="152"/>
      <c r="L1294" s="149"/>
      <c r="M1294" s="149"/>
      <c r="N1294" s="153">
        <f t="shared" si="61"/>
        <v>0</v>
      </c>
      <c r="O1294" s="153">
        <f t="shared" si="62"/>
        <v>0</v>
      </c>
      <c r="P1294" s="146"/>
    </row>
    <row r="1295" spans="2:16" x14ac:dyDescent="0.3">
      <c r="B1295" s="146">
        <v>1288</v>
      </c>
      <c r="C1295" s="147"/>
      <c r="D1295" s="147"/>
      <c r="E1295" s="146"/>
      <c r="F1295" s="148" t="str">
        <f>+IFERROR(VLOOKUP(E1295,Data!C1291:D1386,2,0),"")</f>
        <v/>
      </c>
      <c r="G1295" s="146"/>
      <c r="H1295" s="149"/>
      <c r="I1295" s="150"/>
      <c r="J1295" s="151" t="str">
        <f t="shared" si="60"/>
        <v>-</v>
      </c>
      <c r="K1295" s="152"/>
      <c r="L1295" s="149"/>
      <c r="M1295" s="149"/>
      <c r="N1295" s="153">
        <f t="shared" si="61"/>
        <v>0</v>
      </c>
      <c r="O1295" s="153">
        <f t="shared" si="62"/>
        <v>0</v>
      </c>
      <c r="P1295" s="146"/>
    </row>
    <row r="1296" spans="2:16" x14ac:dyDescent="0.3">
      <c r="B1296" s="146">
        <v>1289</v>
      </c>
      <c r="C1296" s="147"/>
      <c r="D1296" s="147"/>
      <c r="E1296" s="146"/>
      <c r="F1296" s="148" t="str">
        <f>+IFERROR(VLOOKUP(E1296,Data!C1292:D1387,2,0),"")</f>
        <v/>
      </c>
      <c r="G1296" s="146"/>
      <c r="H1296" s="149"/>
      <c r="I1296" s="150"/>
      <c r="J1296" s="151" t="str">
        <f t="shared" si="60"/>
        <v>-</v>
      </c>
      <c r="K1296" s="152"/>
      <c r="L1296" s="149"/>
      <c r="M1296" s="149"/>
      <c r="N1296" s="153">
        <f t="shared" si="61"/>
        <v>0</v>
      </c>
      <c r="O1296" s="153">
        <f t="shared" si="62"/>
        <v>0</v>
      </c>
      <c r="P1296" s="146"/>
    </row>
    <row r="1297" spans="2:16" x14ac:dyDescent="0.3">
      <c r="B1297" s="146">
        <v>1290</v>
      </c>
      <c r="C1297" s="147"/>
      <c r="D1297" s="147"/>
      <c r="E1297" s="146"/>
      <c r="F1297" s="148" t="str">
        <f>+IFERROR(VLOOKUP(E1297,Data!C1293:D1388,2,0),"")</f>
        <v/>
      </c>
      <c r="G1297" s="146"/>
      <c r="H1297" s="149"/>
      <c r="I1297" s="150"/>
      <c r="J1297" s="151" t="str">
        <f t="shared" si="60"/>
        <v>-</v>
      </c>
      <c r="K1297" s="152"/>
      <c r="L1297" s="149"/>
      <c r="M1297" s="149"/>
      <c r="N1297" s="153">
        <f t="shared" si="61"/>
        <v>0</v>
      </c>
      <c r="O1297" s="153">
        <f t="shared" si="62"/>
        <v>0</v>
      </c>
      <c r="P1297" s="146"/>
    </row>
    <row r="1298" spans="2:16" x14ac:dyDescent="0.3">
      <c r="B1298" s="146">
        <v>1291</v>
      </c>
      <c r="C1298" s="147"/>
      <c r="D1298" s="147"/>
      <c r="E1298" s="146"/>
      <c r="F1298" s="148" t="str">
        <f>+IFERROR(VLOOKUP(E1298,Data!C1294:D1389,2,0),"")</f>
        <v/>
      </c>
      <c r="G1298" s="146"/>
      <c r="H1298" s="149"/>
      <c r="I1298" s="150"/>
      <c r="J1298" s="151" t="str">
        <f t="shared" si="60"/>
        <v>-</v>
      </c>
      <c r="K1298" s="152"/>
      <c r="L1298" s="149"/>
      <c r="M1298" s="149"/>
      <c r="N1298" s="153">
        <f t="shared" si="61"/>
        <v>0</v>
      </c>
      <c r="O1298" s="153">
        <f t="shared" si="62"/>
        <v>0</v>
      </c>
      <c r="P1298" s="146"/>
    </row>
    <row r="1299" spans="2:16" x14ac:dyDescent="0.3">
      <c r="B1299" s="146">
        <v>1292</v>
      </c>
      <c r="C1299" s="147"/>
      <c r="D1299" s="147"/>
      <c r="E1299" s="146"/>
      <c r="F1299" s="148" t="str">
        <f>+IFERROR(VLOOKUP(E1299,Data!C1295:D1390,2,0),"")</f>
        <v/>
      </c>
      <c r="G1299" s="146"/>
      <c r="H1299" s="149"/>
      <c r="I1299" s="150"/>
      <c r="J1299" s="151" t="str">
        <f t="shared" si="60"/>
        <v>-</v>
      </c>
      <c r="K1299" s="152"/>
      <c r="L1299" s="149"/>
      <c r="M1299" s="149"/>
      <c r="N1299" s="153">
        <f t="shared" si="61"/>
        <v>0</v>
      </c>
      <c r="O1299" s="153">
        <f t="shared" si="62"/>
        <v>0</v>
      </c>
      <c r="P1299" s="146"/>
    </row>
    <row r="1300" spans="2:16" x14ac:dyDescent="0.3">
      <c r="B1300" s="146">
        <v>1293</v>
      </c>
      <c r="C1300" s="147"/>
      <c r="D1300" s="147"/>
      <c r="E1300" s="146"/>
      <c r="F1300" s="148" t="str">
        <f>+IFERROR(VLOOKUP(E1300,Data!C1296:D1391,2,0),"")</f>
        <v/>
      </c>
      <c r="G1300" s="146"/>
      <c r="H1300" s="149"/>
      <c r="I1300" s="150"/>
      <c r="J1300" s="151" t="str">
        <f t="shared" si="60"/>
        <v>-</v>
      </c>
      <c r="K1300" s="152"/>
      <c r="L1300" s="149"/>
      <c r="M1300" s="149"/>
      <c r="N1300" s="153">
        <f t="shared" si="61"/>
        <v>0</v>
      </c>
      <c r="O1300" s="153">
        <f t="shared" si="62"/>
        <v>0</v>
      </c>
      <c r="P1300" s="146"/>
    </row>
    <row r="1301" spans="2:16" x14ac:dyDescent="0.3">
      <c r="B1301" s="146">
        <v>1294</v>
      </c>
      <c r="C1301" s="147"/>
      <c r="D1301" s="147"/>
      <c r="E1301" s="146"/>
      <c r="F1301" s="148" t="str">
        <f>+IFERROR(VLOOKUP(E1301,Data!C1297:D1392,2,0),"")</f>
        <v/>
      </c>
      <c r="G1301" s="146"/>
      <c r="H1301" s="149"/>
      <c r="I1301" s="150"/>
      <c r="J1301" s="151" t="str">
        <f t="shared" si="60"/>
        <v>-</v>
      </c>
      <c r="K1301" s="152"/>
      <c r="L1301" s="149"/>
      <c r="M1301" s="149"/>
      <c r="N1301" s="153">
        <f t="shared" si="61"/>
        <v>0</v>
      </c>
      <c r="O1301" s="153">
        <f t="shared" si="62"/>
        <v>0</v>
      </c>
      <c r="P1301" s="146"/>
    </row>
    <row r="1302" spans="2:16" x14ac:dyDescent="0.3">
      <c r="B1302" s="146">
        <v>1295</v>
      </c>
      <c r="C1302" s="147"/>
      <c r="D1302" s="147"/>
      <c r="E1302" s="146"/>
      <c r="F1302" s="148" t="str">
        <f>+IFERROR(VLOOKUP(E1302,Data!C1298:D1393,2,0),"")</f>
        <v/>
      </c>
      <c r="G1302" s="146"/>
      <c r="H1302" s="149"/>
      <c r="I1302" s="150"/>
      <c r="J1302" s="151" t="str">
        <f t="shared" si="60"/>
        <v>-</v>
      </c>
      <c r="K1302" s="152"/>
      <c r="L1302" s="149"/>
      <c r="M1302" s="149"/>
      <c r="N1302" s="153">
        <f t="shared" si="61"/>
        <v>0</v>
      </c>
      <c r="O1302" s="153">
        <f t="shared" si="62"/>
        <v>0</v>
      </c>
      <c r="P1302" s="146"/>
    </row>
    <row r="1303" spans="2:16" x14ac:dyDescent="0.3">
      <c r="B1303" s="146">
        <v>1296</v>
      </c>
      <c r="C1303" s="147"/>
      <c r="D1303" s="147"/>
      <c r="E1303" s="146"/>
      <c r="F1303" s="148" t="str">
        <f>+IFERROR(VLOOKUP(E1303,Data!C1299:D1394,2,0),"")</f>
        <v/>
      </c>
      <c r="G1303" s="146"/>
      <c r="H1303" s="149"/>
      <c r="I1303" s="150"/>
      <c r="J1303" s="151" t="str">
        <f t="shared" si="60"/>
        <v>-</v>
      </c>
      <c r="K1303" s="152"/>
      <c r="L1303" s="149"/>
      <c r="M1303" s="149"/>
      <c r="N1303" s="153">
        <f t="shared" si="61"/>
        <v>0</v>
      </c>
      <c r="O1303" s="153">
        <f t="shared" si="62"/>
        <v>0</v>
      </c>
      <c r="P1303" s="146"/>
    </row>
    <row r="1304" spans="2:16" x14ac:dyDescent="0.3">
      <c r="B1304" s="146">
        <v>1297</v>
      </c>
      <c r="C1304" s="147"/>
      <c r="D1304" s="147"/>
      <c r="E1304" s="146"/>
      <c r="F1304" s="148" t="str">
        <f>+IFERROR(VLOOKUP(E1304,Data!C1300:D1395,2,0),"")</f>
        <v/>
      </c>
      <c r="G1304" s="146"/>
      <c r="H1304" s="149"/>
      <c r="I1304" s="150"/>
      <c r="J1304" s="151" t="str">
        <f t="shared" si="60"/>
        <v>-</v>
      </c>
      <c r="K1304" s="152"/>
      <c r="L1304" s="149"/>
      <c r="M1304" s="149"/>
      <c r="N1304" s="153">
        <f t="shared" si="61"/>
        <v>0</v>
      </c>
      <c r="O1304" s="153">
        <f t="shared" si="62"/>
        <v>0</v>
      </c>
      <c r="P1304" s="146"/>
    </row>
    <row r="1305" spans="2:16" x14ac:dyDescent="0.3">
      <c r="B1305" s="146">
        <v>1298</v>
      </c>
      <c r="C1305" s="147"/>
      <c r="D1305" s="147"/>
      <c r="E1305" s="146"/>
      <c r="F1305" s="148" t="str">
        <f>+IFERROR(VLOOKUP(E1305,Data!C1301:D1396,2,0),"")</f>
        <v/>
      </c>
      <c r="G1305" s="146"/>
      <c r="H1305" s="149"/>
      <c r="I1305" s="150"/>
      <c r="J1305" s="151" t="str">
        <f t="shared" si="60"/>
        <v>-</v>
      </c>
      <c r="K1305" s="152"/>
      <c r="L1305" s="149"/>
      <c r="M1305" s="149"/>
      <c r="N1305" s="153">
        <f t="shared" si="61"/>
        <v>0</v>
      </c>
      <c r="O1305" s="153">
        <f t="shared" si="62"/>
        <v>0</v>
      </c>
      <c r="P1305" s="146"/>
    </row>
    <row r="1306" spans="2:16" x14ac:dyDescent="0.3">
      <c r="B1306" s="146">
        <v>1299</v>
      </c>
      <c r="C1306" s="147"/>
      <c r="D1306" s="147"/>
      <c r="E1306" s="146"/>
      <c r="F1306" s="148" t="str">
        <f>+IFERROR(VLOOKUP(E1306,Data!C1302:D1397,2,0),"")</f>
        <v/>
      </c>
      <c r="G1306" s="146"/>
      <c r="H1306" s="149"/>
      <c r="I1306" s="150"/>
      <c r="J1306" s="151" t="str">
        <f t="shared" si="60"/>
        <v>-</v>
      </c>
      <c r="K1306" s="152"/>
      <c r="L1306" s="149"/>
      <c r="M1306" s="149"/>
      <c r="N1306" s="153">
        <f t="shared" si="61"/>
        <v>0</v>
      </c>
      <c r="O1306" s="153">
        <f t="shared" si="62"/>
        <v>0</v>
      </c>
      <c r="P1306" s="146"/>
    </row>
    <row r="1307" spans="2:16" x14ac:dyDescent="0.3">
      <c r="B1307" s="146">
        <v>1300</v>
      </c>
      <c r="C1307" s="147"/>
      <c r="D1307" s="147"/>
      <c r="E1307" s="146"/>
      <c r="F1307" s="148" t="str">
        <f>+IFERROR(VLOOKUP(E1307,Data!C1303:D1398,2,0),"")</f>
        <v/>
      </c>
      <c r="G1307" s="146"/>
      <c r="H1307" s="149"/>
      <c r="I1307" s="150"/>
      <c r="J1307" s="151" t="str">
        <f t="shared" si="60"/>
        <v>-</v>
      </c>
      <c r="K1307" s="152"/>
      <c r="L1307" s="149"/>
      <c r="M1307" s="149"/>
      <c r="N1307" s="153">
        <f t="shared" si="61"/>
        <v>0</v>
      </c>
      <c r="O1307" s="153">
        <f t="shared" si="62"/>
        <v>0</v>
      </c>
      <c r="P1307" s="146"/>
    </row>
    <row r="1308" spans="2:16" x14ac:dyDescent="0.3">
      <c r="B1308" s="146">
        <v>1301</v>
      </c>
      <c r="C1308" s="147"/>
      <c r="D1308" s="147"/>
      <c r="E1308" s="146"/>
      <c r="F1308" s="148" t="str">
        <f>+IFERROR(VLOOKUP(E1308,Data!C1304:D1399,2,0),"")</f>
        <v/>
      </c>
      <c r="G1308" s="146"/>
      <c r="H1308" s="149"/>
      <c r="I1308" s="150"/>
      <c r="J1308" s="151" t="str">
        <f t="shared" si="60"/>
        <v>-</v>
      </c>
      <c r="K1308" s="152"/>
      <c r="L1308" s="149"/>
      <c r="M1308" s="149"/>
      <c r="N1308" s="153">
        <f t="shared" si="61"/>
        <v>0</v>
      </c>
      <c r="O1308" s="153">
        <f t="shared" si="62"/>
        <v>0</v>
      </c>
      <c r="P1308" s="146"/>
    </row>
    <row r="1309" spans="2:16" x14ac:dyDescent="0.3">
      <c r="B1309" s="146">
        <v>1302</v>
      </c>
      <c r="C1309" s="147"/>
      <c r="D1309" s="147"/>
      <c r="E1309" s="146"/>
      <c r="F1309" s="148" t="str">
        <f>+IFERROR(VLOOKUP(E1309,Data!C1305:D1400,2,0),"")</f>
        <v/>
      </c>
      <c r="G1309" s="146"/>
      <c r="H1309" s="149"/>
      <c r="I1309" s="150"/>
      <c r="J1309" s="151" t="str">
        <f t="shared" si="60"/>
        <v>-</v>
      </c>
      <c r="K1309" s="152"/>
      <c r="L1309" s="149"/>
      <c r="M1309" s="149"/>
      <c r="N1309" s="153">
        <f t="shared" si="61"/>
        <v>0</v>
      </c>
      <c r="O1309" s="153">
        <f t="shared" si="62"/>
        <v>0</v>
      </c>
      <c r="P1309" s="146"/>
    </row>
    <row r="1310" spans="2:16" x14ac:dyDescent="0.3">
      <c r="B1310" s="146">
        <v>1303</v>
      </c>
      <c r="C1310" s="147"/>
      <c r="D1310" s="147"/>
      <c r="E1310" s="146"/>
      <c r="F1310" s="148" t="str">
        <f>+IFERROR(VLOOKUP(E1310,Data!C1306:D1401,2,0),"")</f>
        <v/>
      </c>
      <c r="G1310" s="146"/>
      <c r="H1310" s="149"/>
      <c r="I1310" s="150"/>
      <c r="J1310" s="151" t="str">
        <f t="shared" si="60"/>
        <v>-</v>
      </c>
      <c r="K1310" s="152"/>
      <c r="L1310" s="149"/>
      <c r="M1310" s="149"/>
      <c r="N1310" s="153">
        <f t="shared" si="61"/>
        <v>0</v>
      </c>
      <c r="O1310" s="153">
        <f t="shared" si="62"/>
        <v>0</v>
      </c>
      <c r="P1310" s="146"/>
    </row>
    <row r="1311" spans="2:16" x14ac:dyDescent="0.3">
      <c r="B1311" s="146">
        <v>1304</v>
      </c>
      <c r="C1311" s="147"/>
      <c r="D1311" s="147"/>
      <c r="E1311" s="146"/>
      <c r="F1311" s="148" t="str">
        <f>+IFERROR(VLOOKUP(E1311,Data!C1307:D1402,2,0),"")</f>
        <v/>
      </c>
      <c r="G1311" s="146"/>
      <c r="H1311" s="149"/>
      <c r="I1311" s="150"/>
      <c r="J1311" s="151" t="str">
        <f t="shared" si="60"/>
        <v>-</v>
      </c>
      <c r="K1311" s="152"/>
      <c r="L1311" s="149"/>
      <c r="M1311" s="149"/>
      <c r="N1311" s="153">
        <f t="shared" si="61"/>
        <v>0</v>
      </c>
      <c r="O1311" s="153">
        <f t="shared" si="62"/>
        <v>0</v>
      </c>
      <c r="P1311" s="146"/>
    </row>
    <row r="1312" spans="2:16" x14ac:dyDescent="0.3">
      <c r="B1312" s="146">
        <v>1305</v>
      </c>
      <c r="C1312" s="147"/>
      <c r="D1312" s="147"/>
      <c r="E1312" s="146"/>
      <c r="F1312" s="148" t="str">
        <f>+IFERROR(VLOOKUP(E1312,Data!C1308:D1403,2,0),"")</f>
        <v/>
      </c>
      <c r="G1312" s="146"/>
      <c r="H1312" s="149"/>
      <c r="I1312" s="150"/>
      <c r="J1312" s="151" t="str">
        <f t="shared" si="60"/>
        <v>-</v>
      </c>
      <c r="K1312" s="152"/>
      <c r="L1312" s="149"/>
      <c r="M1312" s="149"/>
      <c r="N1312" s="153">
        <f t="shared" si="61"/>
        <v>0</v>
      </c>
      <c r="O1312" s="153">
        <f t="shared" si="62"/>
        <v>0</v>
      </c>
      <c r="P1312" s="146"/>
    </row>
    <row r="1313" spans="2:16" x14ac:dyDescent="0.3">
      <c r="B1313" s="146">
        <v>1306</v>
      </c>
      <c r="C1313" s="147"/>
      <c r="D1313" s="147"/>
      <c r="E1313" s="146"/>
      <c r="F1313" s="148" t="str">
        <f>+IFERROR(VLOOKUP(E1313,Data!C1309:D1404,2,0),"")</f>
        <v/>
      </c>
      <c r="G1313" s="146"/>
      <c r="H1313" s="149"/>
      <c r="I1313" s="150"/>
      <c r="J1313" s="151" t="str">
        <f t="shared" si="60"/>
        <v>-</v>
      </c>
      <c r="K1313" s="152"/>
      <c r="L1313" s="149"/>
      <c r="M1313" s="149"/>
      <c r="N1313" s="153">
        <f t="shared" si="61"/>
        <v>0</v>
      </c>
      <c r="O1313" s="153">
        <f t="shared" si="62"/>
        <v>0</v>
      </c>
      <c r="P1313" s="146"/>
    </row>
    <row r="1314" spans="2:16" x14ac:dyDescent="0.3">
      <c r="B1314" s="146">
        <v>1307</v>
      </c>
      <c r="C1314" s="147"/>
      <c r="D1314" s="147"/>
      <c r="E1314" s="146"/>
      <c r="F1314" s="148" t="str">
        <f>+IFERROR(VLOOKUP(E1314,Data!C1310:D1405,2,0),"")</f>
        <v/>
      </c>
      <c r="G1314" s="146"/>
      <c r="H1314" s="149"/>
      <c r="I1314" s="150"/>
      <c r="J1314" s="151" t="str">
        <f t="shared" si="60"/>
        <v>-</v>
      </c>
      <c r="K1314" s="152"/>
      <c r="L1314" s="149"/>
      <c r="M1314" s="149"/>
      <c r="N1314" s="153">
        <f t="shared" si="61"/>
        <v>0</v>
      </c>
      <c r="O1314" s="153">
        <f t="shared" si="62"/>
        <v>0</v>
      </c>
      <c r="P1314" s="146"/>
    </row>
    <row r="1315" spans="2:16" x14ac:dyDescent="0.3">
      <c r="B1315" s="146">
        <v>1308</v>
      </c>
      <c r="C1315" s="147"/>
      <c r="D1315" s="147"/>
      <c r="E1315" s="146"/>
      <c r="F1315" s="148" t="str">
        <f>+IFERROR(VLOOKUP(E1315,Data!C1311:D1406,2,0),"")</f>
        <v/>
      </c>
      <c r="G1315" s="146"/>
      <c r="H1315" s="149"/>
      <c r="I1315" s="150"/>
      <c r="J1315" s="151" t="str">
        <f t="shared" si="60"/>
        <v>-</v>
      </c>
      <c r="K1315" s="152"/>
      <c r="L1315" s="149"/>
      <c r="M1315" s="149"/>
      <c r="N1315" s="153">
        <f t="shared" si="61"/>
        <v>0</v>
      </c>
      <c r="O1315" s="153">
        <f t="shared" si="62"/>
        <v>0</v>
      </c>
      <c r="P1315" s="146"/>
    </row>
    <row r="1316" spans="2:16" x14ac:dyDescent="0.3">
      <c r="B1316" s="146">
        <v>1309</v>
      </c>
      <c r="C1316" s="147"/>
      <c r="D1316" s="147"/>
      <c r="E1316" s="146"/>
      <c r="F1316" s="148" t="str">
        <f>+IFERROR(VLOOKUP(E1316,Data!C1312:D1407,2,0),"")</f>
        <v/>
      </c>
      <c r="G1316" s="146"/>
      <c r="H1316" s="149"/>
      <c r="I1316" s="150"/>
      <c r="J1316" s="151" t="str">
        <f t="shared" si="60"/>
        <v>-</v>
      </c>
      <c r="K1316" s="152"/>
      <c r="L1316" s="149"/>
      <c r="M1316" s="149"/>
      <c r="N1316" s="153">
        <f t="shared" si="61"/>
        <v>0</v>
      </c>
      <c r="O1316" s="153">
        <f t="shared" si="62"/>
        <v>0</v>
      </c>
      <c r="P1316" s="146"/>
    </row>
    <row r="1317" spans="2:16" x14ac:dyDescent="0.3">
      <c r="B1317" s="146">
        <v>1310</v>
      </c>
      <c r="C1317" s="147"/>
      <c r="D1317" s="147"/>
      <c r="E1317" s="146"/>
      <c r="F1317" s="148" t="str">
        <f>+IFERROR(VLOOKUP(E1317,Data!C1313:D1408,2,0),"")</f>
        <v/>
      </c>
      <c r="G1317" s="146"/>
      <c r="H1317" s="149"/>
      <c r="I1317" s="150"/>
      <c r="J1317" s="151" t="str">
        <f t="shared" si="60"/>
        <v>-</v>
      </c>
      <c r="K1317" s="152"/>
      <c r="L1317" s="149"/>
      <c r="M1317" s="149"/>
      <c r="N1317" s="153">
        <f t="shared" si="61"/>
        <v>0</v>
      </c>
      <c r="O1317" s="153">
        <f t="shared" si="62"/>
        <v>0</v>
      </c>
      <c r="P1317" s="146"/>
    </row>
    <row r="1318" spans="2:16" x14ac:dyDescent="0.3">
      <c r="B1318" s="146">
        <v>1311</v>
      </c>
      <c r="C1318" s="147"/>
      <c r="D1318" s="147"/>
      <c r="E1318" s="146"/>
      <c r="F1318" s="148" t="str">
        <f>+IFERROR(VLOOKUP(E1318,Data!C1314:D1409,2,0),"")</f>
        <v/>
      </c>
      <c r="G1318" s="146"/>
      <c r="H1318" s="149"/>
      <c r="I1318" s="150"/>
      <c r="J1318" s="151" t="str">
        <f t="shared" si="60"/>
        <v>-</v>
      </c>
      <c r="K1318" s="152"/>
      <c r="L1318" s="149"/>
      <c r="M1318" s="149"/>
      <c r="N1318" s="153">
        <f t="shared" si="61"/>
        <v>0</v>
      </c>
      <c r="O1318" s="153">
        <f t="shared" si="62"/>
        <v>0</v>
      </c>
      <c r="P1318" s="146"/>
    </row>
    <row r="1319" spans="2:16" x14ac:dyDescent="0.3">
      <c r="B1319" s="146">
        <v>1312</v>
      </c>
      <c r="C1319" s="147"/>
      <c r="D1319" s="147"/>
      <c r="E1319" s="146"/>
      <c r="F1319" s="148" t="str">
        <f>+IFERROR(VLOOKUP(E1319,Data!C1315:D1410,2,0),"")</f>
        <v/>
      </c>
      <c r="G1319" s="146"/>
      <c r="H1319" s="149"/>
      <c r="I1319" s="150"/>
      <c r="J1319" s="151" t="str">
        <f t="shared" si="60"/>
        <v>-</v>
      </c>
      <c r="K1319" s="152"/>
      <c r="L1319" s="149"/>
      <c r="M1319" s="149"/>
      <c r="N1319" s="153">
        <f t="shared" si="61"/>
        <v>0</v>
      </c>
      <c r="O1319" s="153">
        <f t="shared" si="62"/>
        <v>0</v>
      </c>
      <c r="P1319" s="146"/>
    </row>
    <row r="1320" spans="2:16" x14ac:dyDescent="0.3">
      <c r="B1320" s="146">
        <v>1313</v>
      </c>
      <c r="C1320" s="147"/>
      <c r="D1320" s="147"/>
      <c r="E1320" s="146"/>
      <c r="F1320" s="148" t="str">
        <f>+IFERROR(VLOOKUP(E1320,Data!C1316:D1411,2,0),"")</f>
        <v/>
      </c>
      <c r="G1320" s="146"/>
      <c r="H1320" s="149"/>
      <c r="I1320" s="150"/>
      <c r="J1320" s="151" t="str">
        <f t="shared" si="60"/>
        <v>-</v>
      </c>
      <c r="K1320" s="152"/>
      <c r="L1320" s="149"/>
      <c r="M1320" s="149"/>
      <c r="N1320" s="153">
        <f t="shared" si="61"/>
        <v>0</v>
      </c>
      <c r="O1320" s="153">
        <f t="shared" si="62"/>
        <v>0</v>
      </c>
      <c r="P1320" s="146"/>
    </row>
    <row r="1321" spans="2:16" x14ac:dyDescent="0.3">
      <c r="B1321" s="146">
        <v>1314</v>
      </c>
      <c r="C1321" s="147"/>
      <c r="D1321" s="147"/>
      <c r="E1321" s="146"/>
      <c r="F1321" s="148" t="str">
        <f>+IFERROR(VLOOKUP(E1321,Data!C1317:D1412,2,0),"")</f>
        <v/>
      </c>
      <c r="G1321" s="146"/>
      <c r="H1321" s="149"/>
      <c r="I1321" s="150"/>
      <c r="J1321" s="151" t="str">
        <f t="shared" si="60"/>
        <v>-</v>
      </c>
      <c r="K1321" s="152"/>
      <c r="L1321" s="149"/>
      <c r="M1321" s="149"/>
      <c r="N1321" s="153">
        <f t="shared" si="61"/>
        <v>0</v>
      </c>
      <c r="O1321" s="153">
        <f t="shared" si="62"/>
        <v>0</v>
      </c>
      <c r="P1321" s="146"/>
    </row>
    <row r="1322" spans="2:16" x14ac:dyDescent="0.3">
      <c r="B1322" s="146">
        <v>1315</v>
      </c>
      <c r="C1322" s="147"/>
      <c r="D1322" s="147"/>
      <c r="E1322" s="146"/>
      <c r="F1322" s="148" t="str">
        <f>+IFERROR(VLOOKUP(E1322,Data!C1318:D1413,2,0),"")</f>
        <v/>
      </c>
      <c r="G1322" s="146"/>
      <c r="H1322" s="149"/>
      <c r="I1322" s="150"/>
      <c r="J1322" s="151" t="str">
        <f t="shared" si="60"/>
        <v>-</v>
      </c>
      <c r="K1322" s="152"/>
      <c r="L1322" s="149"/>
      <c r="M1322" s="149"/>
      <c r="N1322" s="153">
        <f t="shared" si="61"/>
        <v>0</v>
      </c>
      <c r="O1322" s="153">
        <f t="shared" si="62"/>
        <v>0</v>
      </c>
      <c r="P1322" s="146"/>
    </row>
    <row r="1323" spans="2:16" x14ac:dyDescent="0.3">
      <c r="B1323" s="146">
        <v>1316</v>
      </c>
      <c r="C1323" s="147"/>
      <c r="D1323" s="147"/>
      <c r="E1323" s="146"/>
      <c r="F1323" s="148" t="str">
        <f>+IFERROR(VLOOKUP(E1323,Data!C1319:D1414,2,0),"")</f>
        <v/>
      </c>
      <c r="G1323" s="146"/>
      <c r="H1323" s="149"/>
      <c r="I1323" s="150"/>
      <c r="J1323" s="151" t="str">
        <f t="shared" si="60"/>
        <v>-</v>
      </c>
      <c r="K1323" s="152"/>
      <c r="L1323" s="149"/>
      <c r="M1323" s="149"/>
      <c r="N1323" s="153">
        <f t="shared" si="61"/>
        <v>0</v>
      </c>
      <c r="O1323" s="153">
        <f t="shared" si="62"/>
        <v>0</v>
      </c>
      <c r="P1323" s="146"/>
    </row>
    <row r="1324" spans="2:16" x14ac:dyDescent="0.3">
      <c r="B1324" s="146">
        <v>1317</v>
      </c>
      <c r="C1324" s="147"/>
      <c r="D1324" s="147"/>
      <c r="E1324" s="146"/>
      <c r="F1324" s="148" t="str">
        <f>+IFERROR(VLOOKUP(E1324,Data!C1320:D1415,2,0),"")</f>
        <v/>
      </c>
      <c r="G1324" s="146"/>
      <c r="H1324" s="149"/>
      <c r="I1324" s="150"/>
      <c r="J1324" s="151" t="str">
        <f t="shared" si="60"/>
        <v>-</v>
      </c>
      <c r="K1324" s="152"/>
      <c r="L1324" s="149"/>
      <c r="M1324" s="149"/>
      <c r="N1324" s="153">
        <f t="shared" si="61"/>
        <v>0</v>
      </c>
      <c r="O1324" s="153">
        <f t="shared" si="62"/>
        <v>0</v>
      </c>
      <c r="P1324" s="146"/>
    </row>
    <row r="1325" spans="2:16" x14ac:dyDescent="0.3">
      <c r="B1325" s="146">
        <v>1318</v>
      </c>
      <c r="C1325" s="147"/>
      <c r="D1325" s="147"/>
      <c r="E1325" s="146"/>
      <c r="F1325" s="148" t="str">
        <f>+IFERROR(VLOOKUP(E1325,Data!C1321:D1416,2,0),"")</f>
        <v/>
      </c>
      <c r="G1325" s="146"/>
      <c r="H1325" s="149"/>
      <c r="I1325" s="150"/>
      <c r="J1325" s="151" t="str">
        <f t="shared" si="60"/>
        <v>-</v>
      </c>
      <c r="K1325" s="152"/>
      <c r="L1325" s="149"/>
      <c r="M1325" s="149"/>
      <c r="N1325" s="153">
        <f t="shared" si="61"/>
        <v>0</v>
      </c>
      <c r="O1325" s="153">
        <f t="shared" si="62"/>
        <v>0</v>
      </c>
      <c r="P1325" s="146"/>
    </row>
    <row r="1326" spans="2:16" x14ac:dyDescent="0.3">
      <c r="B1326" s="146">
        <v>1319</v>
      </c>
      <c r="C1326" s="147"/>
      <c r="D1326" s="147"/>
      <c r="E1326" s="146"/>
      <c r="F1326" s="148" t="str">
        <f>+IFERROR(VLOOKUP(E1326,Data!C1322:D1417,2,0),"")</f>
        <v/>
      </c>
      <c r="G1326" s="146"/>
      <c r="H1326" s="149"/>
      <c r="I1326" s="150"/>
      <c r="J1326" s="151" t="str">
        <f t="shared" si="60"/>
        <v>-</v>
      </c>
      <c r="K1326" s="152"/>
      <c r="L1326" s="149"/>
      <c r="M1326" s="149"/>
      <c r="N1326" s="153">
        <f t="shared" si="61"/>
        <v>0</v>
      </c>
      <c r="O1326" s="153">
        <f t="shared" si="62"/>
        <v>0</v>
      </c>
      <c r="P1326" s="146"/>
    </row>
    <row r="1327" spans="2:16" x14ac:dyDescent="0.3">
      <c r="B1327" s="146">
        <v>1320</v>
      </c>
      <c r="C1327" s="147"/>
      <c r="D1327" s="147"/>
      <c r="E1327" s="146"/>
      <c r="F1327" s="148" t="str">
        <f>+IFERROR(VLOOKUP(E1327,Data!C1323:D1418,2,0),"")</f>
        <v/>
      </c>
      <c r="G1327" s="146"/>
      <c r="H1327" s="149"/>
      <c r="I1327" s="150"/>
      <c r="J1327" s="151" t="str">
        <f t="shared" si="60"/>
        <v>-</v>
      </c>
      <c r="K1327" s="152"/>
      <c r="L1327" s="149"/>
      <c r="M1327" s="149"/>
      <c r="N1327" s="153">
        <f t="shared" si="61"/>
        <v>0</v>
      </c>
      <c r="O1327" s="153">
        <f t="shared" si="62"/>
        <v>0</v>
      </c>
      <c r="P1327" s="146"/>
    </row>
    <row r="1328" spans="2:16" x14ac:dyDescent="0.3">
      <c r="B1328" s="146">
        <v>1321</v>
      </c>
      <c r="C1328" s="147"/>
      <c r="D1328" s="147"/>
      <c r="E1328" s="146"/>
      <c r="F1328" s="148" t="str">
        <f>+IFERROR(VLOOKUP(E1328,Data!C1324:D1419,2,0),"")</f>
        <v/>
      </c>
      <c r="G1328" s="146"/>
      <c r="H1328" s="149"/>
      <c r="I1328" s="150"/>
      <c r="J1328" s="151" t="str">
        <f t="shared" si="60"/>
        <v>-</v>
      </c>
      <c r="K1328" s="152"/>
      <c r="L1328" s="149"/>
      <c r="M1328" s="149"/>
      <c r="N1328" s="153">
        <f t="shared" si="61"/>
        <v>0</v>
      </c>
      <c r="O1328" s="153">
        <f t="shared" si="62"/>
        <v>0</v>
      </c>
      <c r="P1328" s="146"/>
    </row>
    <row r="1329" spans="2:16" x14ac:dyDescent="0.3">
      <c r="B1329" s="146">
        <v>1322</v>
      </c>
      <c r="C1329" s="147"/>
      <c r="D1329" s="147"/>
      <c r="E1329" s="146"/>
      <c r="F1329" s="148" t="str">
        <f>+IFERROR(VLOOKUP(E1329,Data!C1325:D1420,2,0),"")</f>
        <v/>
      </c>
      <c r="G1329" s="146"/>
      <c r="H1329" s="149"/>
      <c r="I1329" s="150"/>
      <c r="J1329" s="151" t="str">
        <f t="shared" si="60"/>
        <v>-</v>
      </c>
      <c r="K1329" s="152"/>
      <c r="L1329" s="149"/>
      <c r="M1329" s="149"/>
      <c r="N1329" s="153">
        <f t="shared" si="61"/>
        <v>0</v>
      </c>
      <c r="O1329" s="153">
        <f t="shared" si="62"/>
        <v>0</v>
      </c>
      <c r="P1329" s="146"/>
    </row>
    <row r="1330" spans="2:16" x14ac:dyDescent="0.3">
      <c r="B1330" s="146">
        <v>1323</v>
      </c>
      <c r="C1330" s="147"/>
      <c r="D1330" s="147"/>
      <c r="E1330" s="146"/>
      <c r="F1330" s="148" t="str">
        <f>+IFERROR(VLOOKUP(E1330,Data!C1326:D1421,2,0),"")</f>
        <v/>
      </c>
      <c r="G1330" s="146"/>
      <c r="H1330" s="149"/>
      <c r="I1330" s="150"/>
      <c r="J1330" s="151" t="str">
        <f t="shared" si="60"/>
        <v>-</v>
      </c>
      <c r="K1330" s="152"/>
      <c r="L1330" s="149"/>
      <c r="M1330" s="149"/>
      <c r="N1330" s="153">
        <f t="shared" si="61"/>
        <v>0</v>
      </c>
      <c r="O1330" s="153">
        <f t="shared" si="62"/>
        <v>0</v>
      </c>
      <c r="P1330" s="146"/>
    </row>
    <row r="1331" spans="2:16" x14ac:dyDescent="0.3">
      <c r="B1331" s="146">
        <v>1324</v>
      </c>
      <c r="C1331" s="147"/>
      <c r="D1331" s="147"/>
      <c r="E1331" s="146"/>
      <c r="F1331" s="148" t="str">
        <f>+IFERROR(VLOOKUP(E1331,Data!C1327:D1422,2,0),"")</f>
        <v/>
      </c>
      <c r="G1331" s="146"/>
      <c r="H1331" s="149"/>
      <c r="I1331" s="150"/>
      <c r="J1331" s="151" t="str">
        <f t="shared" si="60"/>
        <v>-</v>
      </c>
      <c r="K1331" s="152"/>
      <c r="L1331" s="149"/>
      <c r="M1331" s="149"/>
      <c r="N1331" s="153">
        <f t="shared" si="61"/>
        <v>0</v>
      </c>
      <c r="O1331" s="153">
        <f t="shared" si="62"/>
        <v>0</v>
      </c>
      <c r="P1331" s="146"/>
    </row>
    <row r="1332" spans="2:16" x14ac:dyDescent="0.3">
      <c r="B1332" s="146">
        <v>1325</v>
      </c>
      <c r="C1332" s="147"/>
      <c r="D1332" s="147"/>
      <c r="E1332" s="146"/>
      <c r="F1332" s="148" t="str">
        <f>+IFERROR(VLOOKUP(E1332,Data!C1328:D1423,2,0),"")</f>
        <v/>
      </c>
      <c r="G1332" s="146"/>
      <c r="H1332" s="149"/>
      <c r="I1332" s="150"/>
      <c r="J1332" s="151" t="str">
        <f t="shared" si="60"/>
        <v>-</v>
      </c>
      <c r="K1332" s="152"/>
      <c r="L1332" s="149"/>
      <c r="M1332" s="149"/>
      <c r="N1332" s="153">
        <f t="shared" si="61"/>
        <v>0</v>
      </c>
      <c r="O1332" s="153">
        <f t="shared" si="62"/>
        <v>0</v>
      </c>
      <c r="P1332" s="146"/>
    </row>
    <row r="1333" spans="2:16" x14ac:dyDescent="0.3">
      <c r="B1333" s="146">
        <v>1326</v>
      </c>
      <c r="C1333" s="147"/>
      <c r="D1333" s="147"/>
      <c r="E1333" s="146"/>
      <c r="F1333" s="148" t="str">
        <f>+IFERROR(VLOOKUP(E1333,Data!C1329:D1424,2,0),"")</f>
        <v/>
      </c>
      <c r="G1333" s="146"/>
      <c r="H1333" s="149"/>
      <c r="I1333" s="150"/>
      <c r="J1333" s="151" t="str">
        <f t="shared" si="60"/>
        <v>-</v>
      </c>
      <c r="K1333" s="152"/>
      <c r="L1333" s="149"/>
      <c r="M1333" s="149"/>
      <c r="N1333" s="153">
        <f t="shared" si="61"/>
        <v>0</v>
      </c>
      <c r="O1333" s="153">
        <f t="shared" si="62"/>
        <v>0</v>
      </c>
      <c r="P1333" s="146"/>
    </row>
    <row r="1334" spans="2:16" x14ac:dyDescent="0.3">
      <c r="B1334" s="146">
        <v>1327</v>
      </c>
      <c r="C1334" s="147"/>
      <c r="D1334" s="147"/>
      <c r="E1334" s="146"/>
      <c r="F1334" s="148" t="str">
        <f>+IFERROR(VLOOKUP(E1334,Data!C1330:D1425,2,0),"")</f>
        <v/>
      </c>
      <c r="G1334" s="146"/>
      <c r="H1334" s="149"/>
      <c r="I1334" s="150"/>
      <c r="J1334" s="151" t="str">
        <f>IFERROR(+I1334/H1334,"-")</f>
        <v>-</v>
      </c>
      <c r="K1334" s="152"/>
      <c r="L1334" s="149"/>
      <c r="M1334" s="149"/>
      <c r="N1334" s="153">
        <f>+L1334+M1334</f>
        <v>0</v>
      </c>
      <c r="O1334" s="153">
        <f>+N1334-K1334</f>
        <v>0</v>
      </c>
      <c r="P1334" s="146"/>
    </row>
    <row r="1335" spans="2:16" x14ac:dyDescent="0.3">
      <c r="B1335" s="146">
        <v>1328</v>
      </c>
      <c r="C1335" s="147"/>
      <c r="D1335" s="147"/>
      <c r="E1335" s="146"/>
      <c r="F1335" s="148" t="str">
        <f>+IFERROR(VLOOKUP(E1335,Data!C1331:D1426,2,0),"")</f>
        <v/>
      </c>
      <c r="G1335" s="146"/>
      <c r="H1335" s="149"/>
      <c r="I1335" s="150"/>
      <c r="J1335" s="151" t="str">
        <f>IFERROR(+I1335/H1335,"-")</f>
        <v>-</v>
      </c>
      <c r="K1335" s="152"/>
      <c r="L1335" s="149"/>
      <c r="M1335" s="149"/>
      <c r="N1335" s="153">
        <f>+L1335+M1335</f>
        <v>0</v>
      </c>
      <c r="O1335" s="153">
        <f>+N1335-K1335</f>
        <v>0</v>
      </c>
      <c r="P1335" s="146"/>
    </row>
    <row r="1336" spans="2:16" x14ac:dyDescent="0.3">
      <c r="B1336" s="146">
        <v>1329</v>
      </c>
      <c r="C1336" s="147"/>
      <c r="D1336" s="147"/>
      <c r="E1336" s="146"/>
      <c r="F1336" s="148" t="str">
        <f>+IFERROR(VLOOKUP(E1336,Data!C1332:D1427,2,0),"")</f>
        <v/>
      </c>
      <c r="G1336" s="146"/>
      <c r="H1336" s="149"/>
      <c r="I1336" s="150"/>
      <c r="J1336" s="151" t="str">
        <f>IFERROR(+I1336/H1336,"-")</f>
        <v>-</v>
      </c>
      <c r="K1336" s="152"/>
      <c r="L1336" s="149"/>
      <c r="M1336" s="149"/>
      <c r="N1336" s="153">
        <f>+L1336+M1336</f>
        <v>0</v>
      </c>
      <c r="O1336" s="153">
        <f>+N1336-K1336</f>
        <v>0</v>
      </c>
      <c r="P1336" s="146"/>
    </row>
    <row r="1337" spans="2:16" x14ac:dyDescent="0.3">
      <c r="C1337" s="147"/>
      <c r="D1337" s="147"/>
      <c r="E1337" s="146"/>
      <c r="F1337" s="148" t="str">
        <f>+IFERROR(VLOOKUP(E1337,Data!C1333:D1428,2,0),"")</f>
        <v/>
      </c>
      <c r="G1337" s="146"/>
      <c r="H1337" s="149"/>
      <c r="I1337" s="150"/>
      <c r="J1337" s="151" t="str">
        <f>IFERROR(+I1337/H1337,"-")</f>
        <v>-</v>
      </c>
      <c r="K1337" s="152"/>
      <c r="L1337" s="149"/>
      <c r="M1337" s="149"/>
      <c r="N1337" s="153">
        <f>+L1337+M1337</f>
        <v>0</v>
      </c>
      <c r="O1337" s="153">
        <f>+N1337-K1337</f>
        <v>0</v>
      </c>
      <c r="P1337" s="146"/>
    </row>
    <row r="1338" spans="2:16" x14ac:dyDescent="0.3">
      <c r="C1338" s="147"/>
      <c r="D1338" s="147"/>
      <c r="E1338" s="146"/>
      <c r="F1338" s="148" t="str">
        <f>+IFERROR(VLOOKUP(E1338,Data!C1334:D1429,2,0),"")</f>
        <v/>
      </c>
      <c r="G1338" s="146"/>
      <c r="H1338" s="149"/>
      <c r="I1338" s="150"/>
      <c r="J1338" s="151" t="str">
        <f>IFERROR(+I1338/H1338,"-")</f>
        <v>-</v>
      </c>
      <c r="K1338" s="152"/>
      <c r="L1338" s="149"/>
      <c r="M1338" s="149"/>
      <c r="N1338" s="153">
        <f>+L1338+M1338</f>
        <v>0</v>
      </c>
      <c r="O1338" s="153">
        <f>+N1338-K1338</f>
        <v>0</v>
      </c>
      <c r="P1338" s="146"/>
    </row>
  </sheetData>
  <autoFilter ref="B7:P1338" xr:uid="{00000000-0009-0000-0000-000002000000}"/>
  <mergeCells count="3">
    <mergeCell ref="B2:P2"/>
    <mergeCell ref="B3:G4"/>
    <mergeCell ref="B5:F5"/>
  </mergeCells>
  <conditionalFormatting sqref="D8">
    <cfRule type="containsText" dxfId="112" priority="132" operator="containsText" text="Thái nguyên">
      <formula>NOT(ISERROR(SEARCH("Thái nguyên",D8)))</formula>
    </cfRule>
    <cfRule type="containsText" dxfId="111" priority="131" operator="containsText" text="Bắc giang thịt">
      <formula>NOT(ISERROR(SEARCH("Bắc giang thịt",D8)))</formula>
    </cfRule>
    <cfRule type="containsText" dxfId="110" priority="130" operator="containsText" text="Bắc giang nái">
      <formula>NOT(ISERROR(SEARCH("Bắc giang nái",D8)))</formula>
    </cfRule>
    <cfRule type="containsText" dxfId="109" priority="138" operator="containsText" text="Vĩnh phúc nái">
      <formula>NOT(ISERROR(SEARCH("Vĩnh phúc nái",D8)))</formula>
    </cfRule>
    <cfRule type="containsText" dxfId="108" priority="137" operator="containsText" text="Phú Xuyên">
      <formula>NOT(ISERROR(SEARCH("Phú Xuyên",D8)))</formula>
    </cfRule>
    <cfRule type="containsText" dxfId="107" priority="136" operator="containsText" text="Lục ngạn">
      <formula>NOT(ISERROR(SEARCH("Lục ngạn",D8)))</formula>
    </cfRule>
    <cfRule type="containsText" dxfId="106" priority="139" operator="containsText" text="Vĩnh Phúc Thịt">
      <formula>NOT(ISERROR(SEARCH("Vĩnh Phúc Thịt",D8)))</formula>
    </cfRule>
    <cfRule type="containsText" dxfId="105" priority="135" operator="containsText" text="Tiger">
      <formula>NOT(ISERROR(SEARCH("Tiger",D8)))</formula>
    </cfRule>
    <cfRule type="containsText" dxfId="104" priority="134" operator="containsText" text="Phú thọ 1">
      <formula>NOT(ISERROR(SEARCH("Phú thọ 1",D8)))</formula>
    </cfRule>
    <cfRule type="containsText" dxfId="103" priority="133" operator="containsText" text="Phú thọ 2">
      <formula>NOT(ISERROR(SEARCH("Phú thọ 2",D8)))</formula>
    </cfRule>
  </conditionalFormatting>
  <conditionalFormatting sqref="D8:D12">
    <cfRule type="containsText" dxfId="102" priority="112" operator="containsText" text="Vĩnh phúc nái">
      <formula>NOT(ISERROR(SEARCH("Vĩnh phúc nái",D8)))</formula>
    </cfRule>
    <cfRule type="containsText" dxfId="101" priority="113" operator="containsText" text="Vĩnh Phúc Thịt">
      <formula>NOT(ISERROR(SEARCH("Vĩnh Phúc Thịt",D8)))</formula>
    </cfRule>
    <cfRule type="containsText" dxfId="100" priority="105" operator="containsText" text="Bắc giang thịt">
      <formula>NOT(ISERROR(SEARCH("Bắc giang thịt",D8)))</formula>
    </cfRule>
    <cfRule type="containsText" dxfId="99" priority="104" operator="containsText" text="Bắc giang nái">
      <formula>NOT(ISERROR(SEARCH("Bắc giang nái",D8)))</formula>
    </cfRule>
    <cfRule type="containsText" dxfId="98" priority="111" operator="containsText" text="Phú Xuyên">
      <formula>NOT(ISERROR(SEARCH("Phú Xuyên",D8)))</formula>
    </cfRule>
    <cfRule type="containsText" dxfId="97" priority="106" operator="containsText" text="Thái nguyên">
      <formula>NOT(ISERROR(SEARCH("Thái nguyên",D8)))</formula>
    </cfRule>
    <cfRule type="containsText" dxfId="96" priority="107" operator="containsText" text="Phú thọ 2">
      <formula>NOT(ISERROR(SEARCH("Phú thọ 2",D8)))</formula>
    </cfRule>
    <cfRule type="containsText" dxfId="95" priority="108" operator="containsText" text="Phú thọ 1">
      <formula>NOT(ISERROR(SEARCH("Phú thọ 1",D8)))</formula>
    </cfRule>
    <cfRule type="containsText" dxfId="94" priority="109" operator="containsText" text="Tiger">
      <formula>NOT(ISERROR(SEARCH("Tiger",D8)))</formula>
    </cfRule>
    <cfRule type="containsText" dxfId="93" priority="110" operator="containsText" text="Lục ngạn">
      <formula>NOT(ISERROR(SEARCH("Lục ngạn",D8)))</formula>
    </cfRule>
  </conditionalFormatting>
  <conditionalFormatting sqref="D8:D1048576">
    <cfRule type="containsText" dxfId="92" priority="1" operator="containsText" text="APPE">
      <formula>NOT(ISERROR(SEARCH("APPE",D8)))</formula>
    </cfRule>
    <cfRule type="containsText" dxfId="91" priority="2" operator="containsText" text="Thanh Hóa Nái">
      <formula>NOT(ISERROR(SEARCH("Thanh Hóa Nái",D8)))</formula>
    </cfRule>
    <cfRule type="containsText" dxfId="90" priority="3" operator="containsText" text="Thanh Hóa Thịt">
      <formula>NOT(ISERROR(SEARCH("Thanh Hóa Thịt",D8)))</formula>
    </cfRule>
  </conditionalFormatting>
  <conditionalFormatting sqref="D9">
    <cfRule type="containsText" dxfId="89" priority="99" operator="containsText" text="Tiger">
      <formula>NOT(ISERROR(SEARCH("Tiger",D9)))</formula>
    </cfRule>
    <cfRule type="containsText" dxfId="88" priority="103" operator="containsText" text="Vĩnh Phúc Thịt">
      <formula>NOT(ISERROR(SEARCH("Vĩnh Phúc Thịt",D9)))</formula>
    </cfRule>
    <cfRule type="containsText" dxfId="87" priority="102" operator="containsText" text="Vĩnh phúc nái">
      <formula>NOT(ISERROR(SEARCH("Vĩnh phúc nái",D9)))</formula>
    </cfRule>
    <cfRule type="containsText" dxfId="86" priority="101" operator="containsText" text="Phú Xuyên">
      <formula>NOT(ISERROR(SEARCH("Phú Xuyên",D9)))</formula>
    </cfRule>
    <cfRule type="containsText" dxfId="85" priority="100" operator="containsText" text="Lục ngạn">
      <formula>NOT(ISERROR(SEARCH("Lục ngạn",D9)))</formula>
    </cfRule>
    <cfRule type="containsText" dxfId="84" priority="98" operator="containsText" text="Phú thọ 1">
      <formula>NOT(ISERROR(SEARCH("Phú thọ 1",D9)))</formula>
    </cfRule>
    <cfRule type="containsText" dxfId="83" priority="97" operator="containsText" text="Phú thọ 2">
      <formula>NOT(ISERROR(SEARCH("Phú thọ 2",D9)))</formula>
    </cfRule>
    <cfRule type="containsText" dxfId="82" priority="96" operator="containsText" text="Thái nguyên">
      <formula>NOT(ISERROR(SEARCH("Thái nguyên",D9)))</formula>
    </cfRule>
    <cfRule type="containsText" dxfId="81" priority="95" operator="containsText" text="Bắc giang thịt">
      <formula>NOT(ISERROR(SEARCH("Bắc giang thịt",D9)))</formula>
    </cfRule>
    <cfRule type="containsText" dxfId="80" priority="94" operator="containsText" text="Bắc giang nái">
      <formula>NOT(ISERROR(SEARCH("Bắc giang nái",D9)))</formula>
    </cfRule>
  </conditionalFormatting>
  <conditionalFormatting sqref="D12:D100002">
    <cfRule type="containsText" dxfId="79" priority="4" operator="containsText" text="Bắc giang nái">
      <formula>NOT(ISERROR(SEARCH("Bắc giang nái",D12)))</formula>
    </cfRule>
    <cfRule type="containsText" dxfId="78" priority="5" operator="containsText" text="Bắc giang thịt">
      <formula>NOT(ISERROR(SEARCH("Bắc giang thịt",D12)))</formula>
    </cfRule>
    <cfRule type="containsText" dxfId="77" priority="6" operator="containsText" text="Thái nguyên">
      <formula>NOT(ISERROR(SEARCH("Thái nguyên",D12)))</formula>
    </cfRule>
    <cfRule type="containsText" dxfId="76" priority="8" operator="containsText" text="Phú thọ 1">
      <formula>NOT(ISERROR(SEARCH("Phú thọ 1",D12)))</formula>
    </cfRule>
    <cfRule type="containsText" dxfId="75" priority="9" operator="containsText" text="Tiger">
      <formula>NOT(ISERROR(SEARCH("Tiger",D12)))</formula>
    </cfRule>
    <cfRule type="containsText" dxfId="74" priority="10" operator="containsText" text="Lục ngạn">
      <formula>NOT(ISERROR(SEARCH("Lục ngạn",D12)))</formula>
    </cfRule>
    <cfRule type="containsText" dxfId="73" priority="11" operator="containsText" text="Phú Xuyên">
      <formula>NOT(ISERROR(SEARCH("Phú Xuyên",D12)))</formula>
    </cfRule>
    <cfRule type="containsText" dxfId="72" priority="12" operator="containsText" text="Vĩnh phúc nái">
      <formula>NOT(ISERROR(SEARCH("Vĩnh phúc nái",D12)))</formula>
    </cfRule>
    <cfRule type="containsText" dxfId="71" priority="13" operator="containsText" text="Vĩnh Phúc Thịt">
      <formula>NOT(ISERROR(SEARCH("Vĩnh Phúc Thịt",D12)))</formula>
    </cfRule>
    <cfRule type="containsText" dxfId="70" priority="7" operator="containsText" text="Phú thọ 2">
      <formula>NOT(ISERROR(SEARCH("Phú thọ 2",D12)))</formula>
    </cfRule>
  </conditionalFormatting>
  <conditionalFormatting sqref="O3">
    <cfRule type="containsText" dxfId="69" priority="128" operator="containsText" text="dƯ">
      <formula>NOT(ISERROR(SEARCH("dƯ",O3)))</formula>
    </cfRule>
    <cfRule type="containsText" dxfId="68" priority="129" operator="containsText" text="nỢ">
      <formula>NOT(ISERROR(SEARCH("nỢ",O3)))</formula>
    </cfRule>
  </conditionalFormatting>
  <conditionalFormatting sqref="O4">
    <cfRule type="cellIs" dxfId="67" priority="126" operator="lessThan">
      <formula>0</formula>
    </cfRule>
    <cfRule type="cellIs" dxfId="66" priority="127" operator="greaterThan">
      <formula>1</formula>
    </cfRule>
  </conditionalFormatting>
  <conditionalFormatting sqref="O8:O1048576">
    <cfRule type="cellIs" dxfId="65" priority="124" operator="lessThan">
      <formula>0</formula>
    </cfRule>
    <cfRule type="cellIs" dxfId="64" priority="125" operator="greaterThan">
      <formula>1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'G:\Users\Admin\Documents\Zalo Received Files\[BÁN HÀNG THÁNG 01 (1).xlsx]Data'!#REF!</xm:f>
          </x14:formula1>
          <xm:sqref>E8:E1048576</xm:sqref>
        </x14:dataValidation>
        <x14:dataValidation type="list" allowBlank="1" showInputMessage="1" showErrorMessage="1" xr:uid="{00000000-0002-0000-0200-000001000000}">
          <x14:formula1>
            <xm:f>Data!$F$4:$F$24</xm:f>
          </x14:formula1>
          <xm:sqref>D8:D1048576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B1:AF2059"/>
  <sheetViews>
    <sheetView topLeftCell="L1" zoomScale="80" zoomScaleNormal="80" workbookViewId="0">
      <pane ySplit="3" topLeftCell="A4" activePane="bottomLeft" state="frozen"/>
      <selection activeCell="N1" sqref="N1"/>
      <selection pane="bottomLeft" activeCell="X16" sqref="X16"/>
    </sheetView>
  </sheetViews>
  <sheetFormatPr defaultColWidth="9.109375" defaultRowHeight="14.4" outlineLevelCol="1" x14ac:dyDescent="0.3"/>
  <cols>
    <col min="1" max="1" width="1.6640625" style="11" customWidth="1"/>
    <col min="2" max="2" width="4.109375" style="29" hidden="1" customWidth="1"/>
    <col min="3" max="3" width="18.6640625" style="11" hidden="1" customWidth="1"/>
    <col min="4" max="5" width="21.109375" style="11" hidden="1" customWidth="1"/>
    <col min="6" max="7" width="20.5546875" style="11" hidden="1" customWidth="1"/>
    <col min="8" max="8" width="22" style="11" hidden="1" customWidth="1"/>
    <col min="9" max="9" width="13.33203125" style="11" bestFit="1" customWidth="1"/>
    <col min="10" max="10" width="5.33203125" style="11" customWidth="1"/>
    <col min="11" max="11" width="13.44140625" style="247" customWidth="1"/>
    <col min="12" max="12" width="18.6640625" style="30" customWidth="1"/>
    <col min="13" max="13" width="23" style="11" customWidth="1"/>
    <col min="14" max="14" width="23.109375" customWidth="1"/>
    <col min="15" max="15" width="46.88671875" customWidth="1"/>
    <col min="16" max="16" width="8.88671875" style="14" customWidth="1"/>
    <col min="17" max="17" width="12.88671875" style="55" customWidth="1"/>
    <col min="18" max="18" width="12.33203125" style="17" customWidth="1"/>
    <col min="19" max="19" width="11.44140625" style="14" customWidth="1"/>
    <col min="20" max="20" width="12.6640625" style="14" hidden="1" customWidth="1"/>
    <col min="21" max="21" width="18" customWidth="1"/>
    <col min="22" max="22" width="12.88671875" style="11" customWidth="1" outlineLevel="1"/>
    <col min="23" max="23" width="13.5546875" style="11" customWidth="1" outlineLevel="1"/>
    <col min="24" max="24" width="17.6640625" customWidth="1" outlineLevel="1"/>
    <col min="25" max="25" width="14.5546875" style="14" customWidth="1"/>
    <col min="26" max="26" width="17.109375" style="14" customWidth="1"/>
    <col min="27" max="27" width="16.5546875" style="14" customWidth="1"/>
    <col min="28" max="30" width="17.44140625" customWidth="1"/>
    <col min="31" max="31" width="13.44140625" style="11" customWidth="1"/>
    <col min="32" max="32" width="19.44140625" style="156" customWidth="1"/>
    <col min="33" max="16384" width="9.109375" style="11"/>
  </cols>
  <sheetData>
    <row r="1" spans="2:32" x14ac:dyDescent="0.3">
      <c r="I1" s="12" t="s">
        <v>48</v>
      </c>
      <c r="J1" s="12" t="s">
        <v>49</v>
      </c>
      <c r="L1" s="29"/>
      <c r="M1" s="11">
        <f>IF(L1="",K1,K1&amp;","&amp;L1)</f>
        <v>0</v>
      </c>
      <c r="N1">
        <f>VALUE(RIGHT(M1,2))*1000</f>
        <v>0</v>
      </c>
      <c r="P1" s="12" t="s">
        <v>20</v>
      </c>
      <c r="Q1"/>
      <c r="R1" s="16"/>
      <c r="S1" s="11"/>
      <c r="T1" s="11"/>
      <c r="Y1" s="14">
        <f>SUBTOTAL(9,$Y$13:$Y$1448)</f>
        <v>0</v>
      </c>
      <c r="Z1" s="14">
        <f>SUBTOTAL(9,$Z$13:$Z$1448)</f>
        <v>0</v>
      </c>
      <c r="AA1" s="14">
        <f>SUBTOTAL(9,$AA$13:$AA$1448)</f>
        <v>0</v>
      </c>
    </row>
    <row r="2" spans="2:32" ht="17.25" customHeight="1" thickBot="1" x14ac:dyDescent="0.5">
      <c r="J2" s="202"/>
      <c r="K2" s="248"/>
      <c r="L2" s="203"/>
      <c r="M2" s="202"/>
      <c r="N2" s="204"/>
      <c r="O2" s="204"/>
      <c r="P2" s="202"/>
      <c r="Q2" s="204"/>
      <c r="R2" s="205"/>
      <c r="S2" s="206" t="s">
        <v>17</v>
      </c>
      <c r="T2" s="202"/>
      <c r="U2" s="204"/>
      <c r="V2" s="202"/>
      <c r="W2" s="202"/>
      <c r="X2" s="204"/>
      <c r="Y2" s="202"/>
      <c r="Z2" s="202"/>
      <c r="AA2" s="202"/>
      <c r="AB2" s="204"/>
      <c r="AC2" s="204"/>
      <c r="AD2" s="204"/>
      <c r="AE2" s="202"/>
      <c r="AF2" s="207"/>
    </row>
    <row r="3" spans="2:32" ht="28.5" customHeight="1" thickBot="1" x14ac:dyDescent="0.5">
      <c r="B3" s="287" t="s">
        <v>16</v>
      </c>
      <c r="C3" s="288"/>
      <c r="D3" s="4">
        <f>SUM(D5:D48)</f>
        <v>0</v>
      </c>
      <c r="E3" s="4">
        <f>SUM(E5:E48)</f>
        <v>0</v>
      </c>
      <c r="F3" s="4">
        <f>SUM(F5:F48)</f>
        <v>0</v>
      </c>
      <c r="G3" s="4">
        <f>SUM(G5:G48)</f>
        <v>0</v>
      </c>
      <c r="H3" s="5">
        <f>SUM(H5:H48)</f>
        <v>0</v>
      </c>
      <c r="I3" s="208" t="s">
        <v>127</v>
      </c>
      <c r="J3" s="209" t="s">
        <v>2</v>
      </c>
      <c r="K3" s="249" t="s">
        <v>3</v>
      </c>
      <c r="L3" s="208" t="s">
        <v>35</v>
      </c>
      <c r="M3" s="209" t="s">
        <v>4</v>
      </c>
      <c r="N3" s="210" t="s">
        <v>5</v>
      </c>
      <c r="O3" s="211" t="s">
        <v>41</v>
      </c>
      <c r="P3" s="208" t="s">
        <v>6</v>
      </c>
      <c r="Q3" s="212" t="s">
        <v>8</v>
      </c>
      <c r="R3" s="210" t="s">
        <v>7</v>
      </c>
      <c r="S3" s="208" t="s">
        <v>51</v>
      </c>
      <c r="T3" s="213" t="s">
        <v>53</v>
      </c>
      <c r="U3" s="210" t="s">
        <v>52</v>
      </c>
      <c r="V3" s="208" t="s">
        <v>50</v>
      </c>
      <c r="W3" s="213" t="s">
        <v>54</v>
      </c>
      <c r="X3" s="210" t="s">
        <v>55</v>
      </c>
      <c r="Y3" s="208" t="s">
        <v>9</v>
      </c>
      <c r="Z3" s="214" t="s">
        <v>23</v>
      </c>
      <c r="AA3" s="214" t="s">
        <v>24</v>
      </c>
      <c r="AB3" s="210" t="s">
        <v>19</v>
      </c>
      <c r="AC3" s="215" t="s">
        <v>10</v>
      </c>
      <c r="AD3" s="216" t="s">
        <v>12</v>
      </c>
      <c r="AE3" s="209" t="s">
        <v>11</v>
      </c>
      <c r="AF3" s="217" t="s">
        <v>127</v>
      </c>
    </row>
    <row r="4" spans="2:32" ht="15" customHeight="1" x14ac:dyDescent="0.3">
      <c r="I4" s="201" t="str">
        <f t="shared" ref="I4" si="0">+AF4</f>
        <v/>
      </c>
      <c r="J4" s="218">
        <v>1</v>
      </c>
      <c r="K4" s="250"/>
      <c r="L4" s="219"/>
      <c r="M4" s="218"/>
      <c r="N4" s="220" t="str">
        <f>IFERROR(VLOOKUP(M4,Data!$C$4:$D$395,2,0),"")</f>
        <v/>
      </c>
      <c r="O4" s="220"/>
      <c r="P4" s="229"/>
      <c r="Q4" s="221"/>
      <c r="R4" s="222" t="str">
        <f t="shared" ref="R4" si="1">IFERROR(Q4/P4, "-")</f>
        <v>-</v>
      </c>
      <c r="S4" s="223"/>
      <c r="T4" s="224"/>
      <c r="U4" s="225">
        <f t="shared" ref="U4" si="2">+Q4*S4+P4*T4</f>
        <v>0</v>
      </c>
      <c r="V4" s="226">
        <v>0</v>
      </c>
      <c r="W4" s="227"/>
      <c r="X4" s="228">
        <f t="shared" ref="X4" si="3">+Q4*V4+P4*W4</f>
        <v>0</v>
      </c>
      <c r="Y4" s="229"/>
      <c r="Z4" s="229"/>
      <c r="AA4" s="229"/>
      <c r="AB4" s="222">
        <f t="shared" ref="AB4" si="4">+Y4+Z4+AA4</f>
        <v>0</v>
      </c>
      <c r="AC4" s="230">
        <f t="shared" ref="AC4" si="5">IF((U4-Y4-Z4-AA4)&lt;0,"",(U4-Y4-Z4-AA4))</f>
        <v>0</v>
      </c>
      <c r="AD4" s="222" t="str">
        <f t="shared" ref="AD4" si="6">IF((U4-Y4-Z4-AA4)&lt;0,(Y4+Z4+AA4-U4),"")</f>
        <v/>
      </c>
      <c r="AE4" s="201"/>
      <c r="AF4" s="231" t="str">
        <f>+IFERROR(VLOOKUP(L4,Data!$F$4:$G$97,2,0),"")</f>
        <v/>
      </c>
    </row>
    <row r="5" spans="2:32" ht="15" customHeight="1" x14ac:dyDescent="0.3">
      <c r="I5" s="201" t="str">
        <f t="shared" ref="I5:I61" si="7">+AF5</f>
        <v>RTD</v>
      </c>
      <c r="J5" s="218">
        <f>J4+1</f>
        <v>2</v>
      </c>
      <c r="K5" s="250">
        <v>45941</v>
      </c>
      <c r="L5" s="219" t="s">
        <v>30</v>
      </c>
      <c r="M5" s="218" t="s">
        <v>153</v>
      </c>
      <c r="N5" s="220" t="str">
        <f>IFERROR(VLOOKUP(M5,Data!$C$4:$D$395,2,0),"")</f>
        <v>quảng ninh</v>
      </c>
      <c r="O5" s="220" t="s">
        <v>172</v>
      </c>
      <c r="P5" s="229">
        <v>100</v>
      </c>
      <c r="Q5" s="221">
        <v>10000</v>
      </c>
      <c r="R5" s="222">
        <f t="shared" ref="R5:R63" si="8">IFERROR(Q5/P5, "-")</f>
        <v>100</v>
      </c>
      <c r="S5" s="223">
        <v>53000</v>
      </c>
      <c r="T5" s="224"/>
      <c r="U5" s="225">
        <f t="shared" ref="U5:U63" si="9">+Q5*S5+P5*T5</f>
        <v>530000000</v>
      </c>
      <c r="V5" s="226">
        <v>0</v>
      </c>
      <c r="W5" s="227"/>
      <c r="X5" s="228">
        <f t="shared" ref="X5:X63" si="10">+Q5*V5+P5*W5</f>
        <v>0</v>
      </c>
      <c r="Y5" s="229">
        <v>5000000</v>
      </c>
      <c r="Z5" s="229">
        <v>5000000</v>
      </c>
      <c r="AA5" s="229"/>
      <c r="AB5" s="222">
        <f t="shared" ref="AB5:AB63" si="11">+Y5+Z5+AA5</f>
        <v>10000000</v>
      </c>
      <c r="AC5" s="230">
        <f t="shared" ref="AC5:AC63" si="12">IF((U5-Y5-Z5-AA5)&lt;0,"",(U5-Y5-Z5-AA5))</f>
        <v>520000000</v>
      </c>
      <c r="AD5" s="222" t="str">
        <f t="shared" ref="AD5:AD63" si="13">IF((U5-Y5-Z5-AA5)&lt;0,(Y5+Z5+AA5-U5),"")</f>
        <v/>
      </c>
      <c r="AE5" s="201"/>
      <c r="AF5" s="231" t="str">
        <f>+IFERROR(VLOOKUP(L5,Data!$F$4:$G$97,2,0),"")</f>
        <v>RTD</v>
      </c>
    </row>
    <row r="6" spans="2:32" ht="15" customHeight="1" x14ac:dyDescent="0.3">
      <c r="I6" s="201" t="str">
        <f t="shared" si="7"/>
        <v>RTD</v>
      </c>
      <c r="J6" s="218">
        <f t="shared" ref="J6:J62" si="14">J5+1</f>
        <v>3</v>
      </c>
      <c r="K6" s="250">
        <v>45941</v>
      </c>
      <c r="L6" s="219" t="s">
        <v>30</v>
      </c>
      <c r="M6" s="218" t="s">
        <v>153</v>
      </c>
      <c r="N6" s="220" t="str">
        <f>IFERROR(VLOOKUP(M6,Data!$C$4:$D$395,2,0),"")</f>
        <v>quảng ninh</v>
      </c>
      <c r="O6" s="220" t="s">
        <v>173</v>
      </c>
      <c r="P6" s="229">
        <v>5</v>
      </c>
      <c r="Q6" s="221">
        <v>505</v>
      </c>
      <c r="R6" s="222">
        <f t="shared" si="8"/>
        <v>101</v>
      </c>
      <c r="S6" s="223">
        <v>50000</v>
      </c>
      <c r="T6" s="224"/>
      <c r="U6" s="225">
        <f t="shared" si="9"/>
        <v>25250000</v>
      </c>
      <c r="V6" s="226">
        <v>0</v>
      </c>
      <c r="W6" s="227"/>
      <c r="X6" s="228">
        <f t="shared" si="10"/>
        <v>0</v>
      </c>
      <c r="Y6" s="229"/>
      <c r="Z6" s="229"/>
      <c r="AA6" s="229"/>
      <c r="AB6" s="222">
        <f t="shared" si="11"/>
        <v>0</v>
      </c>
      <c r="AC6" s="230">
        <f t="shared" si="12"/>
        <v>25250000</v>
      </c>
      <c r="AD6" s="222" t="str">
        <f t="shared" si="13"/>
        <v/>
      </c>
      <c r="AE6" s="201"/>
      <c r="AF6" s="231" t="str">
        <f>+IFERROR(VLOOKUP(L6,Data!$F$4:$G$97,2,0),"")</f>
        <v>RTD</v>
      </c>
    </row>
    <row r="7" spans="2:32" ht="15" customHeight="1" x14ac:dyDescent="0.3">
      <c r="I7" s="201" t="str">
        <f t="shared" si="7"/>
        <v/>
      </c>
      <c r="J7" s="218">
        <f t="shared" si="14"/>
        <v>4</v>
      </c>
      <c r="K7" s="250"/>
      <c r="L7" s="219"/>
      <c r="M7" s="218"/>
      <c r="N7" s="220" t="str">
        <f>IFERROR(VLOOKUP(M7,Data!$C$4:$D$395,2,0),"")</f>
        <v/>
      </c>
      <c r="O7" s="220"/>
      <c r="P7" s="229"/>
      <c r="Q7" s="221"/>
      <c r="R7" s="222" t="str">
        <f t="shared" si="8"/>
        <v>-</v>
      </c>
      <c r="S7" s="223"/>
      <c r="T7" s="224"/>
      <c r="U7" s="225">
        <f t="shared" si="9"/>
        <v>0</v>
      </c>
      <c r="V7" s="226">
        <v>0</v>
      </c>
      <c r="W7" s="227"/>
      <c r="X7" s="228">
        <f t="shared" si="10"/>
        <v>0</v>
      </c>
      <c r="Y7" s="229"/>
      <c r="Z7" s="229"/>
      <c r="AA7" s="229"/>
      <c r="AB7" s="222">
        <f t="shared" si="11"/>
        <v>0</v>
      </c>
      <c r="AC7" s="230">
        <f t="shared" si="12"/>
        <v>0</v>
      </c>
      <c r="AD7" s="222" t="str">
        <f t="shared" si="13"/>
        <v/>
      </c>
      <c r="AE7" s="201"/>
      <c r="AF7" s="231" t="str">
        <f>+IFERROR(VLOOKUP(L7,Data!$F$4:$G$97,2,0),"")</f>
        <v/>
      </c>
    </row>
    <row r="8" spans="2:32" ht="15" customHeight="1" x14ac:dyDescent="0.3">
      <c r="I8" s="201" t="str">
        <f t="shared" si="7"/>
        <v/>
      </c>
      <c r="J8" s="218">
        <f t="shared" si="14"/>
        <v>5</v>
      </c>
      <c r="K8" s="250"/>
      <c r="L8" s="219"/>
      <c r="M8" s="218"/>
      <c r="N8" s="220" t="str">
        <f>IFERROR(VLOOKUP(M8,Data!$C$4:$D$395,2,0),"")</f>
        <v/>
      </c>
      <c r="O8" s="220"/>
      <c r="P8" s="229"/>
      <c r="Q8" s="221"/>
      <c r="R8" s="222" t="str">
        <f t="shared" si="8"/>
        <v>-</v>
      </c>
      <c r="S8" s="223"/>
      <c r="T8" s="224"/>
      <c r="U8" s="225">
        <f t="shared" si="9"/>
        <v>0</v>
      </c>
      <c r="V8" s="226">
        <v>0</v>
      </c>
      <c r="W8" s="227"/>
      <c r="X8" s="228">
        <f t="shared" si="10"/>
        <v>0</v>
      </c>
      <c r="Y8" s="229"/>
      <c r="Z8" s="229"/>
      <c r="AA8" s="229"/>
      <c r="AB8" s="222">
        <f t="shared" si="11"/>
        <v>0</v>
      </c>
      <c r="AC8" s="230">
        <f t="shared" si="12"/>
        <v>0</v>
      </c>
      <c r="AD8" s="222" t="str">
        <f t="shared" si="13"/>
        <v/>
      </c>
      <c r="AE8" s="201"/>
      <c r="AF8" s="231" t="str">
        <f>+IFERROR(VLOOKUP(L8,Data!$F$4:$G$97,2,0),"")</f>
        <v/>
      </c>
    </row>
    <row r="9" spans="2:32" ht="15" customHeight="1" x14ac:dyDescent="0.3">
      <c r="I9" s="201" t="str">
        <f t="shared" si="7"/>
        <v>Tiger</v>
      </c>
      <c r="J9" s="218">
        <f t="shared" si="14"/>
        <v>6</v>
      </c>
      <c r="K9" s="250">
        <v>45942</v>
      </c>
      <c r="L9" s="219" t="s">
        <v>64</v>
      </c>
      <c r="M9" s="2" t="s">
        <v>62</v>
      </c>
      <c r="N9" s="220" t="str">
        <f>IFERROR(VLOOKUP(M9,Data!$C$4:$D$395,2,0),"")</f>
        <v>bắc giang</v>
      </c>
      <c r="O9" s="220"/>
      <c r="P9" s="229">
        <v>150</v>
      </c>
      <c r="Q9" s="221">
        <v>18000</v>
      </c>
      <c r="R9" s="222">
        <f t="shared" si="8"/>
        <v>120</v>
      </c>
      <c r="S9" s="223">
        <v>54000</v>
      </c>
      <c r="T9" s="224"/>
      <c r="U9" s="225">
        <f t="shared" si="9"/>
        <v>972000000</v>
      </c>
      <c r="V9" s="226">
        <v>0</v>
      </c>
      <c r="W9" s="227"/>
      <c r="X9" s="228">
        <f t="shared" si="10"/>
        <v>0</v>
      </c>
      <c r="Y9" s="229"/>
      <c r="Z9" s="229"/>
      <c r="AA9" s="229"/>
      <c r="AB9" s="222">
        <f t="shared" si="11"/>
        <v>0</v>
      </c>
      <c r="AC9" s="230">
        <f t="shared" si="12"/>
        <v>972000000</v>
      </c>
      <c r="AD9" s="222" t="str">
        <f t="shared" si="13"/>
        <v/>
      </c>
      <c r="AE9" s="201"/>
      <c r="AF9" s="231" t="str">
        <f>+IFERROR(VLOOKUP(L9,Data!$F$4:$G$97,2,0),"")</f>
        <v>Tiger</v>
      </c>
    </row>
    <row r="10" spans="2:32" ht="15" customHeight="1" x14ac:dyDescent="0.3">
      <c r="I10" s="201" t="str">
        <f t="shared" si="7"/>
        <v/>
      </c>
      <c r="J10" s="218">
        <f t="shared" si="14"/>
        <v>7</v>
      </c>
      <c r="K10" s="250"/>
      <c r="L10" s="219"/>
      <c r="M10" s="218"/>
      <c r="N10" s="220" t="str">
        <f>IFERROR(VLOOKUP(M10,Data!$C$4:$D$395,2,0),"")</f>
        <v/>
      </c>
      <c r="O10" s="220"/>
      <c r="P10" s="229"/>
      <c r="Q10" s="221"/>
      <c r="R10" s="222" t="str">
        <f t="shared" si="8"/>
        <v>-</v>
      </c>
      <c r="S10" s="223"/>
      <c r="T10" s="224"/>
      <c r="U10" s="225">
        <f t="shared" si="9"/>
        <v>0</v>
      </c>
      <c r="V10" s="226">
        <v>0</v>
      </c>
      <c r="W10" s="227"/>
      <c r="X10" s="228">
        <f t="shared" si="10"/>
        <v>0</v>
      </c>
      <c r="Y10" s="229"/>
      <c r="Z10" s="229"/>
      <c r="AA10" s="229"/>
      <c r="AB10" s="222">
        <f t="shared" si="11"/>
        <v>0</v>
      </c>
      <c r="AC10" s="230">
        <f t="shared" si="12"/>
        <v>0</v>
      </c>
      <c r="AD10" s="222" t="str">
        <f t="shared" si="13"/>
        <v/>
      </c>
      <c r="AE10" s="201"/>
      <c r="AF10" s="231" t="str">
        <f>+IFERROR(VLOOKUP(L10,Data!$F$4:$G$97,2,0),"")</f>
        <v/>
      </c>
    </row>
    <row r="11" spans="2:32" ht="15" customHeight="1" x14ac:dyDescent="0.3">
      <c r="I11" s="201" t="str">
        <f t="shared" si="7"/>
        <v/>
      </c>
      <c r="J11" s="218">
        <f t="shared" si="14"/>
        <v>8</v>
      </c>
      <c r="K11" s="250"/>
      <c r="L11" s="219"/>
      <c r="M11" s="218"/>
      <c r="N11" s="220" t="str">
        <f>IFERROR(VLOOKUP(M11,Data!$C$4:$D$395,2,0),"")</f>
        <v/>
      </c>
      <c r="O11" s="220"/>
      <c r="P11" s="229"/>
      <c r="Q11" s="221"/>
      <c r="R11" s="222" t="str">
        <f t="shared" si="8"/>
        <v>-</v>
      </c>
      <c r="S11" s="223"/>
      <c r="T11" s="224"/>
      <c r="U11" s="225">
        <f t="shared" si="9"/>
        <v>0</v>
      </c>
      <c r="V11" s="226">
        <v>0</v>
      </c>
      <c r="W11" s="227"/>
      <c r="X11" s="228">
        <f t="shared" si="10"/>
        <v>0</v>
      </c>
      <c r="Y11" s="229"/>
      <c r="Z11" s="229"/>
      <c r="AA11" s="229"/>
      <c r="AB11" s="222">
        <f t="shared" si="11"/>
        <v>0</v>
      </c>
      <c r="AC11" s="230">
        <f t="shared" si="12"/>
        <v>0</v>
      </c>
      <c r="AD11" s="222" t="str">
        <f t="shared" si="13"/>
        <v/>
      </c>
      <c r="AE11" s="201"/>
      <c r="AF11" s="231" t="str">
        <f>+IFERROR(VLOOKUP(L11,Data!$F$4:$G$97,2,0),"")</f>
        <v/>
      </c>
    </row>
    <row r="12" spans="2:32" ht="15" customHeight="1" x14ac:dyDescent="0.3">
      <c r="I12" s="201" t="str">
        <f t="shared" si="7"/>
        <v/>
      </c>
      <c r="J12" s="218">
        <f t="shared" si="14"/>
        <v>9</v>
      </c>
      <c r="K12" s="250"/>
      <c r="L12" s="219"/>
      <c r="M12" s="218"/>
      <c r="N12" s="220" t="str">
        <f>IFERROR(VLOOKUP(M12,Data!$C$4:$D$395,2,0),"")</f>
        <v/>
      </c>
      <c r="O12" s="220"/>
      <c r="P12" s="229"/>
      <c r="Q12" s="221"/>
      <c r="R12" s="222" t="str">
        <f t="shared" si="8"/>
        <v>-</v>
      </c>
      <c r="S12" s="223"/>
      <c r="T12" s="224"/>
      <c r="U12" s="225">
        <f t="shared" si="9"/>
        <v>0</v>
      </c>
      <c r="V12" s="226">
        <v>0</v>
      </c>
      <c r="W12" s="227"/>
      <c r="X12" s="228">
        <f t="shared" si="10"/>
        <v>0</v>
      </c>
      <c r="Y12" s="229"/>
      <c r="Z12" s="229"/>
      <c r="AA12" s="229"/>
      <c r="AB12" s="222">
        <f t="shared" si="11"/>
        <v>0</v>
      </c>
      <c r="AC12" s="230">
        <f t="shared" si="12"/>
        <v>0</v>
      </c>
      <c r="AD12" s="222" t="str">
        <f t="shared" si="13"/>
        <v/>
      </c>
      <c r="AE12" s="201"/>
      <c r="AF12" s="231" t="str">
        <f>+IFERROR(VLOOKUP(L12,Data!$F$4:$G$97,2,0),"")</f>
        <v/>
      </c>
    </row>
    <row r="13" spans="2:32" ht="15" customHeight="1" x14ac:dyDescent="0.3">
      <c r="I13" s="201" t="str">
        <f t="shared" si="7"/>
        <v/>
      </c>
      <c r="J13" s="218">
        <f t="shared" si="14"/>
        <v>10</v>
      </c>
      <c r="K13" s="250"/>
      <c r="L13" s="219"/>
      <c r="M13" s="218"/>
      <c r="N13" s="220" t="str">
        <f>IFERROR(VLOOKUP(M13,Data!$C$4:$D$395,2,0),"")</f>
        <v/>
      </c>
      <c r="O13" s="220"/>
      <c r="P13" s="229"/>
      <c r="Q13" s="221"/>
      <c r="R13" s="222" t="str">
        <f t="shared" si="8"/>
        <v>-</v>
      </c>
      <c r="S13" s="223"/>
      <c r="T13" s="224"/>
      <c r="U13" s="225">
        <f t="shared" si="9"/>
        <v>0</v>
      </c>
      <c r="V13" s="226">
        <v>0</v>
      </c>
      <c r="W13" s="227"/>
      <c r="X13" s="228">
        <f t="shared" si="10"/>
        <v>0</v>
      </c>
      <c r="Y13" s="229"/>
      <c r="Z13" s="229"/>
      <c r="AA13" s="229"/>
      <c r="AB13" s="222">
        <f t="shared" si="11"/>
        <v>0</v>
      </c>
      <c r="AC13" s="230">
        <f t="shared" si="12"/>
        <v>0</v>
      </c>
      <c r="AD13" s="222" t="str">
        <f t="shared" si="13"/>
        <v/>
      </c>
      <c r="AE13" s="201"/>
      <c r="AF13" s="231" t="str">
        <f>+IFERROR(VLOOKUP(L13,Data!$F$4:$G$97,2,0),"")</f>
        <v/>
      </c>
    </row>
    <row r="14" spans="2:32" ht="15" customHeight="1" x14ac:dyDescent="0.3">
      <c r="I14" s="201" t="str">
        <f t="shared" si="7"/>
        <v/>
      </c>
      <c r="J14" s="218">
        <f t="shared" si="14"/>
        <v>11</v>
      </c>
      <c r="K14" s="250"/>
      <c r="L14" s="219"/>
      <c r="M14" s="218"/>
      <c r="N14" s="220" t="str">
        <f>IFERROR(VLOOKUP(M14,Data!$C$4:$D$395,2,0),"")</f>
        <v/>
      </c>
      <c r="O14" s="220"/>
      <c r="P14" s="229"/>
      <c r="Q14" s="221"/>
      <c r="R14" s="222" t="str">
        <f t="shared" si="8"/>
        <v>-</v>
      </c>
      <c r="S14" s="223"/>
      <c r="T14" s="224"/>
      <c r="U14" s="225">
        <f t="shared" si="9"/>
        <v>0</v>
      </c>
      <c r="V14" s="226">
        <v>0</v>
      </c>
      <c r="W14" s="227"/>
      <c r="X14" s="228">
        <f t="shared" si="10"/>
        <v>0</v>
      </c>
      <c r="Y14" s="229"/>
      <c r="Z14" s="229"/>
      <c r="AA14" s="229"/>
      <c r="AB14" s="222">
        <f t="shared" si="11"/>
        <v>0</v>
      </c>
      <c r="AC14" s="230">
        <f t="shared" si="12"/>
        <v>0</v>
      </c>
      <c r="AD14" s="222" t="str">
        <f t="shared" si="13"/>
        <v/>
      </c>
      <c r="AE14" s="201"/>
      <c r="AF14" s="231" t="str">
        <f>+IFERROR(VLOOKUP(L14,Data!$F$4:$G$97,2,0),"")</f>
        <v/>
      </c>
    </row>
    <row r="15" spans="2:32" ht="15" customHeight="1" x14ac:dyDescent="0.3">
      <c r="I15" s="201" t="str">
        <f t="shared" si="7"/>
        <v/>
      </c>
      <c r="J15" s="218">
        <f t="shared" si="14"/>
        <v>12</v>
      </c>
      <c r="K15" s="250"/>
      <c r="L15" s="219"/>
      <c r="M15" s="218"/>
      <c r="N15" s="220" t="str">
        <f>IFERROR(VLOOKUP(M15,Data!$C$4:$D$395,2,0),"")</f>
        <v/>
      </c>
      <c r="O15" s="220"/>
      <c r="P15" s="229"/>
      <c r="Q15" s="221"/>
      <c r="R15" s="222" t="str">
        <f t="shared" si="8"/>
        <v>-</v>
      </c>
      <c r="S15" s="223"/>
      <c r="T15" s="224"/>
      <c r="U15" s="225">
        <f t="shared" si="9"/>
        <v>0</v>
      </c>
      <c r="V15" s="226">
        <v>0</v>
      </c>
      <c r="W15" s="227"/>
      <c r="X15" s="228">
        <f t="shared" si="10"/>
        <v>0</v>
      </c>
      <c r="Y15" s="229"/>
      <c r="Z15" s="229"/>
      <c r="AA15" s="229"/>
      <c r="AB15" s="222">
        <f t="shared" si="11"/>
        <v>0</v>
      </c>
      <c r="AC15" s="230">
        <f t="shared" si="12"/>
        <v>0</v>
      </c>
      <c r="AD15" s="222" t="str">
        <f t="shared" si="13"/>
        <v/>
      </c>
      <c r="AE15" s="201"/>
      <c r="AF15" s="231" t="str">
        <f>+IFERROR(VLOOKUP(L15,Data!$F$4:$G$97,2,0),"")</f>
        <v/>
      </c>
    </row>
    <row r="16" spans="2:32" ht="15" customHeight="1" x14ac:dyDescent="0.3">
      <c r="I16" s="201" t="str">
        <f t="shared" si="7"/>
        <v/>
      </c>
      <c r="J16" s="218">
        <f t="shared" si="14"/>
        <v>13</v>
      </c>
      <c r="K16" s="250"/>
      <c r="L16" s="219"/>
      <c r="M16" s="218"/>
      <c r="N16" s="220" t="str">
        <f>IFERROR(VLOOKUP(M16,Data!$C$4:$D$395,2,0),"")</f>
        <v/>
      </c>
      <c r="O16" s="220"/>
      <c r="P16" s="229"/>
      <c r="Q16" s="221"/>
      <c r="R16" s="222" t="str">
        <f t="shared" si="8"/>
        <v>-</v>
      </c>
      <c r="S16" s="223"/>
      <c r="T16" s="224"/>
      <c r="U16" s="225">
        <f t="shared" si="9"/>
        <v>0</v>
      </c>
      <c r="V16" s="226">
        <v>0</v>
      </c>
      <c r="W16" s="227"/>
      <c r="X16" s="228">
        <f t="shared" si="10"/>
        <v>0</v>
      </c>
      <c r="Y16" s="229"/>
      <c r="Z16" s="229"/>
      <c r="AA16" s="229"/>
      <c r="AB16" s="222">
        <f t="shared" si="11"/>
        <v>0</v>
      </c>
      <c r="AC16" s="230">
        <f t="shared" si="12"/>
        <v>0</v>
      </c>
      <c r="AD16" s="222" t="str">
        <f t="shared" si="13"/>
        <v/>
      </c>
      <c r="AE16" s="201"/>
      <c r="AF16" s="231" t="str">
        <f>+IFERROR(VLOOKUP(L16,Data!$F$4:$G$97,2,0),"")</f>
        <v/>
      </c>
    </row>
    <row r="17" spans="9:32" ht="15" customHeight="1" x14ac:dyDescent="0.3">
      <c r="I17" s="201" t="str">
        <f t="shared" si="7"/>
        <v/>
      </c>
      <c r="J17" s="218">
        <f t="shared" si="14"/>
        <v>14</v>
      </c>
      <c r="K17" s="250"/>
      <c r="L17" s="219"/>
      <c r="M17" s="218"/>
      <c r="N17" s="220" t="str">
        <f>IFERROR(VLOOKUP(M17,Data!$C$4:$D$395,2,0),"")</f>
        <v/>
      </c>
      <c r="O17" s="220"/>
      <c r="P17" s="229"/>
      <c r="Q17" s="221"/>
      <c r="R17" s="222" t="str">
        <f t="shared" si="8"/>
        <v>-</v>
      </c>
      <c r="S17" s="223"/>
      <c r="T17" s="224"/>
      <c r="U17" s="225">
        <f t="shared" si="9"/>
        <v>0</v>
      </c>
      <c r="V17" s="226">
        <v>0</v>
      </c>
      <c r="W17" s="227"/>
      <c r="X17" s="228">
        <f t="shared" si="10"/>
        <v>0</v>
      </c>
      <c r="Y17" s="229"/>
      <c r="Z17" s="229"/>
      <c r="AA17" s="229"/>
      <c r="AB17" s="222">
        <f t="shared" si="11"/>
        <v>0</v>
      </c>
      <c r="AC17" s="230">
        <f t="shared" si="12"/>
        <v>0</v>
      </c>
      <c r="AD17" s="222" t="str">
        <f t="shared" si="13"/>
        <v/>
      </c>
      <c r="AE17" s="201"/>
      <c r="AF17" s="231" t="str">
        <f>+IFERROR(VLOOKUP(L17,Data!$F$4:$G$97,2,0),"")</f>
        <v/>
      </c>
    </row>
    <row r="18" spans="9:32" ht="15" customHeight="1" x14ac:dyDescent="0.3">
      <c r="I18" s="201" t="str">
        <f t="shared" si="7"/>
        <v/>
      </c>
      <c r="J18" s="218">
        <f t="shared" si="14"/>
        <v>15</v>
      </c>
      <c r="K18" s="250"/>
      <c r="L18" s="219"/>
      <c r="M18" s="218"/>
      <c r="N18" s="220" t="str">
        <f>IFERROR(VLOOKUP(M18,Data!$C$4:$D$395,2,0),"")</f>
        <v/>
      </c>
      <c r="O18" s="220"/>
      <c r="P18" s="229"/>
      <c r="Q18" s="221"/>
      <c r="R18" s="222" t="str">
        <f t="shared" si="8"/>
        <v>-</v>
      </c>
      <c r="S18" s="223"/>
      <c r="T18" s="224"/>
      <c r="U18" s="225">
        <f t="shared" si="9"/>
        <v>0</v>
      </c>
      <c r="V18" s="226">
        <v>0</v>
      </c>
      <c r="W18" s="227"/>
      <c r="X18" s="228">
        <f t="shared" si="10"/>
        <v>0</v>
      </c>
      <c r="Y18" s="229"/>
      <c r="Z18" s="229"/>
      <c r="AA18" s="229"/>
      <c r="AB18" s="222">
        <f t="shared" si="11"/>
        <v>0</v>
      </c>
      <c r="AC18" s="230">
        <f t="shared" si="12"/>
        <v>0</v>
      </c>
      <c r="AD18" s="222" t="str">
        <f t="shared" si="13"/>
        <v/>
      </c>
      <c r="AE18" s="201"/>
      <c r="AF18" s="231" t="str">
        <f>+IFERROR(VLOOKUP(L18,Data!$F$4:$G$97,2,0),"")</f>
        <v/>
      </c>
    </row>
    <row r="19" spans="9:32" ht="15" customHeight="1" x14ac:dyDescent="0.3">
      <c r="I19" s="201" t="str">
        <f t="shared" si="7"/>
        <v/>
      </c>
      <c r="J19" s="218">
        <f t="shared" si="14"/>
        <v>16</v>
      </c>
      <c r="K19" s="250"/>
      <c r="L19" s="219"/>
      <c r="M19" s="218"/>
      <c r="N19" s="220" t="str">
        <f>IFERROR(VLOOKUP(M19,Data!$C$4:$D$395,2,0),"")</f>
        <v/>
      </c>
      <c r="O19" s="220"/>
      <c r="P19" s="229"/>
      <c r="Q19" s="221"/>
      <c r="R19" s="222" t="str">
        <f t="shared" si="8"/>
        <v>-</v>
      </c>
      <c r="S19" s="223"/>
      <c r="T19" s="224"/>
      <c r="U19" s="225">
        <f t="shared" si="9"/>
        <v>0</v>
      </c>
      <c r="V19" s="226">
        <v>0</v>
      </c>
      <c r="W19" s="227"/>
      <c r="X19" s="228">
        <f t="shared" si="10"/>
        <v>0</v>
      </c>
      <c r="Y19" s="229"/>
      <c r="Z19" s="229"/>
      <c r="AA19" s="229"/>
      <c r="AB19" s="222">
        <f t="shared" si="11"/>
        <v>0</v>
      </c>
      <c r="AC19" s="230">
        <f t="shared" si="12"/>
        <v>0</v>
      </c>
      <c r="AD19" s="222" t="str">
        <f t="shared" si="13"/>
        <v/>
      </c>
      <c r="AE19" s="201"/>
      <c r="AF19" s="231" t="str">
        <f>+IFERROR(VLOOKUP(L19,Data!$F$4:$G$97,2,0),"")</f>
        <v/>
      </c>
    </row>
    <row r="20" spans="9:32" ht="15" customHeight="1" x14ac:dyDescent="0.3">
      <c r="I20" s="201" t="str">
        <f t="shared" si="7"/>
        <v/>
      </c>
      <c r="J20" s="218">
        <f t="shared" si="14"/>
        <v>17</v>
      </c>
      <c r="K20" s="250"/>
      <c r="L20" s="219"/>
      <c r="M20" s="218"/>
      <c r="N20" s="220" t="str">
        <f>IFERROR(VLOOKUP(M20,Data!$C$4:$D$395,2,0),"")</f>
        <v/>
      </c>
      <c r="O20" s="220"/>
      <c r="P20" s="229"/>
      <c r="Q20" s="221"/>
      <c r="R20" s="222" t="str">
        <f t="shared" si="8"/>
        <v>-</v>
      </c>
      <c r="S20" s="223"/>
      <c r="T20" s="224"/>
      <c r="U20" s="225">
        <f t="shared" si="9"/>
        <v>0</v>
      </c>
      <c r="V20" s="226">
        <v>0</v>
      </c>
      <c r="W20" s="227"/>
      <c r="X20" s="228">
        <f t="shared" si="10"/>
        <v>0</v>
      </c>
      <c r="Y20" s="229"/>
      <c r="Z20" s="229"/>
      <c r="AA20" s="229"/>
      <c r="AB20" s="222">
        <f t="shared" si="11"/>
        <v>0</v>
      </c>
      <c r="AC20" s="230">
        <f t="shared" si="12"/>
        <v>0</v>
      </c>
      <c r="AD20" s="222" t="str">
        <f t="shared" si="13"/>
        <v/>
      </c>
      <c r="AE20" s="201"/>
      <c r="AF20" s="231" t="str">
        <f>+IFERROR(VLOOKUP(L20,Data!$F$4:$G$97,2,0),"")</f>
        <v/>
      </c>
    </row>
    <row r="21" spans="9:32" ht="15" customHeight="1" x14ac:dyDescent="0.3">
      <c r="I21" s="201" t="str">
        <f t="shared" si="7"/>
        <v/>
      </c>
      <c r="J21" s="218">
        <f t="shared" si="14"/>
        <v>18</v>
      </c>
      <c r="K21" s="250"/>
      <c r="L21" s="219"/>
      <c r="M21" s="218"/>
      <c r="N21" s="220" t="str">
        <f>IFERROR(VLOOKUP(M21,Data!$C$4:$D$395,2,0),"")</f>
        <v/>
      </c>
      <c r="O21" s="220"/>
      <c r="P21" s="229"/>
      <c r="Q21" s="221"/>
      <c r="R21" s="222" t="str">
        <f t="shared" si="8"/>
        <v>-</v>
      </c>
      <c r="S21" s="223"/>
      <c r="T21" s="224"/>
      <c r="U21" s="225">
        <f t="shared" si="9"/>
        <v>0</v>
      </c>
      <c r="V21" s="226">
        <v>0</v>
      </c>
      <c r="W21" s="227"/>
      <c r="X21" s="228">
        <f t="shared" si="10"/>
        <v>0</v>
      </c>
      <c r="Y21" s="229"/>
      <c r="Z21" s="229"/>
      <c r="AA21" s="229"/>
      <c r="AB21" s="222">
        <f t="shared" si="11"/>
        <v>0</v>
      </c>
      <c r="AC21" s="230">
        <f t="shared" si="12"/>
        <v>0</v>
      </c>
      <c r="AD21" s="222" t="str">
        <f t="shared" si="13"/>
        <v/>
      </c>
      <c r="AE21" s="201"/>
      <c r="AF21" s="231" t="str">
        <f>+IFERROR(VLOOKUP(L21,Data!$F$4:$G$97,2,0),"")</f>
        <v/>
      </c>
    </row>
    <row r="22" spans="9:32" ht="15" customHeight="1" x14ac:dyDescent="0.3">
      <c r="I22" s="201" t="str">
        <f t="shared" si="7"/>
        <v/>
      </c>
      <c r="J22" s="218">
        <f t="shared" si="14"/>
        <v>19</v>
      </c>
      <c r="K22" s="250"/>
      <c r="L22" s="219"/>
      <c r="M22" s="218"/>
      <c r="N22" s="220" t="str">
        <f>IFERROR(VLOOKUP(M22,Data!$C$4:$D$395,2,0),"")</f>
        <v/>
      </c>
      <c r="O22" s="220"/>
      <c r="P22" s="229"/>
      <c r="Q22" s="221"/>
      <c r="R22" s="222" t="str">
        <f t="shared" si="8"/>
        <v>-</v>
      </c>
      <c r="S22" s="223"/>
      <c r="T22" s="224"/>
      <c r="U22" s="225">
        <f t="shared" si="9"/>
        <v>0</v>
      </c>
      <c r="V22" s="226">
        <v>0</v>
      </c>
      <c r="W22" s="227"/>
      <c r="X22" s="228">
        <f t="shared" si="10"/>
        <v>0</v>
      </c>
      <c r="Y22" s="229"/>
      <c r="Z22" s="229"/>
      <c r="AA22" s="229"/>
      <c r="AB22" s="222">
        <f t="shared" si="11"/>
        <v>0</v>
      </c>
      <c r="AC22" s="230">
        <f t="shared" si="12"/>
        <v>0</v>
      </c>
      <c r="AD22" s="222" t="str">
        <f t="shared" si="13"/>
        <v/>
      </c>
      <c r="AE22" s="201"/>
      <c r="AF22" s="231" t="str">
        <f>+IFERROR(VLOOKUP(L22,Data!$F$4:$G$97,2,0),"")</f>
        <v/>
      </c>
    </row>
    <row r="23" spans="9:32" ht="15" customHeight="1" x14ac:dyDescent="0.3">
      <c r="I23" s="201" t="str">
        <f t="shared" si="7"/>
        <v/>
      </c>
      <c r="J23" s="218">
        <f t="shared" si="14"/>
        <v>20</v>
      </c>
      <c r="K23" s="250"/>
      <c r="L23" s="219"/>
      <c r="M23" s="218"/>
      <c r="N23" s="220" t="str">
        <f>IFERROR(VLOOKUP(M23,Data!$C$4:$D$395,2,0),"")</f>
        <v/>
      </c>
      <c r="O23" s="220"/>
      <c r="P23" s="229"/>
      <c r="Q23" s="221"/>
      <c r="R23" s="222" t="str">
        <f t="shared" si="8"/>
        <v>-</v>
      </c>
      <c r="S23" s="223"/>
      <c r="T23" s="224"/>
      <c r="U23" s="225">
        <f t="shared" si="9"/>
        <v>0</v>
      </c>
      <c r="V23" s="226">
        <v>0</v>
      </c>
      <c r="W23" s="227"/>
      <c r="X23" s="228">
        <f t="shared" si="10"/>
        <v>0</v>
      </c>
      <c r="Y23" s="229"/>
      <c r="Z23" s="229"/>
      <c r="AA23" s="229"/>
      <c r="AB23" s="222">
        <f t="shared" si="11"/>
        <v>0</v>
      </c>
      <c r="AC23" s="230">
        <f t="shared" si="12"/>
        <v>0</v>
      </c>
      <c r="AD23" s="222" t="str">
        <f t="shared" si="13"/>
        <v/>
      </c>
      <c r="AE23" s="201"/>
      <c r="AF23" s="231" t="str">
        <f>+IFERROR(VLOOKUP(L23,Data!$F$4:$G$97,2,0),"")</f>
        <v/>
      </c>
    </row>
    <row r="24" spans="9:32" ht="15" customHeight="1" x14ac:dyDescent="0.3">
      <c r="I24" s="201" t="str">
        <f t="shared" si="7"/>
        <v/>
      </c>
      <c r="J24" s="218">
        <f t="shared" si="14"/>
        <v>21</v>
      </c>
      <c r="K24" s="250"/>
      <c r="L24" s="219"/>
      <c r="M24" s="218"/>
      <c r="N24" s="220" t="str">
        <f>IFERROR(VLOOKUP(M24,Data!$C$4:$D$395,2,0),"")</f>
        <v/>
      </c>
      <c r="O24" s="220"/>
      <c r="P24" s="229"/>
      <c r="Q24" s="221"/>
      <c r="R24" s="222" t="str">
        <f t="shared" si="8"/>
        <v>-</v>
      </c>
      <c r="S24" s="223"/>
      <c r="T24" s="224"/>
      <c r="U24" s="225">
        <f t="shared" si="9"/>
        <v>0</v>
      </c>
      <c r="V24" s="226">
        <v>0</v>
      </c>
      <c r="W24" s="227"/>
      <c r="X24" s="228">
        <f t="shared" si="10"/>
        <v>0</v>
      </c>
      <c r="Y24" s="229"/>
      <c r="Z24" s="229"/>
      <c r="AA24" s="229"/>
      <c r="AB24" s="222">
        <f t="shared" si="11"/>
        <v>0</v>
      </c>
      <c r="AC24" s="230">
        <f t="shared" si="12"/>
        <v>0</v>
      </c>
      <c r="AD24" s="222" t="str">
        <f t="shared" si="13"/>
        <v/>
      </c>
      <c r="AE24" s="201"/>
      <c r="AF24" s="231" t="str">
        <f>+IFERROR(VLOOKUP(L24,Data!$F$4:$G$97,2,0),"")</f>
        <v/>
      </c>
    </row>
    <row r="25" spans="9:32" ht="15" customHeight="1" x14ac:dyDescent="0.3">
      <c r="I25" s="201" t="str">
        <f t="shared" si="7"/>
        <v/>
      </c>
      <c r="J25" s="218">
        <f t="shared" si="14"/>
        <v>22</v>
      </c>
      <c r="K25" s="250"/>
      <c r="L25" s="219"/>
      <c r="M25" s="218"/>
      <c r="N25" s="220" t="str">
        <f>IFERROR(VLOOKUP(M25,Data!$C$4:$D$395,2,0),"")</f>
        <v/>
      </c>
      <c r="O25" s="220"/>
      <c r="P25" s="229"/>
      <c r="Q25" s="221"/>
      <c r="R25" s="222" t="str">
        <f t="shared" si="8"/>
        <v>-</v>
      </c>
      <c r="S25" s="223"/>
      <c r="T25" s="224"/>
      <c r="U25" s="225">
        <f t="shared" si="9"/>
        <v>0</v>
      </c>
      <c r="V25" s="226">
        <v>0</v>
      </c>
      <c r="W25" s="227"/>
      <c r="X25" s="228">
        <f t="shared" si="10"/>
        <v>0</v>
      </c>
      <c r="Y25" s="229"/>
      <c r="Z25" s="229"/>
      <c r="AA25" s="229"/>
      <c r="AB25" s="222">
        <f t="shared" si="11"/>
        <v>0</v>
      </c>
      <c r="AC25" s="230">
        <f t="shared" si="12"/>
        <v>0</v>
      </c>
      <c r="AD25" s="222" t="str">
        <f t="shared" si="13"/>
        <v/>
      </c>
      <c r="AE25" s="201"/>
      <c r="AF25" s="231" t="str">
        <f>+IFERROR(VLOOKUP(L25,Data!$F$4:$G$97,2,0),"")</f>
        <v/>
      </c>
    </row>
    <row r="26" spans="9:32" ht="15" customHeight="1" x14ac:dyDescent="0.3">
      <c r="I26" s="201" t="str">
        <f t="shared" si="7"/>
        <v/>
      </c>
      <c r="J26" s="218">
        <f t="shared" si="14"/>
        <v>23</v>
      </c>
      <c r="K26" s="250"/>
      <c r="L26" s="219"/>
      <c r="M26" s="218"/>
      <c r="N26" s="220" t="str">
        <f>IFERROR(VLOOKUP(M26,Data!$C$4:$D$395,2,0),"")</f>
        <v/>
      </c>
      <c r="O26" s="220"/>
      <c r="P26" s="229"/>
      <c r="Q26" s="221"/>
      <c r="R26" s="222" t="str">
        <f t="shared" si="8"/>
        <v>-</v>
      </c>
      <c r="S26" s="223"/>
      <c r="T26" s="224"/>
      <c r="U26" s="225">
        <f t="shared" si="9"/>
        <v>0</v>
      </c>
      <c r="V26" s="226">
        <v>0</v>
      </c>
      <c r="W26" s="227"/>
      <c r="X26" s="228">
        <f t="shared" si="10"/>
        <v>0</v>
      </c>
      <c r="Y26" s="229"/>
      <c r="Z26" s="229"/>
      <c r="AA26" s="229"/>
      <c r="AB26" s="222">
        <f t="shared" si="11"/>
        <v>0</v>
      </c>
      <c r="AC26" s="230">
        <f t="shared" si="12"/>
        <v>0</v>
      </c>
      <c r="AD26" s="222" t="str">
        <f t="shared" si="13"/>
        <v/>
      </c>
      <c r="AE26" s="201"/>
      <c r="AF26" s="231" t="str">
        <f>+IFERROR(VLOOKUP(L26,Data!$F$4:$G$97,2,0),"")</f>
        <v/>
      </c>
    </row>
    <row r="27" spans="9:32" ht="15" customHeight="1" x14ac:dyDescent="0.3">
      <c r="I27" s="201" t="str">
        <f t="shared" si="7"/>
        <v/>
      </c>
      <c r="J27" s="218">
        <f t="shared" si="14"/>
        <v>24</v>
      </c>
      <c r="K27" s="250"/>
      <c r="L27" s="219"/>
      <c r="M27" s="218"/>
      <c r="N27" s="220" t="str">
        <f>IFERROR(VLOOKUP(M27,Data!$C$4:$D$395,2,0),"")</f>
        <v/>
      </c>
      <c r="O27" s="220"/>
      <c r="P27" s="229"/>
      <c r="Q27" s="221"/>
      <c r="R27" s="222" t="str">
        <f t="shared" si="8"/>
        <v>-</v>
      </c>
      <c r="S27" s="223"/>
      <c r="T27" s="224"/>
      <c r="U27" s="225">
        <f t="shared" si="9"/>
        <v>0</v>
      </c>
      <c r="V27" s="226">
        <v>0</v>
      </c>
      <c r="W27" s="227"/>
      <c r="X27" s="228">
        <f t="shared" si="10"/>
        <v>0</v>
      </c>
      <c r="Y27" s="229"/>
      <c r="Z27" s="229"/>
      <c r="AA27" s="229"/>
      <c r="AB27" s="222">
        <f t="shared" si="11"/>
        <v>0</v>
      </c>
      <c r="AC27" s="230">
        <f t="shared" si="12"/>
        <v>0</v>
      </c>
      <c r="AD27" s="222" t="str">
        <f t="shared" si="13"/>
        <v/>
      </c>
      <c r="AE27" s="201"/>
      <c r="AF27" s="231" t="str">
        <f>+IFERROR(VLOOKUP(L27,Data!$F$4:$G$97,2,0),"")</f>
        <v/>
      </c>
    </row>
    <row r="28" spans="9:32" ht="15" customHeight="1" x14ac:dyDescent="0.3">
      <c r="I28" s="201" t="str">
        <f t="shared" si="7"/>
        <v/>
      </c>
      <c r="J28" s="218">
        <f t="shared" si="14"/>
        <v>25</v>
      </c>
      <c r="K28" s="250"/>
      <c r="L28" s="219"/>
      <c r="M28" s="218"/>
      <c r="N28" s="220" t="str">
        <f>IFERROR(VLOOKUP(M28,Data!$C$4:$D$395,2,0),"")</f>
        <v/>
      </c>
      <c r="O28" s="220"/>
      <c r="P28" s="229"/>
      <c r="Q28" s="221"/>
      <c r="R28" s="222" t="str">
        <f t="shared" si="8"/>
        <v>-</v>
      </c>
      <c r="S28" s="223"/>
      <c r="T28" s="224"/>
      <c r="U28" s="225">
        <f t="shared" si="9"/>
        <v>0</v>
      </c>
      <c r="V28" s="226">
        <v>0</v>
      </c>
      <c r="W28" s="227"/>
      <c r="X28" s="228">
        <f t="shared" si="10"/>
        <v>0</v>
      </c>
      <c r="Y28" s="229"/>
      <c r="Z28" s="229"/>
      <c r="AA28" s="229"/>
      <c r="AB28" s="222">
        <f t="shared" si="11"/>
        <v>0</v>
      </c>
      <c r="AC28" s="230">
        <f t="shared" si="12"/>
        <v>0</v>
      </c>
      <c r="AD28" s="222" t="str">
        <f t="shared" si="13"/>
        <v/>
      </c>
      <c r="AE28" s="201"/>
      <c r="AF28" s="231" t="str">
        <f>+IFERROR(VLOOKUP(L28,Data!$F$4:$G$97,2,0),"")</f>
        <v/>
      </c>
    </row>
    <row r="29" spans="9:32" ht="15" customHeight="1" x14ac:dyDescent="0.3">
      <c r="I29" s="201" t="str">
        <f t="shared" si="7"/>
        <v/>
      </c>
      <c r="J29" s="218">
        <f t="shared" si="14"/>
        <v>26</v>
      </c>
      <c r="K29" s="250"/>
      <c r="L29" s="219"/>
      <c r="M29" s="218"/>
      <c r="N29" s="220" t="str">
        <f>IFERROR(VLOOKUP(M29,Data!$C$4:$D$395,2,0),"")</f>
        <v/>
      </c>
      <c r="O29" s="220"/>
      <c r="P29" s="229"/>
      <c r="Q29" s="221"/>
      <c r="R29" s="222" t="str">
        <f t="shared" si="8"/>
        <v>-</v>
      </c>
      <c r="S29" s="223"/>
      <c r="T29" s="224"/>
      <c r="U29" s="225">
        <f t="shared" si="9"/>
        <v>0</v>
      </c>
      <c r="V29" s="226">
        <v>0</v>
      </c>
      <c r="W29" s="227"/>
      <c r="X29" s="228">
        <f t="shared" si="10"/>
        <v>0</v>
      </c>
      <c r="Y29" s="229"/>
      <c r="Z29" s="229"/>
      <c r="AA29" s="229"/>
      <c r="AB29" s="222">
        <f t="shared" si="11"/>
        <v>0</v>
      </c>
      <c r="AC29" s="230">
        <f t="shared" si="12"/>
        <v>0</v>
      </c>
      <c r="AD29" s="222" t="str">
        <f t="shared" si="13"/>
        <v/>
      </c>
      <c r="AE29" s="201"/>
      <c r="AF29" s="231" t="str">
        <f>+IFERROR(VLOOKUP(L29,Data!$F$4:$G$97,2,0),"")</f>
        <v/>
      </c>
    </row>
    <row r="30" spans="9:32" ht="15" customHeight="1" x14ac:dyDescent="0.3">
      <c r="I30" s="201" t="str">
        <f t="shared" si="7"/>
        <v/>
      </c>
      <c r="J30" s="218">
        <f t="shared" si="14"/>
        <v>27</v>
      </c>
      <c r="K30" s="250"/>
      <c r="L30" s="219"/>
      <c r="M30" s="218"/>
      <c r="N30" s="220" t="str">
        <f>IFERROR(VLOOKUP(M30,Data!$C$4:$D$395,2,0),"")</f>
        <v/>
      </c>
      <c r="O30" s="220"/>
      <c r="P30" s="229"/>
      <c r="Q30" s="221"/>
      <c r="R30" s="222" t="str">
        <f t="shared" si="8"/>
        <v>-</v>
      </c>
      <c r="S30" s="223"/>
      <c r="T30" s="224"/>
      <c r="U30" s="225">
        <f t="shared" si="9"/>
        <v>0</v>
      </c>
      <c r="V30" s="226">
        <v>0</v>
      </c>
      <c r="W30" s="227"/>
      <c r="X30" s="228">
        <f t="shared" si="10"/>
        <v>0</v>
      </c>
      <c r="Y30" s="229"/>
      <c r="Z30" s="229"/>
      <c r="AA30" s="229"/>
      <c r="AB30" s="222">
        <f t="shared" si="11"/>
        <v>0</v>
      </c>
      <c r="AC30" s="230">
        <f t="shared" si="12"/>
        <v>0</v>
      </c>
      <c r="AD30" s="222" t="str">
        <f t="shared" si="13"/>
        <v/>
      </c>
      <c r="AE30" s="201"/>
      <c r="AF30" s="231" t="str">
        <f>+IFERROR(VLOOKUP(L30,Data!$F$4:$G$97,2,0),"")</f>
        <v/>
      </c>
    </row>
    <row r="31" spans="9:32" ht="15" customHeight="1" x14ac:dyDescent="0.3">
      <c r="I31" s="201" t="str">
        <f t="shared" si="7"/>
        <v/>
      </c>
      <c r="J31" s="218">
        <f t="shared" si="14"/>
        <v>28</v>
      </c>
      <c r="K31" s="250"/>
      <c r="L31" s="219"/>
      <c r="M31" s="218"/>
      <c r="N31" s="220" t="str">
        <f>IFERROR(VLOOKUP(M31,Data!$C$4:$D$395,2,0),"")</f>
        <v/>
      </c>
      <c r="O31" s="220"/>
      <c r="P31" s="229"/>
      <c r="Q31" s="221"/>
      <c r="R31" s="222" t="str">
        <f t="shared" si="8"/>
        <v>-</v>
      </c>
      <c r="S31" s="223"/>
      <c r="T31" s="224"/>
      <c r="U31" s="225">
        <f t="shared" si="9"/>
        <v>0</v>
      </c>
      <c r="V31" s="226">
        <v>0</v>
      </c>
      <c r="W31" s="227"/>
      <c r="X31" s="228">
        <f t="shared" si="10"/>
        <v>0</v>
      </c>
      <c r="Y31" s="229"/>
      <c r="Z31" s="229"/>
      <c r="AA31" s="229"/>
      <c r="AB31" s="222">
        <f t="shared" si="11"/>
        <v>0</v>
      </c>
      <c r="AC31" s="230">
        <f t="shared" si="12"/>
        <v>0</v>
      </c>
      <c r="AD31" s="222" t="str">
        <f t="shared" si="13"/>
        <v/>
      </c>
      <c r="AE31" s="201"/>
      <c r="AF31" s="231" t="str">
        <f>+IFERROR(VLOOKUP(L31,Data!$F$4:$G$97,2,0),"")</f>
        <v/>
      </c>
    </row>
    <row r="32" spans="9:32" ht="15" customHeight="1" x14ac:dyDescent="0.3">
      <c r="I32" s="201" t="str">
        <f t="shared" si="7"/>
        <v/>
      </c>
      <c r="J32" s="218">
        <f t="shared" si="14"/>
        <v>29</v>
      </c>
      <c r="K32" s="250"/>
      <c r="L32" s="219"/>
      <c r="M32" s="218"/>
      <c r="N32" s="220" t="str">
        <f>IFERROR(VLOOKUP(M32,Data!$C$4:$D$395,2,0),"")</f>
        <v/>
      </c>
      <c r="O32" s="220"/>
      <c r="P32" s="229"/>
      <c r="Q32" s="221"/>
      <c r="R32" s="222" t="str">
        <f t="shared" si="8"/>
        <v>-</v>
      </c>
      <c r="S32" s="223"/>
      <c r="T32" s="224"/>
      <c r="U32" s="225">
        <f t="shared" si="9"/>
        <v>0</v>
      </c>
      <c r="V32" s="226">
        <v>0</v>
      </c>
      <c r="W32" s="227"/>
      <c r="X32" s="228">
        <f t="shared" si="10"/>
        <v>0</v>
      </c>
      <c r="Y32" s="229"/>
      <c r="Z32" s="229"/>
      <c r="AA32" s="229"/>
      <c r="AB32" s="222">
        <f t="shared" si="11"/>
        <v>0</v>
      </c>
      <c r="AC32" s="230">
        <f t="shared" si="12"/>
        <v>0</v>
      </c>
      <c r="AD32" s="222" t="str">
        <f t="shared" si="13"/>
        <v/>
      </c>
      <c r="AE32" s="201"/>
      <c r="AF32" s="231" t="str">
        <f>+IFERROR(VLOOKUP(L32,Data!$F$4:$G$97,2,0),"")</f>
        <v/>
      </c>
    </row>
    <row r="33" spans="9:32" ht="15" customHeight="1" x14ac:dyDescent="0.3">
      <c r="I33" s="201" t="str">
        <f t="shared" si="7"/>
        <v/>
      </c>
      <c r="J33" s="218">
        <f t="shared" si="14"/>
        <v>30</v>
      </c>
      <c r="K33" s="250"/>
      <c r="L33" s="219"/>
      <c r="M33" s="218"/>
      <c r="N33" s="220" t="str">
        <f>IFERROR(VLOOKUP(M33,Data!$C$4:$D$395,2,0),"")</f>
        <v/>
      </c>
      <c r="O33" s="220"/>
      <c r="P33" s="229"/>
      <c r="Q33" s="221"/>
      <c r="R33" s="222" t="str">
        <f t="shared" si="8"/>
        <v>-</v>
      </c>
      <c r="S33" s="223"/>
      <c r="T33" s="224"/>
      <c r="U33" s="225">
        <f t="shared" si="9"/>
        <v>0</v>
      </c>
      <c r="V33" s="226">
        <v>0</v>
      </c>
      <c r="W33" s="227"/>
      <c r="X33" s="228">
        <f t="shared" si="10"/>
        <v>0</v>
      </c>
      <c r="Y33" s="229"/>
      <c r="Z33" s="229"/>
      <c r="AA33" s="229"/>
      <c r="AB33" s="222">
        <f t="shared" si="11"/>
        <v>0</v>
      </c>
      <c r="AC33" s="230">
        <f t="shared" si="12"/>
        <v>0</v>
      </c>
      <c r="AD33" s="222" t="str">
        <f t="shared" si="13"/>
        <v/>
      </c>
      <c r="AE33" s="201"/>
      <c r="AF33" s="231" t="str">
        <f>+IFERROR(VLOOKUP(L33,Data!$F$4:$G$97,2,0),"")</f>
        <v/>
      </c>
    </row>
    <row r="34" spans="9:32" ht="15" customHeight="1" x14ac:dyDescent="0.3">
      <c r="I34" s="201" t="str">
        <f t="shared" si="7"/>
        <v/>
      </c>
      <c r="J34" s="218">
        <f t="shared" si="14"/>
        <v>31</v>
      </c>
      <c r="K34" s="250"/>
      <c r="L34" s="219"/>
      <c r="M34" s="218"/>
      <c r="N34" s="220" t="str">
        <f>IFERROR(VLOOKUP(M34,Data!$C$4:$D$395,2,0),"")</f>
        <v/>
      </c>
      <c r="O34" s="220"/>
      <c r="P34" s="229"/>
      <c r="Q34" s="221"/>
      <c r="R34" s="222" t="str">
        <f t="shared" si="8"/>
        <v>-</v>
      </c>
      <c r="S34" s="223"/>
      <c r="T34" s="224"/>
      <c r="U34" s="225">
        <f t="shared" si="9"/>
        <v>0</v>
      </c>
      <c r="V34" s="226">
        <v>0</v>
      </c>
      <c r="W34" s="227"/>
      <c r="X34" s="228">
        <f t="shared" si="10"/>
        <v>0</v>
      </c>
      <c r="Y34" s="229"/>
      <c r="Z34" s="229"/>
      <c r="AA34" s="229"/>
      <c r="AB34" s="222">
        <f t="shared" si="11"/>
        <v>0</v>
      </c>
      <c r="AC34" s="230">
        <f t="shared" si="12"/>
        <v>0</v>
      </c>
      <c r="AD34" s="222" t="str">
        <f t="shared" si="13"/>
        <v/>
      </c>
      <c r="AE34" s="201"/>
      <c r="AF34" s="231" t="str">
        <f>+IFERROR(VLOOKUP(L34,Data!$F$4:$G$97,2,0),"")</f>
        <v/>
      </c>
    </row>
    <row r="35" spans="9:32" ht="15" customHeight="1" x14ac:dyDescent="0.3">
      <c r="I35" s="201" t="str">
        <f t="shared" si="7"/>
        <v/>
      </c>
      <c r="J35" s="218">
        <f t="shared" si="14"/>
        <v>32</v>
      </c>
      <c r="K35" s="250"/>
      <c r="L35" s="219"/>
      <c r="M35" s="218"/>
      <c r="N35" s="220" t="str">
        <f>IFERROR(VLOOKUP(M35,Data!$C$4:$D$395,2,0),"")</f>
        <v/>
      </c>
      <c r="O35" s="220"/>
      <c r="P35" s="229"/>
      <c r="Q35" s="221"/>
      <c r="R35" s="222" t="str">
        <f t="shared" si="8"/>
        <v>-</v>
      </c>
      <c r="S35" s="223"/>
      <c r="T35" s="224"/>
      <c r="U35" s="225">
        <f t="shared" si="9"/>
        <v>0</v>
      </c>
      <c r="V35" s="226">
        <v>0</v>
      </c>
      <c r="W35" s="227"/>
      <c r="X35" s="228">
        <f t="shared" si="10"/>
        <v>0</v>
      </c>
      <c r="Y35" s="229"/>
      <c r="Z35" s="229"/>
      <c r="AA35" s="229"/>
      <c r="AB35" s="222">
        <f t="shared" si="11"/>
        <v>0</v>
      </c>
      <c r="AC35" s="230">
        <f t="shared" si="12"/>
        <v>0</v>
      </c>
      <c r="AD35" s="222" t="str">
        <f t="shared" si="13"/>
        <v/>
      </c>
      <c r="AE35" s="201"/>
      <c r="AF35" s="231" t="str">
        <f>+IFERROR(VLOOKUP(L35,Data!$F$4:$G$97,2,0),"")</f>
        <v/>
      </c>
    </row>
    <row r="36" spans="9:32" ht="15" customHeight="1" x14ac:dyDescent="0.3">
      <c r="I36" s="201" t="str">
        <f t="shared" si="7"/>
        <v/>
      </c>
      <c r="J36" s="218">
        <f t="shared" si="14"/>
        <v>33</v>
      </c>
      <c r="K36" s="250"/>
      <c r="L36" s="219"/>
      <c r="M36" s="218"/>
      <c r="N36" s="220" t="str">
        <f>IFERROR(VLOOKUP(M36,Data!$C$4:$D$395,2,0),"")</f>
        <v/>
      </c>
      <c r="O36" s="220"/>
      <c r="P36" s="229"/>
      <c r="Q36" s="221"/>
      <c r="R36" s="222" t="str">
        <f t="shared" si="8"/>
        <v>-</v>
      </c>
      <c r="S36" s="223"/>
      <c r="T36" s="224"/>
      <c r="U36" s="225">
        <f t="shared" si="9"/>
        <v>0</v>
      </c>
      <c r="V36" s="226">
        <v>0</v>
      </c>
      <c r="W36" s="227"/>
      <c r="X36" s="228">
        <f t="shared" si="10"/>
        <v>0</v>
      </c>
      <c r="Y36" s="229"/>
      <c r="Z36" s="229"/>
      <c r="AA36" s="229"/>
      <c r="AB36" s="222">
        <f t="shared" si="11"/>
        <v>0</v>
      </c>
      <c r="AC36" s="230">
        <f t="shared" si="12"/>
        <v>0</v>
      </c>
      <c r="AD36" s="222" t="str">
        <f t="shared" si="13"/>
        <v/>
      </c>
      <c r="AE36" s="201"/>
      <c r="AF36" s="231" t="str">
        <f>+IFERROR(VLOOKUP(L36,Data!$F$4:$G$97,2,0),"")</f>
        <v/>
      </c>
    </row>
    <row r="37" spans="9:32" ht="15" customHeight="1" x14ac:dyDescent="0.3">
      <c r="I37" s="201" t="str">
        <f t="shared" si="7"/>
        <v/>
      </c>
      <c r="J37" s="218">
        <f t="shared" si="14"/>
        <v>34</v>
      </c>
      <c r="K37" s="250"/>
      <c r="L37" s="219"/>
      <c r="M37" s="218"/>
      <c r="N37" s="220" t="str">
        <f>IFERROR(VLOOKUP(M37,Data!$C$4:$D$395,2,0),"")</f>
        <v/>
      </c>
      <c r="O37" s="220"/>
      <c r="P37" s="229"/>
      <c r="Q37" s="221"/>
      <c r="R37" s="222" t="str">
        <f t="shared" si="8"/>
        <v>-</v>
      </c>
      <c r="S37" s="223"/>
      <c r="T37" s="224"/>
      <c r="U37" s="225">
        <f t="shared" si="9"/>
        <v>0</v>
      </c>
      <c r="V37" s="226">
        <v>0</v>
      </c>
      <c r="W37" s="227"/>
      <c r="X37" s="228">
        <f t="shared" si="10"/>
        <v>0</v>
      </c>
      <c r="Y37" s="229"/>
      <c r="Z37" s="229"/>
      <c r="AA37" s="229"/>
      <c r="AB37" s="222">
        <f t="shared" si="11"/>
        <v>0</v>
      </c>
      <c r="AC37" s="230">
        <f t="shared" si="12"/>
        <v>0</v>
      </c>
      <c r="AD37" s="222" t="str">
        <f t="shared" si="13"/>
        <v/>
      </c>
      <c r="AE37" s="201"/>
      <c r="AF37" s="231" t="str">
        <f>+IFERROR(VLOOKUP(L37,Data!$F$4:$G$97,2,0),"")</f>
        <v/>
      </c>
    </row>
    <row r="38" spans="9:32" ht="15" customHeight="1" x14ac:dyDescent="0.3">
      <c r="I38" s="201" t="str">
        <f t="shared" si="7"/>
        <v/>
      </c>
      <c r="J38" s="218">
        <f t="shared" si="14"/>
        <v>35</v>
      </c>
      <c r="K38" s="250"/>
      <c r="L38" s="219"/>
      <c r="M38" s="218"/>
      <c r="N38" s="220" t="str">
        <f>IFERROR(VLOOKUP(M38,Data!$C$4:$D$395,2,0),"")</f>
        <v/>
      </c>
      <c r="O38" s="220"/>
      <c r="P38" s="229"/>
      <c r="Q38" s="221"/>
      <c r="R38" s="222" t="str">
        <f t="shared" si="8"/>
        <v>-</v>
      </c>
      <c r="S38" s="223"/>
      <c r="T38" s="224"/>
      <c r="U38" s="225">
        <f t="shared" si="9"/>
        <v>0</v>
      </c>
      <c r="V38" s="226">
        <v>0</v>
      </c>
      <c r="W38" s="227"/>
      <c r="X38" s="228">
        <f t="shared" si="10"/>
        <v>0</v>
      </c>
      <c r="Y38" s="229"/>
      <c r="Z38" s="229"/>
      <c r="AA38" s="229"/>
      <c r="AB38" s="222">
        <f t="shared" si="11"/>
        <v>0</v>
      </c>
      <c r="AC38" s="230">
        <f t="shared" si="12"/>
        <v>0</v>
      </c>
      <c r="AD38" s="222" t="str">
        <f t="shared" si="13"/>
        <v/>
      </c>
      <c r="AE38" s="201"/>
      <c r="AF38" s="231" t="str">
        <f>+IFERROR(VLOOKUP(L38,Data!$F$4:$G$97,2,0),"")</f>
        <v/>
      </c>
    </row>
    <row r="39" spans="9:32" ht="15" customHeight="1" x14ac:dyDescent="0.3">
      <c r="I39" s="201" t="str">
        <f t="shared" si="7"/>
        <v/>
      </c>
      <c r="J39" s="218">
        <f t="shared" si="14"/>
        <v>36</v>
      </c>
      <c r="K39" s="250"/>
      <c r="L39" s="219"/>
      <c r="M39" s="218"/>
      <c r="N39" s="220" t="str">
        <f>IFERROR(VLOOKUP(M39,Data!$C$4:$D$395,2,0),"")</f>
        <v/>
      </c>
      <c r="O39" s="220"/>
      <c r="P39" s="229"/>
      <c r="Q39" s="221"/>
      <c r="R39" s="222" t="str">
        <f t="shared" si="8"/>
        <v>-</v>
      </c>
      <c r="S39" s="223"/>
      <c r="T39" s="224"/>
      <c r="U39" s="225">
        <f t="shared" si="9"/>
        <v>0</v>
      </c>
      <c r="V39" s="226">
        <v>0</v>
      </c>
      <c r="W39" s="227"/>
      <c r="X39" s="228">
        <f t="shared" si="10"/>
        <v>0</v>
      </c>
      <c r="Y39" s="229"/>
      <c r="Z39" s="229"/>
      <c r="AA39" s="229"/>
      <c r="AB39" s="222">
        <f t="shared" si="11"/>
        <v>0</v>
      </c>
      <c r="AC39" s="230">
        <f t="shared" si="12"/>
        <v>0</v>
      </c>
      <c r="AD39" s="222" t="str">
        <f t="shared" si="13"/>
        <v/>
      </c>
      <c r="AE39" s="201"/>
      <c r="AF39" s="231" t="str">
        <f>+IFERROR(VLOOKUP(L39,Data!$F$4:$G$97,2,0),"")</f>
        <v/>
      </c>
    </row>
    <row r="40" spans="9:32" ht="15" customHeight="1" x14ac:dyDescent="0.3">
      <c r="I40" s="201" t="str">
        <f t="shared" si="7"/>
        <v/>
      </c>
      <c r="J40" s="218">
        <f t="shared" si="14"/>
        <v>37</v>
      </c>
      <c r="K40" s="250"/>
      <c r="L40" s="219"/>
      <c r="M40" s="218"/>
      <c r="N40" s="220" t="str">
        <f>IFERROR(VLOOKUP(M40,Data!$C$4:$D$395,2,0),"")</f>
        <v/>
      </c>
      <c r="O40" s="220"/>
      <c r="P40" s="229"/>
      <c r="Q40" s="221"/>
      <c r="R40" s="222" t="str">
        <f t="shared" si="8"/>
        <v>-</v>
      </c>
      <c r="S40" s="223"/>
      <c r="T40" s="224"/>
      <c r="U40" s="225">
        <f t="shared" si="9"/>
        <v>0</v>
      </c>
      <c r="V40" s="226">
        <v>0</v>
      </c>
      <c r="W40" s="227"/>
      <c r="X40" s="228">
        <f t="shared" si="10"/>
        <v>0</v>
      </c>
      <c r="Y40" s="229"/>
      <c r="Z40" s="229"/>
      <c r="AA40" s="229"/>
      <c r="AB40" s="222">
        <f t="shared" si="11"/>
        <v>0</v>
      </c>
      <c r="AC40" s="230">
        <f t="shared" si="12"/>
        <v>0</v>
      </c>
      <c r="AD40" s="222" t="str">
        <f t="shared" si="13"/>
        <v/>
      </c>
      <c r="AE40" s="201"/>
      <c r="AF40" s="231" t="str">
        <f>+IFERROR(VLOOKUP(L40,Data!$F$4:$G$97,2,0),"")</f>
        <v/>
      </c>
    </row>
    <row r="41" spans="9:32" ht="15" customHeight="1" x14ac:dyDescent="0.3">
      <c r="I41" s="201" t="str">
        <f t="shared" si="7"/>
        <v/>
      </c>
      <c r="J41" s="218">
        <f t="shared" si="14"/>
        <v>38</v>
      </c>
      <c r="K41" s="250"/>
      <c r="L41" s="219"/>
      <c r="M41" s="218"/>
      <c r="N41" s="220" t="str">
        <f>IFERROR(VLOOKUP(M41,Data!$C$4:$D$395,2,0),"")</f>
        <v/>
      </c>
      <c r="O41" s="220"/>
      <c r="P41" s="229"/>
      <c r="Q41" s="221"/>
      <c r="R41" s="222" t="str">
        <f t="shared" si="8"/>
        <v>-</v>
      </c>
      <c r="S41" s="223"/>
      <c r="T41" s="224"/>
      <c r="U41" s="225">
        <f t="shared" si="9"/>
        <v>0</v>
      </c>
      <c r="V41" s="226">
        <v>0</v>
      </c>
      <c r="W41" s="227"/>
      <c r="X41" s="228">
        <f t="shared" si="10"/>
        <v>0</v>
      </c>
      <c r="Y41" s="229"/>
      <c r="Z41" s="229"/>
      <c r="AA41" s="229"/>
      <c r="AB41" s="222">
        <f t="shared" si="11"/>
        <v>0</v>
      </c>
      <c r="AC41" s="230">
        <f t="shared" si="12"/>
        <v>0</v>
      </c>
      <c r="AD41" s="222" t="str">
        <f t="shared" si="13"/>
        <v/>
      </c>
      <c r="AE41" s="201"/>
      <c r="AF41" s="231" t="str">
        <f>+IFERROR(VLOOKUP(L41,Data!$F$4:$G$97,2,0),"")</f>
        <v/>
      </c>
    </row>
    <row r="42" spans="9:32" ht="15" customHeight="1" x14ac:dyDescent="0.3">
      <c r="I42" s="201" t="str">
        <f t="shared" si="7"/>
        <v/>
      </c>
      <c r="J42" s="218">
        <f t="shared" si="14"/>
        <v>39</v>
      </c>
      <c r="K42" s="250"/>
      <c r="L42" s="219"/>
      <c r="M42" s="218"/>
      <c r="N42" s="220" t="str">
        <f>IFERROR(VLOOKUP(M42,Data!$C$4:$D$395,2,0),"")</f>
        <v/>
      </c>
      <c r="O42" s="220"/>
      <c r="P42" s="229"/>
      <c r="Q42" s="221"/>
      <c r="R42" s="222" t="str">
        <f t="shared" si="8"/>
        <v>-</v>
      </c>
      <c r="S42" s="223"/>
      <c r="T42" s="224"/>
      <c r="U42" s="225">
        <f t="shared" si="9"/>
        <v>0</v>
      </c>
      <c r="V42" s="226">
        <v>0</v>
      </c>
      <c r="W42" s="227"/>
      <c r="X42" s="228">
        <f t="shared" si="10"/>
        <v>0</v>
      </c>
      <c r="Y42" s="229"/>
      <c r="Z42" s="229"/>
      <c r="AA42" s="229"/>
      <c r="AB42" s="222">
        <f t="shared" si="11"/>
        <v>0</v>
      </c>
      <c r="AC42" s="230">
        <f t="shared" si="12"/>
        <v>0</v>
      </c>
      <c r="AD42" s="222" t="str">
        <f t="shared" si="13"/>
        <v/>
      </c>
      <c r="AE42" s="201"/>
      <c r="AF42" s="231" t="str">
        <f>+IFERROR(VLOOKUP(L42,Data!$F$4:$G$97,2,0),"")</f>
        <v/>
      </c>
    </row>
    <row r="43" spans="9:32" ht="15" customHeight="1" x14ac:dyDescent="0.3">
      <c r="I43" s="201" t="str">
        <f t="shared" si="7"/>
        <v/>
      </c>
      <c r="J43" s="218">
        <f t="shared" si="14"/>
        <v>40</v>
      </c>
      <c r="K43" s="250"/>
      <c r="L43" s="219"/>
      <c r="M43" s="218"/>
      <c r="N43" s="220" t="str">
        <f>IFERROR(VLOOKUP(M43,Data!$C$4:$D$395,2,0),"")</f>
        <v/>
      </c>
      <c r="O43" s="220"/>
      <c r="P43" s="229"/>
      <c r="Q43" s="221"/>
      <c r="R43" s="222" t="str">
        <f t="shared" si="8"/>
        <v>-</v>
      </c>
      <c r="S43" s="223"/>
      <c r="T43" s="224"/>
      <c r="U43" s="225">
        <f t="shared" si="9"/>
        <v>0</v>
      </c>
      <c r="V43" s="226">
        <v>0</v>
      </c>
      <c r="W43" s="227"/>
      <c r="X43" s="228">
        <f t="shared" si="10"/>
        <v>0</v>
      </c>
      <c r="Y43" s="229"/>
      <c r="Z43" s="229"/>
      <c r="AA43" s="229"/>
      <c r="AB43" s="222">
        <f t="shared" si="11"/>
        <v>0</v>
      </c>
      <c r="AC43" s="230">
        <f t="shared" si="12"/>
        <v>0</v>
      </c>
      <c r="AD43" s="222" t="str">
        <f t="shared" si="13"/>
        <v/>
      </c>
      <c r="AE43" s="201"/>
      <c r="AF43" s="231" t="str">
        <f>+IFERROR(VLOOKUP(L43,Data!$F$4:$G$97,2,0),"")</f>
        <v/>
      </c>
    </row>
    <row r="44" spans="9:32" ht="15" customHeight="1" x14ac:dyDescent="0.3">
      <c r="I44" s="201" t="str">
        <f t="shared" si="7"/>
        <v/>
      </c>
      <c r="J44" s="218">
        <f t="shared" si="14"/>
        <v>41</v>
      </c>
      <c r="K44" s="250"/>
      <c r="L44" s="219"/>
      <c r="M44" s="218"/>
      <c r="N44" s="220" t="str">
        <f>IFERROR(VLOOKUP(M44,Data!$C$4:$D$395,2,0),"")</f>
        <v/>
      </c>
      <c r="O44" s="220"/>
      <c r="P44" s="229"/>
      <c r="Q44" s="221"/>
      <c r="R44" s="222" t="str">
        <f t="shared" si="8"/>
        <v>-</v>
      </c>
      <c r="S44" s="223"/>
      <c r="T44" s="224"/>
      <c r="U44" s="225">
        <f t="shared" si="9"/>
        <v>0</v>
      </c>
      <c r="V44" s="226">
        <v>0</v>
      </c>
      <c r="W44" s="227"/>
      <c r="X44" s="228">
        <f t="shared" si="10"/>
        <v>0</v>
      </c>
      <c r="Y44" s="229"/>
      <c r="Z44" s="229"/>
      <c r="AA44" s="229"/>
      <c r="AB44" s="222">
        <f t="shared" si="11"/>
        <v>0</v>
      </c>
      <c r="AC44" s="230">
        <f t="shared" si="12"/>
        <v>0</v>
      </c>
      <c r="AD44" s="222" t="str">
        <f t="shared" si="13"/>
        <v/>
      </c>
      <c r="AE44" s="201"/>
      <c r="AF44" s="231" t="str">
        <f>+IFERROR(VLOOKUP(L44,Data!$F$4:$G$97,2,0),"")</f>
        <v/>
      </c>
    </row>
    <row r="45" spans="9:32" ht="15" customHeight="1" x14ac:dyDescent="0.3">
      <c r="I45" s="201" t="str">
        <f t="shared" si="7"/>
        <v/>
      </c>
      <c r="J45" s="218">
        <f t="shared" si="14"/>
        <v>42</v>
      </c>
      <c r="K45" s="250"/>
      <c r="L45" s="219"/>
      <c r="M45" s="218"/>
      <c r="N45" s="220" t="str">
        <f>IFERROR(VLOOKUP(M45,Data!$C$4:$D$395,2,0),"")</f>
        <v/>
      </c>
      <c r="O45" s="220"/>
      <c r="P45" s="229"/>
      <c r="Q45" s="221"/>
      <c r="R45" s="222" t="str">
        <f t="shared" si="8"/>
        <v>-</v>
      </c>
      <c r="S45" s="223"/>
      <c r="T45" s="224"/>
      <c r="U45" s="225">
        <f t="shared" si="9"/>
        <v>0</v>
      </c>
      <c r="V45" s="226">
        <v>0</v>
      </c>
      <c r="W45" s="227"/>
      <c r="X45" s="228">
        <f t="shared" si="10"/>
        <v>0</v>
      </c>
      <c r="Y45" s="229"/>
      <c r="Z45" s="229"/>
      <c r="AA45" s="229"/>
      <c r="AB45" s="222">
        <f t="shared" si="11"/>
        <v>0</v>
      </c>
      <c r="AC45" s="230">
        <f t="shared" si="12"/>
        <v>0</v>
      </c>
      <c r="AD45" s="222" t="str">
        <f t="shared" si="13"/>
        <v/>
      </c>
      <c r="AE45" s="201"/>
      <c r="AF45" s="231" t="str">
        <f>+IFERROR(VLOOKUP(L45,Data!$F$4:$G$97,2,0),"")</f>
        <v/>
      </c>
    </row>
    <row r="46" spans="9:32" ht="15" customHeight="1" x14ac:dyDescent="0.3">
      <c r="I46" s="201" t="str">
        <f t="shared" si="7"/>
        <v/>
      </c>
      <c r="J46" s="218">
        <f t="shared" si="14"/>
        <v>43</v>
      </c>
      <c r="K46" s="250"/>
      <c r="L46" s="219"/>
      <c r="M46" s="218"/>
      <c r="N46" s="220" t="str">
        <f>IFERROR(VLOOKUP(M46,Data!$C$4:$D$395,2,0),"")</f>
        <v/>
      </c>
      <c r="O46" s="220"/>
      <c r="P46" s="229"/>
      <c r="Q46" s="221"/>
      <c r="R46" s="222" t="str">
        <f t="shared" si="8"/>
        <v>-</v>
      </c>
      <c r="S46" s="223"/>
      <c r="T46" s="224"/>
      <c r="U46" s="225">
        <f t="shared" si="9"/>
        <v>0</v>
      </c>
      <c r="V46" s="226">
        <v>0</v>
      </c>
      <c r="W46" s="227"/>
      <c r="X46" s="228">
        <f t="shared" si="10"/>
        <v>0</v>
      </c>
      <c r="Y46" s="229"/>
      <c r="Z46" s="229"/>
      <c r="AA46" s="229"/>
      <c r="AB46" s="222">
        <f t="shared" si="11"/>
        <v>0</v>
      </c>
      <c r="AC46" s="230">
        <f t="shared" si="12"/>
        <v>0</v>
      </c>
      <c r="AD46" s="222" t="str">
        <f t="shared" si="13"/>
        <v/>
      </c>
      <c r="AE46" s="201"/>
      <c r="AF46" s="231" t="str">
        <f>+IFERROR(VLOOKUP(L46,Data!$F$4:$G$97,2,0),"")</f>
        <v/>
      </c>
    </row>
    <row r="47" spans="9:32" ht="15" customHeight="1" x14ac:dyDescent="0.3">
      <c r="I47" s="201" t="str">
        <f t="shared" si="7"/>
        <v/>
      </c>
      <c r="J47" s="218">
        <f t="shared" si="14"/>
        <v>44</v>
      </c>
      <c r="K47" s="250"/>
      <c r="L47" s="219"/>
      <c r="M47" s="218"/>
      <c r="N47" s="220" t="str">
        <f>IFERROR(VLOOKUP(M47,Data!$C$4:$D$395,2,0),"")</f>
        <v/>
      </c>
      <c r="O47" s="220"/>
      <c r="P47" s="229"/>
      <c r="Q47" s="221"/>
      <c r="R47" s="222" t="str">
        <f t="shared" si="8"/>
        <v>-</v>
      </c>
      <c r="S47" s="223"/>
      <c r="T47" s="224"/>
      <c r="U47" s="225">
        <f t="shared" si="9"/>
        <v>0</v>
      </c>
      <c r="V47" s="226">
        <v>0</v>
      </c>
      <c r="W47" s="227"/>
      <c r="X47" s="228">
        <f t="shared" si="10"/>
        <v>0</v>
      </c>
      <c r="Y47" s="229"/>
      <c r="Z47" s="229"/>
      <c r="AA47" s="229"/>
      <c r="AB47" s="222">
        <f t="shared" si="11"/>
        <v>0</v>
      </c>
      <c r="AC47" s="230">
        <f t="shared" si="12"/>
        <v>0</v>
      </c>
      <c r="AD47" s="222" t="str">
        <f t="shared" si="13"/>
        <v/>
      </c>
      <c r="AE47" s="201"/>
      <c r="AF47" s="231" t="str">
        <f>+IFERROR(VLOOKUP(L47,Data!$F$4:$G$97,2,0),"")</f>
        <v/>
      </c>
    </row>
    <row r="48" spans="9:32" ht="15" customHeight="1" x14ac:dyDescent="0.3">
      <c r="I48" s="201" t="str">
        <f t="shared" si="7"/>
        <v/>
      </c>
      <c r="J48" s="218">
        <f t="shared" si="14"/>
        <v>45</v>
      </c>
      <c r="K48" s="250"/>
      <c r="L48" s="219"/>
      <c r="M48" s="218"/>
      <c r="N48" s="220" t="str">
        <f>IFERROR(VLOOKUP(M48,Data!$C$4:$D$395,2,0),"")</f>
        <v/>
      </c>
      <c r="O48" s="220"/>
      <c r="P48" s="229"/>
      <c r="Q48" s="221"/>
      <c r="R48" s="222" t="str">
        <f t="shared" si="8"/>
        <v>-</v>
      </c>
      <c r="S48" s="223"/>
      <c r="T48" s="224"/>
      <c r="U48" s="225">
        <f t="shared" si="9"/>
        <v>0</v>
      </c>
      <c r="V48" s="226">
        <v>0</v>
      </c>
      <c r="W48" s="227"/>
      <c r="X48" s="228">
        <f t="shared" si="10"/>
        <v>0</v>
      </c>
      <c r="Y48" s="229"/>
      <c r="Z48" s="229"/>
      <c r="AA48" s="229"/>
      <c r="AB48" s="222">
        <f t="shared" si="11"/>
        <v>0</v>
      </c>
      <c r="AC48" s="230">
        <f t="shared" si="12"/>
        <v>0</v>
      </c>
      <c r="AD48" s="222" t="str">
        <f t="shared" si="13"/>
        <v/>
      </c>
      <c r="AE48" s="201"/>
      <c r="AF48" s="231" t="str">
        <f>+IFERROR(VLOOKUP(L48,Data!$F$4:$G$97,2,0),"")</f>
        <v/>
      </c>
    </row>
    <row r="49" spans="9:32" ht="15" customHeight="1" x14ac:dyDescent="0.3">
      <c r="I49" s="201" t="str">
        <f t="shared" si="7"/>
        <v/>
      </c>
      <c r="J49" s="218">
        <f t="shared" si="14"/>
        <v>46</v>
      </c>
      <c r="K49" s="250"/>
      <c r="L49" s="219"/>
      <c r="M49" s="218"/>
      <c r="N49" s="220" t="str">
        <f>IFERROR(VLOOKUP(M49,Data!$C$4:$D$395,2,0),"")</f>
        <v/>
      </c>
      <c r="O49" s="220"/>
      <c r="P49" s="229"/>
      <c r="Q49" s="221"/>
      <c r="R49" s="222" t="str">
        <f t="shared" si="8"/>
        <v>-</v>
      </c>
      <c r="S49" s="223"/>
      <c r="T49" s="224"/>
      <c r="U49" s="225">
        <f t="shared" si="9"/>
        <v>0</v>
      </c>
      <c r="V49" s="226">
        <v>0</v>
      </c>
      <c r="W49" s="227"/>
      <c r="X49" s="228">
        <f t="shared" si="10"/>
        <v>0</v>
      </c>
      <c r="Y49" s="229"/>
      <c r="Z49" s="229"/>
      <c r="AA49" s="229"/>
      <c r="AB49" s="222">
        <f t="shared" si="11"/>
        <v>0</v>
      </c>
      <c r="AC49" s="230">
        <f t="shared" si="12"/>
        <v>0</v>
      </c>
      <c r="AD49" s="222" t="str">
        <f t="shared" si="13"/>
        <v/>
      </c>
      <c r="AE49" s="201"/>
      <c r="AF49" s="231" t="str">
        <f>+IFERROR(VLOOKUP(L49,Data!$F$4:$G$97,2,0),"")</f>
        <v/>
      </c>
    </row>
    <row r="50" spans="9:32" ht="15" customHeight="1" x14ac:dyDescent="0.3">
      <c r="I50" s="201" t="str">
        <f t="shared" ref="I50" si="15">+AF50</f>
        <v/>
      </c>
      <c r="J50" s="218">
        <f t="shared" si="14"/>
        <v>47</v>
      </c>
      <c r="K50" s="250"/>
      <c r="L50" s="219"/>
      <c r="M50" s="218"/>
      <c r="N50" s="220" t="str">
        <f>IFERROR(VLOOKUP(M50,Data!$C$4:$D$395,2,0),"")</f>
        <v/>
      </c>
      <c r="O50" s="220"/>
      <c r="P50" s="229"/>
      <c r="Q50" s="221"/>
      <c r="R50" s="222" t="str">
        <f t="shared" ref="R50" si="16">IFERROR(Q50/P50, "-")</f>
        <v>-</v>
      </c>
      <c r="S50" s="223"/>
      <c r="T50" s="224"/>
      <c r="U50" s="225">
        <f t="shared" ref="U50" si="17">+Q50*S50+P50*T50</f>
        <v>0</v>
      </c>
      <c r="V50" s="226">
        <v>0</v>
      </c>
      <c r="W50" s="227"/>
      <c r="X50" s="228">
        <f t="shared" ref="X50" si="18">+Q50*V50+P50*W50</f>
        <v>0</v>
      </c>
      <c r="Y50" s="229"/>
      <c r="Z50" s="229"/>
      <c r="AA50" s="229"/>
      <c r="AB50" s="222">
        <f t="shared" ref="AB50" si="19">+Y50+Z50+AA50</f>
        <v>0</v>
      </c>
      <c r="AC50" s="230">
        <f t="shared" ref="AC50" si="20">IF((U50-Y50-Z50-AA50)&lt;0,"",(U50-Y50-Z50-AA50))</f>
        <v>0</v>
      </c>
      <c r="AD50" s="222" t="str">
        <f t="shared" ref="AD50" si="21">IF((U50-Y50-Z50-AA50)&lt;0,(Y50+Z50+AA50-U50),"")</f>
        <v/>
      </c>
      <c r="AE50" s="201"/>
      <c r="AF50" s="231" t="str">
        <f>+IFERROR(VLOOKUP(L50,Data!$F$4:$G$97,2,0),"")</f>
        <v/>
      </c>
    </row>
    <row r="51" spans="9:32" ht="15" customHeight="1" x14ac:dyDescent="0.3">
      <c r="I51" s="201" t="str">
        <f t="shared" si="7"/>
        <v/>
      </c>
      <c r="J51" s="218">
        <f t="shared" si="14"/>
        <v>48</v>
      </c>
      <c r="K51" s="250"/>
      <c r="L51" s="219"/>
      <c r="M51" s="218"/>
      <c r="N51" s="220" t="str">
        <f>IFERROR(VLOOKUP(M51,Data!$C$4:$D$395,2,0),"")</f>
        <v/>
      </c>
      <c r="O51" s="220"/>
      <c r="P51" s="229"/>
      <c r="Q51" s="221"/>
      <c r="R51" s="222" t="str">
        <f t="shared" si="8"/>
        <v>-</v>
      </c>
      <c r="S51" s="223"/>
      <c r="T51" s="224"/>
      <c r="U51" s="225">
        <f t="shared" si="9"/>
        <v>0</v>
      </c>
      <c r="V51" s="226">
        <v>0</v>
      </c>
      <c r="W51" s="227"/>
      <c r="X51" s="228">
        <f t="shared" si="10"/>
        <v>0</v>
      </c>
      <c r="Y51" s="229"/>
      <c r="Z51" s="229"/>
      <c r="AA51" s="229"/>
      <c r="AB51" s="222">
        <f t="shared" si="11"/>
        <v>0</v>
      </c>
      <c r="AC51" s="230">
        <f t="shared" si="12"/>
        <v>0</v>
      </c>
      <c r="AD51" s="222" t="str">
        <f t="shared" si="13"/>
        <v/>
      </c>
      <c r="AE51" s="201"/>
      <c r="AF51" s="231" t="str">
        <f>+IFERROR(VLOOKUP(L51,Data!$F$4:$G$97,2,0),"")</f>
        <v/>
      </c>
    </row>
    <row r="52" spans="9:32" ht="15" customHeight="1" x14ac:dyDescent="0.3">
      <c r="I52" s="201" t="str">
        <f t="shared" si="7"/>
        <v/>
      </c>
      <c r="J52" s="218">
        <f t="shared" si="14"/>
        <v>49</v>
      </c>
      <c r="K52" s="250"/>
      <c r="L52" s="219"/>
      <c r="M52" s="218"/>
      <c r="N52" s="220" t="str">
        <f>IFERROR(VLOOKUP(M52,Data!$C$4:$D$395,2,0),"")</f>
        <v/>
      </c>
      <c r="O52" s="220"/>
      <c r="P52" s="229"/>
      <c r="Q52" s="221"/>
      <c r="R52" s="222" t="str">
        <f t="shared" si="8"/>
        <v>-</v>
      </c>
      <c r="S52" s="223"/>
      <c r="T52" s="224"/>
      <c r="U52" s="225">
        <f t="shared" si="9"/>
        <v>0</v>
      </c>
      <c r="V52" s="226">
        <v>0</v>
      </c>
      <c r="W52" s="227"/>
      <c r="X52" s="228">
        <f t="shared" si="10"/>
        <v>0</v>
      </c>
      <c r="Y52" s="229"/>
      <c r="Z52" s="229"/>
      <c r="AA52" s="229"/>
      <c r="AB52" s="222">
        <f t="shared" si="11"/>
        <v>0</v>
      </c>
      <c r="AC52" s="230">
        <f t="shared" si="12"/>
        <v>0</v>
      </c>
      <c r="AD52" s="222" t="str">
        <f t="shared" si="13"/>
        <v/>
      </c>
      <c r="AE52" s="201"/>
      <c r="AF52" s="231" t="str">
        <f>+IFERROR(VLOOKUP(L52,Data!$F$4:$G$97,2,0),"")</f>
        <v/>
      </c>
    </row>
    <row r="53" spans="9:32" ht="15" customHeight="1" x14ac:dyDescent="0.3">
      <c r="I53" s="201" t="str">
        <f t="shared" si="7"/>
        <v/>
      </c>
      <c r="J53" s="218">
        <f t="shared" si="14"/>
        <v>50</v>
      </c>
      <c r="K53" s="250"/>
      <c r="L53" s="219"/>
      <c r="M53" s="218"/>
      <c r="N53" s="220" t="str">
        <f>IFERROR(VLOOKUP(M53,Data!$C$4:$D$395,2,0),"")</f>
        <v/>
      </c>
      <c r="O53" s="220"/>
      <c r="P53" s="229"/>
      <c r="Q53" s="221"/>
      <c r="R53" s="222" t="str">
        <f t="shared" si="8"/>
        <v>-</v>
      </c>
      <c r="S53" s="223"/>
      <c r="T53" s="224"/>
      <c r="U53" s="225">
        <f t="shared" si="9"/>
        <v>0</v>
      </c>
      <c r="V53" s="226">
        <v>0</v>
      </c>
      <c r="W53" s="227"/>
      <c r="X53" s="228">
        <f t="shared" si="10"/>
        <v>0</v>
      </c>
      <c r="Y53" s="229"/>
      <c r="Z53" s="229"/>
      <c r="AA53" s="229"/>
      <c r="AB53" s="222">
        <f t="shared" si="11"/>
        <v>0</v>
      </c>
      <c r="AC53" s="230">
        <f t="shared" si="12"/>
        <v>0</v>
      </c>
      <c r="AD53" s="222" t="str">
        <f t="shared" si="13"/>
        <v/>
      </c>
      <c r="AE53" s="201"/>
      <c r="AF53" s="231" t="str">
        <f>+IFERROR(VLOOKUP(L53,Data!$F$4:$G$97,2,0),"")</f>
        <v/>
      </c>
    </row>
    <row r="54" spans="9:32" ht="15" customHeight="1" x14ac:dyDescent="0.3">
      <c r="I54" s="201" t="str">
        <f t="shared" si="7"/>
        <v/>
      </c>
      <c r="J54" s="218">
        <f t="shared" si="14"/>
        <v>51</v>
      </c>
      <c r="K54" s="250"/>
      <c r="L54" s="219"/>
      <c r="M54" s="218"/>
      <c r="N54" s="220" t="str">
        <f>IFERROR(VLOOKUP(M54,Data!$C$4:$D$395,2,0),"")</f>
        <v/>
      </c>
      <c r="O54" s="220"/>
      <c r="P54" s="229"/>
      <c r="Q54" s="221"/>
      <c r="R54" s="222" t="str">
        <f t="shared" si="8"/>
        <v>-</v>
      </c>
      <c r="S54" s="223"/>
      <c r="T54" s="224"/>
      <c r="U54" s="225">
        <f t="shared" si="9"/>
        <v>0</v>
      </c>
      <c r="V54" s="226">
        <v>0</v>
      </c>
      <c r="W54" s="227"/>
      <c r="X54" s="228">
        <f t="shared" si="10"/>
        <v>0</v>
      </c>
      <c r="Y54" s="229"/>
      <c r="Z54" s="229"/>
      <c r="AA54" s="229"/>
      <c r="AB54" s="222">
        <f t="shared" si="11"/>
        <v>0</v>
      </c>
      <c r="AC54" s="230">
        <f t="shared" si="12"/>
        <v>0</v>
      </c>
      <c r="AD54" s="222" t="str">
        <f t="shared" si="13"/>
        <v/>
      </c>
      <c r="AE54" s="201"/>
      <c r="AF54" s="231" t="str">
        <f>+IFERROR(VLOOKUP(L54,Data!$F$4:$G$97,2,0),"")</f>
        <v/>
      </c>
    </row>
    <row r="55" spans="9:32" ht="15" customHeight="1" x14ac:dyDescent="0.3">
      <c r="I55" s="201" t="str">
        <f t="shared" si="7"/>
        <v/>
      </c>
      <c r="J55" s="218">
        <f t="shared" si="14"/>
        <v>52</v>
      </c>
      <c r="K55" s="250"/>
      <c r="L55" s="219"/>
      <c r="M55" s="218"/>
      <c r="N55" s="220" t="str">
        <f>IFERROR(VLOOKUP(M55,Data!$C$4:$D$395,2,0),"")</f>
        <v/>
      </c>
      <c r="O55" s="220"/>
      <c r="P55" s="229"/>
      <c r="Q55" s="221"/>
      <c r="R55" s="222" t="str">
        <f t="shared" si="8"/>
        <v>-</v>
      </c>
      <c r="S55" s="223"/>
      <c r="T55" s="224"/>
      <c r="U55" s="225">
        <f t="shared" si="9"/>
        <v>0</v>
      </c>
      <c r="V55" s="226">
        <v>0</v>
      </c>
      <c r="W55" s="227"/>
      <c r="X55" s="228">
        <f t="shared" si="10"/>
        <v>0</v>
      </c>
      <c r="Y55" s="229"/>
      <c r="Z55" s="229"/>
      <c r="AA55" s="229"/>
      <c r="AB55" s="222">
        <f t="shared" si="11"/>
        <v>0</v>
      </c>
      <c r="AC55" s="230">
        <f t="shared" si="12"/>
        <v>0</v>
      </c>
      <c r="AD55" s="222" t="str">
        <f t="shared" si="13"/>
        <v/>
      </c>
      <c r="AE55" s="201"/>
      <c r="AF55" s="231" t="str">
        <f>+IFERROR(VLOOKUP(L55,Data!$F$4:$G$97,2,0),"")</f>
        <v/>
      </c>
    </row>
    <row r="56" spans="9:32" ht="15" customHeight="1" x14ac:dyDescent="0.3">
      <c r="I56" s="201" t="str">
        <f t="shared" si="7"/>
        <v/>
      </c>
      <c r="J56" s="218">
        <f t="shared" si="14"/>
        <v>53</v>
      </c>
      <c r="K56" s="250"/>
      <c r="L56" s="219"/>
      <c r="M56" s="218"/>
      <c r="N56" s="220" t="str">
        <f>IFERROR(VLOOKUP(M56,Data!$C$4:$D$395,2,0),"")</f>
        <v/>
      </c>
      <c r="O56" s="220"/>
      <c r="P56" s="229"/>
      <c r="Q56" s="221"/>
      <c r="R56" s="222" t="str">
        <f t="shared" si="8"/>
        <v>-</v>
      </c>
      <c r="S56" s="223"/>
      <c r="T56" s="224"/>
      <c r="U56" s="225">
        <f t="shared" si="9"/>
        <v>0</v>
      </c>
      <c r="V56" s="226">
        <v>0</v>
      </c>
      <c r="W56" s="227"/>
      <c r="X56" s="228">
        <f t="shared" si="10"/>
        <v>0</v>
      </c>
      <c r="Y56" s="229"/>
      <c r="Z56" s="229"/>
      <c r="AA56" s="229"/>
      <c r="AB56" s="222">
        <f t="shared" si="11"/>
        <v>0</v>
      </c>
      <c r="AC56" s="230">
        <f t="shared" si="12"/>
        <v>0</v>
      </c>
      <c r="AD56" s="222" t="str">
        <f t="shared" si="13"/>
        <v/>
      </c>
      <c r="AE56" s="201"/>
      <c r="AF56" s="231" t="str">
        <f>+IFERROR(VLOOKUP(L56,Data!$F$4:$G$97,2,0),"")</f>
        <v/>
      </c>
    </row>
    <row r="57" spans="9:32" ht="15" customHeight="1" x14ac:dyDescent="0.3">
      <c r="I57" s="201" t="str">
        <f t="shared" si="7"/>
        <v/>
      </c>
      <c r="J57" s="218">
        <f t="shared" si="14"/>
        <v>54</v>
      </c>
      <c r="K57" s="250"/>
      <c r="L57" s="219"/>
      <c r="M57" s="218"/>
      <c r="N57" s="220" t="str">
        <f>IFERROR(VLOOKUP(M57,Data!$C$4:$D$395,2,0),"")</f>
        <v/>
      </c>
      <c r="O57" s="220"/>
      <c r="P57" s="229"/>
      <c r="Q57" s="221"/>
      <c r="R57" s="222" t="str">
        <f t="shared" si="8"/>
        <v>-</v>
      </c>
      <c r="S57" s="223"/>
      <c r="T57" s="224"/>
      <c r="U57" s="225">
        <f t="shared" si="9"/>
        <v>0</v>
      </c>
      <c r="V57" s="226">
        <v>0</v>
      </c>
      <c r="W57" s="227"/>
      <c r="X57" s="228">
        <f t="shared" si="10"/>
        <v>0</v>
      </c>
      <c r="Y57" s="229"/>
      <c r="Z57" s="229"/>
      <c r="AA57" s="229"/>
      <c r="AB57" s="222">
        <f t="shared" si="11"/>
        <v>0</v>
      </c>
      <c r="AC57" s="230">
        <f t="shared" si="12"/>
        <v>0</v>
      </c>
      <c r="AD57" s="222" t="str">
        <f t="shared" si="13"/>
        <v/>
      </c>
      <c r="AE57" s="201"/>
      <c r="AF57" s="231" t="str">
        <f>+IFERROR(VLOOKUP(L57,Data!$F$4:$G$97,2,0),"")</f>
        <v/>
      </c>
    </row>
    <row r="58" spans="9:32" ht="15" customHeight="1" x14ac:dyDescent="0.3">
      <c r="I58" s="201" t="str">
        <f t="shared" si="7"/>
        <v/>
      </c>
      <c r="J58" s="218">
        <f t="shared" si="14"/>
        <v>55</v>
      </c>
      <c r="K58" s="250"/>
      <c r="L58" s="219"/>
      <c r="M58" s="218"/>
      <c r="N58" s="220" t="str">
        <f>IFERROR(VLOOKUP(M58,Data!$C$4:$D$395,2,0),"")</f>
        <v/>
      </c>
      <c r="O58" s="220"/>
      <c r="P58" s="229"/>
      <c r="Q58" s="221"/>
      <c r="R58" s="222" t="str">
        <f t="shared" si="8"/>
        <v>-</v>
      </c>
      <c r="S58" s="223"/>
      <c r="T58" s="224"/>
      <c r="U58" s="225">
        <f t="shared" si="9"/>
        <v>0</v>
      </c>
      <c r="V58" s="226">
        <v>0</v>
      </c>
      <c r="W58" s="227"/>
      <c r="X58" s="228">
        <f t="shared" si="10"/>
        <v>0</v>
      </c>
      <c r="Y58" s="229"/>
      <c r="Z58" s="229"/>
      <c r="AA58" s="229"/>
      <c r="AB58" s="222">
        <f t="shared" si="11"/>
        <v>0</v>
      </c>
      <c r="AC58" s="230">
        <f t="shared" si="12"/>
        <v>0</v>
      </c>
      <c r="AD58" s="222" t="str">
        <f t="shared" si="13"/>
        <v/>
      </c>
      <c r="AE58" s="201"/>
      <c r="AF58" s="231" t="str">
        <f>+IFERROR(VLOOKUP(L58,Data!$F$4:$G$97,2,0),"")</f>
        <v/>
      </c>
    </row>
    <row r="59" spans="9:32" ht="15" customHeight="1" x14ac:dyDescent="0.3">
      <c r="I59" s="201" t="str">
        <f t="shared" si="7"/>
        <v/>
      </c>
      <c r="J59" s="218">
        <f t="shared" si="14"/>
        <v>56</v>
      </c>
      <c r="K59" s="250"/>
      <c r="L59" s="219"/>
      <c r="M59" s="218"/>
      <c r="N59" s="220" t="str">
        <f>IFERROR(VLOOKUP(M59,Data!$C$4:$D$395,2,0),"")</f>
        <v/>
      </c>
      <c r="O59" s="220"/>
      <c r="P59" s="229"/>
      <c r="Q59" s="221"/>
      <c r="R59" s="222" t="str">
        <f t="shared" si="8"/>
        <v>-</v>
      </c>
      <c r="S59" s="223"/>
      <c r="T59" s="224"/>
      <c r="U59" s="225">
        <f t="shared" si="9"/>
        <v>0</v>
      </c>
      <c r="V59" s="226">
        <v>0</v>
      </c>
      <c r="W59" s="227"/>
      <c r="X59" s="228">
        <f t="shared" si="10"/>
        <v>0</v>
      </c>
      <c r="Y59" s="276"/>
      <c r="Z59" s="229"/>
      <c r="AA59" s="229"/>
      <c r="AB59" s="222">
        <f t="shared" si="11"/>
        <v>0</v>
      </c>
      <c r="AC59" s="230">
        <f t="shared" si="12"/>
        <v>0</v>
      </c>
      <c r="AD59" s="222" t="str">
        <f t="shared" si="13"/>
        <v/>
      </c>
      <c r="AE59" s="201"/>
      <c r="AF59" s="231" t="str">
        <f>+IFERROR(VLOOKUP(L59,Data!$F$4:$G$97,2,0),"")</f>
        <v/>
      </c>
    </row>
    <row r="60" spans="9:32" ht="15" customHeight="1" x14ac:dyDescent="0.3">
      <c r="I60" s="201" t="str">
        <f t="shared" si="7"/>
        <v/>
      </c>
      <c r="J60" s="218">
        <f t="shared" si="14"/>
        <v>57</v>
      </c>
      <c r="K60" s="250"/>
      <c r="L60" s="219"/>
      <c r="M60" s="218"/>
      <c r="N60" s="220" t="str">
        <f>IFERROR(VLOOKUP(M60,Data!$C$4:$D$395,2,0),"")</f>
        <v/>
      </c>
      <c r="O60" s="220"/>
      <c r="P60" s="229"/>
      <c r="Q60" s="221"/>
      <c r="R60" s="222" t="str">
        <f t="shared" si="8"/>
        <v>-</v>
      </c>
      <c r="S60" s="223"/>
      <c r="T60" s="224"/>
      <c r="U60" s="225">
        <f t="shared" si="9"/>
        <v>0</v>
      </c>
      <c r="V60" s="226">
        <v>0</v>
      </c>
      <c r="W60" s="227"/>
      <c r="X60" s="228">
        <f t="shared" si="10"/>
        <v>0</v>
      </c>
      <c r="Y60" s="276"/>
      <c r="Z60" s="229"/>
      <c r="AA60" s="229"/>
      <c r="AB60" s="222">
        <f t="shared" si="11"/>
        <v>0</v>
      </c>
      <c r="AC60" s="230">
        <f t="shared" si="12"/>
        <v>0</v>
      </c>
      <c r="AD60" s="222" t="str">
        <f t="shared" si="13"/>
        <v/>
      </c>
      <c r="AE60" s="201"/>
      <c r="AF60" s="231" t="str">
        <f>+IFERROR(VLOOKUP(L60,Data!$F$4:$G$97,2,0),"")</f>
        <v/>
      </c>
    </row>
    <row r="61" spans="9:32" ht="15" customHeight="1" x14ac:dyDescent="0.3">
      <c r="I61" s="201" t="str">
        <f t="shared" si="7"/>
        <v/>
      </c>
      <c r="J61" s="218">
        <f t="shared" si="14"/>
        <v>58</v>
      </c>
      <c r="K61" s="250"/>
      <c r="L61" s="219"/>
      <c r="M61" s="218"/>
      <c r="N61" s="220" t="str">
        <f>IFERROR(VLOOKUP(M61,Data!$C$4:$D$395,2,0),"")</f>
        <v/>
      </c>
      <c r="O61" s="220"/>
      <c r="P61" s="229"/>
      <c r="Q61" s="221"/>
      <c r="R61" s="222" t="str">
        <f t="shared" si="8"/>
        <v>-</v>
      </c>
      <c r="S61" s="223"/>
      <c r="T61" s="224"/>
      <c r="U61" s="225">
        <f t="shared" si="9"/>
        <v>0</v>
      </c>
      <c r="V61" s="226">
        <v>0</v>
      </c>
      <c r="W61" s="227"/>
      <c r="X61" s="228">
        <f t="shared" si="10"/>
        <v>0</v>
      </c>
      <c r="Y61" s="229"/>
      <c r="Z61" s="229"/>
      <c r="AA61" s="229"/>
      <c r="AB61" s="222">
        <f t="shared" si="11"/>
        <v>0</v>
      </c>
      <c r="AC61" s="230">
        <f t="shared" si="12"/>
        <v>0</v>
      </c>
      <c r="AD61" s="222" t="str">
        <f t="shared" si="13"/>
        <v/>
      </c>
      <c r="AE61" s="201"/>
      <c r="AF61" s="231" t="str">
        <f>+IFERROR(VLOOKUP(L61,Data!$F$4:$G$97,2,0),"")</f>
        <v/>
      </c>
    </row>
    <row r="62" spans="9:32" ht="15" customHeight="1" x14ac:dyDescent="0.3">
      <c r="I62" s="201" t="str">
        <f t="shared" ref="I62:I123" si="22">+AF62</f>
        <v/>
      </c>
      <c r="J62" s="218">
        <f t="shared" si="14"/>
        <v>59</v>
      </c>
      <c r="K62" s="250"/>
      <c r="L62" s="219"/>
      <c r="M62" s="218"/>
      <c r="N62" s="220" t="str">
        <f>IFERROR(VLOOKUP(M62,Data!$C$4:$D$395,2,0),"")</f>
        <v/>
      </c>
      <c r="O62" s="220"/>
      <c r="P62" s="229"/>
      <c r="Q62" s="221"/>
      <c r="R62" s="222" t="str">
        <f t="shared" si="8"/>
        <v>-</v>
      </c>
      <c r="S62" s="223"/>
      <c r="T62" s="224"/>
      <c r="U62" s="225">
        <f t="shared" si="9"/>
        <v>0</v>
      </c>
      <c r="V62" s="226">
        <v>0</v>
      </c>
      <c r="W62" s="227"/>
      <c r="X62" s="228">
        <f t="shared" si="10"/>
        <v>0</v>
      </c>
      <c r="Y62" s="276"/>
      <c r="Z62" s="229"/>
      <c r="AA62" s="229"/>
      <c r="AB62" s="222">
        <f t="shared" si="11"/>
        <v>0</v>
      </c>
      <c r="AC62" s="230">
        <f t="shared" si="12"/>
        <v>0</v>
      </c>
      <c r="AD62" s="222" t="str">
        <f t="shared" si="13"/>
        <v/>
      </c>
      <c r="AE62" s="201"/>
      <c r="AF62" s="231" t="str">
        <f>+IFERROR(VLOOKUP(L62,Data!$F$4:$G$97,2,0),"")</f>
        <v/>
      </c>
    </row>
    <row r="63" spans="9:32" ht="15" customHeight="1" x14ac:dyDescent="0.3">
      <c r="I63" s="201" t="str">
        <f t="shared" si="22"/>
        <v/>
      </c>
      <c r="J63" s="218">
        <f t="shared" ref="J63:J124" si="23">J62+1</f>
        <v>60</v>
      </c>
      <c r="K63" s="250"/>
      <c r="L63" s="219"/>
      <c r="M63" s="218"/>
      <c r="N63" s="220" t="str">
        <f>IFERROR(VLOOKUP(M63,Data!$C$4:$D$395,2,0),"")</f>
        <v/>
      </c>
      <c r="O63" s="220"/>
      <c r="P63" s="229"/>
      <c r="Q63" s="221"/>
      <c r="R63" s="222" t="str">
        <f t="shared" si="8"/>
        <v>-</v>
      </c>
      <c r="S63" s="223"/>
      <c r="T63" s="224"/>
      <c r="U63" s="225">
        <f t="shared" si="9"/>
        <v>0</v>
      </c>
      <c r="V63" s="226">
        <v>0</v>
      </c>
      <c r="W63" s="227"/>
      <c r="X63" s="228">
        <f t="shared" si="10"/>
        <v>0</v>
      </c>
      <c r="Y63" s="229"/>
      <c r="Z63" s="229"/>
      <c r="AA63" s="229"/>
      <c r="AB63" s="222">
        <f t="shared" si="11"/>
        <v>0</v>
      </c>
      <c r="AC63" s="230">
        <f t="shared" si="12"/>
        <v>0</v>
      </c>
      <c r="AD63" s="222" t="str">
        <f t="shared" si="13"/>
        <v/>
      </c>
      <c r="AE63" s="201"/>
      <c r="AF63" s="231" t="str">
        <f>+IFERROR(VLOOKUP(L63,Data!$F$4:$G$97,2,0),"")</f>
        <v/>
      </c>
    </row>
    <row r="64" spans="9:32" ht="15" customHeight="1" x14ac:dyDescent="0.3">
      <c r="I64" s="201" t="str">
        <f t="shared" si="22"/>
        <v/>
      </c>
      <c r="J64" s="218">
        <f t="shared" si="23"/>
        <v>61</v>
      </c>
      <c r="K64" s="250"/>
      <c r="L64" s="219"/>
      <c r="M64" s="218"/>
      <c r="N64" s="220" t="str">
        <f>IFERROR(VLOOKUP(M64,Data!$C$4:$D$395,2,0),"")</f>
        <v/>
      </c>
      <c r="O64" s="220"/>
      <c r="P64" s="229"/>
      <c r="Q64" s="221"/>
      <c r="R64" s="222" t="str">
        <f t="shared" ref="R64:R127" si="24">IFERROR(Q64/P64, "-")</f>
        <v>-</v>
      </c>
      <c r="S64" s="223"/>
      <c r="T64" s="224"/>
      <c r="U64" s="225">
        <f t="shared" ref="U64:U127" si="25">+Q64*S64+P64*T64</f>
        <v>0</v>
      </c>
      <c r="V64" s="226">
        <v>0</v>
      </c>
      <c r="W64" s="227"/>
      <c r="X64" s="228">
        <f t="shared" ref="X64:X127" si="26">+Q64*V64+P64*W64</f>
        <v>0</v>
      </c>
      <c r="Y64" s="229"/>
      <c r="Z64" s="229"/>
      <c r="AA64" s="229"/>
      <c r="AB64" s="222">
        <f t="shared" ref="AB64:AB127" si="27">+Y64+Z64+AA64</f>
        <v>0</v>
      </c>
      <c r="AC64" s="230">
        <f t="shared" ref="AC64:AC127" si="28">IF((U64-Y64-Z64-AA64)&lt;0,"",(U64-Y64-Z64-AA64))</f>
        <v>0</v>
      </c>
      <c r="AD64" s="222" t="str">
        <f t="shared" ref="AD64:AD127" si="29">IF((U64-Y64-Z64-AA64)&lt;0,(Y64+Z64+AA64-U64),"")</f>
        <v/>
      </c>
      <c r="AE64" s="201"/>
      <c r="AF64" s="231" t="str">
        <f>+IFERROR(VLOOKUP(L64,Data!$F$4:$G$97,2,0),"")</f>
        <v/>
      </c>
    </row>
    <row r="65" spans="9:32" ht="15" customHeight="1" x14ac:dyDescent="0.3">
      <c r="I65" s="201" t="str">
        <f t="shared" si="22"/>
        <v/>
      </c>
      <c r="J65" s="218">
        <f t="shared" si="23"/>
        <v>62</v>
      </c>
      <c r="K65" s="250"/>
      <c r="L65" s="219"/>
      <c r="M65" s="218"/>
      <c r="N65" s="220" t="str">
        <f>IFERROR(VLOOKUP(M65,Data!$C$4:$D$395,2,0),"")</f>
        <v/>
      </c>
      <c r="O65" s="220"/>
      <c r="P65" s="229"/>
      <c r="Q65" s="221"/>
      <c r="R65" s="222" t="str">
        <f t="shared" si="24"/>
        <v>-</v>
      </c>
      <c r="S65" s="223"/>
      <c r="T65" s="224"/>
      <c r="U65" s="225">
        <f t="shared" si="25"/>
        <v>0</v>
      </c>
      <c r="V65" s="226">
        <v>0</v>
      </c>
      <c r="W65" s="227"/>
      <c r="X65" s="228">
        <f t="shared" si="26"/>
        <v>0</v>
      </c>
      <c r="Y65" s="276"/>
      <c r="Z65" s="229"/>
      <c r="AA65" s="229"/>
      <c r="AB65" s="222">
        <f t="shared" si="27"/>
        <v>0</v>
      </c>
      <c r="AC65" s="230">
        <f t="shared" si="28"/>
        <v>0</v>
      </c>
      <c r="AD65" s="222" t="str">
        <f t="shared" si="29"/>
        <v/>
      </c>
      <c r="AE65" s="201"/>
      <c r="AF65" s="231" t="str">
        <f>+IFERROR(VLOOKUP(L65,Data!$F$4:$G$97,2,0),"")</f>
        <v/>
      </c>
    </row>
    <row r="66" spans="9:32" ht="15" customHeight="1" x14ac:dyDescent="0.3">
      <c r="I66" s="201" t="str">
        <f t="shared" si="22"/>
        <v/>
      </c>
      <c r="J66" s="218">
        <f t="shared" si="23"/>
        <v>63</v>
      </c>
      <c r="K66" s="250"/>
      <c r="L66" s="219"/>
      <c r="M66" s="218"/>
      <c r="N66" s="220" t="str">
        <f>IFERROR(VLOOKUP(M66,Data!$C$4:$D$395,2,0),"")</f>
        <v/>
      </c>
      <c r="O66" s="220"/>
      <c r="P66" s="229"/>
      <c r="Q66" s="221"/>
      <c r="R66" s="222" t="str">
        <f t="shared" si="24"/>
        <v>-</v>
      </c>
      <c r="S66" s="223"/>
      <c r="T66" s="224"/>
      <c r="U66" s="225">
        <f t="shared" si="25"/>
        <v>0</v>
      </c>
      <c r="V66" s="226">
        <v>0</v>
      </c>
      <c r="W66" s="227"/>
      <c r="X66" s="228">
        <f t="shared" si="26"/>
        <v>0</v>
      </c>
      <c r="Y66" s="229"/>
      <c r="Z66" s="229"/>
      <c r="AA66" s="229"/>
      <c r="AB66" s="222">
        <f t="shared" si="27"/>
        <v>0</v>
      </c>
      <c r="AC66" s="230">
        <f t="shared" si="28"/>
        <v>0</v>
      </c>
      <c r="AD66" s="222" t="str">
        <f t="shared" si="29"/>
        <v/>
      </c>
      <c r="AE66" s="201"/>
      <c r="AF66" s="231" t="str">
        <f>+IFERROR(VLOOKUP(L66,Data!$F$4:$G$97,2,0),"")</f>
        <v/>
      </c>
    </row>
    <row r="67" spans="9:32" ht="15" customHeight="1" x14ac:dyDescent="0.3">
      <c r="I67" s="201" t="str">
        <f t="shared" si="22"/>
        <v/>
      </c>
      <c r="J67" s="218">
        <f t="shared" si="23"/>
        <v>64</v>
      </c>
      <c r="K67" s="250"/>
      <c r="L67" s="219"/>
      <c r="M67" s="218"/>
      <c r="N67" s="220"/>
      <c r="O67" s="220"/>
      <c r="P67" s="229"/>
      <c r="Q67" s="221"/>
      <c r="R67" s="222" t="str">
        <f t="shared" si="24"/>
        <v>-</v>
      </c>
      <c r="S67" s="223"/>
      <c r="T67" s="224"/>
      <c r="U67" s="225">
        <f t="shared" si="25"/>
        <v>0</v>
      </c>
      <c r="V67" s="226">
        <v>0</v>
      </c>
      <c r="W67" s="227"/>
      <c r="X67" s="228">
        <f t="shared" si="26"/>
        <v>0</v>
      </c>
      <c r="Y67" s="229"/>
      <c r="Z67" s="229"/>
      <c r="AA67" s="229"/>
      <c r="AB67" s="222">
        <f t="shared" si="27"/>
        <v>0</v>
      </c>
      <c r="AC67" s="230">
        <f t="shared" si="28"/>
        <v>0</v>
      </c>
      <c r="AD67" s="222" t="str">
        <f t="shared" si="29"/>
        <v/>
      </c>
      <c r="AE67" s="201"/>
      <c r="AF67" s="231" t="str">
        <f>+IFERROR(VLOOKUP(L67,Data!$F$4:$G$97,2,0),"")</f>
        <v/>
      </c>
    </row>
    <row r="68" spans="9:32" ht="15" customHeight="1" x14ac:dyDescent="0.3">
      <c r="I68" s="201" t="str">
        <f t="shared" si="22"/>
        <v/>
      </c>
      <c r="J68" s="218">
        <f t="shared" si="23"/>
        <v>65</v>
      </c>
      <c r="K68" s="250"/>
      <c r="L68" s="219"/>
      <c r="M68" s="218"/>
      <c r="N68" s="220" t="str">
        <f>IFERROR(VLOOKUP(M68,Data!$C$4:$D$395,2,0),"")</f>
        <v/>
      </c>
      <c r="O68" s="220"/>
      <c r="P68" s="229"/>
      <c r="Q68" s="221"/>
      <c r="R68" s="222" t="str">
        <f t="shared" si="24"/>
        <v>-</v>
      </c>
      <c r="S68" s="277"/>
      <c r="T68" s="224"/>
      <c r="U68" s="225">
        <f t="shared" si="25"/>
        <v>0</v>
      </c>
      <c r="V68" s="226">
        <v>0</v>
      </c>
      <c r="W68" s="227"/>
      <c r="X68" s="228">
        <f t="shared" si="26"/>
        <v>0</v>
      </c>
      <c r="Y68" s="229"/>
      <c r="Z68" s="229"/>
      <c r="AA68" s="229"/>
      <c r="AB68" s="222">
        <f t="shared" si="27"/>
        <v>0</v>
      </c>
      <c r="AC68" s="230">
        <f t="shared" si="28"/>
        <v>0</v>
      </c>
      <c r="AD68" s="222" t="str">
        <f t="shared" si="29"/>
        <v/>
      </c>
      <c r="AE68" s="201"/>
      <c r="AF68" s="231" t="str">
        <f>+IFERROR(VLOOKUP(L68,Data!$F$4:$G$97,2,0),"")</f>
        <v/>
      </c>
    </row>
    <row r="69" spans="9:32" ht="15" customHeight="1" x14ac:dyDescent="0.3">
      <c r="I69" s="201" t="str">
        <f t="shared" si="22"/>
        <v/>
      </c>
      <c r="J69" s="218">
        <f t="shared" si="23"/>
        <v>66</v>
      </c>
      <c r="K69" s="250"/>
      <c r="L69" s="219"/>
      <c r="M69" s="218"/>
      <c r="N69" s="220" t="str">
        <f>IFERROR(VLOOKUP(M69,Data!$C$4:$D$395,2,0),"")</f>
        <v/>
      </c>
      <c r="O69" s="220"/>
      <c r="P69" s="229"/>
      <c r="Q69" s="221"/>
      <c r="R69" s="222" t="str">
        <f t="shared" si="24"/>
        <v>-</v>
      </c>
      <c r="S69" s="223"/>
      <c r="T69" s="224"/>
      <c r="U69" s="225">
        <f t="shared" si="25"/>
        <v>0</v>
      </c>
      <c r="V69" s="226">
        <v>0</v>
      </c>
      <c r="W69" s="227"/>
      <c r="X69" s="228">
        <f t="shared" si="26"/>
        <v>0</v>
      </c>
      <c r="Y69" s="229"/>
      <c r="Z69" s="229"/>
      <c r="AA69" s="229"/>
      <c r="AB69" s="222">
        <f t="shared" si="27"/>
        <v>0</v>
      </c>
      <c r="AC69" s="230">
        <f t="shared" si="28"/>
        <v>0</v>
      </c>
      <c r="AD69" s="222" t="str">
        <f t="shared" si="29"/>
        <v/>
      </c>
      <c r="AE69" s="201"/>
      <c r="AF69" s="231" t="str">
        <f>+IFERROR(VLOOKUP(L69,Data!$F$4:$G$97,2,0),"")</f>
        <v/>
      </c>
    </row>
    <row r="70" spans="9:32" ht="15" customHeight="1" x14ac:dyDescent="0.3">
      <c r="I70" s="201" t="str">
        <f t="shared" si="22"/>
        <v/>
      </c>
      <c r="J70" s="218">
        <f t="shared" si="23"/>
        <v>67</v>
      </c>
      <c r="K70" s="250"/>
      <c r="L70" s="219"/>
      <c r="M70" s="218"/>
      <c r="N70" s="220" t="str">
        <f>IFERROR(VLOOKUP(M70,Data!$C$4:$D$395,2,0),"")</f>
        <v/>
      </c>
      <c r="O70" s="220"/>
      <c r="P70" s="229"/>
      <c r="Q70" s="221"/>
      <c r="R70" s="222" t="str">
        <f t="shared" si="24"/>
        <v>-</v>
      </c>
      <c r="S70" s="277"/>
      <c r="T70" s="224"/>
      <c r="U70" s="225">
        <f t="shared" si="25"/>
        <v>0</v>
      </c>
      <c r="V70" s="226">
        <v>0</v>
      </c>
      <c r="W70" s="227"/>
      <c r="X70" s="228">
        <f t="shared" si="26"/>
        <v>0</v>
      </c>
      <c r="Y70" s="229"/>
      <c r="Z70" s="229"/>
      <c r="AA70" s="229"/>
      <c r="AB70" s="222">
        <f t="shared" si="27"/>
        <v>0</v>
      </c>
      <c r="AC70" s="230">
        <f t="shared" si="28"/>
        <v>0</v>
      </c>
      <c r="AD70" s="222" t="str">
        <f t="shared" si="29"/>
        <v/>
      </c>
      <c r="AE70" s="201"/>
      <c r="AF70" s="231" t="str">
        <f>+IFERROR(VLOOKUP(L70,Data!$F$4:$G$97,2,0),"")</f>
        <v/>
      </c>
    </row>
    <row r="71" spans="9:32" ht="15" customHeight="1" x14ac:dyDescent="0.3">
      <c r="I71" s="201" t="str">
        <f t="shared" si="22"/>
        <v/>
      </c>
      <c r="J71" s="218">
        <f t="shared" si="23"/>
        <v>68</v>
      </c>
      <c r="K71" s="250"/>
      <c r="L71" s="219"/>
      <c r="M71" s="218"/>
      <c r="N71" s="220" t="str">
        <f>IFERROR(VLOOKUP(M71,Data!$C$4:$D$395,2,0),"")</f>
        <v/>
      </c>
      <c r="O71" s="220"/>
      <c r="P71" s="229"/>
      <c r="Q71" s="221"/>
      <c r="R71" s="222" t="str">
        <f t="shared" si="24"/>
        <v>-</v>
      </c>
      <c r="S71" s="223"/>
      <c r="T71" s="224"/>
      <c r="U71" s="225">
        <f t="shared" si="25"/>
        <v>0</v>
      </c>
      <c r="V71" s="226">
        <v>0</v>
      </c>
      <c r="W71" s="227"/>
      <c r="X71" s="228">
        <f t="shared" si="26"/>
        <v>0</v>
      </c>
      <c r="Y71" s="229"/>
      <c r="Z71" s="229"/>
      <c r="AA71" s="229"/>
      <c r="AB71" s="222">
        <f t="shared" si="27"/>
        <v>0</v>
      </c>
      <c r="AC71" s="230">
        <f t="shared" si="28"/>
        <v>0</v>
      </c>
      <c r="AD71" s="222" t="str">
        <f t="shared" si="29"/>
        <v/>
      </c>
      <c r="AE71" s="201"/>
      <c r="AF71" s="231" t="str">
        <f>+IFERROR(VLOOKUP(L71,Data!$F$4:$G$97,2,0),"")</f>
        <v/>
      </c>
    </row>
    <row r="72" spans="9:32" ht="15" customHeight="1" x14ac:dyDescent="0.3">
      <c r="I72" s="201" t="str">
        <f t="shared" si="22"/>
        <v/>
      </c>
      <c r="J72" s="218">
        <f t="shared" si="23"/>
        <v>69</v>
      </c>
      <c r="K72" s="250"/>
      <c r="L72" s="219"/>
      <c r="M72" s="218"/>
      <c r="N72" s="220" t="str">
        <f>IFERROR(VLOOKUP(M72,Data!$C$4:$D$395,2,0),"")</f>
        <v/>
      </c>
      <c r="O72" s="220"/>
      <c r="P72" s="229"/>
      <c r="Q72" s="221"/>
      <c r="R72" s="222" t="str">
        <f t="shared" si="24"/>
        <v>-</v>
      </c>
      <c r="S72" s="223"/>
      <c r="T72" s="224"/>
      <c r="U72" s="225">
        <f t="shared" si="25"/>
        <v>0</v>
      </c>
      <c r="V72" s="226">
        <v>0</v>
      </c>
      <c r="W72" s="227"/>
      <c r="X72" s="228">
        <f t="shared" si="26"/>
        <v>0</v>
      </c>
      <c r="Y72" s="229"/>
      <c r="Z72" s="229"/>
      <c r="AA72" s="229"/>
      <c r="AB72" s="222">
        <f t="shared" si="27"/>
        <v>0</v>
      </c>
      <c r="AC72" s="230">
        <f t="shared" si="28"/>
        <v>0</v>
      </c>
      <c r="AD72" s="222" t="str">
        <f t="shared" si="29"/>
        <v/>
      </c>
      <c r="AE72" s="201"/>
      <c r="AF72" s="231" t="str">
        <f>+IFERROR(VLOOKUP(L72,Data!$F$4:$G$97,2,0),"")</f>
        <v/>
      </c>
    </row>
    <row r="73" spans="9:32" ht="15" customHeight="1" x14ac:dyDescent="0.3">
      <c r="I73" s="201" t="str">
        <f t="shared" si="22"/>
        <v/>
      </c>
      <c r="J73" s="218">
        <f t="shared" si="23"/>
        <v>70</v>
      </c>
      <c r="K73" s="250"/>
      <c r="L73" s="219"/>
      <c r="M73" s="218"/>
      <c r="N73" s="220" t="str">
        <f>IFERROR(VLOOKUP(M73,Data!$C$4:$D$395,2,0),"")</f>
        <v/>
      </c>
      <c r="O73" s="220"/>
      <c r="P73" s="229"/>
      <c r="Q73" s="221"/>
      <c r="R73" s="222" t="str">
        <f t="shared" si="24"/>
        <v>-</v>
      </c>
      <c r="S73" s="223"/>
      <c r="T73" s="224"/>
      <c r="U73" s="225">
        <f t="shared" si="25"/>
        <v>0</v>
      </c>
      <c r="V73" s="226">
        <v>0</v>
      </c>
      <c r="W73" s="227"/>
      <c r="X73" s="228">
        <f t="shared" si="26"/>
        <v>0</v>
      </c>
      <c r="Y73" s="229"/>
      <c r="Z73" s="229"/>
      <c r="AA73" s="229"/>
      <c r="AB73" s="222">
        <f t="shared" si="27"/>
        <v>0</v>
      </c>
      <c r="AC73" s="230">
        <f t="shared" si="28"/>
        <v>0</v>
      </c>
      <c r="AD73" s="222" t="str">
        <f t="shared" si="29"/>
        <v/>
      </c>
      <c r="AE73" s="201"/>
      <c r="AF73" s="231" t="str">
        <f>+IFERROR(VLOOKUP(L73,Data!$F$4:$G$97,2,0),"")</f>
        <v/>
      </c>
    </row>
    <row r="74" spans="9:32" ht="15" customHeight="1" x14ac:dyDescent="0.3">
      <c r="I74" s="201" t="str">
        <f t="shared" si="22"/>
        <v/>
      </c>
      <c r="J74" s="218">
        <f t="shared" si="23"/>
        <v>71</v>
      </c>
      <c r="K74" s="250"/>
      <c r="L74" s="219"/>
      <c r="M74" s="218"/>
      <c r="N74" s="220" t="str">
        <f>IFERROR(VLOOKUP(M74,Data!$C$4:$D$395,2,0),"")</f>
        <v/>
      </c>
      <c r="O74" s="220"/>
      <c r="P74" s="229"/>
      <c r="Q74" s="221"/>
      <c r="R74" s="222" t="str">
        <f t="shared" si="24"/>
        <v>-</v>
      </c>
      <c r="S74" s="223"/>
      <c r="T74" s="224"/>
      <c r="U74" s="225">
        <f t="shared" si="25"/>
        <v>0</v>
      </c>
      <c r="V74" s="226">
        <v>0</v>
      </c>
      <c r="W74" s="227"/>
      <c r="X74" s="228">
        <f t="shared" si="26"/>
        <v>0</v>
      </c>
      <c r="Y74" s="229"/>
      <c r="Z74" s="229"/>
      <c r="AA74" s="229"/>
      <c r="AB74" s="222">
        <f t="shared" si="27"/>
        <v>0</v>
      </c>
      <c r="AC74" s="230">
        <f t="shared" si="28"/>
        <v>0</v>
      </c>
      <c r="AD74" s="222" t="str">
        <f t="shared" si="29"/>
        <v/>
      </c>
      <c r="AE74" s="201"/>
      <c r="AF74" s="231" t="str">
        <f>+IFERROR(VLOOKUP(L74,Data!$F$4:$G$97,2,0),"")</f>
        <v/>
      </c>
    </row>
    <row r="75" spans="9:32" ht="15" customHeight="1" x14ac:dyDescent="0.3">
      <c r="I75" s="201" t="str">
        <f t="shared" si="22"/>
        <v/>
      </c>
      <c r="J75" s="218">
        <f t="shared" si="23"/>
        <v>72</v>
      </c>
      <c r="K75" s="250"/>
      <c r="L75" s="219"/>
      <c r="M75" s="218"/>
      <c r="N75" s="220" t="str">
        <f>IFERROR(VLOOKUP(M75,Data!$C$4:$D$395,2,0),"")</f>
        <v/>
      </c>
      <c r="O75" s="220"/>
      <c r="P75" s="229"/>
      <c r="Q75" s="221"/>
      <c r="R75" s="222" t="str">
        <f t="shared" si="24"/>
        <v>-</v>
      </c>
      <c r="S75" s="223"/>
      <c r="T75" s="224"/>
      <c r="U75" s="225">
        <f t="shared" si="25"/>
        <v>0</v>
      </c>
      <c r="V75" s="226">
        <v>0</v>
      </c>
      <c r="W75" s="227"/>
      <c r="X75" s="228">
        <f t="shared" si="26"/>
        <v>0</v>
      </c>
      <c r="Y75" s="229"/>
      <c r="Z75" s="229"/>
      <c r="AA75" s="229"/>
      <c r="AB75" s="222">
        <f t="shared" si="27"/>
        <v>0</v>
      </c>
      <c r="AC75" s="230">
        <f t="shared" si="28"/>
        <v>0</v>
      </c>
      <c r="AD75" s="222" t="str">
        <f t="shared" si="29"/>
        <v/>
      </c>
      <c r="AE75" s="201"/>
      <c r="AF75" s="231" t="str">
        <f>+IFERROR(VLOOKUP(L75,Data!$F$4:$G$97,2,0),"")</f>
        <v/>
      </c>
    </row>
    <row r="76" spans="9:32" ht="15" customHeight="1" x14ac:dyDescent="0.3">
      <c r="I76" s="201" t="str">
        <f t="shared" si="22"/>
        <v/>
      </c>
      <c r="J76" s="218">
        <f t="shared" si="23"/>
        <v>73</v>
      </c>
      <c r="K76" s="250"/>
      <c r="L76" s="219"/>
      <c r="M76" s="218"/>
      <c r="N76" s="220" t="str">
        <f>IFERROR(VLOOKUP(M76,Data!$C$4:$D$395,2,0),"")</f>
        <v/>
      </c>
      <c r="O76" s="220"/>
      <c r="P76" s="229"/>
      <c r="Q76" s="221"/>
      <c r="R76" s="222" t="str">
        <f t="shared" si="24"/>
        <v>-</v>
      </c>
      <c r="S76" s="223"/>
      <c r="T76" s="224"/>
      <c r="U76" s="225">
        <f t="shared" si="25"/>
        <v>0</v>
      </c>
      <c r="V76" s="226">
        <v>0</v>
      </c>
      <c r="W76" s="227"/>
      <c r="X76" s="228">
        <f t="shared" si="26"/>
        <v>0</v>
      </c>
      <c r="Y76" s="229"/>
      <c r="Z76" s="229"/>
      <c r="AA76" s="229"/>
      <c r="AB76" s="222">
        <f t="shared" si="27"/>
        <v>0</v>
      </c>
      <c r="AC76" s="230">
        <f t="shared" si="28"/>
        <v>0</v>
      </c>
      <c r="AD76" s="222" t="str">
        <f t="shared" si="29"/>
        <v/>
      </c>
      <c r="AE76" s="201"/>
      <c r="AF76" s="231" t="str">
        <f>+IFERROR(VLOOKUP(L76,Data!$F$4:$G$97,2,0),"")</f>
        <v/>
      </c>
    </row>
    <row r="77" spans="9:32" ht="15" customHeight="1" x14ac:dyDescent="0.3">
      <c r="I77" s="201" t="str">
        <f t="shared" si="22"/>
        <v/>
      </c>
      <c r="J77" s="218">
        <f t="shared" si="23"/>
        <v>74</v>
      </c>
      <c r="K77" s="250"/>
      <c r="L77" s="219"/>
      <c r="M77" s="218"/>
      <c r="N77" s="220" t="str">
        <f>IFERROR(VLOOKUP(M77,Data!$C$4:$D$395,2,0),"")</f>
        <v/>
      </c>
      <c r="O77" s="220"/>
      <c r="P77" s="229"/>
      <c r="Q77" s="221"/>
      <c r="R77" s="222" t="str">
        <f t="shared" si="24"/>
        <v>-</v>
      </c>
      <c r="S77" s="223"/>
      <c r="T77" s="224"/>
      <c r="U77" s="225">
        <f t="shared" si="25"/>
        <v>0</v>
      </c>
      <c r="V77" s="226">
        <v>0</v>
      </c>
      <c r="W77" s="227"/>
      <c r="X77" s="228">
        <f t="shared" si="26"/>
        <v>0</v>
      </c>
      <c r="Y77" s="229"/>
      <c r="Z77" s="229"/>
      <c r="AA77" s="229"/>
      <c r="AB77" s="222">
        <f t="shared" si="27"/>
        <v>0</v>
      </c>
      <c r="AC77" s="230">
        <f t="shared" si="28"/>
        <v>0</v>
      </c>
      <c r="AD77" s="222" t="str">
        <f t="shared" si="29"/>
        <v/>
      </c>
      <c r="AE77" s="201"/>
      <c r="AF77" s="231" t="str">
        <f>+IFERROR(VLOOKUP(L77,Data!$F$4:$G$97,2,0),"")</f>
        <v/>
      </c>
    </row>
    <row r="78" spans="9:32" ht="15" customHeight="1" x14ac:dyDescent="0.3">
      <c r="I78" s="201" t="str">
        <f t="shared" si="22"/>
        <v/>
      </c>
      <c r="J78" s="218">
        <f t="shared" si="23"/>
        <v>75</v>
      </c>
      <c r="K78" s="250"/>
      <c r="L78" s="219"/>
      <c r="M78" s="218"/>
      <c r="N78" s="220" t="str">
        <f>IFERROR(VLOOKUP(M78,Data!$C$4:$D$395,2,0),"")</f>
        <v/>
      </c>
      <c r="O78" s="220"/>
      <c r="P78" s="229"/>
      <c r="Q78" s="221"/>
      <c r="R78" s="222" t="str">
        <f t="shared" si="24"/>
        <v>-</v>
      </c>
      <c r="S78" s="223"/>
      <c r="T78" s="224"/>
      <c r="U78" s="225">
        <f t="shared" si="25"/>
        <v>0</v>
      </c>
      <c r="V78" s="226">
        <v>0</v>
      </c>
      <c r="W78" s="227"/>
      <c r="X78" s="228">
        <f t="shared" si="26"/>
        <v>0</v>
      </c>
      <c r="Y78" s="229"/>
      <c r="Z78" s="229"/>
      <c r="AA78" s="229"/>
      <c r="AB78" s="222">
        <f t="shared" si="27"/>
        <v>0</v>
      </c>
      <c r="AC78" s="230">
        <f t="shared" si="28"/>
        <v>0</v>
      </c>
      <c r="AD78" s="222" t="str">
        <f t="shared" si="29"/>
        <v/>
      </c>
      <c r="AE78" s="201"/>
      <c r="AF78" s="231" t="str">
        <f>+IFERROR(VLOOKUP(L78,Data!$F$4:$G$97,2,0),"")</f>
        <v/>
      </c>
    </row>
    <row r="79" spans="9:32" ht="15" customHeight="1" x14ac:dyDescent="0.3">
      <c r="I79" s="201" t="str">
        <f t="shared" si="22"/>
        <v/>
      </c>
      <c r="J79" s="218">
        <f t="shared" si="23"/>
        <v>76</v>
      </c>
      <c r="K79" s="250"/>
      <c r="L79" s="219"/>
      <c r="M79" s="218"/>
      <c r="N79" s="220" t="str">
        <f>IFERROR(VLOOKUP(M79,Data!$C$4:$D$395,2,0),"")</f>
        <v/>
      </c>
      <c r="O79" s="220"/>
      <c r="P79" s="229"/>
      <c r="Q79" s="221"/>
      <c r="R79" s="222" t="str">
        <f t="shared" si="24"/>
        <v>-</v>
      </c>
      <c r="S79" s="223"/>
      <c r="T79" s="224"/>
      <c r="U79" s="225">
        <f t="shared" si="25"/>
        <v>0</v>
      </c>
      <c r="V79" s="226">
        <v>0</v>
      </c>
      <c r="W79" s="227"/>
      <c r="X79" s="228">
        <f t="shared" si="26"/>
        <v>0</v>
      </c>
      <c r="Y79" s="229"/>
      <c r="Z79" s="229"/>
      <c r="AA79" s="229"/>
      <c r="AB79" s="222">
        <f t="shared" si="27"/>
        <v>0</v>
      </c>
      <c r="AC79" s="230">
        <f t="shared" si="28"/>
        <v>0</v>
      </c>
      <c r="AD79" s="222" t="str">
        <f t="shared" si="29"/>
        <v/>
      </c>
      <c r="AE79" s="201"/>
      <c r="AF79" s="231" t="str">
        <f>+IFERROR(VLOOKUP(L79,Data!$F$4:$G$97,2,0),"")</f>
        <v/>
      </c>
    </row>
    <row r="80" spans="9:32" ht="15" customHeight="1" x14ac:dyDescent="0.3">
      <c r="I80" s="201" t="str">
        <f t="shared" si="22"/>
        <v/>
      </c>
      <c r="J80" s="218">
        <f t="shared" si="23"/>
        <v>77</v>
      </c>
      <c r="K80" s="250"/>
      <c r="L80" s="219"/>
      <c r="M80" s="218"/>
      <c r="N80" s="220" t="str">
        <f>IFERROR(VLOOKUP(M80,Data!$C$4:$D$395,2,0),"")</f>
        <v/>
      </c>
      <c r="O80" s="220"/>
      <c r="P80" s="229"/>
      <c r="Q80" s="221"/>
      <c r="R80" s="222" t="str">
        <f t="shared" si="24"/>
        <v>-</v>
      </c>
      <c r="S80" s="223"/>
      <c r="T80" s="224"/>
      <c r="U80" s="225">
        <f t="shared" si="25"/>
        <v>0</v>
      </c>
      <c r="V80" s="226">
        <v>0</v>
      </c>
      <c r="W80" s="227"/>
      <c r="X80" s="228">
        <f t="shared" si="26"/>
        <v>0</v>
      </c>
      <c r="Y80" s="229"/>
      <c r="Z80" s="229"/>
      <c r="AA80" s="229"/>
      <c r="AB80" s="222">
        <f t="shared" si="27"/>
        <v>0</v>
      </c>
      <c r="AC80" s="230">
        <f t="shared" si="28"/>
        <v>0</v>
      </c>
      <c r="AD80" s="222" t="str">
        <f t="shared" si="29"/>
        <v/>
      </c>
      <c r="AE80" s="201"/>
      <c r="AF80" s="231" t="str">
        <f>+IFERROR(VLOOKUP(L80,Data!$F$4:$G$97,2,0),"")</f>
        <v/>
      </c>
    </row>
    <row r="81" spans="9:32" ht="15" customHeight="1" x14ac:dyDescent="0.3">
      <c r="I81" s="201" t="str">
        <f t="shared" si="22"/>
        <v/>
      </c>
      <c r="J81" s="218">
        <f t="shared" si="23"/>
        <v>78</v>
      </c>
      <c r="K81" s="250"/>
      <c r="L81" s="219"/>
      <c r="M81" s="218"/>
      <c r="N81" s="220" t="str">
        <f>IFERROR(VLOOKUP(M81,Data!$C$4:$D$395,2,0),"")</f>
        <v/>
      </c>
      <c r="O81" s="220"/>
      <c r="P81" s="229"/>
      <c r="Q81" s="221"/>
      <c r="R81" s="222" t="str">
        <f t="shared" si="24"/>
        <v>-</v>
      </c>
      <c r="S81" s="223"/>
      <c r="T81" s="224"/>
      <c r="U81" s="225">
        <f t="shared" si="25"/>
        <v>0</v>
      </c>
      <c r="V81" s="226">
        <v>0</v>
      </c>
      <c r="W81" s="227"/>
      <c r="X81" s="228">
        <f t="shared" si="26"/>
        <v>0</v>
      </c>
      <c r="Y81" s="229"/>
      <c r="Z81" s="229"/>
      <c r="AA81" s="229"/>
      <c r="AB81" s="222">
        <f t="shared" si="27"/>
        <v>0</v>
      </c>
      <c r="AC81" s="230">
        <f t="shared" si="28"/>
        <v>0</v>
      </c>
      <c r="AD81" s="222" t="str">
        <f t="shared" si="29"/>
        <v/>
      </c>
      <c r="AE81" s="201"/>
      <c r="AF81" s="231" t="str">
        <f>+IFERROR(VLOOKUP(L81,Data!$F$4:$G$97,2,0),"")</f>
        <v/>
      </c>
    </row>
    <row r="82" spans="9:32" ht="15" customHeight="1" x14ac:dyDescent="0.3">
      <c r="I82" s="201" t="str">
        <f t="shared" si="22"/>
        <v/>
      </c>
      <c r="J82" s="218">
        <f t="shared" si="23"/>
        <v>79</v>
      </c>
      <c r="K82" s="250"/>
      <c r="L82" s="219"/>
      <c r="M82" s="218"/>
      <c r="N82" s="220" t="str">
        <f>IFERROR(VLOOKUP(M82,Data!$C$4:$D$395,2,0),"")</f>
        <v/>
      </c>
      <c r="O82" s="220"/>
      <c r="P82" s="229"/>
      <c r="Q82" s="221"/>
      <c r="R82" s="222" t="str">
        <f t="shared" si="24"/>
        <v>-</v>
      </c>
      <c r="S82" s="223"/>
      <c r="T82" s="224"/>
      <c r="U82" s="225">
        <f t="shared" si="25"/>
        <v>0</v>
      </c>
      <c r="V82" s="226">
        <v>0</v>
      </c>
      <c r="W82" s="227"/>
      <c r="X82" s="228">
        <f t="shared" si="26"/>
        <v>0</v>
      </c>
      <c r="Y82" s="229"/>
      <c r="Z82" s="229"/>
      <c r="AA82" s="229"/>
      <c r="AB82" s="222">
        <f t="shared" si="27"/>
        <v>0</v>
      </c>
      <c r="AC82" s="230">
        <f t="shared" si="28"/>
        <v>0</v>
      </c>
      <c r="AD82" s="222" t="str">
        <f t="shared" si="29"/>
        <v/>
      </c>
      <c r="AE82" s="201"/>
      <c r="AF82" s="231" t="str">
        <f>+IFERROR(VLOOKUP(L82,Data!$F$4:$G$97,2,0),"")</f>
        <v/>
      </c>
    </row>
    <row r="83" spans="9:32" ht="15" customHeight="1" x14ac:dyDescent="0.3">
      <c r="I83" s="201" t="str">
        <f t="shared" si="22"/>
        <v/>
      </c>
      <c r="J83" s="218">
        <f t="shared" si="23"/>
        <v>80</v>
      </c>
      <c r="K83" s="250"/>
      <c r="L83" s="219"/>
      <c r="M83" s="218"/>
      <c r="N83" s="220" t="str">
        <f>IFERROR(VLOOKUP(M83,Data!$C$4:$D$395,2,0),"")</f>
        <v/>
      </c>
      <c r="O83" s="220"/>
      <c r="P83" s="229"/>
      <c r="Q83" s="221"/>
      <c r="R83" s="222" t="str">
        <f t="shared" si="24"/>
        <v>-</v>
      </c>
      <c r="S83" s="223"/>
      <c r="T83" s="224"/>
      <c r="U83" s="225">
        <f t="shared" si="25"/>
        <v>0</v>
      </c>
      <c r="V83" s="226">
        <v>0</v>
      </c>
      <c r="W83" s="227"/>
      <c r="X83" s="228">
        <f t="shared" si="26"/>
        <v>0</v>
      </c>
      <c r="Y83" s="229"/>
      <c r="Z83" s="229"/>
      <c r="AA83" s="229"/>
      <c r="AB83" s="222">
        <f t="shared" si="27"/>
        <v>0</v>
      </c>
      <c r="AC83" s="230">
        <f t="shared" si="28"/>
        <v>0</v>
      </c>
      <c r="AD83" s="222" t="str">
        <f t="shared" si="29"/>
        <v/>
      </c>
      <c r="AE83" s="201"/>
      <c r="AF83" s="231" t="str">
        <f>+IFERROR(VLOOKUP(L83,Data!$F$4:$G$97,2,0),"")</f>
        <v/>
      </c>
    </row>
    <row r="84" spans="9:32" ht="15" customHeight="1" x14ac:dyDescent="0.3">
      <c r="I84" s="201" t="str">
        <f t="shared" si="22"/>
        <v/>
      </c>
      <c r="J84" s="218">
        <f t="shared" si="23"/>
        <v>81</v>
      </c>
      <c r="K84" s="250"/>
      <c r="L84" s="219"/>
      <c r="M84" s="218"/>
      <c r="N84" s="220" t="str">
        <f>IFERROR(VLOOKUP(M84,Data!$C$4:$D$395,2,0),"")</f>
        <v/>
      </c>
      <c r="O84" s="220"/>
      <c r="P84" s="229"/>
      <c r="Q84" s="221"/>
      <c r="R84" s="222" t="str">
        <f t="shared" si="24"/>
        <v>-</v>
      </c>
      <c r="S84" s="223"/>
      <c r="T84" s="224"/>
      <c r="U84" s="225">
        <f t="shared" si="25"/>
        <v>0</v>
      </c>
      <c r="V84" s="226">
        <v>0</v>
      </c>
      <c r="W84" s="227"/>
      <c r="X84" s="228">
        <f t="shared" si="26"/>
        <v>0</v>
      </c>
      <c r="Y84" s="229"/>
      <c r="Z84" s="229"/>
      <c r="AA84" s="229"/>
      <c r="AB84" s="222">
        <f t="shared" si="27"/>
        <v>0</v>
      </c>
      <c r="AC84" s="230">
        <f t="shared" si="28"/>
        <v>0</v>
      </c>
      <c r="AD84" s="222" t="str">
        <f t="shared" si="29"/>
        <v/>
      </c>
      <c r="AE84" s="201"/>
      <c r="AF84" s="231" t="str">
        <f>+IFERROR(VLOOKUP(L84,Data!$F$4:$G$97,2,0),"")</f>
        <v/>
      </c>
    </row>
    <row r="85" spans="9:32" ht="15" customHeight="1" x14ac:dyDescent="0.3">
      <c r="I85" s="201" t="str">
        <f t="shared" si="22"/>
        <v/>
      </c>
      <c r="J85" s="218">
        <f t="shared" si="23"/>
        <v>82</v>
      </c>
      <c r="K85" s="250"/>
      <c r="L85" s="219"/>
      <c r="M85" s="218"/>
      <c r="N85" s="220" t="str">
        <f>IFERROR(VLOOKUP(M85,Data!$C$4:$D$395,2,0),"")</f>
        <v/>
      </c>
      <c r="O85" s="220"/>
      <c r="P85" s="229"/>
      <c r="Q85" s="221"/>
      <c r="R85" s="222" t="str">
        <f t="shared" si="24"/>
        <v>-</v>
      </c>
      <c r="S85" s="223"/>
      <c r="T85" s="224"/>
      <c r="U85" s="225">
        <f t="shared" si="25"/>
        <v>0</v>
      </c>
      <c r="V85" s="226">
        <v>0</v>
      </c>
      <c r="W85" s="227"/>
      <c r="X85" s="228">
        <f t="shared" si="26"/>
        <v>0</v>
      </c>
      <c r="Y85" s="229"/>
      <c r="Z85" s="229"/>
      <c r="AA85" s="229"/>
      <c r="AB85" s="222">
        <f t="shared" si="27"/>
        <v>0</v>
      </c>
      <c r="AC85" s="230">
        <f t="shared" si="28"/>
        <v>0</v>
      </c>
      <c r="AD85" s="222" t="str">
        <f t="shared" si="29"/>
        <v/>
      </c>
      <c r="AE85" s="201"/>
      <c r="AF85" s="231" t="str">
        <f>+IFERROR(VLOOKUP(L85,Data!$F$4:$G$97,2,0),"")</f>
        <v/>
      </c>
    </row>
    <row r="86" spans="9:32" ht="15" customHeight="1" x14ac:dyDescent="0.3">
      <c r="I86" s="201" t="str">
        <f t="shared" si="22"/>
        <v/>
      </c>
      <c r="J86" s="218">
        <f t="shared" si="23"/>
        <v>83</v>
      </c>
      <c r="K86" s="250"/>
      <c r="L86" s="219"/>
      <c r="M86" s="218"/>
      <c r="N86" s="220" t="str">
        <f>IFERROR(VLOOKUP(M86,Data!$C$4:$D$395,2,0),"")</f>
        <v/>
      </c>
      <c r="O86" s="220"/>
      <c r="P86" s="229"/>
      <c r="Q86" s="221"/>
      <c r="R86" s="222" t="str">
        <f t="shared" si="24"/>
        <v>-</v>
      </c>
      <c r="S86" s="223"/>
      <c r="T86" s="224"/>
      <c r="U86" s="225">
        <f t="shared" si="25"/>
        <v>0</v>
      </c>
      <c r="V86" s="226">
        <v>0</v>
      </c>
      <c r="W86" s="227"/>
      <c r="X86" s="228">
        <f t="shared" si="26"/>
        <v>0</v>
      </c>
      <c r="Y86" s="229"/>
      <c r="Z86" s="229"/>
      <c r="AA86" s="229"/>
      <c r="AB86" s="222">
        <f t="shared" si="27"/>
        <v>0</v>
      </c>
      <c r="AC86" s="230">
        <f t="shared" si="28"/>
        <v>0</v>
      </c>
      <c r="AD86" s="222" t="str">
        <f t="shared" si="29"/>
        <v/>
      </c>
      <c r="AE86" s="201"/>
      <c r="AF86" s="231" t="str">
        <f>+IFERROR(VLOOKUP(L86,Data!$F$4:$G$97,2,0),"")</f>
        <v/>
      </c>
    </row>
    <row r="87" spans="9:32" ht="15" customHeight="1" x14ac:dyDescent="0.3">
      <c r="I87" s="201" t="str">
        <f t="shared" si="22"/>
        <v/>
      </c>
      <c r="J87" s="218">
        <f t="shared" si="23"/>
        <v>84</v>
      </c>
      <c r="K87" s="250"/>
      <c r="L87" s="219"/>
      <c r="M87" s="218"/>
      <c r="N87" s="220" t="str">
        <f>IFERROR(VLOOKUP(M87,Data!$C$4:$D$395,2,0),"")</f>
        <v/>
      </c>
      <c r="O87" s="220"/>
      <c r="P87" s="229"/>
      <c r="Q87" s="221"/>
      <c r="R87" s="222" t="str">
        <f t="shared" si="24"/>
        <v>-</v>
      </c>
      <c r="S87" s="223"/>
      <c r="T87" s="224"/>
      <c r="U87" s="225">
        <f t="shared" si="25"/>
        <v>0</v>
      </c>
      <c r="V87" s="226">
        <v>0</v>
      </c>
      <c r="W87" s="227"/>
      <c r="X87" s="228">
        <f t="shared" si="26"/>
        <v>0</v>
      </c>
      <c r="Y87" s="229"/>
      <c r="Z87" s="229"/>
      <c r="AA87" s="229"/>
      <c r="AB87" s="222">
        <f t="shared" si="27"/>
        <v>0</v>
      </c>
      <c r="AC87" s="230">
        <f t="shared" si="28"/>
        <v>0</v>
      </c>
      <c r="AD87" s="222" t="str">
        <f t="shared" si="29"/>
        <v/>
      </c>
      <c r="AE87" s="201"/>
      <c r="AF87" s="231" t="str">
        <f>+IFERROR(VLOOKUP(L87,Data!$F$4:$G$97,2,0),"")</f>
        <v/>
      </c>
    </row>
    <row r="88" spans="9:32" ht="15" customHeight="1" x14ac:dyDescent="0.3">
      <c r="I88" s="201" t="str">
        <f t="shared" si="22"/>
        <v/>
      </c>
      <c r="J88" s="218">
        <f t="shared" si="23"/>
        <v>85</v>
      </c>
      <c r="K88" s="250"/>
      <c r="L88" s="219"/>
      <c r="M88" s="218"/>
      <c r="N88" s="220" t="str">
        <f>IFERROR(VLOOKUP(M88,Data!$C$4:$D$395,2,0),"")</f>
        <v/>
      </c>
      <c r="O88" s="220"/>
      <c r="P88" s="229"/>
      <c r="Q88" s="221"/>
      <c r="R88" s="222" t="str">
        <f t="shared" si="24"/>
        <v>-</v>
      </c>
      <c r="S88" s="223"/>
      <c r="T88" s="224"/>
      <c r="U88" s="225">
        <f t="shared" si="25"/>
        <v>0</v>
      </c>
      <c r="V88" s="226">
        <v>0</v>
      </c>
      <c r="W88" s="227"/>
      <c r="X88" s="228">
        <f t="shared" si="26"/>
        <v>0</v>
      </c>
      <c r="Y88" s="229"/>
      <c r="Z88" s="229"/>
      <c r="AA88" s="229"/>
      <c r="AB88" s="222">
        <f t="shared" si="27"/>
        <v>0</v>
      </c>
      <c r="AC88" s="230">
        <f t="shared" si="28"/>
        <v>0</v>
      </c>
      <c r="AD88" s="222" t="str">
        <f t="shared" si="29"/>
        <v/>
      </c>
      <c r="AE88" s="201"/>
      <c r="AF88" s="231" t="str">
        <f>+IFERROR(VLOOKUP(L88,Data!$F$4:$G$97,2,0),"")</f>
        <v/>
      </c>
    </row>
    <row r="89" spans="9:32" ht="15" customHeight="1" x14ac:dyDescent="0.3">
      <c r="I89" s="201" t="str">
        <f t="shared" si="22"/>
        <v/>
      </c>
      <c r="J89" s="218">
        <f t="shared" si="23"/>
        <v>86</v>
      </c>
      <c r="K89" s="250"/>
      <c r="L89" s="219"/>
      <c r="M89" s="218"/>
      <c r="N89" s="220" t="str">
        <f>IFERROR(VLOOKUP(M89,Data!$C$4:$D$395,2,0),"")</f>
        <v/>
      </c>
      <c r="O89" s="220"/>
      <c r="P89" s="229"/>
      <c r="Q89" s="221"/>
      <c r="R89" s="222" t="str">
        <f t="shared" si="24"/>
        <v>-</v>
      </c>
      <c r="S89" s="223"/>
      <c r="T89" s="224"/>
      <c r="U89" s="225">
        <f t="shared" si="25"/>
        <v>0</v>
      </c>
      <c r="V89" s="226">
        <v>0</v>
      </c>
      <c r="W89" s="227"/>
      <c r="X89" s="228">
        <f t="shared" si="26"/>
        <v>0</v>
      </c>
      <c r="Y89" s="229"/>
      <c r="Z89" s="229"/>
      <c r="AA89" s="229"/>
      <c r="AB89" s="222">
        <f t="shared" si="27"/>
        <v>0</v>
      </c>
      <c r="AC89" s="230">
        <f t="shared" si="28"/>
        <v>0</v>
      </c>
      <c r="AD89" s="222" t="str">
        <f t="shared" si="29"/>
        <v/>
      </c>
      <c r="AE89" s="201"/>
      <c r="AF89" s="231" t="str">
        <f>+IFERROR(VLOOKUP(L89,Data!$F$4:$G$97,2,0),"")</f>
        <v/>
      </c>
    </row>
    <row r="90" spans="9:32" ht="15" customHeight="1" x14ac:dyDescent="0.3">
      <c r="I90" s="201" t="str">
        <f t="shared" ref="I90" si="30">+AF90</f>
        <v/>
      </c>
      <c r="J90" s="218">
        <f t="shared" si="23"/>
        <v>87</v>
      </c>
      <c r="K90" s="250"/>
      <c r="L90" s="219"/>
      <c r="M90" s="218"/>
      <c r="N90" s="220" t="str">
        <f>IFERROR(VLOOKUP(M90,Data!$C$4:$D$395,2,0),"")</f>
        <v/>
      </c>
      <c r="O90" s="220"/>
      <c r="P90" s="229"/>
      <c r="Q90" s="221"/>
      <c r="R90" s="222" t="str">
        <f t="shared" si="24"/>
        <v>-</v>
      </c>
      <c r="S90" s="223"/>
      <c r="T90" s="224"/>
      <c r="U90" s="225">
        <f t="shared" si="25"/>
        <v>0</v>
      </c>
      <c r="V90" s="226">
        <v>0</v>
      </c>
      <c r="W90" s="227"/>
      <c r="X90" s="228">
        <f t="shared" si="26"/>
        <v>0</v>
      </c>
      <c r="Y90" s="229"/>
      <c r="Z90" s="229"/>
      <c r="AA90" s="229"/>
      <c r="AB90" s="222">
        <f t="shared" si="27"/>
        <v>0</v>
      </c>
      <c r="AC90" s="230">
        <f t="shared" si="28"/>
        <v>0</v>
      </c>
      <c r="AD90" s="222" t="str">
        <f t="shared" si="29"/>
        <v/>
      </c>
      <c r="AE90" s="201"/>
      <c r="AF90" s="231" t="str">
        <f>+IFERROR(VLOOKUP(L90,Data!$F$4:$G$97,2,0),"")</f>
        <v/>
      </c>
    </row>
    <row r="91" spans="9:32" ht="15" customHeight="1" x14ac:dyDescent="0.3">
      <c r="I91" s="201" t="str">
        <f t="shared" si="22"/>
        <v/>
      </c>
      <c r="J91" s="218">
        <f t="shared" si="23"/>
        <v>88</v>
      </c>
      <c r="K91" s="250"/>
      <c r="L91" s="219"/>
      <c r="M91" s="218"/>
      <c r="N91" s="220" t="str">
        <f>IFERROR(VLOOKUP(M91,Data!$C$4:$D$395,2,0),"")</f>
        <v/>
      </c>
      <c r="O91" s="220"/>
      <c r="P91" s="229"/>
      <c r="Q91" s="221"/>
      <c r="R91" s="222" t="str">
        <f t="shared" si="24"/>
        <v>-</v>
      </c>
      <c r="S91" s="223"/>
      <c r="T91" s="224"/>
      <c r="U91" s="225">
        <f t="shared" si="25"/>
        <v>0</v>
      </c>
      <c r="V91" s="226">
        <v>0</v>
      </c>
      <c r="W91" s="227"/>
      <c r="X91" s="228">
        <f t="shared" si="26"/>
        <v>0</v>
      </c>
      <c r="Y91" s="229"/>
      <c r="Z91" s="229"/>
      <c r="AA91" s="229"/>
      <c r="AB91" s="222">
        <f t="shared" si="27"/>
        <v>0</v>
      </c>
      <c r="AC91" s="230">
        <f t="shared" si="28"/>
        <v>0</v>
      </c>
      <c r="AD91" s="222" t="str">
        <f t="shared" si="29"/>
        <v/>
      </c>
      <c r="AE91" s="201"/>
      <c r="AF91" s="231" t="str">
        <f>+IFERROR(VLOOKUP(L91,Data!$F$4:$G$97,2,0),"")</f>
        <v/>
      </c>
    </row>
    <row r="92" spans="9:32" ht="15" customHeight="1" x14ac:dyDescent="0.3">
      <c r="I92" s="201" t="str">
        <f t="shared" si="22"/>
        <v/>
      </c>
      <c r="J92" s="218">
        <f t="shared" si="23"/>
        <v>89</v>
      </c>
      <c r="K92" s="250"/>
      <c r="L92" s="219"/>
      <c r="M92" s="218"/>
      <c r="N92" s="220" t="str">
        <f>IFERROR(VLOOKUP(M92,Data!$C$4:$D$395,2,0),"")</f>
        <v/>
      </c>
      <c r="O92" s="220"/>
      <c r="P92" s="229"/>
      <c r="Q92" s="221"/>
      <c r="R92" s="222" t="str">
        <f t="shared" si="24"/>
        <v>-</v>
      </c>
      <c r="S92" s="223"/>
      <c r="T92" s="224"/>
      <c r="U92" s="225">
        <f t="shared" si="25"/>
        <v>0</v>
      </c>
      <c r="V92" s="226">
        <v>0</v>
      </c>
      <c r="W92" s="227"/>
      <c r="X92" s="228">
        <f t="shared" si="26"/>
        <v>0</v>
      </c>
      <c r="Y92" s="229"/>
      <c r="Z92" s="229"/>
      <c r="AA92" s="229"/>
      <c r="AB92" s="222">
        <f t="shared" si="27"/>
        <v>0</v>
      </c>
      <c r="AC92" s="230">
        <f t="shared" si="28"/>
        <v>0</v>
      </c>
      <c r="AD92" s="222" t="str">
        <f t="shared" si="29"/>
        <v/>
      </c>
      <c r="AE92" s="201"/>
      <c r="AF92" s="231" t="str">
        <f>+IFERROR(VLOOKUP(L92,Data!$F$4:$G$97,2,0),"")</f>
        <v/>
      </c>
    </row>
    <row r="93" spans="9:32" ht="15" customHeight="1" x14ac:dyDescent="0.3">
      <c r="I93" s="201" t="str">
        <f t="shared" si="22"/>
        <v/>
      </c>
      <c r="J93" s="218">
        <f t="shared" si="23"/>
        <v>90</v>
      </c>
      <c r="K93" s="250"/>
      <c r="L93" s="219"/>
      <c r="M93" s="218"/>
      <c r="N93" s="220" t="str">
        <f>IFERROR(VLOOKUP(M93,Data!$C$4:$D$395,2,0),"")</f>
        <v/>
      </c>
      <c r="O93" s="220"/>
      <c r="P93" s="229"/>
      <c r="Q93" s="221"/>
      <c r="R93" s="222" t="str">
        <f t="shared" si="24"/>
        <v>-</v>
      </c>
      <c r="S93" s="223"/>
      <c r="T93" s="224"/>
      <c r="U93" s="225">
        <f t="shared" si="25"/>
        <v>0</v>
      </c>
      <c r="V93" s="226">
        <v>0</v>
      </c>
      <c r="W93" s="227"/>
      <c r="X93" s="228">
        <f t="shared" si="26"/>
        <v>0</v>
      </c>
      <c r="Y93" s="229"/>
      <c r="Z93" s="229"/>
      <c r="AA93" s="229"/>
      <c r="AB93" s="222">
        <f t="shared" si="27"/>
        <v>0</v>
      </c>
      <c r="AC93" s="230">
        <f t="shared" si="28"/>
        <v>0</v>
      </c>
      <c r="AD93" s="222" t="str">
        <f t="shared" si="29"/>
        <v/>
      </c>
      <c r="AE93" s="201"/>
      <c r="AF93" s="231" t="str">
        <f>+IFERROR(VLOOKUP(L93,Data!$F$4:$G$97,2,0),"")</f>
        <v/>
      </c>
    </row>
    <row r="94" spans="9:32" ht="15" customHeight="1" x14ac:dyDescent="0.3">
      <c r="I94" s="201" t="str">
        <f t="shared" si="22"/>
        <v/>
      </c>
      <c r="J94" s="218">
        <f t="shared" si="23"/>
        <v>91</v>
      </c>
      <c r="K94" s="250"/>
      <c r="L94" s="219"/>
      <c r="M94" s="218"/>
      <c r="N94" s="220" t="str">
        <f>IFERROR(VLOOKUP(M94,Data!$C$4:$D$395,2,0),"")</f>
        <v/>
      </c>
      <c r="O94" s="220"/>
      <c r="P94" s="229"/>
      <c r="Q94" s="221"/>
      <c r="R94" s="222" t="str">
        <f t="shared" si="24"/>
        <v>-</v>
      </c>
      <c r="S94" s="223"/>
      <c r="T94" s="224"/>
      <c r="U94" s="225">
        <f t="shared" si="25"/>
        <v>0</v>
      </c>
      <c r="V94" s="226">
        <v>0</v>
      </c>
      <c r="W94" s="227"/>
      <c r="X94" s="228">
        <f t="shared" si="26"/>
        <v>0</v>
      </c>
      <c r="Y94" s="229"/>
      <c r="Z94" s="229"/>
      <c r="AA94" s="229"/>
      <c r="AB94" s="222">
        <f t="shared" si="27"/>
        <v>0</v>
      </c>
      <c r="AC94" s="230">
        <f t="shared" si="28"/>
        <v>0</v>
      </c>
      <c r="AD94" s="222" t="str">
        <f t="shared" si="29"/>
        <v/>
      </c>
      <c r="AE94" s="201"/>
      <c r="AF94" s="231" t="str">
        <f>+IFERROR(VLOOKUP(L94,Data!$F$4:$G$97,2,0),"")</f>
        <v/>
      </c>
    </row>
    <row r="95" spans="9:32" ht="15" customHeight="1" x14ac:dyDescent="0.3">
      <c r="I95" s="201" t="str">
        <f t="shared" si="22"/>
        <v/>
      </c>
      <c r="J95" s="218">
        <f t="shared" si="23"/>
        <v>92</v>
      </c>
      <c r="K95" s="250"/>
      <c r="L95" s="219"/>
      <c r="M95" s="218"/>
      <c r="N95" s="220" t="str">
        <f>IFERROR(VLOOKUP(M95,Data!$C$4:$D$395,2,0),"")</f>
        <v/>
      </c>
      <c r="O95" s="220"/>
      <c r="P95" s="229"/>
      <c r="Q95" s="221"/>
      <c r="R95" s="222" t="str">
        <f t="shared" si="24"/>
        <v>-</v>
      </c>
      <c r="S95" s="223"/>
      <c r="T95" s="224"/>
      <c r="U95" s="225">
        <f t="shared" si="25"/>
        <v>0</v>
      </c>
      <c r="V95" s="226">
        <v>0</v>
      </c>
      <c r="W95" s="227"/>
      <c r="X95" s="228">
        <f t="shared" si="26"/>
        <v>0</v>
      </c>
      <c r="Y95" s="229"/>
      <c r="Z95" s="229"/>
      <c r="AA95" s="229"/>
      <c r="AB95" s="222">
        <f t="shared" si="27"/>
        <v>0</v>
      </c>
      <c r="AC95" s="230">
        <f t="shared" si="28"/>
        <v>0</v>
      </c>
      <c r="AD95" s="222" t="str">
        <f t="shared" si="29"/>
        <v/>
      </c>
      <c r="AE95" s="201"/>
      <c r="AF95" s="231" t="str">
        <f>+IFERROR(VLOOKUP(L95,Data!$F$4:$G$97,2,0),"")</f>
        <v/>
      </c>
    </row>
    <row r="96" spans="9:32" ht="15" customHeight="1" x14ac:dyDescent="0.3">
      <c r="I96" s="201" t="str">
        <f t="shared" si="22"/>
        <v/>
      </c>
      <c r="J96" s="218">
        <f t="shared" si="23"/>
        <v>93</v>
      </c>
      <c r="K96" s="250"/>
      <c r="L96" s="219"/>
      <c r="M96" s="218"/>
      <c r="N96" s="220" t="str">
        <f>IFERROR(VLOOKUP(M96,Data!$C$4:$D$395,2,0),"")</f>
        <v/>
      </c>
      <c r="O96" s="220"/>
      <c r="P96" s="229"/>
      <c r="Q96" s="221"/>
      <c r="R96" s="222" t="str">
        <f t="shared" si="24"/>
        <v>-</v>
      </c>
      <c r="S96" s="223"/>
      <c r="T96" s="224"/>
      <c r="U96" s="225">
        <f t="shared" si="25"/>
        <v>0</v>
      </c>
      <c r="V96" s="226">
        <v>0</v>
      </c>
      <c r="W96" s="227"/>
      <c r="X96" s="228">
        <f t="shared" si="26"/>
        <v>0</v>
      </c>
      <c r="Y96" s="229"/>
      <c r="Z96" s="229"/>
      <c r="AA96" s="229"/>
      <c r="AB96" s="222">
        <f t="shared" si="27"/>
        <v>0</v>
      </c>
      <c r="AC96" s="230">
        <f t="shared" si="28"/>
        <v>0</v>
      </c>
      <c r="AD96" s="222" t="str">
        <f t="shared" si="29"/>
        <v/>
      </c>
      <c r="AE96" s="201"/>
      <c r="AF96" s="231" t="str">
        <f>+IFERROR(VLOOKUP(L96,Data!$F$4:$G$97,2,0),"")</f>
        <v/>
      </c>
    </row>
    <row r="97" spans="9:32" ht="15" customHeight="1" x14ac:dyDescent="0.3">
      <c r="I97" s="201" t="str">
        <f t="shared" si="22"/>
        <v/>
      </c>
      <c r="J97" s="218">
        <f t="shared" si="23"/>
        <v>94</v>
      </c>
      <c r="K97" s="250"/>
      <c r="L97" s="219"/>
      <c r="M97" s="218"/>
      <c r="N97" s="220" t="str">
        <f>IFERROR(VLOOKUP(M97,Data!$C$4:$D$395,2,0),"")</f>
        <v/>
      </c>
      <c r="O97" s="220"/>
      <c r="P97" s="229"/>
      <c r="Q97" s="221"/>
      <c r="R97" s="222" t="str">
        <f t="shared" si="24"/>
        <v>-</v>
      </c>
      <c r="S97" s="223"/>
      <c r="T97" s="224"/>
      <c r="U97" s="225">
        <f t="shared" si="25"/>
        <v>0</v>
      </c>
      <c r="V97" s="226">
        <v>0</v>
      </c>
      <c r="W97" s="227"/>
      <c r="X97" s="228">
        <f t="shared" si="26"/>
        <v>0</v>
      </c>
      <c r="Y97" s="229"/>
      <c r="Z97" s="229"/>
      <c r="AA97" s="229"/>
      <c r="AB97" s="222">
        <f t="shared" si="27"/>
        <v>0</v>
      </c>
      <c r="AC97" s="230">
        <f t="shared" si="28"/>
        <v>0</v>
      </c>
      <c r="AD97" s="222" t="str">
        <f t="shared" si="29"/>
        <v/>
      </c>
      <c r="AE97" s="201"/>
      <c r="AF97" s="231" t="str">
        <f>+IFERROR(VLOOKUP(L97,Data!$F$4:$G$97,2,0),"")</f>
        <v/>
      </c>
    </row>
    <row r="98" spans="9:32" ht="15" customHeight="1" x14ac:dyDescent="0.3">
      <c r="I98" s="201" t="str">
        <f t="shared" si="22"/>
        <v/>
      </c>
      <c r="J98" s="218">
        <f t="shared" si="23"/>
        <v>95</v>
      </c>
      <c r="K98" s="250"/>
      <c r="L98" s="219"/>
      <c r="M98" s="218"/>
      <c r="N98" s="220" t="str">
        <f>IFERROR(VLOOKUP(M98,Data!$C$4:$D$395,2,0),"")</f>
        <v/>
      </c>
      <c r="O98" s="220"/>
      <c r="P98" s="229"/>
      <c r="Q98" s="221"/>
      <c r="R98" s="222" t="str">
        <f t="shared" si="24"/>
        <v>-</v>
      </c>
      <c r="S98" s="223"/>
      <c r="T98" s="224"/>
      <c r="U98" s="225">
        <f t="shared" si="25"/>
        <v>0</v>
      </c>
      <c r="V98" s="226">
        <v>0</v>
      </c>
      <c r="W98" s="227"/>
      <c r="X98" s="228">
        <f t="shared" si="26"/>
        <v>0</v>
      </c>
      <c r="Y98" s="229"/>
      <c r="Z98" s="229"/>
      <c r="AA98" s="229"/>
      <c r="AB98" s="222">
        <f t="shared" si="27"/>
        <v>0</v>
      </c>
      <c r="AC98" s="230">
        <f t="shared" si="28"/>
        <v>0</v>
      </c>
      <c r="AD98" s="222" t="str">
        <f t="shared" si="29"/>
        <v/>
      </c>
      <c r="AE98" s="201"/>
      <c r="AF98" s="231" t="str">
        <f>+IFERROR(VLOOKUP(L98,Data!$F$4:$G$97,2,0),"")</f>
        <v/>
      </c>
    </row>
    <row r="99" spans="9:32" ht="15" customHeight="1" x14ac:dyDescent="0.3">
      <c r="I99" s="201" t="str">
        <f t="shared" si="22"/>
        <v/>
      </c>
      <c r="J99" s="218">
        <f t="shared" si="23"/>
        <v>96</v>
      </c>
      <c r="K99" s="250"/>
      <c r="L99" s="219"/>
      <c r="M99" s="218"/>
      <c r="N99" s="220" t="str">
        <f>IFERROR(VLOOKUP(M99,Data!$C$4:$D$395,2,0),"")</f>
        <v/>
      </c>
      <c r="O99" s="220"/>
      <c r="P99" s="229"/>
      <c r="Q99" s="221"/>
      <c r="R99" s="222" t="str">
        <f t="shared" si="24"/>
        <v>-</v>
      </c>
      <c r="S99" s="223"/>
      <c r="T99" s="224"/>
      <c r="U99" s="225">
        <f t="shared" si="25"/>
        <v>0</v>
      </c>
      <c r="V99" s="226">
        <v>0</v>
      </c>
      <c r="W99" s="227"/>
      <c r="X99" s="228">
        <f t="shared" si="26"/>
        <v>0</v>
      </c>
      <c r="Y99" s="229"/>
      <c r="Z99" s="229"/>
      <c r="AA99" s="229"/>
      <c r="AB99" s="222">
        <f t="shared" si="27"/>
        <v>0</v>
      </c>
      <c r="AC99" s="230">
        <f t="shared" si="28"/>
        <v>0</v>
      </c>
      <c r="AD99" s="222" t="str">
        <f t="shared" si="29"/>
        <v/>
      </c>
      <c r="AE99" s="201"/>
      <c r="AF99" s="231" t="str">
        <f>+IFERROR(VLOOKUP(L99,Data!$F$4:$G$97,2,0),"")</f>
        <v/>
      </c>
    </row>
    <row r="100" spans="9:32" ht="15" customHeight="1" x14ac:dyDescent="0.3">
      <c r="I100" s="201" t="str">
        <f t="shared" si="22"/>
        <v/>
      </c>
      <c r="J100" s="218">
        <f t="shared" si="23"/>
        <v>97</v>
      </c>
      <c r="K100" s="250"/>
      <c r="L100" s="219"/>
      <c r="M100" s="218"/>
      <c r="N100" s="220" t="str">
        <f>IFERROR(VLOOKUP(M100,Data!$C$4:$D$395,2,0),"")</f>
        <v/>
      </c>
      <c r="O100" s="220"/>
      <c r="P100" s="229"/>
      <c r="Q100" s="221"/>
      <c r="R100" s="222" t="str">
        <f t="shared" si="24"/>
        <v>-</v>
      </c>
      <c r="S100" s="223"/>
      <c r="T100" s="224"/>
      <c r="U100" s="225">
        <f t="shared" si="25"/>
        <v>0</v>
      </c>
      <c r="V100" s="226">
        <v>0</v>
      </c>
      <c r="W100" s="227"/>
      <c r="X100" s="228">
        <f t="shared" si="26"/>
        <v>0</v>
      </c>
      <c r="Y100" s="229"/>
      <c r="Z100" s="229"/>
      <c r="AA100" s="229"/>
      <c r="AB100" s="222">
        <f t="shared" si="27"/>
        <v>0</v>
      </c>
      <c r="AC100" s="230">
        <f t="shared" si="28"/>
        <v>0</v>
      </c>
      <c r="AD100" s="222" t="str">
        <f t="shared" si="29"/>
        <v/>
      </c>
      <c r="AE100" s="201"/>
      <c r="AF100" s="231" t="str">
        <f>+IFERROR(VLOOKUP(L100,Data!$F$4:$G$97,2,0),"")</f>
        <v/>
      </c>
    </row>
    <row r="101" spans="9:32" ht="15" customHeight="1" x14ac:dyDescent="0.3">
      <c r="I101" s="201" t="str">
        <f t="shared" si="22"/>
        <v/>
      </c>
      <c r="J101" s="218">
        <f t="shared" si="23"/>
        <v>98</v>
      </c>
      <c r="K101" s="250"/>
      <c r="L101" s="219"/>
      <c r="M101" s="218"/>
      <c r="N101" s="220" t="str">
        <f>IFERROR(VLOOKUP(M101,Data!$C$4:$D$395,2,0),"")</f>
        <v/>
      </c>
      <c r="O101" s="220"/>
      <c r="P101" s="229"/>
      <c r="Q101" s="221"/>
      <c r="R101" s="222" t="str">
        <f t="shared" si="24"/>
        <v>-</v>
      </c>
      <c r="S101" s="223"/>
      <c r="T101" s="224"/>
      <c r="U101" s="225">
        <f t="shared" si="25"/>
        <v>0</v>
      </c>
      <c r="V101" s="226">
        <v>0</v>
      </c>
      <c r="W101" s="227"/>
      <c r="X101" s="228">
        <f t="shared" si="26"/>
        <v>0</v>
      </c>
      <c r="Y101" s="229"/>
      <c r="Z101" s="229"/>
      <c r="AA101" s="229"/>
      <c r="AB101" s="222">
        <f t="shared" si="27"/>
        <v>0</v>
      </c>
      <c r="AC101" s="230">
        <f t="shared" si="28"/>
        <v>0</v>
      </c>
      <c r="AD101" s="222" t="str">
        <f t="shared" si="29"/>
        <v/>
      </c>
      <c r="AE101" s="201"/>
      <c r="AF101" s="231" t="str">
        <f>+IFERROR(VLOOKUP(L101,Data!$F$4:$G$97,2,0),"")</f>
        <v/>
      </c>
    </row>
    <row r="102" spans="9:32" ht="15" customHeight="1" x14ac:dyDescent="0.3">
      <c r="I102" s="201" t="str">
        <f t="shared" si="22"/>
        <v/>
      </c>
      <c r="J102" s="218">
        <f t="shared" si="23"/>
        <v>99</v>
      </c>
      <c r="K102" s="250"/>
      <c r="L102" s="219"/>
      <c r="M102" s="218"/>
      <c r="N102" s="220" t="str">
        <f>IFERROR(VLOOKUP(M102,Data!$C$4:$D$395,2,0),"")</f>
        <v/>
      </c>
      <c r="O102" s="220"/>
      <c r="P102" s="229"/>
      <c r="Q102" s="221"/>
      <c r="R102" s="222" t="str">
        <f t="shared" si="24"/>
        <v>-</v>
      </c>
      <c r="S102" s="223"/>
      <c r="T102" s="224"/>
      <c r="U102" s="225">
        <f t="shared" si="25"/>
        <v>0</v>
      </c>
      <c r="V102" s="226">
        <v>0</v>
      </c>
      <c r="W102" s="227"/>
      <c r="X102" s="228">
        <f t="shared" si="26"/>
        <v>0</v>
      </c>
      <c r="Y102" s="229"/>
      <c r="Z102" s="229"/>
      <c r="AA102" s="229"/>
      <c r="AB102" s="222">
        <f t="shared" si="27"/>
        <v>0</v>
      </c>
      <c r="AC102" s="230">
        <f t="shared" si="28"/>
        <v>0</v>
      </c>
      <c r="AD102" s="222" t="str">
        <f t="shared" si="29"/>
        <v/>
      </c>
      <c r="AE102" s="201"/>
      <c r="AF102" s="231" t="str">
        <f>+IFERROR(VLOOKUP(L102,Data!$F$4:$G$97,2,0),"")</f>
        <v/>
      </c>
    </row>
    <row r="103" spans="9:32" ht="15" customHeight="1" x14ac:dyDescent="0.3">
      <c r="I103" s="201" t="str">
        <f t="shared" si="22"/>
        <v/>
      </c>
      <c r="J103" s="218">
        <f t="shared" si="23"/>
        <v>100</v>
      </c>
      <c r="K103" s="250"/>
      <c r="L103" s="219"/>
      <c r="M103" s="218"/>
      <c r="N103" s="220" t="str">
        <f>IFERROR(VLOOKUP(M103,Data!$C$4:$D$395,2,0),"")</f>
        <v/>
      </c>
      <c r="O103" s="220"/>
      <c r="P103" s="229"/>
      <c r="Q103" s="221"/>
      <c r="R103" s="222" t="str">
        <f t="shared" si="24"/>
        <v>-</v>
      </c>
      <c r="S103" s="223"/>
      <c r="T103" s="224"/>
      <c r="U103" s="225">
        <f t="shared" si="25"/>
        <v>0</v>
      </c>
      <c r="V103" s="226">
        <v>0</v>
      </c>
      <c r="W103" s="227"/>
      <c r="X103" s="228">
        <f t="shared" si="26"/>
        <v>0</v>
      </c>
      <c r="Y103" s="229"/>
      <c r="Z103" s="229"/>
      <c r="AA103" s="229"/>
      <c r="AB103" s="222">
        <f t="shared" si="27"/>
        <v>0</v>
      </c>
      <c r="AC103" s="230">
        <f t="shared" si="28"/>
        <v>0</v>
      </c>
      <c r="AD103" s="222" t="str">
        <f t="shared" si="29"/>
        <v/>
      </c>
      <c r="AE103" s="201"/>
      <c r="AF103" s="231" t="str">
        <f>+IFERROR(VLOOKUP(L103,Data!$F$4:$G$97,2,0),"")</f>
        <v/>
      </c>
    </row>
    <row r="104" spans="9:32" ht="15" customHeight="1" x14ac:dyDescent="0.3">
      <c r="I104" s="201" t="str">
        <f t="shared" si="22"/>
        <v/>
      </c>
      <c r="J104" s="218">
        <f t="shared" si="23"/>
        <v>101</v>
      </c>
      <c r="K104" s="250"/>
      <c r="L104" s="219"/>
      <c r="M104" s="218"/>
      <c r="N104" s="220" t="str">
        <f>IFERROR(VLOOKUP(M104,Data!$C$4:$D$395,2,0),"")</f>
        <v/>
      </c>
      <c r="O104" s="220"/>
      <c r="P104" s="229"/>
      <c r="Q104" s="221"/>
      <c r="R104" s="222" t="str">
        <f t="shared" si="24"/>
        <v>-</v>
      </c>
      <c r="S104" s="223"/>
      <c r="T104" s="224"/>
      <c r="U104" s="225">
        <f t="shared" si="25"/>
        <v>0</v>
      </c>
      <c r="V104" s="226">
        <v>0</v>
      </c>
      <c r="W104" s="227"/>
      <c r="X104" s="228">
        <f t="shared" si="26"/>
        <v>0</v>
      </c>
      <c r="Y104" s="229"/>
      <c r="Z104" s="229"/>
      <c r="AA104" s="229"/>
      <c r="AB104" s="222">
        <f t="shared" si="27"/>
        <v>0</v>
      </c>
      <c r="AC104" s="230">
        <f t="shared" si="28"/>
        <v>0</v>
      </c>
      <c r="AD104" s="222" t="str">
        <f t="shared" si="29"/>
        <v/>
      </c>
      <c r="AE104" s="201"/>
      <c r="AF104" s="231" t="str">
        <f>+IFERROR(VLOOKUP(L104,Data!$F$4:$G$97,2,0),"")</f>
        <v/>
      </c>
    </row>
    <row r="105" spans="9:32" ht="15" customHeight="1" x14ac:dyDescent="0.3">
      <c r="I105" s="201" t="str">
        <f t="shared" si="22"/>
        <v/>
      </c>
      <c r="J105" s="218">
        <f t="shared" si="23"/>
        <v>102</v>
      </c>
      <c r="K105" s="250"/>
      <c r="L105" s="219"/>
      <c r="M105" s="218"/>
      <c r="N105" s="220" t="str">
        <f>IFERROR(VLOOKUP(M105,Data!$C$4:$D$395,2,0),"")</f>
        <v/>
      </c>
      <c r="O105" s="220"/>
      <c r="P105" s="229"/>
      <c r="Q105" s="221"/>
      <c r="R105" s="222" t="str">
        <f t="shared" si="24"/>
        <v>-</v>
      </c>
      <c r="S105" s="223"/>
      <c r="T105" s="224"/>
      <c r="U105" s="225">
        <f t="shared" si="25"/>
        <v>0</v>
      </c>
      <c r="V105" s="226">
        <v>0</v>
      </c>
      <c r="W105" s="227"/>
      <c r="X105" s="228">
        <f t="shared" si="26"/>
        <v>0</v>
      </c>
      <c r="Y105" s="229"/>
      <c r="Z105" s="229"/>
      <c r="AA105" s="229"/>
      <c r="AB105" s="222">
        <f t="shared" si="27"/>
        <v>0</v>
      </c>
      <c r="AC105" s="230">
        <f t="shared" si="28"/>
        <v>0</v>
      </c>
      <c r="AD105" s="222" t="str">
        <f t="shared" si="29"/>
        <v/>
      </c>
      <c r="AE105" s="201"/>
      <c r="AF105" s="231" t="str">
        <f>+IFERROR(VLOOKUP(L105,Data!$F$4:$G$97,2,0),"")</f>
        <v/>
      </c>
    </row>
    <row r="106" spans="9:32" ht="15" customHeight="1" x14ac:dyDescent="0.3">
      <c r="I106" s="201" t="str">
        <f t="shared" si="22"/>
        <v/>
      </c>
      <c r="J106" s="218">
        <f t="shared" si="23"/>
        <v>103</v>
      </c>
      <c r="K106" s="250"/>
      <c r="L106" s="219"/>
      <c r="M106" s="218"/>
      <c r="N106" s="220" t="str">
        <f>IFERROR(VLOOKUP(M106,Data!$C$4:$D$395,2,0),"")</f>
        <v/>
      </c>
      <c r="O106" s="220"/>
      <c r="P106" s="229"/>
      <c r="Q106" s="221"/>
      <c r="R106" s="222" t="str">
        <f t="shared" si="24"/>
        <v>-</v>
      </c>
      <c r="S106" s="223"/>
      <c r="T106" s="224"/>
      <c r="U106" s="225">
        <f t="shared" si="25"/>
        <v>0</v>
      </c>
      <c r="V106" s="226">
        <v>0</v>
      </c>
      <c r="W106" s="227"/>
      <c r="X106" s="228">
        <f t="shared" si="26"/>
        <v>0</v>
      </c>
      <c r="Y106" s="229"/>
      <c r="Z106" s="229"/>
      <c r="AA106" s="229"/>
      <c r="AB106" s="222">
        <f t="shared" si="27"/>
        <v>0</v>
      </c>
      <c r="AC106" s="230">
        <f t="shared" si="28"/>
        <v>0</v>
      </c>
      <c r="AD106" s="222" t="str">
        <f t="shared" si="29"/>
        <v/>
      </c>
      <c r="AE106" s="201"/>
      <c r="AF106" s="231" t="str">
        <f>+IFERROR(VLOOKUP(L106,Data!$F$4:$G$97,2,0),"")</f>
        <v/>
      </c>
    </row>
    <row r="107" spans="9:32" ht="15" customHeight="1" x14ac:dyDescent="0.3">
      <c r="I107" s="201" t="str">
        <f t="shared" si="22"/>
        <v/>
      </c>
      <c r="J107" s="218">
        <f t="shared" si="23"/>
        <v>104</v>
      </c>
      <c r="K107" s="250"/>
      <c r="L107" s="219"/>
      <c r="M107" s="218"/>
      <c r="N107" s="220" t="str">
        <f>IFERROR(VLOOKUP(M107,Data!$C$4:$D$395,2,0),"")</f>
        <v/>
      </c>
      <c r="O107" s="220"/>
      <c r="P107" s="229"/>
      <c r="Q107" s="221"/>
      <c r="R107" s="222" t="str">
        <f t="shared" si="24"/>
        <v>-</v>
      </c>
      <c r="S107" s="223"/>
      <c r="T107" s="224"/>
      <c r="U107" s="225">
        <f t="shared" si="25"/>
        <v>0</v>
      </c>
      <c r="V107" s="226">
        <v>0</v>
      </c>
      <c r="W107" s="227"/>
      <c r="X107" s="228">
        <f t="shared" si="26"/>
        <v>0</v>
      </c>
      <c r="Y107" s="229"/>
      <c r="Z107" s="229"/>
      <c r="AA107" s="229"/>
      <c r="AB107" s="222">
        <f t="shared" si="27"/>
        <v>0</v>
      </c>
      <c r="AC107" s="230">
        <f t="shared" si="28"/>
        <v>0</v>
      </c>
      <c r="AD107" s="222" t="str">
        <f t="shared" si="29"/>
        <v/>
      </c>
      <c r="AE107" s="201"/>
      <c r="AF107" s="231" t="str">
        <f>+IFERROR(VLOOKUP(L107,Data!$F$4:$G$97,2,0),"")</f>
        <v/>
      </c>
    </row>
    <row r="108" spans="9:32" ht="15" customHeight="1" x14ac:dyDescent="0.3">
      <c r="I108" s="201" t="str">
        <f t="shared" si="22"/>
        <v/>
      </c>
      <c r="J108" s="218">
        <f t="shared" si="23"/>
        <v>105</v>
      </c>
      <c r="K108" s="250"/>
      <c r="L108" s="219"/>
      <c r="M108" s="218"/>
      <c r="N108" s="220" t="str">
        <f>IFERROR(VLOOKUP(M108,Data!$C$4:$D$395,2,0),"")</f>
        <v/>
      </c>
      <c r="O108" s="220"/>
      <c r="P108" s="229"/>
      <c r="Q108" s="221"/>
      <c r="R108" s="222" t="str">
        <f t="shared" si="24"/>
        <v>-</v>
      </c>
      <c r="S108" s="223"/>
      <c r="T108" s="224"/>
      <c r="U108" s="225">
        <f t="shared" si="25"/>
        <v>0</v>
      </c>
      <c r="V108" s="226">
        <v>0</v>
      </c>
      <c r="W108" s="227"/>
      <c r="X108" s="228">
        <f t="shared" si="26"/>
        <v>0</v>
      </c>
      <c r="Y108" s="229"/>
      <c r="Z108" s="229"/>
      <c r="AA108" s="229"/>
      <c r="AB108" s="222">
        <f t="shared" si="27"/>
        <v>0</v>
      </c>
      <c r="AC108" s="230">
        <f t="shared" si="28"/>
        <v>0</v>
      </c>
      <c r="AD108" s="222" t="str">
        <f t="shared" si="29"/>
        <v/>
      </c>
      <c r="AE108" s="201"/>
      <c r="AF108" s="231" t="str">
        <f>+IFERROR(VLOOKUP(L108,Data!$F$4:$G$97,2,0),"")</f>
        <v/>
      </c>
    </row>
    <row r="109" spans="9:32" ht="15" customHeight="1" x14ac:dyDescent="0.3">
      <c r="I109" s="201" t="str">
        <f t="shared" si="22"/>
        <v/>
      </c>
      <c r="J109" s="218">
        <f t="shared" si="23"/>
        <v>106</v>
      </c>
      <c r="K109" s="250"/>
      <c r="L109" s="219"/>
      <c r="M109" s="218"/>
      <c r="N109" s="220" t="str">
        <f>IFERROR(VLOOKUP(M109,Data!$C$4:$D$395,2,0),"")</f>
        <v/>
      </c>
      <c r="O109" s="220"/>
      <c r="P109" s="229"/>
      <c r="Q109" s="221"/>
      <c r="R109" s="222" t="str">
        <f t="shared" si="24"/>
        <v>-</v>
      </c>
      <c r="S109" s="223"/>
      <c r="T109" s="224"/>
      <c r="U109" s="225">
        <f t="shared" si="25"/>
        <v>0</v>
      </c>
      <c r="V109" s="226">
        <v>0</v>
      </c>
      <c r="W109" s="227"/>
      <c r="X109" s="228">
        <f t="shared" si="26"/>
        <v>0</v>
      </c>
      <c r="Y109" s="229"/>
      <c r="Z109" s="229"/>
      <c r="AA109" s="229"/>
      <c r="AB109" s="222">
        <f t="shared" si="27"/>
        <v>0</v>
      </c>
      <c r="AC109" s="230">
        <f t="shared" si="28"/>
        <v>0</v>
      </c>
      <c r="AD109" s="222" t="str">
        <f t="shared" si="29"/>
        <v/>
      </c>
      <c r="AE109" s="201"/>
      <c r="AF109" s="231" t="str">
        <f>+IFERROR(VLOOKUP(L109,Data!$F$4:$G$97,2,0),"")</f>
        <v/>
      </c>
    </row>
    <row r="110" spans="9:32" ht="15" customHeight="1" x14ac:dyDescent="0.3">
      <c r="I110" s="201" t="str">
        <f t="shared" si="22"/>
        <v/>
      </c>
      <c r="J110" s="218">
        <f t="shared" si="23"/>
        <v>107</v>
      </c>
      <c r="K110" s="250"/>
      <c r="L110" s="219"/>
      <c r="M110" s="218"/>
      <c r="N110" s="220" t="str">
        <f>IFERROR(VLOOKUP(M110,Data!$C$4:$D$395,2,0),"")</f>
        <v/>
      </c>
      <c r="O110" s="220"/>
      <c r="P110" s="229"/>
      <c r="Q110" s="221"/>
      <c r="R110" s="222" t="str">
        <f t="shared" si="24"/>
        <v>-</v>
      </c>
      <c r="S110" s="223"/>
      <c r="T110" s="224"/>
      <c r="U110" s="225">
        <f t="shared" si="25"/>
        <v>0</v>
      </c>
      <c r="V110" s="226">
        <v>0</v>
      </c>
      <c r="W110" s="227"/>
      <c r="X110" s="228">
        <f t="shared" si="26"/>
        <v>0</v>
      </c>
      <c r="Y110" s="229"/>
      <c r="Z110" s="229"/>
      <c r="AA110" s="229"/>
      <c r="AB110" s="222">
        <f t="shared" si="27"/>
        <v>0</v>
      </c>
      <c r="AC110" s="230">
        <f t="shared" si="28"/>
        <v>0</v>
      </c>
      <c r="AD110" s="222" t="str">
        <f t="shared" si="29"/>
        <v/>
      </c>
      <c r="AE110" s="201"/>
      <c r="AF110" s="231" t="str">
        <f>+IFERROR(VLOOKUP(L110,Data!$F$4:$G$97,2,0),"")</f>
        <v/>
      </c>
    </row>
    <row r="111" spans="9:32" ht="15" customHeight="1" x14ac:dyDescent="0.3">
      <c r="I111" s="201" t="str">
        <f t="shared" si="22"/>
        <v/>
      </c>
      <c r="J111" s="218">
        <f t="shared" si="23"/>
        <v>108</v>
      </c>
      <c r="K111" s="250"/>
      <c r="L111" s="219"/>
      <c r="M111" s="218"/>
      <c r="N111" s="220" t="str">
        <f>IFERROR(VLOOKUP(M111,Data!$C$4:$D$395,2,0),"")</f>
        <v/>
      </c>
      <c r="O111" s="220"/>
      <c r="P111" s="229"/>
      <c r="Q111" s="221"/>
      <c r="R111" s="222" t="str">
        <f t="shared" si="24"/>
        <v>-</v>
      </c>
      <c r="S111" s="223"/>
      <c r="T111" s="224"/>
      <c r="U111" s="225">
        <f t="shared" si="25"/>
        <v>0</v>
      </c>
      <c r="V111" s="226">
        <v>0</v>
      </c>
      <c r="W111" s="227"/>
      <c r="X111" s="228">
        <f t="shared" si="26"/>
        <v>0</v>
      </c>
      <c r="Y111" s="229"/>
      <c r="Z111" s="229"/>
      <c r="AA111" s="229"/>
      <c r="AB111" s="222">
        <f t="shared" si="27"/>
        <v>0</v>
      </c>
      <c r="AC111" s="230">
        <f t="shared" si="28"/>
        <v>0</v>
      </c>
      <c r="AD111" s="222" t="str">
        <f t="shared" si="29"/>
        <v/>
      </c>
      <c r="AE111" s="201"/>
      <c r="AF111" s="231" t="str">
        <f>+IFERROR(VLOOKUP(L111,Data!$F$4:$G$97,2,0),"")</f>
        <v/>
      </c>
    </row>
    <row r="112" spans="9:32" ht="15" customHeight="1" x14ac:dyDescent="0.3">
      <c r="I112" s="201" t="str">
        <f t="shared" si="22"/>
        <v/>
      </c>
      <c r="J112" s="218">
        <f t="shared" si="23"/>
        <v>109</v>
      </c>
      <c r="K112" s="250"/>
      <c r="L112" s="219"/>
      <c r="M112" s="218"/>
      <c r="N112" s="220" t="str">
        <f>IFERROR(VLOOKUP(M112,Data!$C$4:$D$395,2,0),"")</f>
        <v/>
      </c>
      <c r="O112" s="220"/>
      <c r="P112" s="229"/>
      <c r="Q112" s="221"/>
      <c r="R112" s="222" t="str">
        <f t="shared" si="24"/>
        <v>-</v>
      </c>
      <c r="S112" s="223"/>
      <c r="T112" s="224"/>
      <c r="U112" s="225">
        <f t="shared" si="25"/>
        <v>0</v>
      </c>
      <c r="V112" s="226">
        <v>0</v>
      </c>
      <c r="W112" s="227"/>
      <c r="X112" s="228">
        <f t="shared" si="26"/>
        <v>0</v>
      </c>
      <c r="Y112" s="229"/>
      <c r="Z112" s="229"/>
      <c r="AA112" s="229"/>
      <c r="AB112" s="222">
        <f t="shared" si="27"/>
        <v>0</v>
      </c>
      <c r="AC112" s="230">
        <f t="shared" si="28"/>
        <v>0</v>
      </c>
      <c r="AD112" s="222" t="str">
        <f t="shared" si="29"/>
        <v/>
      </c>
      <c r="AE112" s="201"/>
      <c r="AF112" s="231" t="str">
        <f>+IFERROR(VLOOKUP(L112,Data!$F$4:$G$97,2,0),"")</f>
        <v/>
      </c>
    </row>
    <row r="113" spans="9:32" ht="15" customHeight="1" x14ac:dyDescent="0.3">
      <c r="I113" s="201" t="str">
        <f t="shared" si="22"/>
        <v/>
      </c>
      <c r="J113" s="218">
        <f t="shared" si="23"/>
        <v>110</v>
      </c>
      <c r="K113" s="250"/>
      <c r="L113" s="219"/>
      <c r="M113" s="218"/>
      <c r="N113" s="220" t="str">
        <f>IFERROR(VLOOKUP(M113,Data!$C$4:$D$395,2,0),"")</f>
        <v/>
      </c>
      <c r="O113" s="220"/>
      <c r="P113" s="229"/>
      <c r="Q113" s="221"/>
      <c r="R113" s="222" t="str">
        <f t="shared" si="24"/>
        <v>-</v>
      </c>
      <c r="S113" s="223"/>
      <c r="T113" s="224"/>
      <c r="U113" s="225">
        <f t="shared" si="25"/>
        <v>0</v>
      </c>
      <c r="V113" s="226">
        <v>0</v>
      </c>
      <c r="W113" s="227"/>
      <c r="X113" s="228">
        <f t="shared" si="26"/>
        <v>0</v>
      </c>
      <c r="Y113" s="229"/>
      <c r="Z113" s="229"/>
      <c r="AA113" s="229"/>
      <c r="AB113" s="222">
        <f t="shared" si="27"/>
        <v>0</v>
      </c>
      <c r="AC113" s="230">
        <f t="shared" si="28"/>
        <v>0</v>
      </c>
      <c r="AD113" s="222" t="str">
        <f t="shared" si="29"/>
        <v/>
      </c>
      <c r="AE113" s="201"/>
      <c r="AF113" s="231" t="str">
        <f>+IFERROR(VLOOKUP(L113,Data!$F$4:$G$97,2,0),"")</f>
        <v/>
      </c>
    </row>
    <row r="114" spans="9:32" ht="15" customHeight="1" x14ac:dyDescent="0.3">
      <c r="I114" s="201" t="str">
        <f t="shared" si="22"/>
        <v/>
      </c>
      <c r="J114" s="218">
        <f t="shared" si="23"/>
        <v>111</v>
      </c>
      <c r="K114" s="250"/>
      <c r="L114" s="219"/>
      <c r="M114" s="218"/>
      <c r="N114" s="220" t="str">
        <f>IFERROR(VLOOKUP(M114,Data!$C$4:$D$395,2,0),"")</f>
        <v/>
      </c>
      <c r="O114" s="220"/>
      <c r="P114" s="229"/>
      <c r="Q114" s="221"/>
      <c r="R114" s="222" t="str">
        <f t="shared" si="24"/>
        <v>-</v>
      </c>
      <c r="S114" s="223"/>
      <c r="T114" s="224"/>
      <c r="U114" s="225">
        <f t="shared" si="25"/>
        <v>0</v>
      </c>
      <c r="V114" s="226">
        <v>0</v>
      </c>
      <c r="W114" s="227"/>
      <c r="X114" s="228">
        <f t="shared" si="26"/>
        <v>0</v>
      </c>
      <c r="Y114" s="229"/>
      <c r="Z114" s="229"/>
      <c r="AA114" s="229"/>
      <c r="AB114" s="222">
        <f t="shared" si="27"/>
        <v>0</v>
      </c>
      <c r="AC114" s="230">
        <f t="shared" si="28"/>
        <v>0</v>
      </c>
      <c r="AD114" s="222" t="str">
        <f t="shared" si="29"/>
        <v/>
      </c>
      <c r="AE114" s="201"/>
      <c r="AF114" s="231" t="str">
        <f>+IFERROR(VLOOKUP(L114,Data!$F$4:$G$97,2,0),"")</f>
        <v/>
      </c>
    </row>
    <row r="115" spans="9:32" ht="15" customHeight="1" x14ac:dyDescent="0.3">
      <c r="I115" s="201" t="str">
        <f t="shared" si="22"/>
        <v/>
      </c>
      <c r="J115" s="218">
        <f t="shared" si="23"/>
        <v>112</v>
      </c>
      <c r="K115" s="250"/>
      <c r="L115" s="219"/>
      <c r="M115" s="218"/>
      <c r="N115" s="220" t="str">
        <f>IFERROR(VLOOKUP(M115,Data!$C$4:$D$395,2,0),"")</f>
        <v/>
      </c>
      <c r="O115" s="220"/>
      <c r="P115" s="229"/>
      <c r="Q115" s="221"/>
      <c r="R115" s="222" t="str">
        <f t="shared" si="24"/>
        <v>-</v>
      </c>
      <c r="S115" s="223"/>
      <c r="T115" s="224"/>
      <c r="U115" s="225">
        <f t="shared" si="25"/>
        <v>0</v>
      </c>
      <c r="V115" s="226">
        <v>0</v>
      </c>
      <c r="W115" s="227"/>
      <c r="X115" s="228">
        <f t="shared" si="26"/>
        <v>0</v>
      </c>
      <c r="Y115" s="229"/>
      <c r="Z115" s="229"/>
      <c r="AA115" s="229"/>
      <c r="AB115" s="222">
        <f t="shared" si="27"/>
        <v>0</v>
      </c>
      <c r="AC115" s="230">
        <f t="shared" si="28"/>
        <v>0</v>
      </c>
      <c r="AD115" s="222" t="str">
        <f t="shared" si="29"/>
        <v/>
      </c>
      <c r="AE115" s="201"/>
      <c r="AF115" s="231" t="str">
        <f>+IFERROR(VLOOKUP(L115,Data!$F$4:$G$97,2,0),"")</f>
        <v/>
      </c>
    </row>
    <row r="116" spans="9:32" ht="15" customHeight="1" x14ac:dyDescent="0.3">
      <c r="I116" s="201" t="str">
        <f t="shared" si="22"/>
        <v/>
      </c>
      <c r="J116" s="218">
        <f t="shared" si="23"/>
        <v>113</v>
      </c>
      <c r="K116" s="250"/>
      <c r="L116" s="219"/>
      <c r="M116" s="218"/>
      <c r="N116" s="220" t="str">
        <f>IFERROR(VLOOKUP(M116,Data!$C$4:$D$395,2,0),"")</f>
        <v/>
      </c>
      <c r="O116" s="220"/>
      <c r="P116" s="229"/>
      <c r="Q116" s="221"/>
      <c r="R116" s="222" t="str">
        <f t="shared" si="24"/>
        <v>-</v>
      </c>
      <c r="S116" s="223"/>
      <c r="T116" s="224"/>
      <c r="U116" s="225">
        <f t="shared" si="25"/>
        <v>0</v>
      </c>
      <c r="V116" s="226">
        <v>0</v>
      </c>
      <c r="W116" s="227"/>
      <c r="X116" s="228">
        <f t="shared" si="26"/>
        <v>0</v>
      </c>
      <c r="Y116" s="229"/>
      <c r="Z116" s="229"/>
      <c r="AA116" s="229"/>
      <c r="AB116" s="222">
        <f t="shared" si="27"/>
        <v>0</v>
      </c>
      <c r="AC116" s="230">
        <f t="shared" si="28"/>
        <v>0</v>
      </c>
      <c r="AD116" s="222" t="str">
        <f t="shared" si="29"/>
        <v/>
      </c>
      <c r="AE116" s="201"/>
      <c r="AF116" s="231" t="str">
        <f>+IFERROR(VLOOKUP(L116,Data!$F$4:$G$97,2,0),"")</f>
        <v/>
      </c>
    </row>
    <row r="117" spans="9:32" ht="15" customHeight="1" x14ac:dyDescent="0.3">
      <c r="I117" s="201" t="str">
        <f t="shared" si="22"/>
        <v/>
      </c>
      <c r="J117" s="218">
        <f t="shared" si="23"/>
        <v>114</v>
      </c>
      <c r="K117" s="250"/>
      <c r="L117" s="219"/>
      <c r="M117" s="218"/>
      <c r="N117" s="220" t="str">
        <f>IFERROR(VLOOKUP(M117,Data!$C$4:$D$395,2,0),"")</f>
        <v/>
      </c>
      <c r="O117" s="220"/>
      <c r="P117" s="229"/>
      <c r="Q117" s="221"/>
      <c r="R117" s="222" t="str">
        <f t="shared" si="24"/>
        <v>-</v>
      </c>
      <c r="S117" s="223"/>
      <c r="T117" s="224"/>
      <c r="U117" s="225">
        <f t="shared" si="25"/>
        <v>0</v>
      </c>
      <c r="V117" s="226">
        <v>0</v>
      </c>
      <c r="W117" s="227"/>
      <c r="X117" s="228">
        <f t="shared" si="26"/>
        <v>0</v>
      </c>
      <c r="Y117" s="229"/>
      <c r="Z117" s="229"/>
      <c r="AA117" s="229"/>
      <c r="AB117" s="222">
        <f t="shared" si="27"/>
        <v>0</v>
      </c>
      <c r="AC117" s="230">
        <f t="shared" si="28"/>
        <v>0</v>
      </c>
      <c r="AD117" s="222" t="str">
        <f t="shared" si="29"/>
        <v/>
      </c>
      <c r="AE117" s="201"/>
      <c r="AF117" s="231" t="str">
        <f>+IFERROR(VLOOKUP(L117,Data!$F$4:$G$97,2,0),"")</f>
        <v/>
      </c>
    </row>
    <row r="118" spans="9:32" ht="15" customHeight="1" x14ac:dyDescent="0.3">
      <c r="I118" s="201" t="str">
        <f t="shared" si="22"/>
        <v/>
      </c>
      <c r="J118" s="218">
        <f t="shared" si="23"/>
        <v>115</v>
      </c>
      <c r="K118" s="250"/>
      <c r="L118" s="219"/>
      <c r="M118" s="218"/>
      <c r="N118" s="220" t="str">
        <f>IFERROR(VLOOKUP(M118,Data!$C$4:$D$395,2,0),"")</f>
        <v/>
      </c>
      <c r="O118" s="220"/>
      <c r="P118" s="229"/>
      <c r="Q118" s="221"/>
      <c r="R118" s="222" t="str">
        <f t="shared" si="24"/>
        <v>-</v>
      </c>
      <c r="S118" s="223"/>
      <c r="T118" s="224"/>
      <c r="U118" s="225">
        <f t="shared" si="25"/>
        <v>0</v>
      </c>
      <c r="V118" s="226">
        <v>0</v>
      </c>
      <c r="W118" s="227"/>
      <c r="X118" s="228">
        <f t="shared" si="26"/>
        <v>0</v>
      </c>
      <c r="Y118" s="229"/>
      <c r="Z118" s="229"/>
      <c r="AA118" s="229"/>
      <c r="AB118" s="222">
        <f t="shared" si="27"/>
        <v>0</v>
      </c>
      <c r="AC118" s="230">
        <f t="shared" si="28"/>
        <v>0</v>
      </c>
      <c r="AD118" s="222" t="str">
        <f t="shared" si="29"/>
        <v/>
      </c>
      <c r="AE118" s="201"/>
      <c r="AF118" s="231" t="str">
        <f>+IFERROR(VLOOKUP(L118,Data!$F$4:$G$97,2,0),"")</f>
        <v/>
      </c>
    </row>
    <row r="119" spans="9:32" ht="15" customHeight="1" x14ac:dyDescent="0.3">
      <c r="I119" s="201" t="str">
        <f t="shared" si="22"/>
        <v/>
      </c>
      <c r="J119" s="218">
        <f t="shared" si="23"/>
        <v>116</v>
      </c>
      <c r="K119" s="250"/>
      <c r="L119" s="219"/>
      <c r="M119" s="218"/>
      <c r="N119" s="220" t="str">
        <f>IFERROR(VLOOKUP(M119,Data!$C$4:$D$395,2,0),"")</f>
        <v/>
      </c>
      <c r="O119" s="220"/>
      <c r="P119" s="229"/>
      <c r="Q119" s="221"/>
      <c r="R119" s="222" t="str">
        <f t="shared" si="24"/>
        <v>-</v>
      </c>
      <c r="S119" s="223"/>
      <c r="T119" s="224"/>
      <c r="U119" s="225">
        <f t="shared" si="25"/>
        <v>0</v>
      </c>
      <c r="V119" s="226">
        <v>0</v>
      </c>
      <c r="W119" s="227"/>
      <c r="X119" s="228">
        <f t="shared" si="26"/>
        <v>0</v>
      </c>
      <c r="Y119" s="229"/>
      <c r="Z119" s="229"/>
      <c r="AA119" s="229"/>
      <c r="AB119" s="222">
        <f t="shared" si="27"/>
        <v>0</v>
      </c>
      <c r="AC119" s="230">
        <f t="shared" si="28"/>
        <v>0</v>
      </c>
      <c r="AD119" s="222" t="str">
        <f t="shared" si="29"/>
        <v/>
      </c>
      <c r="AE119" s="201"/>
      <c r="AF119" s="231" t="str">
        <f>+IFERROR(VLOOKUP(L119,Data!$F$4:$G$97,2,0),"")</f>
        <v/>
      </c>
    </row>
    <row r="120" spans="9:32" ht="15" customHeight="1" x14ac:dyDescent="0.3">
      <c r="I120" s="201" t="str">
        <f t="shared" si="22"/>
        <v/>
      </c>
      <c r="J120" s="218">
        <f t="shared" si="23"/>
        <v>117</v>
      </c>
      <c r="K120" s="250"/>
      <c r="L120" s="219"/>
      <c r="M120" s="218"/>
      <c r="N120" s="220" t="str">
        <f>IFERROR(VLOOKUP(M120,Data!$C$4:$D$395,2,0),"")</f>
        <v/>
      </c>
      <c r="O120" s="220"/>
      <c r="P120" s="229"/>
      <c r="Q120" s="221"/>
      <c r="R120" s="222" t="str">
        <f t="shared" si="24"/>
        <v>-</v>
      </c>
      <c r="S120" s="223"/>
      <c r="T120" s="224"/>
      <c r="U120" s="225">
        <f t="shared" si="25"/>
        <v>0</v>
      </c>
      <c r="V120" s="226">
        <v>0</v>
      </c>
      <c r="W120" s="227"/>
      <c r="X120" s="228">
        <f t="shared" si="26"/>
        <v>0</v>
      </c>
      <c r="Y120" s="229"/>
      <c r="Z120" s="229"/>
      <c r="AA120" s="229"/>
      <c r="AB120" s="222">
        <f t="shared" si="27"/>
        <v>0</v>
      </c>
      <c r="AC120" s="230">
        <f t="shared" si="28"/>
        <v>0</v>
      </c>
      <c r="AD120" s="222" t="str">
        <f t="shared" si="29"/>
        <v/>
      </c>
      <c r="AE120" s="201"/>
      <c r="AF120" s="231" t="str">
        <f>+IFERROR(VLOOKUP(L120,Data!$F$4:$G$97,2,0),"")</f>
        <v/>
      </c>
    </row>
    <row r="121" spans="9:32" ht="15" customHeight="1" x14ac:dyDescent="0.3">
      <c r="I121" s="201" t="str">
        <f t="shared" si="22"/>
        <v/>
      </c>
      <c r="J121" s="218">
        <f t="shared" si="23"/>
        <v>118</v>
      </c>
      <c r="K121" s="250"/>
      <c r="L121" s="219"/>
      <c r="M121" s="218"/>
      <c r="N121" s="220" t="str">
        <f>IFERROR(VLOOKUP(M121,Data!$C$4:$D$395,2,0),"")</f>
        <v/>
      </c>
      <c r="O121" s="220"/>
      <c r="P121" s="229"/>
      <c r="Q121" s="221"/>
      <c r="R121" s="222" t="str">
        <f t="shared" si="24"/>
        <v>-</v>
      </c>
      <c r="S121" s="223"/>
      <c r="T121" s="224"/>
      <c r="U121" s="225">
        <f t="shared" si="25"/>
        <v>0</v>
      </c>
      <c r="V121" s="226">
        <v>0</v>
      </c>
      <c r="W121" s="227"/>
      <c r="X121" s="228">
        <f t="shared" si="26"/>
        <v>0</v>
      </c>
      <c r="Y121" s="229"/>
      <c r="Z121" s="229"/>
      <c r="AA121" s="229"/>
      <c r="AB121" s="222">
        <f t="shared" si="27"/>
        <v>0</v>
      </c>
      <c r="AC121" s="230">
        <f t="shared" si="28"/>
        <v>0</v>
      </c>
      <c r="AD121" s="222" t="str">
        <f t="shared" si="29"/>
        <v/>
      </c>
      <c r="AE121" s="201"/>
      <c r="AF121" s="231" t="str">
        <f>+IFERROR(VLOOKUP(L121,Data!$F$4:$G$97,2,0),"")</f>
        <v/>
      </c>
    </row>
    <row r="122" spans="9:32" ht="15" customHeight="1" x14ac:dyDescent="0.3">
      <c r="I122" s="201" t="str">
        <f t="shared" si="22"/>
        <v/>
      </c>
      <c r="J122" s="218">
        <f t="shared" si="23"/>
        <v>119</v>
      </c>
      <c r="K122" s="250"/>
      <c r="L122" s="219"/>
      <c r="M122" s="218"/>
      <c r="N122" s="220" t="str">
        <f>IFERROR(VLOOKUP(M122,Data!$C$4:$D$395,2,0),"")</f>
        <v/>
      </c>
      <c r="O122" s="220"/>
      <c r="P122" s="229"/>
      <c r="Q122" s="221"/>
      <c r="R122" s="222" t="str">
        <f t="shared" si="24"/>
        <v>-</v>
      </c>
      <c r="S122" s="223"/>
      <c r="T122" s="224"/>
      <c r="U122" s="225">
        <f t="shared" si="25"/>
        <v>0</v>
      </c>
      <c r="V122" s="226">
        <v>0</v>
      </c>
      <c r="W122" s="227"/>
      <c r="X122" s="228">
        <f t="shared" si="26"/>
        <v>0</v>
      </c>
      <c r="Y122" s="229"/>
      <c r="Z122" s="229"/>
      <c r="AA122" s="229"/>
      <c r="AB122" s="222">
        <f t="shared" si="27"/>
        <v>0</v>
      </c>
      <c r="AC122" s="230">
        <f t="shared" si="28"/>
        <v>0</v>
      </c>
      <c r="AD122" s="222" t="str">
        <f t="shared" si="29"/>
        <v/>
      </c>
      <c r="AE122" s="201"/>
      <c r="AF122" s="231" t="str">
        <f>+IFERROR(VLOOKUP(L122,Data!$F$4:$G$97,2,0),"")</f>
        <v/>
      </c>
    </row>
    <row r="123" spans="9:32" ht="15" customHeight="1" x14ac:dyDescent="0.3">
      <c r="I123" s="201" t="str">
        <f t="shared" si="22"/>
        <v/>
      </c>
      <c r="J123" s="218">
        <f t="shared" si="23"/>
        <v>120</v>
      </c>
      <c r="K123" s="250"/>
      <c r="L123" s="219"/>
      <c r="M123" s="218"/>
      <c r="N123" s="220" t="str">
        <f>IFERROR(VLOOKUP(M123,Data!$C$4:$D$395,2,0),"")</f>
        <v/>
      </c>
      <c r="O123" s="220"/>
      <c r="P123" s="229"/>
      <c r="Q123" s="221"/>
      <c r="R123" s="222" t="str">
        <f t="shared" si="24"/>
        <v>-</v>
      </c>
      <c r="S123" s="223"/>
      <c r="T123" s="224"/>
      <c r="U123" s="225">
        <f t="shared" si="25"/>
        <v>0</v>
      </c>
      <c r="V123" s="226">
        <v>0</v>
      </c>
      <c r="W123" s="227"/>
      <c r="X123" s="228">
        <f t="shared" si="26"/>
        <v>0</v>
      </c>
      <c r="Y123" s="229"/>
      <c r="Z123" s="229"/>
      <c r="AA123" s="229"/>
      <c r="AB123" s="222">
        <f t="shared" si="27"/>
        <v>0</v>
      </c>
      <c r="AC123" s="230">
        <f t="shared" si="28"/>
        <v>0</v>
      </c>
      <c r="AD123" s="222" t="str">
        <f t="shared" si="29"/>
        <v/>
      </c>
      <c r="AE123" s="201"/>
      <c r="AF123" s="231" t="str">
        <f>+IFERROR(VLOOKUP(L123,Data!$F$4:$G$97,2,0),"")</f>
        <v/>
      </c>
    </row>
    <row r="124" spans="9:32" ht="15" customHeight="1" x14ac:dyDescent="0.3">
      <c r="I124" s="201" t="str">
        <f t="shared" ref="I124:I188" si="31">+AF124</f>
        <v/>
      </c>
      <c r="J124" s="218">
        <f t="shared" si="23"/>
        <v>121</v>
      </c>
      <c r="K124" s="250"/>
      <c r="L124" s="219"/>
      <c r="M124" s="218"/>
      <c r="N124" s="220" t="str">
        <f>IFERROR(VLOOKUP(M124,Data!$C$4:$D$395,2,0),"")</f>
        <v/>
      </c>
      <c r="O124" s="220"/>
      <c r="P124" s="229"/>
      <c r="Q124" s="221"/>
      <c r="R124" s="222" t="str">
        <f t="shared" si="24"/>
        <v>-</v>
      </c>
      <c r="S124" s="223"/>
      <c r="T124" s="224"/>
      <c r="U124" s="225">
        <f t="shared" si="25"/>
        <v>0</v>
      </c>
      <c r="V124" s="226">
        <v>0</v>
      </c>
      <c r="W124" s="227"/>
      <c r="X124" s="228">
        <f t="shared" si="26"/>
        <v>0</v>
      </c>
      <c r="Y124" s="229"/>
      <c r="Z124" s="229"/>
      <c r="AA124" s="229"/>
      <c r="AB124" s="222">
        <f t="shared" si="27"/>
        <v>0</v>
      </c>
      <c r="AC124" s="230">
        <f t="shared" si="28"/>
        <v>0</v>
      </c>
      <c r="AD124" s="222" t="str">
        <f t="shared" si="29"/>
        <v/>
      </c>
      <c r="AE124" s="201"/>
      <c r="AF124" s="231" t="str">
        <f>+IFERROR(VLOOKUP(L124,Data!$F$4:$G$97,2,0),"")</f>
        <v/>
      </c>
    </row>
    <row r="125" spans="9:32" ht="15" customHeight="1" x14ac:dyDescent="0.3">
      <c r="I125" s="201" t="str">
        <f t="shared" si="31"/>
        <v/>
      </c>
      <c r="J125" s="218">
        <f t="shared" ref="J125:J189" si="32">J124+1</f>
        <v>122</v>
      </c>
      <c r="K125" s="250"/>
      <c r="L125" s="219"/>
      <c r="M125" s="218"/>
      <c r="N125" s="220" t="str">
        <f>IFERROR(VLOOKUP(M125,Data!$C$4:$D$395,2,0),"")</f>
        <v/>
      </c>
      <c r="O125" s="220"/>
      <c r="P125" s="229"/>
      <c r="Q125" s="221"/>
      <c r="R125" s="222" t="str">
        <f t="shared" si="24"/>
        <v>-</v>
      </c>
      <c r="S125" s="223"/>
      <c r="T125" s="224"/>
      <c r="U125" s="225">
        <f t="shared" si="25"/>
        <v>0</v>
      </c>
      <c r="V125" s="226">
        <v>0</v>
      </c>
      <c r="W125" s="227"/>
      <c r="X125" s="228">
        <f t="shared" si="26"/>
        <v>0</v>
      </c>
      <c r="Y125" s="229"/>
      <c r="Z125" s="229"/>
      <c r="AA125" s="229"/>
      <c r="AB125" s="222">
        <f t="shared" si="27"/>
        <v>0</v>
      </c>
      <c r="AC125" s="230">
        <f t="shared" si="28"/>
        <v>0</v>
      </c>
      <c r="AD125" s="222" t="str">
        <f t="shared" si="29"/>
        <v/>
      </c>
      <c r="AE125" s="201"/>
      <c r="AF125" s="231" t="str">
        <f>+IFERROR(VLOOKUP(L125,Data!$F$4:$G$97,2,0),"")</f>
        <v/>
      </c>
    </row>
    <row r="126" spans="9:32" ht="15" customHeight="1" x14ac:dyDescent="0.3">
      <c r="I126" s="201" t="str">
        <f t="shared" si="31"/>
        <v/>
      </c>
      <c r="J126" s="218">
        <f t="shared" si="32"/>
        <v>123</v>
      </c>
      <c r="K126" s="250"/>
      <c r="L126" s="219"/>
      <c r="M126" s="218"/>
      <c r="N126" s="220" t="str">
        <f>IFERROR(VLOOKUP(M126,Data!$C$4:$D$395,2,0),"")</f>
        <v/>
      </c>
      <c r="O126" s="220"/>
      <c r="P126" s="229"/>
      <c r="Q126" s="221"/>
      <c r="R126" s="222" t="str">
        <f t="shared" si="24"/>
        <v>-</v>
      </c>
      <c r="S126" s="223"/>
      <c r="T126" s="224"/>
      <c r="U126" s="225">
        <f t="shared" si="25"/>
        <v>0</v>
      </c>
      <c r="V126" s="226">
        <v>0</v>
      </c>
      <c r="W126" s="227"/>
      <c r="X126" s="228">
        <f t="shared" si="26"/>
        <v>0</v>
      </c>
      <c r="Y126" s="229"/>
      <c r="Z126" s="229"/>
      <c r="AA126" s="229"/>
      <c r="AB126" s="222">
        <f t="shared" si="27"/>
        <v>0</v>
      </c>
      <c r="AC126" s="230">
        <f t="shared" si="28"/>
        <v>0</v>
      </c>
      <c r="AD126" s="222" t="str">
        <f t="shared" si="29"/>
        <v/>
      </c>
      <c r="AE126" s="201"/>
      <c r="AF126" s="231" t="str">
        <f>+IFERROR(VLOOKUP(L126,Data!$F$4:$G$97,2,0),"")</f>
        <v/>
      </c>
    </row>
    <row r="127" spans="9:32" ht="15" customHeight="1" x14ac:dyDescent="0.3">
      <c r="I127" s="201" t="str">
        <f t="shared" si="31"/>
        <v/>
      </c>
      <c r="J127" s="218">
        <f t="shared" si="32"/>
        <v>124</v>
      </c>
      <c r="K127" s="250"/>
      <c r="L127" s="219"/>
      <c r="M127" s="218"/>
      <c r="N127" s="220" t="str">
        <f>IFERROR(VLOOKUP(M127,Data!$C$4:$D$395,2,0),"")</f>
        <v/>
      </c>
      <c r="O127" s="220"/>
      <c r="P127" s="229"/>
      <c r="Q127" s="221"/>
      <c r="R127" s="222" t="str">
        <f t="shared" si="24"/>
        <v>-</v>
      </c>
      <c r="S127" s="223"/>
      <c r="T127" s="224"/>
      <c r="U127" s="225">
        <f t="shared" si="25"/>
        <v>0</v>
      </c>
      <c r="V127" s="226">
        <v>0</v>
      </c>
      <c r="W127" s="227"/>
      <c r="X127" s="228">
        <f t="shared" si="26"/>
        <v>0</v>
      </c>
      <c r="Y127" s="229"/>
      <c r="Z127" s="229"/>
      <c r="AA127" s="229"/>
      <c r="AB127" s="222">
        <f t="shared" si="27"/>
        <v>0</v>
      </c>
      <c r="AC127" s="230">
        <f t="shared" si="28"/>
        <v>0</v>
      </c>
      <c r="AD127" s="222" t="str">
        <f t="shared" si="29"/>
        <v/>
      </c>
      <c r="AE127" s="201"/>
      <c r="AF127" s="231" t="str">
        <f>+IFERROR(VLOOKUP(L127,Data!$F$4:$G$97,2,0),"")</f>
        <v/>
      </c>
    </row>
    <row r="128" spans="9:32" ht="15" customHeight="1" x14ac:dyDescent="0.3">
      <c r="I128" s="201" t="str">
        <f t="shared" si="31"/>
        <v/>
      </c>
      <c r="J128" s="218">
        <f t="shared" si="32"/>
        <v>125</v>
      </c>
      <c r="K128" s="250"/>
      <c r="L128" s="219"/>
      <c r="M128" s="218"/>
      <c r="N128" s="220" t="str">
        <f>IFERROR(VLOOKUP(M128,Data!$C$4:$D$395,2,0),"")</f>
        <v/>
      </c>
      <c r="O128" s="220"/>
      <c r="P128" s="229"/>
      <c r="Q128" s="221"/>
      <c r="R128" s="222" t="str">
        <f t="shared" ref="R128:R191" si="33">IFERROR(Q128/P128, "-")</f>
        <v>-</v>
      </c>
      <c r="S128" s="223"/>
      <c r="T128" s="224"/>
      <c r="U128" s="225">
        <f t="shared" ref="U128:U191" si="34">+Q128*S128+P128*T128</f>
        <v>0</v>
      </c>
      <c r="V128" s="226">
        <v>0</v>
      </c>
      <c r="W128" s="227"/>
      <c r="X128" s="228">
        <f t="shared" ref="X128:X191" si="35">+Q128*V128+P128*W128</f>
        <v>0</v>
      </c>
      <c r="Y128" s="229"/>
      <c r="Z128" s="229"/>
      <c r="AA128" s="229"/>
      <c r="AB128" s="222">
        <f t="shared" ref="AB128:AB191" si="36">+Y128+Z128+AA128</f>
        <v>0</v>
      </c>
      <c r="AC128" s="230">
        <f t="shared" ref="AC128:AC191" si="37">IF((U128-Y128-Z128-AA128)&lt;0,"",(U128-Y128-Z128-AA128))</f>
        <v>0</v>
      </c>
      <c r="AD128" s="222" t="str">
        <f t="shared" ref="AD128:AD191" si="38">IF((U128-Y128-Z128-AA128)&lt;0,(Y128+Z128+AA128-U128),"")</f>
        <v/>
      </c>
      <c r="AE128" s="201"/>
      <c r="AF128" s="231" t="str">
        <f>+IFERROR(VLOOKUP(L128,Data!$F$4:$G$97,2,0),"")</f>
        <v/>
      </c>
    </row>
    <row r="129" spans="9:32" ht="15" customHeight="1" x14ac:dyDescent="0.3">
      <c r="I129" s="201" t="str">
        <f t="shared" si="31"/>
        <v/>
      </c>
      <c r="J129" s="218">
        <f t="shared" si="32"/>
        <v>126</v>
      </c>
      <c r="K129" s="250"/>
      <c r="L129" s="219"/>
      <c r="M129" s="218"/>
      <c r="N129" s="220" t="str">
        <f>IFERROR(VLOOKUP(M129,Data!$C$4:$D$395,2,0),"")</f>
        <v/>
      </c>
      <c r="O129" s="220"/>
      <c r="P129" s="229"/>
      <c r="Q129" s="221"/>
      <c r="R129" s="222" t="str">
        <f t="shared" si="33"/>
        <v>-</v>
      </c>
      <c r="S129" s="223"/>
      <c r="T129" s="224"/>
      <c r="U129" s="225">
        <f t="shared" si="34"/>
        <v>0</v>
      </c>
      <c r="V129" s="226">
        <v>0</v>
      </c>
      <c r="W129" s="227"/>
      <c r="X129" s="228">
        <f t="shared" si="35"/>
        <v>0</v>
      </c>
      <c r="Y129" s="229"/>
      <c r="Z129" s="229"/>
      <c r="AA129" s="229"/>
      <c r="AB129" s="222">
        <f t="shared" si="36"/>
        <v>0</v>
      </c>
      <c r="AC129" s="230">
        <f t="shared" si="37"/>
        <v>0</v>
      </c>
      <c r="AD129" s="222" t="str">
        <f t="shared" si="38"/>
        <v/>
      </c>
      <c r="AE129" s="201"/>
      <c r="AF129" s="231" t="str">
        <f>+IFERROR(VLOOKUP(L129,Data!$F$4:$G$97,2,0),"")</f>
        <v/>
      </c>
    </row>
    <row r="130" spans="9:32" ht="15" customHeight="1" x14ac:dyDescent="0.3">
      <c r="I130" s="201" t="str">
        <f t="shared" si="31"/>
        <v/>
      </c>
      <c r="J130" s="218">
        <f t="shared" si="32"/>
        <v>127</v>
      </c>
      <c r="K130" s="250"/>
      <c r="L130" s="219"/>
      <c r="M130" s="218"/>
      <c r="N130" s="220" t="str">
        <f>IFERROR(VLOOKUP(M130,Data!$C$4:$D$395,2,0),"")</f>
        <v/>
      </c>
      <c r="O130" s="220"/>
      <c r="P130" s="229"/>
      <c r="Q130" s="221"/>
      <c r="R130" s="222" t="str">
        <f t="shared" si="33"/>
        <v>-</v>
      </c>
      <c r="S130" s="223"/>
      <c r="T130" s="224"/>
      <c r="U130" s="225">
        <f t="shared" si="34"/>
        <v>0</v>
      </c>
      <c r="V130" s="226">
        <v>0</v>
      </c>
      <c r="W130" s="227"/>
      <c r="X130" s="228">
        <f t="shared" si="35"/>
        <v>0</v>
      </c>
      <c r="Y130" s="229"/>
      <c r="Z130" s="229"/>
      <c r="AA130" s="229"/>
      <c r="AB130" s="222">
        <f t="shared" si="36"/>
        <v>0</v>
      </c>
      <c r="AC130" s="230">
        <f t="shared" si="37"/>
        <v>0</v>
      </c>
      <c r="AD130" s="222" t="str">
        <f t="shared" si="38"/>
        <v/>
      </c>
      <c r="AE130" s="201"/>
      <c r="AF130" s="231" t="str">
        <f>+IFERROR(VLOOKUP(L130,Data!$F$4:$G$97,2,0),"")</f>
        <v/>
      </c>
    </row>
    <row r="131" spans="9:32" ht="15" customHeight="1" x14ac:dyDescent="0.3">
      <c r="I131" s="201" t="str">
        <f t="shared" si="31"/>
        <v/>
      </c>
      <c r="J131" s="218">
        <f t="shared" si="32"/>
        <v>128</v>
      </c>
      <c r="K131" s="250"/>
      <c r="L131" s="219"/>
      <c r="M131" s="218"/>
      <c r="N131" s="220" t="str">
        <f>IFERROR(VLOOKUP(M131,Data!$C$4:$D$395,2,0),"")</f>
        <v/>
      </c>
      <c r="O131" s="220"/>
      <c r="P131" s="229"/>
      <c r="Q131" s="221"/>
      <c r="R131" s="222" t="str">
        <f t="shared" si="33"/>
        <v>-</v>
      </c>
      <c r="S131" s="223"/>
      <c r="T131" s="224"/>
      <c r="U131" s="225">
        <f t="shared" si="34"/>
        <v>0</v>
      </c>
      <c r="V131" s="226">
        <v>0</v>
      </c>
      <c r="W131" s="227"/>
      <c r="X131" s="228">
        <f t="shared" si="35"/>
        <v>0</v>
      </c>
      <c r="Y131" s="229"/>
      <c r="Z131" s="229"/>
      <c r="AA131" s="229"/>
      <c r="AB131" s="222">
        <f t="shared" si="36"/>
        <v>0</v>
      </c>
      <c r="AC131" s="230">
        <f t="shared" si="37"/>
        <v>0</v>
      </c>
      <c r="AD131" s="222" t="str">
        <f t="shared" si="38"/>
        <v/>
      </c>
      <c r="AE131" s="201"/>
      <c r="AF131" s="231" t="str">
        <f>+IFERROR(VLOOKUP(L131,Data!$F$4:$G$97,2,0),"")</f>
        <v/>
      </c>
    </row>
    <row r="132" spans="9:32" ht="15" customHeight="1" x14ac:dyDescent="0.3">
      <c r="I132" s="201" t="str">
        <f t="shared" si="31"/>
        <v/>
      </c>
      <c r="J132" s="218">
        <f t="shared" si="32"/>
        <v>129</v>
      </c>
      <c r="K132" s="250"/>
      <c r="L132" s="219"/>
      <c r="M132" s="218"/>
      <c r="N132" s="220" t="str">
        <f>IFERROR(VLOOKUP(M132,Data!$C$4:$D$395,2,0),"")</f>
        <v/>
      </c>
      <c r="O132" s="220"/>
      <c r="P132" s="229"/>
      <c r="Q132" s="221"/>
      <c r="R132" s="222" t="str">
        <f t="shared" si="33"/>
        <v>-</v>
      </c>
      <c r="S132" s="223"/>
      <c r="T132" s="224"/>
      <c r="U132" s="225">
        <f t="shared" si="34"/>
        <v>0</v>
      </c>
      <c r="V132" s="226">
        <v>0</v>
      </c>
      <c r="W132" s="227"/>
      <c r="X132" s="228">
        <f t="shared" si="35"/>
        <v>0</v>
      </c>
      <c r="Y132" s="229"/>
      <c r="Z132" s="229"/>
      <c r="AA132" s="229"/>
      <c r="AB132" s="222">
        <f t="shared" si="36"/>
        <v>0</v>
      </c>
      <c r="AC132" s="230">
        <f t="shared" si="37"/>
        <v>0</v>
      </c>
      <c r="AD132" s="222" t="str">
        <f t="shared" si="38"/>
        <v/>
      </c>
      <c r="AE132" s="201"/>
      <c r="AF132" s="231" t="str">
        <f>+IFERROR(VLOOKUP(L132,Data!$F$4:$G$97,2,0),"")</f>
        <v/>
      </c>
    </row>
    <row r="133" spans="9:32" ht="15" customHeight="1" x14ac:dyDescent="0.3">
      <c r="I133" s="201" t="str">
        <f t="shared" si="31"/>
        <v/>
      </c>
      <c r="J133" s="218">
        <f t="shared" si="32"/>
        <v>130</v>
      </c>
      <c r="K133" s="250"/>
      <c r="L133" s="219"/>
      <c r="M133" s="218"/>
      <c r="N133" s="220" t="str">
        <f>IFERROR(VLOOKUP(M133,Data!$C$4:$D$395,2,0),"")</f>
        <v/>
      </c>
      <c r="O133" s="220"/>
      <c r="P133" s="229"/>
      <c r="Q133" s="221"/>
      <c r="R133" s="222" t="str">
        <f t="shared" si="33"/>
        <v>-</v>
      </c>
      <c r="S133" s="223"/>
      <c r="T133" s="224"/>
      <c r="U133" s="225">
        <f t="shared" si="34"/>
        <v>0</v>
      </c>
      <c r="V133" s="226">
        <v>0</v>
      </c>
      <c r="W133" s="227"/>
      <c r="X133" s="228">
        <f t="shared" si="35"/>
        <v>0</v>
      </c>
      <c r="Y133" s="229"/>
      <c r="Z133" s="229"/>
      <c r="AA133" s="229"/>
      <c r="AB133" s="222">
        <f t="shared" si="36"/>
        <v>0</v>
      </c>
      <c r="AC133" s="230">
        <f t="shared" si="37"/>
        <v>0</v>
      </c>
      <c r="AD133" s="222" t="str">
        <f t="shared" si="38"/>
        <v/>
      </c>
      <c r="AE133" s="201"/>
      <c r="AF133" s="231" t="str">
        <f>+IFERROR(VLOOKUP(L133,Data!$F$4:$G$97,2,0),"")</f>
        <v/>
      </c>
    </row>
    <row r="134" spans="9:32" ht="15" customHeight="1" x14ac:dyDescent="0.3">
      <c r="I134" s="201" t="str">
        <f t="shared" si="31"/>
        <v/>
      </c>
      <c r="J134" s="218">
        <f t="shared" si="32"/>
        <v>131</v>
      </c>
      <c r="K134" s="250"/>
      <c r="L134" s="219"/>
      <c r="M134" s="218"/>
      <c r="N134" s="220" t="str">
        <f>IFERROR(VLOOKUP(M134,Data!$C$4:$D$395,2,0),"")</f>
        <v/>
      </c>
      <c r="O134" s="220"/>
      <c r="P134" s="229"/>
      <c r="Q134" s="221"/>
      <c r="R134" s="222" t="str">
        <f t="shared" si="33"/>
        <v>-</v>
      </c>
      <c r="S134" s="223"/>
      <c r="T134" s="224"/>
      <c r="U134" s="225">
        <f t="shared" si="34"/>
        <v>0</v>
      </c>
      <c r="V134" s="226">
        <v>0</v>
      </c>
      <c r="W134" s="227"/>
      <c r="X134" s="228">
        <f t="shared" si="35"/>
        <v>0</v>
      </c>
      <c r="Y134" s="229"/>
      <c r="Z134" s="229"/>
      <c r="AA134" s="229"/>
      <c r="AB134" s="222">
        <f t="shared" si="36"/>
        <v>0</v>
      </c>
      <c r="AC134" s="230">
        <f t="shared" si="37"/>
        <v>0</v>
      </c>
      <c r="AD134" s="222" t="str">
        <f t="shared" si="38"/>
        <v/>
      </c>
      <c r="AE134" s="201"/>
      <c r="AF134" s="231" t="str">
        <f>+IFERROR(VLOOKUP(L134,Data!$F$4:$G$97,2,0),"")</f>
        <v/>
      </c>
    </row>
    <row r="135" spans="9:32" ht="15" customHeight="1" x14ac:dyDescent="0.3">
      <c r="I135" s="201" t="str">
        <f t="shared" si="31"/>
        <v/>
      </c>
      <c r="J135" s="218">
        <f t="shared" si="32"/>
        <v>132</v>
      </c>
      <c r="K135" s="250"/>
      <c r="L135" s="219"/>
      <c r="M135" s="218"/>
      <c r="N135" s="220" t="str">
        <f>IFERROR(VLOOKUP(M135,Data!$C$4:$D$395,2,0),"")</f>
        <v/>
      </c>
      <c r="O135" s="220"/>
      <c r="P135" s="229"/>
      <c r="Q135" s="221"/>
      <c r="R135" s="222" t="str">
        <f t="shared" si="33"/>
        <v>-</v>
      </c>
      <c r="S135" s="223"/>
      <c r="T135" s="224"/>
      <c r="U135" s="225">
        <f t="shared" si="34"/>
        <v>0</v>
      </c>
      <c r="V135" s="226">
        <v>0</v>
      </c>
      <c r="W135" s="227"/>
      <c r="X135" s="228">
        <f t="shared" si="35"/>
        <v>0</v>
      </c>
      <c r="Y135" s="229"/>
      <c r="Z135" s="229"/>
      <c r="AA135" s="229"/>
      <c r="AB135" s="222">
        <f t="shared" si="36"/>
        <v>0</v>
      </c>
      <c r="AC135" s="230">
        <f t="shared" si="37"/>
        <v>0</v>
      </c>
      <c r="AD135" s="222" t="str">
        <f t="shared" si="38"/>
        <v/>
      </c>
      <c r="AE135" s="201"/>
      <c r="AF135" s="231" t="str">
        <f>+IFERROR(VLOOKUP(L135,Data!$F$4:$G$97,2,0),"")</f>
        <v/>
      </c>
    </row>
    <row r="136" spans="9:32" ht="15" customHeight="1" x14ac:dyDescent="0.3">
      <c r="I136" s="201" t="str">
        <f t="shared" si="31"/>
        <v/>
      </c>
      <c r="J136" s="218">
        <f t="shared" si="32"/>
        <v>133</v>
      </c>
      <c r="K136" s="250"/>
      <c r="L136" s="219"/>
      <c r="M136" s="218"/>
      <c r="N136" s="220" t="str">
        <f>IFERROR(VLOOKUP(M136,Data!$C$4:$D$395,2,0),"")</f>
        <v/>
      </c>
      <c r="O136" s="220"/>
      <c r="P136" s="229"/>
      <c r="Q136" s="221"/>
      <c r="R136" s="222" t="str">
        <f t="shared" si="33"/>
        <v>-</v>
      </c>
      <c r="S136" s="223"/>
      <c r="T136" s="224"/>
      <c r="U136" s="225">
        <f t="shared" si="34"/>
        <v>0</v>
      </c>
      <c r="V136" s="226">
        <v>0</v>
      </c>
      <c r="W136" s="227"/>
      <c r="X136" s="228">
        <f t="shared" si="35"/>
        <v>0</v>
      </c>
      <c r="Y136" s="229"/>
      <c r="Z136" s="229"/>
      <c r="AA136" s="229"/>
      <c r="AB136" s="222">
        <f t="shared" si="36"/>
        <v>0</v>
      </c>
      <c r="AC136" s="230">
        <f t="shared" si="37"/>
        <v>0</v>
      </c>
      <c r="AD136" s="222" t="str">
        <f t="shared" si="38"/>
        <v/>
      </c>
      <c r="AE136" s="201"/>
      <c r="AF136" s="231" t="str">
        <f>+IFERROR(VLOOKUP(L136,Data!$F$4:$G$97,2,0),"")</f>
        <v/>
      </c>
    </row>
    <row r="137" spans="9:32" ht="15" customHeight="1" x14ac:dyDescent="0.3">
      <c r="I137" s="201" t="str">
        <f t="shared" si="31"/>
        <v/>
      </c>
      <c r="J137" s="218">
        <f t="shared" si="32"/>
        <v>134</v>
      </c>
      <c r="K137" s="250"/>
      <c r="L137" s="219"/>
      <c r="M137" s="218"/>
      <c r="N137" s="220" t="str">
        <f>IFERROR(VLOOKUP(M137,Data!$C$4:$D$395,2,0),"")</f>
        <v/>
      </c>
      <c r="O137" s="220"/>
      <c r="P137" s="229"/>
      <c r="Q137" s="221"/>
      <c r="R137" s="222" t="str">
        <f t="shared" si="33"/>
        <v>-</v>
      </c>
      <c r="S137" s="223"/>
      <c r="T137" s="224"/>
      <c r="U137" s="225">
        <f t="shared" si="34"/>
        <v>0</v>
      </c>
      <c r="V137" s="226">
        <v>0</v>
      </c>
      <c r="W137" s="227"/>
      <c r="X137" s="228">
        <f t="shared" si="35"/>
        <v>0</v>
      </c>
      <c r="Y137" s="229"/>
      <c r="Z137" s="229"/>
      <c r="AA137" s="229"/>
      <c r="AB137" s="222">
        <f t="shared" si="36"/>
        <v>0</v>
      </c>
      <c r="AC137" s="230">
        <f t="shared" si="37"/>
        <v>0</v>
      </c>
      <c r="AD137" s="222" t="str">
        <f t="shared" si="38"/>
        <v/>
      </c>
      <c r="AE137" s="201"/>
      <c r="AF137" s="231" t="str">
        <f>+IFERROR(VLOOKUP(L137,Data!$F$4:$G$97,2,0),"")</f>
        <v/>
      </c>
    </row>
    <row r="138" spans="9:32" ht="15" customHeight="1" x14ac:dyDescent="0.3">
      <c r="I138" s="201" t="str">
        <f t="shared" si="31"/>
        <v/>
      </c>
      <c r="J138" s="218">
        <f t="shared" si="32"/>
        <v>135</v>
      </c>
      <c r="K138" s="250"/>
      <c r="L138" s="219"/>
      <c r="M138" s="218"/>
      <c r="N138" s="220" t="str">
        <f>IFERROR(VLOOKUP(M138,Data!$C$4:$D$395,2,0),"")</f>
        <v/>
      </c>
      <c r="O138" s="220"/>
      <c r="P138" s="229"/>
      <c r="Q138" s="221"/>
      <c r="R138" s="222" t="str">
        <f t="shared" si="33"/>
        <v>-</v>
      </c>
      <c r="S138" s="223"/>
      <c r="T138" s="224"/>
      <c r="U138" s="225">
        <f t="shared" si="34"/>
        <v>0</v>
      </c>
      <c r="V138" s="226">
        <v>0</v>
      </c>
      <c r="W138" s="227"/>
      <c r="X138" s="228">
        <f t="shared" si="35"/>
        <v>0</v>
      </c>
      <c r="Y138" s="229"/>
      <c r="Z138" s="229"/>
      <c r="AA138" s="229"/>
      <c r="AB138" s="222">
        <f t="shared" si="36"/>
        <v>0</v>
      </c>
      <c r="AC138" s="230">
        <f t="shared" si="37"/>
        <v>0</v>
      </c>
      <c r="AD138" s="222" t="str">
        <f t="shared" si="38"/>
        <v/>
      </c>
      <c r="AE138" s="201"/>
      <c r="AF138" s="231" t="str">
        <f>+IFERROR(VLOOKUP(L138,Data!$F$4:$G$97,2,0),"")</f>
        <v/>
      </c>
    </row>
    <row r="139" spans="9:32" ht="15" customHeight="1" x14ac:dyDescent="0.3">
      <c r="I139" s="201" t="str">
        <f t="shared" si="31"/>
        <v/>
      </c>
      <c r="J139" s="218">
        <f t="shared" si="32"/>
        <v>136</v>
      </c>
      <c r="K139" s="250"/>
      <c r="L139" s="219"/>
      <c r="M139" s="218"/>
      <c r="N139" s="220" t="str">
        <f>IFERROR(VLOOKUP(M139,Data!$C$4:$D$395,2,0),"")</f>
        <v/>
      </c>
      <c r="O139" s="220"/>
      <c r="P139" s="229"/>
      <c r="Q139" s="221"/>
      <c r="R139" s="222" t="str">
        <f t="shared" si="33"/>
        <v>-</v>
      </c>
      <c r="S139" s="223"/>
      <c r="T139" s="224"/>
      <c r="U139" s="225">
        <f t="shared" si="34"/>
        <v>0</v>
      </c>
      <c r="V139" s="226">
        <v>0</v>
      </c>
      <c r="W139" s="227"/>
      <c r="X139" s="228">
        <f t="shared" si="35"/>
        <v>0</v>
      </c>
      <c r="Y139" s="229"/>
      <c r="Z139" s="229"/>
      <c r="AA139" s="229"/>
      <c r="AB139" s="222">
        <f t="shared" si="36"/>
        <v>0</v>
      </c>
      <c r="AC139" s="230">
        <f t="shared" si="37"/>
        <v>0</v>
      </c>
      <c r="AD139" s="222" t="str">
        <f t="shared" si="38"/>
        <v/>
      </c>
      <c r="AE139" s="201"/>
      <c r="AF139" s="231" t="str">
        <f>+IFERROR(VLOOKUP(L139,Data!$F$4:$G$97,2,0),"")</f>
        <v/>
      </c>
    </row>
    <row r="140" spans="9:32" ht="15" customHeight="1" x14ac:dyDescent="0.3">
      <c r="I140" s="201" t="str">
        <f t="shared" si="31"/>
        <v/>
      </c>
      <c r="J140" s="218">
        <f t="shared" si="32"/>
        <v>137</v>
      </c>
      <c r="K140" s="250"/>
      <c r="L140" s="219"/>
      <c r="M140" s="218"/>
      <c r="N140" s="220" t="str">
        <f>IFERROR(VLOOKUP(M140,Data!$C$4:$D$395,2,0),"")</f>
        <v/>
      </c>
      <c r="O140" s="220"/>
      <c r="P140" s="229"/>
      <c r="Q140" s="221"/>
      <c r="R140" s="222" t="str">
        <f t="shared" si="33"/>
        <v>-</v>
      </c>
      <c r="S140" s="223"/>
      <c r="T140" s="224"/>
      <c r="U140" s="225">
        <f t="shared" si="34"/>
        <v>0</v>
      </c>
      <c r="V140" s="226">
        <v>0</v>
      </c>
      <c r="W140" s="227"/>
      <c r="X140" s="228">
        <f t="shared" si="35"/>
        <v>0</v>
      </c>
      <c r="Y140" s="229"/>
      <c r="Z140" s="229"/>
      <c r="AA140" s="229"/>
      <c r="AB140" s="222">
        <f t="shared" si="36"/>
        <v>0</v>
      </c>
      <c r="AC140" s="230">
        <f t="shared" si="37"/>
        <v>0</v>
      </c>
      <c r="AD140" s="222" t="str">
        <f t="shared" si="38"/>
        <v/>
      </c>
      <c r="AE140" s="201"/>
      <c r="AF140" s="231" t="str">
        <f>+IFERROR(VLOOKUP(L140,Data!$F$4:$G$97,2,0),"")</f>
        <v/>
      </c>
    </row>
    <row r="141" spans="9:32" ht="15" customHeight="1" x14ac:dyDescent="0.3">
      <c r="I141" s="201" t="str">
        <f t="shared" si="31"/>
        <v/>
      </c>
      <c r="J141" s="218">
        <f t="shared" si="32"/>
        <v>138</v>
      </c>
      <c r="K141" s="250"/>
      <c r="L141" s="219"/>
      <c r="M141" s="218"/>
      <c r="N141" s="220" t="str">
        <f>IFERROR(VLOOKUP(M141,Data!$C$4:$D$395,2,0),"")</f>
        <v/>
      </c>
      <c r="O141" s="220"/>
      <c r="P141" s="229"/>
      <c r="Q141" s="221"/>
      <c r="R141" s="222" t="str">
        <f t="shared" si="33"/>
        <v>-</v>
      </c>
      <c r="S141" s="223"/>
      <c r="T141" s="224"/>
      <c r="U141" s="225">
        <f t="shared" si="34"/>
        <v>0</v>
      </c>
      <c r="V141" s="226">
        <v>0</v>
      </c>
      <c r="W141" s="227"/>
      <c r="X141" s="228">
        <f t="shared" si="35"/>
        <v>0</v>
      </c>
      <c r="Y141" s="229"/>
      <c r="Z141" s="229"/>
      <c r="AA141" s="229"/>
      <c r="AB141" s="222">
        <f t="shared" si="36"/>
        <v>0</v>
      </c>
      <c r="AC141" s="230">
        <f t="shared" si="37"/>
        <v>0</v>
      </c>
      <c r="AD141" s="222" t="str">
        <f t="shared" si="38"/>
        <v/>
      </c>
      <c r="AE141" s="201"/>
      <c r="AF141" s="231" t="str">
        <f>+IFERROR(VLOOKUP(L141,Data!$F$4:$G$97,2,0),"")</f>
        <v/>
      </c>
    </row>
    <row r="142" spans="9:32" ht="15" customHeight="1" x14ac:dyDescent="0.3">
      <c r="I142" s="201" t="str">
        <f t="shared" si="31"/>
        <v/>
      </c>
      <c r="J142" s="218">
        <f t="shared" si="32"/>
        <v>139</v>
      </c>
      <c r="K142" s="250"/>
      <c r="L142" s="219"/>
      <c r="M142" s="218"/>
      <c r="N142" s="220" t="str">
        <f>IFERROR(VLOOKUP(M142,Data!$C$4:$D$395,2,0),"")</f>
        <v/>
      </c>
      <c r="O142" s="220"/>
      <c r="P142" s="229"/>
      <c r="Q142" s="221"/>
      <c r="R142" s="222" t="str">
        <f t="shared" si="33"/>
        <v>-</v>
      </c>
      <c r="S142" s="223"/>
      <c r="T142" s="224"/>
      <c r="U142" s="225">
        <f t="shared" si="34"/>
        <v>0</v>
      </c>
      <c r="V142" s="226">
        <v>0</v>
      </c>
      <c r="W142" s="227"/>
      <c r="X142" s="228">
        <f t="shared" si="35"/>
        <v>0</v>
      </c>
      <c r="Y142" s="229"/>
      <c r="Z142" s="229"/>
      <c r="AA142" s="229"/>
      <c r="AB142" s="222">
        <f t="shared" si="36"/>
        <v>0</v>
      </c>
      <c r="AC142" s="230">
        <f t="shared" si="37"/>
        <v>0</v>
      </c>
      <c r="AD142" s="222" t="str">
        <f t="shared" si="38"/>
        <v/>
      </c>
      <c r="AE142" s="201"/>
      <c r="AF142" s="231" t="str">
        <f>+IFERROR(VLOOKUP(L142,Data!$F$4:$G$97,2,0),"")</f>
        <v/>
      </c>
    </row>
    <row r="143" spans="9:32" ht="15" customHeight="1" x14ac:dyDescent="0.3">
      <c r="I143" s="201" t="str">
        <f t="shared" si="31"/>
        <v/>
      </c>
      <c r="J143" s="218">
        <f t="shared" si="32"/>
        <v>140</v>
      </c>
      <c r="K143" s="250"/>
      <c r="L143" s="219"/>
      <c r="M143" s="218"/>
      <c r="N143" s="220" t="str">
        <f>IFERROR(VLOOKUP(M143,Data!$C$4:$D$395,2,0),"")</f>
        <v/>
      </c>
      <c r="O143" s="220"/>
      <c r="P143" s="229"/>
      <c r="Q143" s="221"/>
      <c r="R143" s="222" t="str">
        <f t="shared" si="33"/>
        <v>-</v>
      </c>
      <c r="S143" s="223"/>
      <c r="T143" s="224"/>
      <c r="U143" s="225">
        <f t="shared" si="34"/>
        <v>0</v>
      </c>
      <c r="V143" s="226">
        <v>0</v>
      </c>
      <c r="W143" s="227"/>
      <c r="X143" s="228">
        <f t="shared" si="35"/>
        <v>0</v>
      </c>
      <c r="Y143" s="229"/>
      <c r="Z143" s="229"/>
      <c r="AA143" s="229"/>
      <c r="AB143" s="222">
        <f t="shared" si="36"/>
        <v>0</v>
      </c>
      <c r="AC143" s="230">
        <f t="shared" si="37"/>
        <v>0</v>
      </c>
      <c r="AD143" s="222" t="str">
        <f t="shared" si="38"/>
        <v/>
      </c>
      <c r="AE143" s="201"/>
      <c r="AF143" s="231" t="str">
        <f>+IFERROR(VLOOKUP(L143,Data!$F$4:$G$97,2,0),"")</f>
        <v/>
      </c>
    </row>
    <row r="144" spans="9:32" ht="15" customHeight="1" x14ac:dyDescent="0.3">
      <c r="I144" s="201" t="str">
        <f t="shared" si="31"/>
        <v/>
      </c>
      <c r="J144" s="218">
        <f t="shared" si="32"/>
        <v>141</v>
      </c>
      <c r="K144" s="250"/>
      <c r="L144" s="219"/>
      <c r="M144" s="218"/>
      <c r="N144" s="220" t="str">
        <f>IFERROR(VLOOKUP(M144,Data!$C$4:$D$395,2,0),"")</f>
        <v/>
      </c>
      <c r="O144" s="220"/>
      <c r="P144" s="229"/>
      <c r="Q144" s="221"/>
      <c r="R144" s="222" t="str">
        <f t="shared" si="33"/>
        <v>-</v>
      </c>
      <c r="S144" s="223"/>
      <c r="T144" s="224"/>
      <c r="U144" s="225">
        <f t="shared" si="34"/>
        <v>0</v>
      </c>
      <c r="V144" s="226">
        <v>0</v>
      </c>
      <c r="W144" s="227"/>
      <c r="X144" s="228">
        <f t="shared" si="35"/>
        <v>0</v>
      </c>
      <c r="Y144" s="229"/>
      <c r="Z144" s="229"/>
      <c r="AA144" s="229"/>
      <c r="AB144" s="222">
        <f t="shared" si="36"/>
        <v>0</v>
      </c>
      <c r="AC144" s="230">
        <f t="shared" si="37"/>
        <v>0</v>
      </c>
      <c r="AD144" s="222" t="str">
        <f t="shared" si="38"/>
        <v/>
      </c>
      <c r="AE144" s="201"/>
      <c r="AF144" s="231" t="str">
        <f>+IFERROR(VLOOKUP(L144,Data!$F$4:$G$97,2,0),"")</f>
        <v/>
      </c>
    </row>
    <row r="145" spans="9:32" ht="15" customHeight="1" x14ac:dyDescent="0.3">
      <c r="I145" s="201" t="str">
        <f t="shared" si="31"/>
        <v/>
      </c>
      <c r="J145" s="218">
        <f t="shared" si="32"/>
        <v>142</v>
      </c>
      <c r="K145" s="250"/>
      <c r="L145" s="219"/>
      <c r="M145" s="218"/>
      <c r="N145" s="220" t="str">
        <f>IFERROR(VLOOKUP(M145,Data!$C$4:$D$395,2,0),"")</f>
        <v/>
      </c>
      <c r="O145" s="220"/>
      <c r="P145" s="229"/>
      <c r="Q145" s="221"/>
      <c r="R145" s="222" t="str">
        <f t="shared" si="33"/>
        <v>-</v>
      </c>
      <c r="S145" s="223"/>
      <c r="T145" s="224"/>
      <c r="U145" s="225">
        <f t="shared" si="34"/>
        <v>0</v>
      </c>
      <c r="V145" s="226">
        <v>0</v>
      </c>
      <c r="W145" s="227"/>
      <c r="X145" s="228">
        <f t="shared" si="35"/>
        <v>0</v>
      </c>
      <c r="Y145" s="229"/>
      <c r="Z145" s="229"/>
      <c r="AA145" s="229"/>
      <c r="AB145" s="222">
        <f t="shared" si="36"/>
        <v>0</v>
      </c>
      <c r="AC145" s="230">
        <f t="shared" si="37"/>
        <v>0</v>
      </c>
      <c r="AD145" s="222" t="str">
        <f t="shared" si="38"/>
        <v/>
      </c>
      <c r="AE145" s="201"/>
      <c r="AF145" s="231" t="str">
        <f>+IFERROR(VLOOKUP(L145,Data!$F$4:$G$97,2,0),"")</f>
        <v/>
      </c>
    </row>
    <row r="146" spans="9:32" ht="15" customHeight="1" x14ac:dyDescent="0.3">
      <c r="I146" s="201" t="str">
        <f t="shared" si="31"/>
        <v/>
      </c>
      <c r="J146" s="218">
        <f t="shared" si="32"/>
        <v>143</v>
      </c>
      <c r="K146" s="250"/>
      <c r="L146" s="219"/>
      <c r="M146" s="218"/>
      <c r="N146" s="220" t="str">
        <f>IFERROR(VLOOKUP(M146,Data!$C$4:$D$395,2,0),"")</f>
        <v/>
      </c>
      <c r="O146" s="220"/>
      <c r="P146" s="229"/>
      <c r="Q146" s="221"/>
      <c r="R146" s="222" t="str">
        <f t="shared" si="33"/>
        <v>-</v>
      </c>
      <c r="S146" s="223"/>
      <c r="T146" s="224"/>
      <c r="U146" s="225">
        <f t="shared" si="34"/>
        <v>0</v>
      </c>
      <c r="V146" s="226">
        <v>0</v>
      </c>
      <c r="W146" s="227"/>
      <c r="X146" s="228">
        <f t="shared" si="35"/>
        <v>0</v>
      </c>
      <c r="Y146" s="229"/>
      <c r="Z146" s="229"/>
      <c r="AA146" s="229"/>
      <c r="AB146" s="222">
        <f t="shared" si="36"/>
        <v>0</v>
      </c>
      <c r="AC146" s="230">
        <f t="shared" si="37"/>
        <v>0</v>
      </c>
      <c r="AD146" s="222" t="str">
        <f t="shared" si="38"/>
        <v/>
      </c>
      <c r="AE146" s="201"/>
      <c r="AF146" s="231" t="str">
        <f>+IFERROR(VLOOKUP(L146,Data!$F$4:$G$97,2,0),"")</f>
        <v/>
      </c>
    </row>
    <row r="147" spans="9:32" ht="15" customHeight="1" x14ac:dyDescent="0.3">
      <c r="I147" s="201" t="str">
        <f t="shared" si="31"/>
        <v/>
      </c>
      <c r="J147" s="218">
        <f t="shared" si="32"/>
        <v>144</v>
      </c>
      <c r="K147" s="250"/>
      <c r="L147" s="219"/>
      <c r="M147" s="218"/>
      <c r="N147" s="220" t="str">
        <f>IFERROR(VLOOKUP(M147,Data!$C$4:$D$395,2,0),"")</f>
        <v/>
      </c>
      <c r="O147" s="220"/>
      <c r="P147" s="229"/>
      <c r="Q147" s="221"/>
      <c r="R147" s="222" t="str">
        <f t="shared" si="33"/>
        <v>-</v>
      </c>
      <c r="S147" s="223"/>
      <c r="T147" s="224"/>
      <c r="U147" s="225">
        <f t="shared" si="34"/>
        <v>0</v>
      </c>
      <c r="V147" s="226">
        <v>0</v>
      </c>
      <c r="W147" s="227"/>
      <c r="X147" s="228">
        <f t="shared" si="35"/>
        <v>0</v>
      </c>
      <c r="Y147" s="229"/>
      <c r="Z147" s="229"/>
      <c r="AA147" s="229"/>
      <c r="AB147" s="222">
        <f t="shared" si="36"/>
        <v>0</v>
      </c>
      <c r="AC147" s="230">
        <f t="shared" si="37"/>
        <v>0</v>
      </c>
      <c r="AD147" s="222" t="str">
        <f t="shared" si="38"/>
        <v/>
      </c>
      <c r="AE147" s="201"/>
      <c r="AF147" s="231" t="str">
        <f>+IFERROR(VLOOKUP(L147,Data!$F$4:$G$97,2,0),"")</f>
        <v/>
      </c>
    </row>
    <row r="148" spans="9:32" ht="15" customHeight="1" x14ac:dyDescent="0.3">
      <c r="I148" s="201" t="str">
        <f t="shared" si="31"/>
        <v/>
      </c>
      <c r="J148" s="218">
        <f t="shared" si="32"/>
        <v>145</v>
      </c>
      <c r="K148" s="250"/>
      <c r="L148" s="219"/>
      <c r="M148" s="218"/>
      <c r="N148" s="220" t="str">
        <f>IFERROR(VLOOKUP(M148,Data!$C$4:$D$395,2,0),"")</f>
        <v/>
      </c>
      <c r="O148" s="220"/>
      <c r="P148" s="229"/>
      <c r="Q148" s="221"/>
      <c r="R148" s="222" t="str">
        <f t="shared" si="33"/>
        <v>-</v>
      </c>
      <c r="S148" s="223"/>
      <c r="T148" s="224"/>
      <c r="U148" s="225">
        <f t="shared" si="34"/>
        <v>0</v>
      </c>
      <c r="V148" s="226">
        <v>0</v>
      </c>
      <c r="W148" s="227"/>
      <c r="X148" s="228">
        <f t="shared" si="35"/>
        <v>0</v>
      </c>
      <c r="Y148" s="229"/>
      <c r="Z148" s="229"/>
      <c r="AA148" s="229"/>
      <c r="AB148" s="222">
        <f t="shared" si="36"/>
        <v>0</v>
      </c>
      <c r="AC148" s="230">
        <f t="shared" si="37"/>
        <v>0</v>
      </c>
      <c r="AD148" s="222" t="str">
        <f t="shared" si="38"/>
        <v/>
      </c>
      <c r="AE148" s="201"/>
      <c r="AF148" s="231" t="str">
        <f>+IFERROR(VLOOKUP(L148,Data!$F$4:$G$97,2,0),"")</f>
        <v/>
      </c>
    </row>
    <row r="149" spans="9:32" ht="15" customHeight="1" x14ac:dyDescent="0.3">
      <c r="I149" s="201" t="str">
        <f t="shared" si="31"/>
        <v/>
      </c>
      <c r="J149" s="218">
        <f t="shared" si="32"/>
        <v>146</v>
      </c>
      <c r="K149" s="250"/>
      <c r="L149" s="219"/>
      <c r="M149" s="218"/>
      <c r="N149" s="220" t="str">
        <f>IFERROR(VLOOKUP(M149,Data!$C$4:$D$395,2,0),"")</f>
        <v/>
      </c>
      <c r="O149" s="220"/>
      <c r="P149" s="229"/>
      <c r="Q149" s="221"/>
      <c r="R149" s="222" t="str">
        <f t="shared" si="33"/>
        <v>-</v>
      </c>
      <c r="S149" s="223"/>
      <c r="T149" s="224"/>
      <c r="U149" s="225">
        <f t="shared" si="34"/>
        <v>0</v>
      </c>
      <c r="V149" s="226">
        <v>0</v>
      </c>
      <c r="W149" s="227"/>
      <c r="X149" s="228">
        <f t="shared" si="35"/>
        <v>0</v>
      </c>
      <c r="Y149" s="229"/>
      <c r="Z149" s="229"/>
      <c r="AA149" s="229"/>
      <c r="AB149" s="222">
        <f t="shared" si="36"/>
        <v>0</v>
      </c>
      <c r="AC149" s="230">
        <f t="shared" si="37"/>
        <v>0</v>
      </c>
      <c r="AD149" s="222" t="str">
        <f t="shared" si="38"/>
        <v/>
      </c>
      <c r="AE149" s="201"/>
      <c r="AF149" s="231" t="str">
        <f>+IFERROR(VLOOKUP(L149,Data!$F$4:$G$97,2,0),"")</f>
        <v/>
      </c>
    </row>
    <row r="150" spans="9:32" ht="15" customHeight="1" x14ac:dyDescent="0.3">
      <c r="I150" s="201" t="str">
        <f t="shared" si="31"/>
        <v/>
      </c>
      <c r="J150" s="218">
        <f t="shared" si="32"/>
        <v>147</v>
      </c>
      <c r="K150" s="250"/>
      <c r="L150" s="219"/>
      <c r="M150" s="218"/>
      <c r="N150" s="220" t="str">
        <f>IFERROR(VLOOKUP(M150,Data!$C$4:$D$395,2,0),"")</f>
        <v/>
      </c>
      <c r="O150" s="220"/>
      <c r="P150" s="229"/>
      <c r="Q150" s="221"/>
      <c r="R150" s="222" t="str">
        <f t="shared" si="33"/>
        <v>-</v>
      </c>
      <c r="S150" s="223"/>
      <c r="T150" s="224"/>
      <c r="U150" s="225">
        <f t="shared" si="34"/>
        <v>0</v>
      </c>
      <c r="V150" s="226">
        <v>0</v>
      </c>
      <c r="W150" s="227"/>
      <c r="X150" s="228">
        <f t="shared" si="35"/>
        <v>0</v>
      </c>
      <c r="Y150" s="229"/>
      <c r="Z150" s="229"/>
      <c r="AA150" s="229"/>
      <c r="AB150" s="222">
        <f t="shared" si="36"/>
        <v>0</v>
      </c>
      <c r="AC150" s="230">
        <f t="shared" si="37"/>
        <v>0</v>
      </c>
      <c r="AD150" s="222" t="str">
        <f t="shared" si="38"/>
        <v/>
      </c>
      <c r="AE150" s="201"/>
      <c r="AF150" s="231" t="str">
        <f>+IFERROR(VLOOKUP(L150,Data!$F$4:$G$97,2,0),"")</f>
        <v/>
      </c>
    </row>
    <row r="151" spans="9:32" ht="15" customHeight="1" x14ac:dyDescent="0.3">
      <c r="I151" s="201" t="str">
        <f t="shared" ref="I151" si="39">+AF151</f>
        <v/>
      </c>
      <c r="J151" s="218">
        <f t="shared" si="32"/>
        <v>148</v>
      </c>
      <c r="K151" s="250"/>
      <c r="L151" s="219"/>
      <c r="M151" s="218"/>
      <c r="N151" s="220" t="str">
        <f>IFERROR(VLOOKUP(M151,Data!$C$4:$D$395,2,0),"")</f>
        <v/>
      </c>
      <c r="O151" s="220"/>
      <c r="P151" s="229"/>
      <c r="Q151" s="221"/>
      <c r="R151" s="222" t="str">
        <f t="shared" si="33"/>
        <v>-</v>
      </c>
      <c r="S151" s="223"/>
      <c r="T151" s="224"/>
      <c r="U151" s="225">
        <f t="shared" si="34"/>
        <v>0</v>
      </c>
      <c r="V151" s="226">
        <v>0</v>
      </c>
      <c r="W151" s="227"/>
      <c r="X151" s="228">
        <f t="shared" si="35"/>
        <v>0</v>
      </c>
      <c r="Y151" s="229"/>
      <c r="Z151" s="229"/>
      <c r="AA151" s="229"/>
      <c r="AB151" s="222">
        <f t="shared" si="36"/>
        <v>0</v>
      </c>
      <c r="AC151" s="230">
        <f t="shared" si="37"/>
        <v>0</v>
      </c>
      <c r="AD151" s="222" t="str">
        <f t="shared" si="38"/>
        <v/>
      </c>
      <c r="AE151" s="201"/>
      <c r="AF151" s="231" t="str">
        <f>+IFERROR(VLOOKUP(L151,Data!$F$4:$G$97,2,0),"")</f>
        <v/>
      </c>
    </row>
    <row r="152" spans="9:32" ht="15" customHeight="1" x14ac:dyDescent="0.3">
      <c r="I152" s="201" t="str">
        <f t="shared" si="31"/>
        <v/>
      </c>
      <c r="J152" s="218">
        <f t="shared" si="32"/>
        <v>149</v>
      </c>
      <c r="K152" s="250"/>
      <c r="L152" s="219"/>
      <c r="M152" s="218"/>
      <c r="N152" s="220" t="str">
        <f>IFERROR(VLOOKUP(M152,Data!$C$4:$D$395,2,0),"")</f>
        <v/>
      </c>
      <c r="O152" s="220"/>
      <c r="P152" s="229"/>
      <c r="Q152" s="221"/>
      <c r="R152" s="222" t="str">
        <f t="shared" si="33"/>
        <v>-</v>
      </c>
      <c r="S152" s="223"/>
      <c r="T152" s="224"/>
      <c r="U152" s="225">
        <f t="shared" si="34"/>
        <v>0</v>
      </c>
      <c r="V152" s="226">
        <v>0</v>
      </c>
      <c r="W152" s="227"/>
      <c r="X152" s="228">
        <f t="shared" si="35"/>
        <v>0</v>
      </c>
      <c r="Y152" s="229"/>
      <c r="Z152" s="229"/>
      <c r="AA152" s="229"/>
      <c r="AB152" s="222">
        <f t="shared" si="36"/>
        <v>0</v>
      </c>
      <c r="AC152" s="230">
        <f t="shared" si="37"/>
        <v>0</v>
      </c>
      <c r="AD152" s="222" t="str">
        <f t="shared" si="38"/>
        <v/>
      </c>
      <c r="AE152" s="201"/>
      <c r="AF152" s="231" t="str">
        <f>+IFERROR(VLOOKUP(L152,Data!$F$4:$G$97,2,0),"")</f>
        <v/>
      </c>
    </row>
    <row r="153" spans="9:32" ht="15" customHeight="1" x14ac:dyDescent="0.3">
      <c r="I153" s="201" t="str">
        <f t="shared" si="31"/>
        <v/>
      </c>
      <c r="J153" s="218">
        <f t="shared" si="32"/>
        <v>150</v>
      </c>
      <c r="K153" s="250"/>
      <c r="L153" s="219"/>
      <c r="M153" s="218"/>
      <c r="N153" s="220" t="str">
        <f>IFERROR(VLOOKUP(M153,Data!$C$4:$D$395,2,0),"")</f>
        <v/>
      </c>
      <c r="O153" s="220"/>
      <c r="P153" s="229"/>
      <c r="Q153" s="221"/>
      <c r="R153" s="222" t="str">
        <f t="shared" si="33"/>
        <v>-</v>
      </c>
      <c r="S153" s="223"/>
      <c r="T153" s="224"/>
      <c r="U153" s="225">
        <f t="shared" si="34"/>
        <v>0</v>
      </c>
      <c r="V153" s="226">
        <v>0</v>
      </c>
      <c r="W153" s="227"/>
      <c r="X153" s="228">
        <f t="shared" si="35"/>
        <v>0</v>
      </c>
      <c r="Y153" s="229"/>
      <c r="Z153" s="229"/>
      <c r="AA153" s="229"/>
      <c r="AB153" s="222">
        <f t="shared" si="36"/>
        <v>0</v>
      </c>
      <c r="AC153" s="230">
        <f t="shared" si="37"/>
        <v>0</v>
      </c>
      <c r="AD153" s="222" t="str">
        <f t="shared" si="38"/>
        <v/>
      </c>
      <c r="AE153" s="201"/>
      <c r="AF153" s="231" t="str">
        <f>+IFERROR(VLOOKUP(L153,Data!$F$4:$G$97,2,0),"")</f>
        <v/>
      </c>
    </row>
    <row r="154" spans="9:32" ht="15" customHeight="1" x14ac:dyDescent="0.3">
      <c r="I154" s="201" t="str">
        <f t="shared" si="31"/>
        <v/>
      </c>
      <c r="J154" s="218">
        <f t="shared" si="32"/>
        <v>151</v>
      </c>
      <c r="K154" s="250"/>
      <c r="L154" s="219"/>
      <c r="M154" s="218"/>
      <c r="N154" s="220" t="str">
        <f>IFERROR(VLOOKUP(M154,Data!$C$4:$D$395,2,0),"")</f>
        <v/>
      </c>
      <c r="O154" s="220"/>
      <c r="P154" s="229"/>
      <c r="Q154" s="221"/>
      <c r="R154" s="222" t="str">
        <f t="shared" si="33"/>
        <v>-</v>
      </c>
      <c r="S154" s="223"/>
      <c r="T154" s="224"/>
      <c r="U154" s="225">
        <f t="shared" si="34"/>
        <v>0</v>
      </c>
      <c r="V154" s="226">
        <v>0</v>
      </c>
      <c r="W154" s="227"/>
      <c r="X154" s="228">
        <f t="shared" si="35"/>
        <v>0</v>
      </c>
      <c r="Y154" s="229"/>
      <c r="Z154" s="229"/>
      <c r="AA154" s="229"/>
      <c r="AB154" s="222">
        <f t="shared" si="36"/>
        <v>0</v>
      </c>
      <c r="AC154" s="230">
        <f t="shared" si="37"/>
        <v>0</v>
      </c>
      <c r="AD154" s="222" t="str">
        <f t="shared" si="38"/>
        <v/>
      </c>
      <c r="AE154" s="201"/>
      <c r="AF154" s="231" t="str">
        <f>+IFERROR(VLOOKUP(L154,Data!$F$4:$G$97,2,0),"")</f>
        <v/>
      </c>
    </row>
    <row r="155" spans="9:32" ht="15" customHeight="1" x14ac:dyDescent="0.3">
      <c r="I155" s="201" t="str">
        <f t="shared" si="31"/>
        <v/>
      </c>
      <c r="J155" s="218">
        <f t="shared" si="32"/>
        <v>152</v>
      </c>
      <c r="K155" s="250"/>
      <c r="L155" s="219"/>
      <c r="M155" s="218"/>
      <c r="N155" s="220" t="str">
        <f>IFERROR(VLOOKUP(M155,Data!$C$4:$D$395,2,0),"")</f>
        <v/>
      </c>
      <c r="O155" s="220"/>
      <c r="P155" s="229"/>
      <c r="Q155" s="221"/>
      <c r="R155" s="222" t="str">
        <f t="shared" si="33"/>
        <v>-</v>
      </c>
      <c r="S155" s="223"/>
      <c r="T155" s="224"/>
      <c r="U155" s="225">
        <f t="shared" si="34"/>
        <v>0</v>
      </c>
      <c r="V155" s="226">
        <v>0</v>
      </c>
      <c r="W155" s="227"/>
      <c r="X155" s="228">
        <f t="shared" si="35"/>
        <v>0</v>
      </c>
      <c r="Y155" s="229"/>
      <c r="Z155" s="229"/>
      <c r="AA155" s="229"/>
      <c r="AB155" s="222">
        <f t="shared" si="36"/>
        <v>0</v>
      </c>
      <c r="AC155" s="230">
        <f t="shared" si="37"/>
        <v>0</v>
      </c>
      <c r="AD155" s="222" t="str">
        <f t="shared" si="38"/>
        <v/>
      </c>
      <c r="AE155" s="201"/>
      <c r="AF155" s="231" t="str">
        <f>+IFERROR(VLOOKUP(L155,Data!$F$4:$G$97,2,0),"")</f>
        <v/>
      </c>
    </row>
    <row r="156" spans="9:32" ht="15" customHeight="1" x14ac:dyDescent="0.3">
      <c r="I156" s="201" t="str">
        <f t="shared" si="31"/>
        <v/>
      </c>
      <c r="J156" s="218">
        <f t="shared" si="32"/>
        <v>153</v>
      </c>
      <c r="K156" s="250"/>
      <c r="L156" s="219"/>
      <c r="M156" s="218"/>
      <c r="N156" s="220" t="str">
        <f>IFERROR(VLOOKUP(M156,Data!$C$4:$D$395,2,0),"")</f>
        <v/>
      </c>
      <c r="O156" s="220"/>
      <c r="P156" s="229"/>
      <c r="Q156" s="221"/>
      <c r="R156" s="222" t="str">
        <f t="shared" si="33"/>
        <v>-</v>
      </c>
      <c r="S156" s="223"/>
      <c r="T156" s="224"/>
      <c r="U156" s="225">
        <f t="shared" si="34"/>
        <v>0</v>
      </c>
      <c r="V156" s="226">
        <v>0</v>
      </c>
      <c r="W156" s="227"/>
      <c r="X156" s="228">
        <f t="shared" si="35"/>
        <v>0</v>
      </c>
      <c r="Y156" s="229"/>
      <c r="Z156" s="229"/>
      <c r="AA156" s="229"/>
      <c r="AB156" s="222">
        <f t="shared" si="36"/>
        <v>0</v>
      </c>
      <c r="AC156" s="230">
        <f t="shared" si="37"/>
        <v>0</v>
      </c>
      <c r="AD156" s="222" t="str">
        <f t="shared" si="38"/>
        <v/>
      </c>
      <c r="AE156" s="201"/>
      <c r="AF156" s="231" t="str">
        <f>+IFERROR(VLOOKUP(L156,Data!$F$4:$G$97,2,0),"")</f>
        <v/>
      </c>
    </row>
    <row r="157" spans="9:32" x14ac:dyDescent="0.3">
      <c r="I157" s="201" t="str">
        <f t="shared" si="31"/>
        <v/>
      </c>
      <c r="J157" s="218">
        <f t="shared" si="32"/>
        <v>154</v>
      </c>
      <c r="K157" s="250"/>
      <c r="L157" s="219"/>
      <c r="M157" s="218"/>
      <c r="N157" s="220" t="str">
        <f>IFERROR(VLOOKUP(M157,Data!$C$4:$D$395,2,0),"")</f>
        <v/>
      </c>
      <c r="O157" s="220"/>
      <c r="P157" s="229"/>
      <c r="Q157" s="221"/>
      <c r="R157" s="222" t="str">
        <f t="shared" si="33"/>
        <v>-</v>
      </c>
      <c r="S157" s="223"/>
      <c r="T157" s="224"/>
      <c r="U157" s="225">
        <f t="shared" si="34"/>
        <v>0</v>
      </c>
      <c r="V157" s="226">
        <v>0</v>
      </c>
      <c r="W157" s="227"/>
      <c r="X157" s="228">
        <f t="shared" si="35"/>
        <v>0</v>
      </c>
      <c r="Y157" s="229"/>
      <c r="Z157" s="229"/>
      <c r="AA157" s="229"/>
      <c r="AB157" s="222">
        <f t="shared" si="36"/>
        <v>0</v>
      </c>
      <c r="AC157" s="230">
        <f t="shared" si="37"/>
        <v>0</v>
      </c>
      <c r="AD157" s="222" t="str">
        <f t="shared" si="38"/>
        <v/>
      </c>
      <c r="AE157" s="201"/>
      <c r="AF157" s="231" t="str">
        <f>+IFERROR(VLOOKUP(L157,Data!$F$4:$G$97,2,0),"")</f>
        <v/>
      </c>
    </row>
    <row r="158" spans="9:32" ht="15" customHeight="1" x14ac:dyDescent="0.3">
      <c r="I158" s="201" t="str">
        <f t="shared" si="31"/>
        <v/>
      </c>
      <c r="J158" s="218">
        <f t="shared" si="32"/>
        <v>155</v>
      </c>
      <c r="K158" s="250"/>
      <c r="L158" s="219"/>
      <c r="M158" s="218"/>
      <c r="N158" s="220" t="str">
        <f>IFERROR(VLOOKUP(M158,Data!$C$4:$D$395,2,0),"")</f>
        <v/>
      </c>
      <c r="O158" s="220"/>
      <c r="P158" s="229"/>
      <c r="Q158" s="221"/>
      <c r="R158" s="222" t="str">
        <f t="shared" si="33"/>
        <v>-</v>
      </c>
      <c r="S158" s="223"/>
      <c r="T158" s="224"/>
      <c r="U158" s="225">
        <f t="shared" si="34"/>
        <v>0</v>
      </c>
      <c r="V158" s="226">
        <v>0</v>
      </c>
      <c r="W158" s="227"/>
      <c r="X158" s="228">
        <f t="shared" si="35"/>
        <v>0</v>
      </c>
      <c r="Y158" s="229"/>
      <c r="Z158" s="229"/>
      <c r="AA158" s="229"/>
      <c r="AB158" s="222">
        <f t="shared" si="36"/>
        <v>0</v>
      </c>
      <c r="AC158" s="230">
        <f t="shared" si="37"/>
        <v>0</v>
      </c>
      <c r="AD158" s="222" t="str">
        <f t="shared" si="38"/>
        <v/>
      </c>
      <c r="AE158" s="201"/>
      <c r="AF158" s="231" t="str">
        <f>+IFERROR(VLOOKUP(L158,Data!$F$4:$G$97,2,0),"")</f>
        <v/>
      </c>
    </row>
    <row r="159" spans="9:32" ht="15" customHeight="1" x14ac:dyDescent="0.3">
      <c r="I159" s="201" t="str">
        <f t="shared" si="31"/>
        <v/>
      </c>
      <c r="J159" s="218">
        <f t="shared" si="32"/>
        <v>156</v>
      </c>
      <c r="K159" s="250"/>
      <c r="L159" s="219"/>
      <c r="M159" s="218"/>
      <c r="N159" s="220" t="str">
        <f>IFERROR(VLOOKUP(M159,Data!$C$4:$D$395,2,0),"")</f>
        <v/>
      </c>
      <c r="O159" s="220"/>
      <c r="P159" s="229"/>
      <c r="Q159" s="221"/>
      <c r="R159" s="222" t="str">
        <f t="shared" si="33"/>
        <v>-</v>
      </c>
      <c r="S159" s="223"/>
      <c r="T159" s="224"/>
      <c r="U159" s="225">
        <f t="shared" si="34"/>
        <v>0</v>
      </c>
      <c r="V159" s="226">
        <v>0</v>
      </c>
      <c r="W159" s="227"/>
      <c r="X159" s="228">
        <f t="shared" si="35"/>
        <v>0</v>
      </c>
      <c r="Y159" s="229"/>
      <c r="Z159" s="229"/>
      <c r="AA159" s="229"/>
      <c r="AB159" s="222">
        <f t="shared" si="36"/>
        <v>0</v>
      </c>
      <c r="AC159" s="230">
        <f t="shared" si="37"/>
        <v>0</v>
      </c>
      <c r="AD159" s="222" t="str">
        <f t="shared" si="38"/>
        <v/>
      </c>
      <c r="AE159" s="201"/>
      <c r="AF159" s="231" t="str">
        <f>+IFERROR(VLOOKUP(L159,Data!$F$4:$G$97,2,0),"")</f>
        <v/>
      </c>
    </row>
    <row r="160" spans="9:32" ht="15" customHeight="1" x14ac:dyDescent="0.3">
      <c r="I160" s="201" t="str">
        <f t="shared" si="31"/>
        <v/>
      </c>
      <c r="J160" s="218">
        <f t="shared" si="32"/>
        <v>157</v>
      </c>
      <c r="K160" s="250"/>
      <c r="L160" s="219"/>
      <c r="M160" s="218"/>
      <c r="N160" s="220" t="str">
        <f>IFERROR(VLOOKUP(M160,Data!$C$4:$D$395,2,0),"")</f>
        <v/>
      </c>
      <c r="O160" s="220"/>
      <c r="P160" s="229"/>
      <c r="Q160" s="221"/>
      <c r="R160" s="222" t="str">
        <f t="shared" si="33"/>
        <v>-</v>
      </c>
      <c r="S160" s="223"/>
      <c r="T160" s="224"/>
      <c r="U160" s="225">
        <f t="shared" si="34"/>
        <v>0</v>
      </c>
      <c r="V160" s="226">
        <v>0</v>
      </c>
      <c r="W160" s="227"/>
      <c r="X160" s="228">
        <f t="shared" si="35"/>
        <v>0</v>
      </c>
      <c r="Y160" s="229"/>
      <c r="Z160" s="229"/>
      <c r="AA160" s="229"/>
      <c r="AB160" s="222">
        <f t="shared" si="36"/>
        <v>0</v>
      </c>
      <c r="AC160" s="230">
        <f t="shared" si="37"/>
        <v>0</v>
      </c>
      <c r="AD160" s="222" t="str">
        <f t="shared" si="38"/>
        <v/>
      </c>
      <c r="AE160" s="201"/>
      <c r="AF160" s="231" t="str">
        <f>+IFERROR(VLOOKUP(L160,Data!$F$4:$G$97,2,0),"")</f>
        <v/>
      </c>
    </row>
    <row r="161" spans="9:32" ht="15" customHeight="1" x14ac:dyDescent="0.3">
      <c r="I161" s="201" t="str">
        <f t="shared" si="31"/>
        <v/>
      </c>
      <c r="J161" s="218">
        <f t="shared" si="32"/>
        <v>158</v>
      </c>
      <c r="K161" s="250"/>
      <c r="L161" s="219"/>
      <c r="M161" s="218"/>
      <c r="N161" s="220" t="str">
        <f>IFERROR(VLOOKUP(M161,Data!$C$4:$D$395,2,0),"")</f>
        <v/>
      </c>
      <c r="O161" s="220"/>
      <c r="P161" s="229"/>
      <c r="Q161" s="221"/>
      <c r="R161" s="222" t="str">
        <f t="shared" si="33"/>
        <v>-</v>
      </c>
      <c r="S161" s="223"/>
      <c r="T161" s="224"/>
      <c r="U161" s="225">
        <f t="shared" si="34"/>
        <v>0</v>
      </c>
      <c r="V161" s="226">
        <v>0</v>
      </c>
      <c r="W161" s="227"/>
      <c r="X161" s="228">
        <f t="shared" si="35"/>
        <v>0</v>
      </c>
      <c r="Y161" s="229"/>
      <c r="Z161" s="229"/>
      <c r="AA161" s="229"/>
      <c r="AB161" s="222">
        <f t="shared" si="36"/>
        <v>0</v>
      </c>
      <c r="AC161" s="230">
        <f t="shared" si="37"/>
        <v>0</v>
      </c>
      <c r="AD161" s="222" t="str">
        <f t="shared" si="38"/>
        <v/>
      </c>
      <c r="AE161" s="201"/>
      <c r="AF161" s="231" t="str">
        <f>+IFERROR(VLOOKUP(L161,Data!$F$4:$G$97,2,0),"")</f>
        <v/>
      </c>
    </row>
    <row r="162" spans="9:32" ht="15" customHeight="1" x14ac:dyDescent="0.3">
      <c r="I162" s="201" t="str">
        <f t="shared" si="31"/>
        <v/>
      </c>
      <c r="J162" s="218">
        <f t="shared" si="32"/>
        <v>159</v>
      </c>
      <c r="K162" s="250"/>
      <c r="L162" s="219"/>
      <c r="M162" s="218"/>
      <c r="N162" s="220" t="str">
        <f>IFERROR(VLOOKUP(M162,Data!$C$4:$D$395,2,0),"")</f>
        <v/>
      </c>
      <c r="O162" s="220"/>
      <c r="P162" s="229"/>
      <c r="Q162" s="221"/>
      <c r="R162" s="222" t="str">
        <f t="shared" si="33"/>
        <v>-</v>
      </c>
      <c r="S162" s="223"/>
      <c r="T162" s="224"/>
      <c r="U162" s="225">
        <f t="shared" si="34"/>
        <v>0</v>
      </c>
      <c r="V162" s="226">
        <v>0</v>
      </c>
      <c r="W162" s="227"/>
      <c r="X162" s="228">
        <f t="shared" si="35"/>
        <v>0</v>
      </c>
      <c r="Y162" s="229"/>
      <c r="Z162" s="229"/>
      <c r="AA162" s="229"/>
      <c r="AB162" s="222">
        <f t="shared" si="36"/>
        <v>0</v>
      </c>
      <c r="AC162" s="230">
        <f t="shared" si="37"/>
        <v>0</v>
      </c>
      <c r="AD162" s="222" t="str">
        <f t="shared" si="38"/>
        <v/>
      </c>
      <c r="AE162" s="201"/>
      <c r="AF162" s="231" t="str">
        <f>+IFERROR(VLOOKUP(L162,Data!$F$4:$G$97,2,0),"")</f>
        <v/>
      </c>
    </row>
    <row r="163" spans="9:32" ht="15" customHeight="1" x14ac:dyDescent="0.3">
      <c r="I163" s="201" t="str">
        <f t="shared" si="31"/>
        <v/>
      </c>
      <c r="J163" s="218">
        <f t="shared" si="32"/>
        <v>160</v>
      </c>
      <c r="K163" s="250"/>
      <c r="L163" s="219"/>
      <c r="M163" s="218"/>
      <c r="N163" s="220" t="str">
        <f>IFERROR(VLOOKUP(M163,Data!$C$4:$D$395,2,0),"")</f>
        <v/>
      </c>
      <c r="O163" s="220"/>
      <c r="P163" s="229"/>
      <c r="Q163" s="221"/>
      <c r="R163" s="222" t="str">
        <f t="shared" si="33"/>
        <v>-</v>
      </c>
      <c r="S163" s="223"/>
      <c r="T163" s="224"/>
      <c r="U163" s="225">
        <f t="shared" si="34"/>
        <v>0</v>
      </c>
      <c r="V163" s="226">
        <v>0</v>
      </c>
      <c r="W163" s="227"/>
      <c r="X163" s="228">
        <f t="shared" si="35"/>
        <v>0</v>
      </c>
      <c r="Y163" s="229"/>
      <c r="Z163" s="229"/>
      <c r="AA163" s="229"/>
      <c r="AB163" s="222">
        <f t="shared" si="36"/>
        <v>0</v>
      </c>
      <c r="AC163" s="230">
        <f t="shared" si="37"/>
        <v>0</v>
      </c>
      <c r="AD163" s="222" t="str">
        <f t="shared" si="38"/>
        <v/>
      </c>
      <c r="AE163" s="201"/>
      <c r="AF163" s="231" t="str">
        <f>+IFERROR(VLOOKUP(L163,Data!$F$4:$G$97,2,0),"")</f>
        <v/>
      </c>
    </row>
    <row r="164" spans="9:32" ht="15" customHeight="1" x14ac:dyDescent="0.3">
      <c r="I164" s="201" t="str">
        <f t="shared" si="31"/>
        <v/>
      </c>
      <c r="J164" s="218">
        <f t="shared" si="32"/>
        <v>161</v>
      </c>
      <c r="K164" s="250"/>
      <c r="L164" s="219"/>
      <c r="M164" s="218"/>
      <c r="N164" s="220" t="str">
        <f>IFERROR(VLOOKUP(M164,Data!$C$4:$D$395,2,0),"")</f>
        <v/>
      </c>
      <c r="O164" s="220"/>
      <c r="P164" s="229"/>
      <c r="Q164" s="221"/>
      <c r="R164" s="222" t="str">
        <f t="shared" si="33"/>
        <v>-</v>
      </c>
      <c r="S164" s="223"/>
      <c r="T164" s="224"/>
      <c r="U164" s="225">
        <f t="shared" si="34"/>
        <v>0</v>
      </c>
      <c r="V164" s="226">
        <v>0</v>
      </c>
      <c r="W164" s="227"/>
      <c r="X164" s="228">
        <f t="shared" si="35"/>
        <v>0</v>
      </c>
      <c r="Y164" s="229"/>
      <c r="Z164" s="229"/>
      <c r="AA164" s="229"/>
      <c r="AB164" s="222">
        <f t="shared" si="36"/>
        <v>0</v>
      </c>
      <c r="AC164" s="230">
        <f t="shared" si="37"/>
        <v>0</v>
      </c>
      <c r="AD164" s="222" t="str">
        <f t="shared" si="38"/>
        <v/>
      </c>
      <c r="AE164" s="201"/>
      <c r="AF164" s="231" t="str">
        <f>+IFERROR(VLOOKUP(L164,Data!$F$4:$G$97,2,0),"")</f>
        <v/>
      </c>
    </row>
    <row r="165" spans="9:32" ht="15" customHeight="1" x14ac:dyDescent="0.3">
      <c r="I165" s="201" t="str">
        <f t="shared" si="31"/>
        <v/>
      </c>
      <c r="J165" s="218">
        <f t="shared" si="32"/>
        <v>162</v>
      </c>
      <c r="K165" s="250"/>
      <c r="L165" s="219"/>
      <c r="M165" s="218"/>
      <c r="N165" s="220" t="str">
        <f>IFERROR(VLOOKUP(M165,Data!$C$4:$D$395,2,0),"")</f>
        <v/>
      </c>
      <c r="O165" s="220"/>
      <c r="P165" s="229"/>
      <c r="Q165" s="221"/>
      <c r="R165" s="222" t="str">
        <f t="shared" si="33"/>
        <v>-</v>
      </c>
      <c r="S165" s="223"/>
      <c r="T165" s="224"/>
      <c r="U165" s="225">
        <f t="shared" si="34"/>
        <v>0</v>
      </c>
      <c r="V165" s="226">
        <v>0</v>
      </c>
      <c r="W165" s="227"/>
      <c r="X165" s="228">
        <f t="shared" si="35"/>
        <v>0</v>
      </c>
      <c r="Y165" s="229"/>
      <c r="Z165" s="229"/>
      <c r="AA165" s="229"/>
      <c r="AB165" s="222">
        <f t="shared" si="36"/>
        <v>0</v>
      </c>
      <c r="AC165" s="230">
        <f t="shared" si="37"/>
        <v>0</v>
      </c>
      <c r="AD165" s="222" t="str">
        <f t="shared" si="38"/>
        <v/>
      </c>
      <c r="AE165" s="201"/>
      <c r="AF165" s="231" t="str">
        <f>+IFERROR(VLOOKUP(L165,Data!$F$4:$G$97,2,0),"")</f>
        <v/>
      </c>
    </row>
    <row r="166" spans="9:32" ht="15" customHeight="1" x14ac:dyDescent="0.3">
      <c r="I166" s="201" t="str">
        <f t="shared" si="31"/>
        <v/>
      </c>
      <c r="J166" s="218">
        <f t="shared" si="32"/>
        <v>163</v>
      </c>
      <c r="K166" s="250"/>
      <c r="L166" s="219"/>
      <c r="M166" s="218"/>
      <c r="N166" s="220" t="str">
        <f>IFERROR(VLOOKUP(M166,Data!$C$4:$D$395,2,0),"")</f>
        <v/>
      </c>
      <c r="O166" s="220"/>
      <c r="P166" s="229"/>
      <c r="Q166" s="221"/>
      <c r="R166" s="222" t="str">
        <f t="shared" si="33"/>
        <v>-</v>
      </c>
      <c r="S166" s="223"/>
      <c r="T166" s="224"/>
      <c r="U166" s="225">
        <f t="shared" si="34"/>
        <v>0</v>
      </c>
      <c r="V166" s="226">
        <v>0</v>
      </c>
      <c r="W166" s="227"/>
      <c r="X166" s="228">
        <f t="shared" si="35"/>
        <v>0</v>
      </c>
      <c r="Y166" s="229"/>
      <c r="Z166" s="229"/>
      <c r="AA166" s="229"/>
      <c r="AB166" s="222">
        <f t="shared" si="36"/>
        <v>0</v>
      </c>
      <c r="AC166" s="230">
        <f t="shared" si="37"/>
        <v>0</v>
      </c>
      <c r="AD166" s="222" t="str">
        <f t="shared" si="38"/>
        <v/>
      </c>
      <c r="AE166" s="201"/>
      <c r="AF166" s="231" t="str">
        <f>+IFERROR(VLOOKUP(L166,Data!$F$4:$G$97,2,0),"")</f>
        <v/>
      </c>
    </row>
    <row r="167" spans="9:32" ht="15" customHeight="1" x14ac:dyDescent="0.3">
      <c r="I167" s="201" t="str">
        <f t="shared" si="31"/>
        <v/>
      </c>
      <c r="J167" s="218">
        <f t="shared" si="32"/>
        <v>164</v>
      </c>
      <c r="K167" s="250"/>
      <c r="L167" s="219"/>
      <c r="M167" s="218"/>
      <c r="N167" s="220" t="str">
        <f>IFERROR(VLOOKUP(M167,Data!$C$4:$D$395,2,0),"")</f>
        <v/>
      </c>
      <c r="O167" s="220"/>
      <c r="P167" s="229"/>
      <c r="Q167" s="221"/>
      <c r="R167" s="222" t="str">
        <f t="shared" si="33"/>
        <v>-</v>
      </c>
      <c r="S167" s="223"/>
      <c r="T167" s="224"/>
      <c r="U167" s="225">
        <f t="shared" si="34"/>
        <v>0</v>
      </c>
      <c r="V167" s="226">
        <v>0</v>
      </c>
      <c r="W167" s="227"/>
      <c r="X167" s="228">
        <f t="shared" si="35"/>
        <v>0</v>
      </c>
      <c r="Y167" s="229"/>
      <c r="Z167" s="229"/>
      <c r="AA167" s="229"/>
      <c r="AB167" s="222">
        <f t="shared" si="36"/>
        <v>0</v>
      </c>
      <c r="AC167" s="230">
        <f t="shared" si="37"/>
        <v>0</v>
      </c>
      <c r="AD167" s="222" t="str">
        <f t="shared" si="38"/>
        <v/>
      </c>
      <c r="AE167" s="201"/>
      <c r="AF167" s="231" t="str">
        <f>+IFERROR(VLOOKUP(L167,Data!$F$4:$G$97,2,0),"")</f>
        <v/>
      </c>
    </row>
    <row r="168" spans="9:32" ht="15" customHeight="1" x14ac:dyDescent="0.3">
      <c r="I168" s="201" t="str">
        <f t="shared" si="31"/>
        <v/>
      </c>
      <c r="J168" s="218">
        <f t="shared" si="32"/>
        <v>165</v>
      </c>
      <c r="K168" s="250"/>
      <c r="L168" s="219"/>
      <c r="M168" s="218"/>
      <c r="N168" s="220" t="str">
        <f>IFERROR(VLOOKUP(M168,Data!$C$4:$D$395,2,0),"")</f>
        <v/>
      </c>
      <c r="O168" s="220"/>
      <c r="P168" s="229"/>
      <c r="Q168" s="221"/>
      <c r="R168" s="222" t="str">
        <f t="shared" si="33"/>
        <v>-</v>
      </c>
      <c r="S168" s="223"/>
      <c r="T168" s="224"/>
      <c r="U168" s="225">
        <f t="shared" si="34"/>
        <v>0</v>
      </c>
      <c r="V168" s="226">
        <v>0</v>
      </c>
      <c r="W168" s="227"/>
      <c r="X168" s="228">
        <f t="shared" si="35"/>
        <v>0</v>
      </c>
      <c r="Y168" s="229"/>
      <c r="Z168" s="229"/>
      <c r="AA168" s="229"/>
      <c r="AB168" s="222">
        <f t="shared" si="36"/>
        <v>0</v>
      </c>
      <c r="AC168" s="230">
        <f t="shared" si="37"/>
        <v>0</v>
      </c>
      <c r="AD168" s="222" t="str">
        <f t="shared" si="38"/>
        <v/>
      </c>
      <c r="AE168" s="201"/>
      <c r="AF168" s="231" t="str">
        <f>+IFERROR(VLOOKUP(L168,Data!$F$4:$G$97,2,0),"")</f>
        <v/>
      </c>
    </row>
    <row r="169" spans="9:32" ht="15" customHeight="1" x14ac:dyDescent="0.3">
      <c r="I169" s="201" t="str">
        <f t="shared" si="31"/>
        <v/>
      </c>
      <c r="J169" s="218">
        <f t="shared" si="32"/>
        <v>166</v>
      </c>
      <c r="K169" s="250"/>
      <c r="L169" s="219"/>
      <c r="M169" s="218"/>
      <c r="N169" s="220" t="str">
        <f>IFERROR(VLOOKUP(M169,Data!$C$4:$D$395,2,0),"")</f>
        <v/>
      </c>
      <c r="O169" s="220"/>
      <c r="P169" s="229"/>
      <c r="Q169" s="221"/>
      <c r="R169" s="222" t="str">
        <f t="shared" si="33"/>
        <v>-</v>
      </c>
      <c r="S169" s="223"/>
      <c r="T169" s="224"/>
      <c r="U169" s="225">
        <f t="shared" si="34"/>
        <v>0</v>
      </c>
      <c r="V169" s="226">
        <v>0</v>
      </c>
      <c r="W169" s="227"/>
      <c r="X169" s="228">
        <f t="shared" si="35"/>
        <v>0</v>
      </c>
      <c r="Y169" s="229"/>
      <c r="Z169" s="229"/>
      <c r="AA169" s="229"/>
      <c r="AB169" s="222">
        <f t="shared" si="36"/>
        <v>0</v>
      </c>
      <c r="AC169" s="230">
        <f t="shared" si="37"/>
        <v>0</v>
      </c>
      <c r="AD169" s="222" t="str">
        <f t="shared" si="38"/>
        <v/>
      </c>
      <c r="AE169" s="201"/>
      <c r="AF169" s="231" t="str">
        <f>+IFERROR(VLOOKUP(L169,Data!$F$4:$G$97,2,0),"")</f>
        <v/>
      </c>
    </row>
    <row r="170" spans="9:32" ht="15" customHeight="1" x14ac:dyDescent="0.3">
      <c r="I170" s="201" t="str">
        <f t="shared" si="31"/>
        <v/>
      </c>
      <c r="J170" s="218">
        <f t="shared" si="32"/>
        <v>167</v>
      </c>
      <c r="K170" s="250"/>
      <c r="L170" s="219"/>
      <c r="M170" s="218"/>
      <c r="N170" s="220" t="str">
        <f>IFERROR(VLOOKUP(M170,Data!$C$4:$D$395,2,0),"")</f>
        <v/>
      </c>
      <c r="O170" s="220"/>
      <c r="P170" s="229"/>
      <c r="Q170" s="221"/>
      <c r="R170" s="222" t="str">
        <f t="shared" si="33"/>
        <v>-</v>
      </c>
      <c r="S170" s="223"/>
      <c r="T170" s="224"/>
      <c r="U170" s="225">
        <f t="shared" si="34"/>
        <v>0</v>
      </c>
      <c r="V170" s="226">
        <v>0</v>
      </c>
      <c r="W170" s="227"/>
      <c r="X170" s="228">
        <f t="shared" si="35"/>
        <v>0</v>
      </c>
      <c r="Y170" s="229"/>
      <c r="Z170" s="229"/>
      <c r="AA170" s="229"/>
      <c r="AB170" s="222">
        <f t="shared" si="36"/>
        <v>0</v>
      </c>
      <c r="AC170" s="230">
        <f t="shared" si="37"/>
        <v>0</v>
      </c>
      <c r="AD170" s="222" t="str">
        <f t="shared" si="38"/>
        <v/>
      </c>
      <c r="AE170" s="201"/>
      <c r="AF170" s="231" t="str">
        <f>+IFERROR(VLOOKUP(L170,Data!$F$4:$G$97,2,0),"")</f>
        <v/>
      </c>
    </row>
    <row r="171" spans="9:32" ht="15" customHeight="1" x14ac:dyDescent="0.3">
      <c r="I171" s="201" t="str">
        <f t="shared" si="31"/>
        <v/>
      </c>
      <c r="J171" s="218">
        <f t="shared" si="32"/>
        <v>168</v>
      </c>
      <c r="K171" s="250"/>
      <c r="L171" s="219"/>
      <c r="M171" s="218"/>
      <c r="N171" s="220" t="str">
        <f>IFERROR(VLOOKUP(M171,Data!$C$4:$D$395,2,0),"")</f>
        <v/>
      </c>
      <c r="O171" s="220"/>
      <c r="P171" s="229"/>
      <c r="Q171" s="221"/>
      <c r="R171" s="222" t="str">
        <f t="shared" si="33"/>
        <v>-</v>
      </c>
      <c r="S171" s="223"/>
      <c r="T171" s="224"/>
      <c r="U171" s="225">
        <f t="shared" si="34"/>
        <v>0</v>
      </c>
      <c r="V171" s="226">
        <v>0</v>
      </c>
      <c r="W171" s="227"/>
      <c r="X171" s="228">
        <f t="shared" si="35"/>
        <v>0</v>
      </c>
      <c r="Y171" s="229"/>
      <c r="Z171" s="229"/>
      <c r="AA171" s="229"/>
      <c r="AB171" s="222">
        <f t="shared" si="36"/>
        <v>0</v>
      </c>
      <c r="AC171" s="230">
        <f t="shared" si="37"/>
        <v>0</v>
      </c>
      <c r="AD171" s="222" t="str">
        <f t="shared" si="38"/>
        <v/>
      </c>
      <c r="AE171" s="201"/>
      <c r="AF171" s="231" t="str">
        <f>+IFERROR(VLOOKUP(L171,Data!$F$4:$G$97,2,0),"")</f>
        <v/>
      </c>
    </row>
    <row r="172" spans="9:32" ht="15" customHeight="1" x14ac:dyDescent="0.3">
      <c r="I172" s="201" t="str">
        <f t="shared" si="31"/>
        <v/>
      </c>
      <c r="J172" s="218">
        <f t="shared" si="32"/>
        <v>169</v>
      </c>
      <c r="K172" s="250"/>
      <c r="L172" s="219"/>
      <c r="M172" s="218"/>
      <c r="N172" s="220" t="str">
        <f>IFERROR(VLOOKUP(M172,Data!$C$4:$D$395,2,0),"")</f>
        <v/>
      </c>
      <c r="O172" s="220"/>
      <c r="P172" s="229"/>
      <c r="Q172" s="221"/>
      <c r="R172" s="222" t="str">
        <f t="shared" si="33"/>
        <v>-</v>
      </c>
      <c r="S172" s="223"/>
      <c r="T172" s="224"/>
      <c r="U172" s="225">
        <f t="shared" si="34"/>
        <v>0</v>
      </c>
      <c r="V172" s="226">
        <v>0</v>
      </c>
      <c r="W172" s="227"/>
      <c r="X172" s="228">
        <f t="shared" si="35"/>
        <v>0</v>
      </c>
      <c r="Y172" s="229"/>
      <c r="Z172" s="229"/>
      <c r="AA172" s="229"/>
      <c r="AB172" s="222">
        <f t="shared" si="36"/>
        <v>0</v>
      </c>
      <c r="AC172" s="230">
        <f t="shared" si="37"/>
        <v>0</v>
      </c>
      <c r="AD172" s="222" t="str">
        <f t="shared" si="38"/>
        <v/>
      </c>
      <c r="AE172" s="201"/>
      <c r="AF172" s="231" t="str">
        <f>+IFERROR(VLOOKUP(L172,Data!$F$4:$G$97,2,0),"")</f>
        <v/>
      </c>
    </row>
    <row r="173" spans="9:32" ht="15" customHeight="1" x14ac:dyDescent="0.3">
      <c r="I173" s="201" t="str">
        <f t="shared" si="31"/>
        <v/>
      </c>
      <c r="J173" s="218">
        <f t="shared" si="32"/>
        <v>170</v>
      </c>
      <c r="K173" s="250"/>
      <c r="L173" s="219"/>
      <c r="M173" s="218"/>
      <c r="N173" s="220" t="str">
        <f>IFERROR(VLOOKUP(M173,Data!$C$4:$D$395,2,0),"")</f>
        <v/>
      </c>
      <c r="O173" s="220"/>
      <c r="P173" s="229"/>
      <c r="Q173" s="221"/>
      <c r="R173" s="222" t="str">
        <f t="shared" si="33"/>
        <v>-</v>
      </c>
      <c r="S173" s="223"/>
      <c r="T173" s="224"/>
      <c r="U173" s="225">
        <f t="shared" si="34"/>
        <v>0</v>
      </c>
      <c r="V173" s="226">
        <v>0</v>
      </c>
      <c r="W173" s="227"/>
      <c r="X173" s="228">
        <f t="shared" si="35"/>
        <v>0</v>
      </c>
      <c r="Y173" s="229"/>
      <c r="Z173" s="229"/>
      <c r="AA173" s="229"/>
      <c r="AB173" s="222">
        <f t="shared" si="36"/>
        <v>0</v>
      </c>
      <c r="AC173" s="230">
        <f t="shared" si="37"/>
        <v>0</v>
      </c>
      <c r="AD173" s="222" t="str">
        <f t="shared" si="38"/>
        <v/>
      </c>
      <c r="AE173" s="201"/>
      <c r="AF173" s="231" t="str">
        <f>+IFERROR(VLOOKUP(L173,Data!$F$4:$G$97,2,0),"")</f>
        <v/>
      </c>
    </row>
    <row r="174" spans="9:32" ht="15" customHeight="1" x14ac:dyDescent="0.3">
      <c r="I174" s="201" t="str">
        <f t="shared" si="31"/>
        <v/>
      </c>
      <c r="J174" s="218">
        <f t="shared" si="32"/>
        <v>171</v>
      </c>
      <c r="K174" s="250"/>
      <c r="L174" s="219"/>
      <c r="M174" s="218"/>
      <c r="N174" s="220" t="str">
        <f>IFERROR(VLOOKUP(M174,Data!$C$4:$D$395,2,0),"")</f>
        <v/>
      </c>
      <c r="O174" s="220"/>
      <c r="P174" s="229"/>
      <c r="Q174" s="221"/>
      <c r="R174" s="222" t="str">
        <f t="shared" si="33"/>
        <v>-</v>
      </c>
      <c r="S174" s="223"/>
      <c r="T174" s="224"/>
      <c r="U174" s="225">
        <f t="shared" si="34"/>
        <v>0</v>
      </c>
      <c r="V174" s="226">
        <v>0</v>
      </c>
      <c r="W174" s="227"/>
      <c r="X174" s="228">
        <f t="shared" si="35"/>
        <v>0</v>
      </c>
      <c r="Y174" s="229"/>
      <c r="Z174" s="229"/>
      <c r="AA174" s="229"/>
      <c r="AB174" s="222">
        <f t="shared" si="36"/>
        <v>0</v>
      </c>
      <c r="AC174" s="230">
        <f t="shared" si="37"/>
        <v>0</v>
      </c>
      <c r="AD174" s="222" t="str">
        <f t="shared" si="38"/>
        <v/>
      </c>
      <c r="AE174" s="201"/>
      <c r="AF174" s="231" t="str">
        <f>+IFERROR(VLOOKUP(L174,Data!$F$4:$G$97,2,0),"")</f>
        <v/>
      </c>
    </row>
    <row r="175" spans="9:32" ht="15" customHeight="1" x14ac:dyDescent="0.3">
      <c r="I175" s="201" t="str">
        <f t="shared" si="31"/>
        <v/>
      </c>
      <c r="J175" s="218">
        <f t="shared" si="32"/>
        <v>172</v>
      </c>
      <c r="K175" s="250"/>
      <c r="L175" s="219"/>
      <c r="M175" s="218"/>
      <c r="N175" s="220" t="str">
        <f>IFERROR(VLOOKUP(M175,Data!$C$4:$D$395,2,0),"")</f>
        <v/>
      </c>
      <c r="O175" s="220"/>
      <c r="P175" s="229"/>
      <c r="Q175" s="221"/>
      <c r="R175" s="222" t="str">
        <f t="shared" si="33"/>
        <v>-</v>
      </c>
      <c r="S175" s="223"/>
      <c r="T175" s="224"/>
      <c r="U175" s="225">
        <f t="shared" si="34"/>
        <v>0</v>
      </c>
      <c r="V175" s="226">
        <v>0</v>
      </c>
      <c r="W175" s="227"/>
      <c r="X175" s="228">
        <f t="shared" si="35"/>
        <v>0</v>
      </c>
      <c r="Y175" s="229"/>
      <c r="Z175" s="229"/>
      <c r="AA175" s="229"/>
      <c r="AB175" s="222">
        <f t="shared" si="36"/>
        <v>0</v>
      </c>
      <c r="AC175" s="230">
        <f t="shared" si="37"/>
        <v>0</v>
      </c>
      <c r="AD175" s="222" t="str">
        <f t="shared" si="38"/>
        <v/>
      </c>
      <c r="AE175" s="201"/>
      <c r="AF175" s="231" t="str">
        <f>+IFERROR(VLOOKUP(L175,Data!$F$4:$G$97,2,0),"")</f>
        <v/>
      </c>
    </row>
    <row r="176" spans="9:32" ht="15" customHeight="1" x14ac:dyDescent="0.3">
      <c r="I176" s="201" t="str">
        <f t="shared" si="31"/>
        <v/>
      </c>
      <c r="J176" s="218">
        <f t="shared" si="32"/>
        <v>173</v>
      </c>
      <c r="K176" s="250"/>
      <c r="L176" s="219"/>
      <c r="M176" s="218"/>
      <c r="N176" s="220" t="str">
        <f>IFERROR(VLOOKUP(M176,Data!$C$4:$D$395,2,0),"")</f>
        <v/>
      </c>
      <c r="O176" s="220"/>
      <c r="P176" s="229"/>
      <c r="Q176" s="221"/>
      <c r="R176" s="222" t="str">
        <f t="shared" si="33"/>
        <v>-</v>
      </c>
      <c r="S176" s="223"/>
      <c r="T176" s="224"/>
      <c r="U176" s="225">
        <f t="shared" si="34"/>
        <v>0</v>
      </c>
      <c r="V176" s="226">
        <v>0</v>
      </c>
      <c r="W176" s="227"/>
      <c r="X176" s="228">
        <f t="shared" si="35"/>
        <v>0</v>
      </c>
      <c r="Y176" s="229"/>
      <c r="Z176" s="229"/>
      <c r="AA176" s="229"/>
      <c r="AB176" s="222">
        <f t="shared" si="36"/>
        <v>0</v>
      </c>
      <c r="AC176" s="230">
        <f t="shared" si="37"/>
        <v>0</v>
      </c>
      <c r="AD176" s="222" t="str">
        <f t="shared" si="38"/>
        <v/>
      </c>
      <c r="AE176" s="201"/>
      <c r="AF176" s="231" t="str">
        <f>+IFERROR(VLOOKUP(L176,Data!$F$4:$G$97,2,0),"")</f>
        <v/>
      </c>
    </row>
    <row r="177" spans="9:32" ht="15" customHeight="1" x14ac:dyDescent="0.3">
      <c r="I177" s="201" t="str">
        <f t="shared" si="31"/>
        <v/>
      </c>
      <c r="J177" s="218">
        <f t="shared" si="32"/>
        <v>174</v>
      </c>
      <c r="K177" s="250"/>
      <c r="L177" s="219"/>
      <c r="M177" s="218"/>
      <c r="N177" s="220" t="str">
        <f>IFERROR(VLOOKUP(M177,Data!$C$4:$D$395,2,0),"")</f>
        <v/>
      </c>
      <c r="O177" s="220"/>
      <c r="P177" s="229"/>
      <c r="Q177" s="221"/>
      <c r="R177" s="222" t="str">
        <f t="shared" si="33"/>
        <v>-</v>
      </c>
      <c r="S177" s="223"/>
      <c r="T177" s="224"/>
      <c r="U177" s="225">
        <f t="shared" si="34"/>
        <v>0</v>
      </c>
      <c r="V177" s="226">
        <v>0</v>
      </c>
      <c r="W177" s="227"/>
      <c r="X177" s="228">
        <f t="shared" si="35"/>
        <v>0</v>
      </c>
      <c r="Y177" s="229"/>
      <c r="Z177" s="229"/>
      <c r="AA177" s="229"/>
      <c r="AB177" s="222">
        <f t="shared" si="36"/>
        <v>0</v>
      </c>
      <c r="AC177" s="230">
        <f t="shared" si="37"/>
        <v>0</v>
      </c>
      <c r="AD177" s="222" t="str">
        <f t="shared" si="38"/>
        <v/>
      </c>
      <c r="AE177" s="201"/>
      <c r="AF177" s="231" t="str">
        <f>+IFERROR(VLOOKUP(L177,Data!$F$4:$G$97,2,0),"")</f>
        <v/>
      </c>
    </row>
    <row r="178" spans="9:32" ht="15" customHeight="1" x14ac:dyDescent="0.3">
      <c r="I178" s="201" t="str">
        <f t="shared" si="31"/>
        <v/>
      </c>
      <c r="J178" s="218">
        <f t="shared" si="32"/>
        <v>175</v>
      </c>
      <c r="K178" s="250"/>
      <c r="L178" s="219"/>
      <c r="M178" s="218"/>
      <c r="N178" s="220" t="str">
        <f>IFERROR(VLOOKUP(M178,Data!$C$4:$D$395,2,0),"")</f>
        <v/>
      </c>
      <c r="O178" s="220"/>
      <c r="P178" s="229"/>
      <c r="Q178" s="221"/>
      <c r="R178" s="222" t="str">
        <f t="shared" si="33"/>
        <v>-</v>
      </c>
      <c r="S178" s="223"/>
      <c r="T178" s="224"/>
      <c r="U178" s="225">
        <f t="shared" si="34"/>
        <v>0</v>
      </c>
      <c r="V178" s="226">
        <v>0</v>
      </c>
      <c r="W178" s="227"/>
      <c r="X178" s="228">
        <f t="shared" si="35"/>
        <v>0</v>
      </c>
      <c r="Y178" s="229"/>
      <c r="Z178" s="229"/>
      <c r="AA178" s="229"/>
      <c r="AB178" s="222">
        <f t="shared" si="36"/>
        <v>0</v>
      </c>
      <c r="AC178" s="230">
        <f t="shared" si="37"/>
        <v>0</v>
      </c>
      <c r="AD178" s="222" t="str">
        <f t="shared" si="38"/>
        <v/>
      </c>
      <c r="AE178" s="201"/>
      <c r="AF178" s="231" t="str">
        <f>+IFERROR(VLOOKUP(L178,Data!$F$4:$G$97,2,0),"")</f>
        <v/>
      </c>
    </row>
    <row r="179" spans="9:32" ht="15" customHeight="1" x14ac:dyDescent="0.3">
      <c r="I179" s="201" t="str">
        <f t="shared" si="31"/>
        <v/>
      </c>
      <c r="J179" s="218">
        <f t="shared" si="32"/>
        <v>176</v>
      </c>
      <c r="K179" s="250"/>
      <c r="L179" s="219"/>
      <c r="M179" s="218"/>
      <c r="N179" s="220" t="str">
        <f>IFERROR(VLOOKUP(M179,Data!$C$4:$D$395,2,0),"")</f>
        <v/>
      </c>
      <c r="O179" s="220"/>
      <c r="P179" s="229"/>
      <c r="Q179" s="221"/>
      <c r="R179" s="222" t="str">
        <f t="shared" si="33"/>
        <v>-</v>
      </c>
      <c r="S179" s="223"/>
      <c r="T179" s="224"/>
      <c r="U179" s="225">
        <f t="shared" si="34"/>
        <v>0</v>
      </c>
      <c r="V179" s="226">
        <v>0</v>
      </c>
      <c r="W179" s="227"/>
      <c r="X179" s="228">
        <f t="shared" si="35"/>
        <v>0</v>
      </c>
      <c r="Y179" s="229"/>
      <c r="Z179" s="229"/>
      <c r="AA179" s="229"/>
      <c r="AB179" s="222">
        <f t="shared" si="36"/>
        <v>0</v>
      </c>
      <c r="AC179" s="230">
        <f t="shared" si="37"/>
        <v>0</v>
      </c>
      <c r="AD179" s="222" t="str">
        <f t="shared" si="38"/>
        <v/>
      </c>
      <c r="AE179" s="201"/>
      <c r="AF179" s="231" t="str">
        <f>+IFERROR(VLOOKUP(L179,Data!$F$4:$G$97,2,0),"")</f>
        <v/>
      </c>
    </row>
    <row r="180" spans="9:32" ht="15" customHeight="1" x14ac:dyDescent="0.3">
      <c r="I180" s="201" t="str">
        <f t="shared" si="31"/>
        <v/>
      </c>
      <c r="J180" s="218">
        <f t="shared" si="32"/>
        <v>177</v>
      </c>
      <c r="K180" s="250"/>
      <c r="L180" s="219"/>
      <c r="M180" s="218"/>
      <c r="N180" s="220" t="str">
        <f>IFERROR(VLOOKUP(M180,Data!$C$4:$D$395,2,0),"")</f>
        <v/>
      </c>
      <c r="O180" s="220"/>
      <c r="P180" s="229"/>
      <c r="Q180" s="221"/>
      <c r="R180" s="222" t="str">
        <f t="shared" si="33"/>
        <v>-</v>
      </c>
      <c r="S180" s="223"/>
      <c r="T180" s="224"/>
      <c r="U180" s="225">
        <f t="shared" si="34"/>
        <v>0</v>
      </c>
      <c r="V180" s="226">
        <v>0</v>
      </c>
      <c r="W180" s="227"/>
      <c r="X180" s="228">
        <f t="shared" si="35"/>
        <v>0</v>
      </c>
      <c r="Y180" s="229"/>
      <c r="Z180" s="229"/>
      <c r="AA180" s="229"/>
      <c r="AB180" s="222">
        <f t="shared" si="36"/>
        <v>0</v>
      </c>
      <c r="AC180" s="230">
        <f t="shared" si="37"/>
        <v>0</v>
      </c>
      <c r="AD180" s="222" t="str">
        <f t="shared" si="38"/>
        <v/>
      </c>
      <c r="AE180" s="201"/>
      <c r="AF180" s="231" t="str">
        <f>+IFERROR(VLOOKUP(L180,Data!$F$4:$G$97,2,0),"")</f>
        <v/>
      </c>
    </row>
    <row r="181" spans="9:32" ht="15" customHeight="1" x14ac:dyDescent="0.3">
      <c r="I181" s="201" t="str">
        <f t="shared" si="31"/>
        <v/>
      </c>
      <c r="J181" s="218">
        <f t="shared" si="32"/>
        <v>178</v>
      </c>
      <c r="K181" s="250"/>
      <c r="L181" s="219"/>
      <c r="M181" s="218"/>
      <c r="N181" s="220" t="str">
        <f>IFERROR(VLOOKUP(M181,Data!$C$4:$D$395,2,0),"")</f>
        <v/>
      </c>
      <c r="O181" s="220"/>
      <c r="P181" s="229"/>
      <c r="Q181" s="221"/>
      <c r="R181" s="222" t="str">
        <f t="shared" si="33"/>
        <v>-</v>
      </c>
      <c r="S181" s="223"/>
      <c r="T181" s="224"/>
      <c r="U181" s="225">
        <f t="shared" si="34"/>
        <v>0</v>
      </c>
      <c r="V181" s="226">
        <v>0</v>
      </c>
      <c r="W181" s="227"/>
      <c r="X181" s="228">
        <f t="shared" si="35"/>
        <v>0</v>
      </c>
      <c r="Y181" s="229"/>
      <c r="Z181" s="229"/>
      <c r="AA181" s="229"/>
      <c r="AB181" s="222">
        <f t="shared" si="36"/>
        <v>0</v>
      </c>
      <c r="AC181" s="230">
        <f t="shared" si="37"/>
        <v>0</v>
      </c>
      <c r="AD181" s="222" t="str">
        <f t="shared" si="38"/>
        <v/>
      </c>
      <c r="AE181" s="201"/>
      <c r="AF181" s="231" t="str">
        <f>+IFERROR(VLOOKUP(L181,Data!$F$4:$G$97,2,0),"")</f>
        <v/>
      </c>
    </row>
    <row r="182" spans="9:32" ht="15" customHeight="1" x14ac:dyDescent="0.3">
      <c r="I182" s="201" t="str">
        <f t="shared" si="31"/>
        <v/>
      </c>
      <c r="J182" s="218">
        <f t="shared" si="32"/>
        <v>179</v>
      </c>
      <c r="K182" s="250"/>
      <c r="L182" s="219"/>
      <c r="M182" s="218"/>
      <c r="N182" s="220" t="str">
        <f>IFERROR(VLOOKUP(M182,Data!$C$4:$D$395,2,0),"")</f>
        <v/>
      </c>
      <c r="O182" s="220"/>
      <c r="P182" s="229"/>
      <c r="Q182" s="221"/>
      <c r="R182" s="222" t="str">
        <f t="shared" si="33"/>
        <v>-</v>
      </c>
      <c r="S182" s="223"/>
      <c r="T182" s="224"/>
      <c r="U182" s="225">
        <f t="shared" si="34"/>
        <v>0</v>
      </c>
      <c r="V182" s="226">
        <v>0</v>
      </c>
      <c r="W182" s="227"/>
      <c r="X182" s="228">
        <f t="shared" si="35"/>
        <v>0</v>
      </c>
      <c r="Y182" s="229"/>
      <c r="Z182" s="229"/>
      <c r="AA182" s="229"/>
      <c r="AB182" s="222">
        <f t="shared" si="36"/>
        <v>0</v>
      </c>
      <c r="AC182" s="230">
        <f t="shared" si="37"/>
        <v>0</v>
      </c>
      <c r="AD182" s="222" t="str">
        <f t="shared" si="38"/>
        <v/>
      </c>
      <c r="AE182" s="201"/>
      <c r="AF182" s="231" t="str">
        <f>+IFERROR(VLOOKUP(L182,Data!$F$4:$G$97,2,0),"")</f>
        <v/>
      </c>
    </row>
    <row r="183" spans="9:32" ht="15" customHeight="1" x14ac:dyDescent="0.3">
      <c r="I183" s="201" t="str">
        <f t="shared" si="31"/>
        <v/>
      </c>
      <c r="J183" s="218">
        <f t="shared" si="32"/>
        <v>180</v>
      </c>
      <c r="K183" s="250"/>
      <c r="L183" s="219"/>
      <c r="M183" s="218"/>
      <c r="N183" s="220" t="str">
        <f>IFERROR(VLOOKUP(M183,Data!$C$4:$D$395,2,0),"")</f>
        <v/>
      </c>
      <c r="O183" s="220"/>
      <c r="P183" s="229"/>
      <c r="Q183" s="221"/>
      <c r="R183" s="222" t="str">
        <f t="shared" si="33"/>
        <v>-</v>
      </c>
      <c r="S183" s="223"/>
      <c r="T183" s="224"/>
      <c r="U183" s="225">
        <f t="shared" si="34"/>
        <v>0</v>
      </c>
      <c r="V183" s="226">
        <v>0</v>
      </c>
      <c r="W183" s="227"/>
      <c r="X183" s="228">
        <f t="shared" si="35"/>
        <v>0</v>
      </c>
      <c r="Y183" s="229"/>
      <c r="Z183" s="229"/>
      <c r="AA183" s="229"/>
      <c r="AB183" s="222">
        <f t="shared" si="36"/>
        <v>0</v>
      </c>
      <c r="AC183" s="230">
        <f t="shared" si="37"/>
        <v>0</v>
      </c>
      <c r="AD183" s="222" t="str">
        <f t="shared" si="38"/>
        <v/>
      </c>
      <c r="AE183" s="201"/>
      <c r="AF183" s="231" t="str">
        <f>+IFERROR(VLOOKUP(L183,Data!$F$4:$G$97,2,0),"")</f>
        <v/>
      </c>
    </row>
    <row r="184" spans="9:32" ht="15" customHeight="1" x14ac:dyDescent="0.3">
      <c r="I184" s="201" t="str">
        <f t="shared" si="31"/>
        <v/>
      </c>
      <c r="J184" s="218">
        <f t="shared" si="32"/>
        <v>181</v>
      </c>
      <c r="K184" s="250"/>
      <c r="L184" s="219"/>
      <c r="M184" s="218"/>
      <c r="N184" s="220" t="str">
        <f>IFERROR(VLOOKUP(M184,Data!$C$4:$D$395,2,0),"")</f>
        <v/>
      </c>
      <c r="O184" s="220"/>
      <c r="P184" s="229"/>
      <c r="Q184" s="221"/>
      <c r="R184" s="222" t="str">
        <f t="shared" si="33"/>
        <v>-</v>
      </c>
      <c r="S184" s="223"/>
      <c r="T184" s="224"/>
      <c r="U184" s="225">
        <f t="shared" si="34"/>
        <v>0</v>
      </c>
      <c r="V184" s="226">
        <v>0</v>
      </c>
      <c r="W184" s="227"/>
      <c r="X184" s="228">
        <f t="shared" si="35"/>
        <v>0</v>
      </c>
      <c r="Y184" s="229"/>
      <c r="Z184" s="229"/>
      <c r="AA184" s="229"/>
      <c r="AB184" s="222">
        <f t="shared" si="36"/>
        <v>0</v>
      </c>
      <c r="AC184" s="230">
        <f t="shared" si="37"/>
        <v>0</v>
      </c>
      <c r="AD184" s="222" t="str">
        <f t="shared" si="38"/>
        <v/>
      </c>
      <c r="AE184" s="201"/>
      <c r="AF184" s="231" t="str">
        <f>+IFERROR(VLOOKUP(L184,Data!$F$4:$G$97,2,0),"")</f>
        <v/>
      </c>
    </row>
    <row r="185" spans="9:32" ht="15" customHeight="1" x14ac:dyDescent="0.3">
      <c r="I185" s="201" t="str">
        <f t="shared" si="31"/>
        <v/>
      </c>
      <c r="J185" s="218">
        <f t="shared" si="32"/>
        <v>182</v>
      </c>
      <c r="K185" s="250"/>
      <c r="L185" s="219"/>
      <c r="M185" s="218"/>
      <c r="N185" s="220" t="str">
        <f>IFERROR(VLOOKUP(M185,Data!$C$4:$D$395,2,0),"")</f>
        <v/>
      </c>
      <c r="O185" s="220"/>
      <c r="P185" s="229"/>
      <c r="Q185" s="221"/>
      <c r="R185" s="222" t="str">
        <f t="shared" si="33"/>
        <v>-</v>
      </c>
      <c r="S185" s="223"/>
      <c r="T185" s="224"/>
      <c r="U185" s="225">
        <f t="shared" si="34"/>
        <v>0</v>
      </c>
      <c r="V185" s="226">
        <v>0</v>
      </c>
      <c r="W185" s="227"/>
      <c r="X185" s="228">
        <f t="shared" si="35"/>
        <v>0</v>
      </c>
      <c r="Y185" s="229"/>
      <c r="Z185" s="229"/>
      <c r="AA185" s="229"/>
      <c r="AB185" s="222">
        <f t="shared" si="36"/>
        <v>0</v>
      </c>
      <c r="AC185" s="230">
        <f t="shared" si="37"/>
        <v>0</v>
      </c>
      <c r="AD185" s="222" t="str">
        <f t="shared" si="38"/>
        <v/>
      </c>
      <c r="AE185" s="201"/>
      <c r="AF185" s="231" t="str">
        <f>+IFERROR(VLOOKUP(L185,Data!$F$4:$G$97,2,0),"")</f>
        <v/>
      </c>
    </row>
    <row r="186" spans="9:32" ht="15" customHeight="1" x14ac:dyDescent="0.3">
      <c r="I186" s="201" t="str">
        <f t="shared" si="31"/>
        <v/>
      </c>
      <c r="J186" s="218">
        <f t="shared" si="32"/>
        <v>183</v>
      </c>
      <c r="K186" s="250"/>
      <c r="L186" s="219"/>
      <c r="M186" s="218"/>
      <c r="N186" s="220" t="str">
        <f>IFERROR(VLOOKUP(M186,Data!$C$4:$D$395,2,0),"")</f>
        <v/>
      </c>
      <c r="O186" s="220"/>
      <c r="P186" s="229"/>
      <c r="Q186" s="221"/>
      <c r="R186" s="222" t="str">
        <f t="shared" si="33"/>
        <v>-</v>
      </c>
      <c r="S186" s="223"/>
      <c r="T186" s="224"/>
      <c r="U186" s="225">
        <f t="shared" si="34"/>
        <v>0</v>
      </c>
      <c r="V186" s="226">
        <v>0</v>
      </c>
      <c r="W186" s="227"/>
      <c r="X186" s="228">
        <f t="shared" si="35"/>
        <v>0</v>
      </c>
      <c r="Y186" s="229"/>
      <c r="Z186" s="229"/>
      <c r="AA186" s="229"/>
      <c r="AB186" s="222">
        <f t="shared" si="36"/>
        <v>0</v>
      </c>
      <c r="AC186" s="230">
        <f t="shared" si="37"/>
        <v>0</v>
      </c>
      <c r="AD186" s="222" t="str">
        <f t="shared" si="38"/>
        <v/>
      </c>
      <c r="AE186" s="201"/>
      <c r="AF186" s="231" t="str">
        <f>+IFERROR(VLOOKUP(L186,Data!$F$4:$G$97,2,0),"")</f>
        <v/>
      </c>
    </row>
    <row r="187" spans="9:32" ht="15" customHeight="1" x14ac:dyDescent="0.3">
      <c r="I187" s="201" t="str">
        <f t="shared" si="31"/>
        <v/>
      </c>
      <c r="J187" s="218">
        <f t="shared" si="32"/>
        <v>184</v>
      </c>
      <c r="K187" s="250"/>
      <c r="L187" s="219"/>
      <c r="M187" s="218"/>
      <c r="N187" s="220" t="str">
        <f>IFERROR(VLOOKUP(M187,Data!$C$4:$D$395,2,0),"")</f>
        <v/>
      </c>
      <c r="O187" s="220"/>
      <c r="P187" s="229"/>
      <c r="Q187" s="221"/>
      <c r="R187" s="222" t="str">
        <f t="shared" si="33"/>
        <v>-</v>
      </c>
      <c r="S187" s="223"/>
      <c r="T187" s="224"/>
      <c r="U187" s="225">
        <f t="shared" si="34"/>
        <v>0</v>
      </c>
      <c r="V187" s="226">
        <v>0</v>
      </c>
      <c r="W187" s="227"/>
      <c r="X187" s="228">
        <f t="shared" si="35"/>
        <v>0</v>
      </c>
      <c r="Y187" s="229"/>
      <c r="Z187" s="229"/>
      <c r="AA187" s="229"/>
      <c r="AB187" s="222">
        <f t="shared" si="36"/>
        <v>0</v>
      </c>
      <c r="AC187" s="230">
        <f t="shared" si="37"/>
        <v>0</v>
      </c>
      <c r="AD187" s="222" t="str">
        <f t="shared" si="38"/>
        <v/>
      </c>
      <c r="AE187" s="201"/>
      <c r="AF187" s="231" t="str">
        <f>+IFERROR(VLOOKUP(L187,Data!$F$4:$G$97,2,0),"")</f>
        <v/>
      </c>
    </row>
    <row r="188" spans="9:32" ht="15" customHeight="1" x14ac:dyDescent="0.3">
      <c r="I188" s="201" t="str">
        <f t="shared" si="31"/>
        <v/>
      </c>
      <c r="J188" s="218">
        <f t="shared" si="32"/>
        <v>185</v>
      </c>
      <c r="K188" s="250"/>
      <c r="L188" s="219"/>
      <c r="M188" s="218"/>
      <c r="N188" s="220" t="str">
        <f>IFERROR(VLOOKUP(M188,Data!$C$4:$D$395,2,0),"")</f>
        <v/>
      </c>
      <c r="O188" s="220"/>
      <c r="P188" s="229"/>
      <c r="Q188" s="221"/>
      <c r="R188" s="222" t="str">
        <f t="shared" si="33"/>
        <v>-</v>
      </c>
      <c r="S188" s="223"/>
      <c r="T188" s="224"/>
      <c r="U188" s="225">
        <f t="shared" si="34"/>
        <v>0</v>
      </c>
      <c r="V188" s="226">
        <v>0</v>
      </c>
      <c r="W188" s="227"/>
      <c r="X188" s="228">
        <f t="shared" si="35"/>
        <v>0</v>
      </c>
      <c r="Y188" s="229"/>
      <c r="Z188" s="229"/>
      <c r="AA188" s="229"/>
      <c r="AB188" s="222">
        <f t="shared" si="36"/>
        <v>0</v>
      </c>
      <c r="AC188" s="230">
        <f t="shared" si="37"/>
        <v>0</v>
      </c>
      <c r="AD188" s="222" t="str">
        <f t="shared" si="38"/>
        <v/>
      </c>
      <c r="AE188" s="201"/>
      <c r="AF188" s="231" t="str">
        <f>+IFERROR(VLOOKUP(L188,Data!$F$4:$G$97,2,0),"")</f>
        <v/>
      </c>
    </row>
    <row r="189" spans="9:32" ht="15" customHeight="1" x14ac:dyDescent="0.3">
      <c r="I189" s="201" t="str">
        <f t="shared" ref="I189:I252" si="40">+AF189</f>
        <v/>
      </c>
      <c r="J189" s="218">
        <f t="shared" si="32"/>
        <v>186</v>
      </c>
      <c r="K189" s="250"/>
      <c r="L189" s="219"/>
      <c r="M189" s="218"/>
      <c r="N189" s="220" t="str">
        <f>IFERROR(VLOOKUP(M189,Data!$C$4:$D$395,2,0),"")</f>
        <v/>
      </c>
      <c r="O189" s="220"/>
      <c r="P189" s="229"/>
      <c r="Q189" s="221"/>
      <c r="R189" s="222" t="str">
        <f t="shared" si="33"/>
        <v>-</v>
      </c>
      <c r="S189" s="223"/>
      <c r="T189" s="224"/>
      <c r="U189" s="225">
        <f t="shared" si="34"/>
        <v>0</v>
      </c>
      <c r="V189" s="226">
        <v>0</v>
      </c>
      <c r="W189" s="227"/>
      <c r="X189" s="228">
        <f t="shared" si="35"/>
        <v>0</v>
      </c>
      <c r="Y189" s="229"/>
      <c r="Z189" s="229"/>
      <c r="AA189" s="229"/>
      <c r="AB189" s="222">
        <f t="shared" si="36"/>
        <v>0</v>
      </c>
      <c r="AC189" s="230">
        <f t="shared" si="37"/>
        <v>0</v>
      </c>
      <c r="AD189" s="222" t="str">
        <f t="shared" si="38"/>
        <v/>
      </c>
      <c r="AE189" s="201"/>
      <c r="AF189" s="231" t="str">
        <f>+IFERROR(VLOOKUP(L189,Data!$F$4:$G$97,2,0),"")</f>
        <v/>
      </c>
    </row>
    <row r="190" spans="9:32" ht="15" customHeight="1" x14ac:dyDescent="0.3">
      <c r="I190" s="201" t="str">
        <f t="shared" si="40"/>
        <v/>
      </c>
      <c r="J190" s="218">
        <f t="shared" ref="J190:J253" si="41">J189+1</f>
        <v>187</v>
      </c>
      <c r="K190" s="250"/>
      <c r="L190" s="219"/>
      <c r="M190" s="218"/>
      <c r="N190" s="220" t="str">
        <f>IFERROR(VLOOKUP(M190,Data!$C$4:$D$395,2,0),"")</f>
        <v/>
      </c>
      <c r="O190" s="220"/>
      <c r="P190" s="229"/>
      <c r="Q190" s="221"/>
      <c r="R190" s="222" t="str">
        <f t="shared" si="33"/>
        <v>-</v>
      </c>
      <c r="S190" s="223"/>
      <c r="T190" s="224"/>
      <c r="U190" s="225">
        <f t="shared" si="34"/>
        <v>0</v>
      </c>
      <c r="V190" s="226">
        <v>0</v>
      </c>
      <c r="W190" s="227"/>
      <c r="X190" s="228">
        <f t="shared" si="35"/>
        <v>0</v>
      </c>
      <c r="Y190" s="229"/>
      <c r="Z190" s="229"/>
      <c r="AA190" s="229"/>
      <c r="AB190" s="222">
        <f t="shared" si="36"/>
        <v>0</v>
      </c>
      <c r="AC190" s="230">
        <f t="shared" si="37"/>
        <v>0</v>
      </c>
      <c r="AD190" s="222" t="str">
        <f t="shared" si="38"/>
        <v/>
      </c>
      <c r="AE190" s="201"/>
      <c r="AF190" s="231" t="str">
        <f>+IFERROR(VLOOKUP(L190,Data!$F$4:$G$97,2,0),"")</f>
        <v/>
      </c>
    </row>
    <row r="191" spans="9:32" ht="15" customHeight="1" x14ac:dyDescent="0.3">
      <c r="I191" s="201" t="str">
        <f t="shared" si="40"/>
        <v/>
      </c>
      <c r="J191" s="218">
        <f t="shared" si="41"/>
        <v>188</v>
      </c>
      <c r="K191" s="250"/>
      <c r="L191" s="219"/>
      <c r="M191" s="218"/>
      <c r="N191" s="220" t="str">
        <f>IFERROR(VLOOKUP(M191,Data!$C$4:$D$395,2,0),"")</f>
        <v/>
      </c>
      <c r="O191" s="220"/>
      <c r="P191" s="229"/>
      <c r="Q191" s="221"/>
      <c r="R191" s="222" t="str">
        <f t="shared" si="33"/>
        <v>-</v>
      </c>
      <c r="S191" s="223"/>
      <c r="T191" s="224"/>
      <c r="U191" s="225">
        <f t="shared" si="34"/>
        <v>0</v>
      </c>
      <c r="V191" s="226">
        <v>0</v>
      </c>
      <c r="W191" s="227"/>
      <c r="X191" s="228">
        <f t="shared" si="35"/>
        <v>0</v>
      </c>
      <c r="Y191" s="229"/>
      <c r="Z191" s="229"/>
      <c r="AA191" s="229"/>
      <c r="AB191" s="222">
        <f t="shared" si="36"/>
        <v>0</v>
      </c>
      <c r="AC191" s="230">
        <f t="shared" si="37"/>
        <v>0</v>
      </c>
      <c r="AD191" s="222" t="str">
        <f t="shared" si="38"/>
        <v/>
      </c>
      <c r="AE191" s="201"/>
      <c r="AF191" s="231" t="str">
        <f>+IFERROR(VLOOKUP(L191,Data!$F$4:$G$97,2,0),"")</f>
        <v/>
      </c>
    </row>
    <row r="192" spans="9:32" ht="15" customHeight="1" x14ac:dyDescent="0.3">
      <c r="I192" s="201" t="str">
        <f t="shared" si="40"/>
        <v/>
      </c>
      <c r="J192" s="218">
        <f t="shared" si="41"/>
        <v>189</v>
      </c>
      <c r="K192" s="250"/>
      <c r="L192" s="219"/>
      <c r="M192" s="218"/>
      <c r="N192" s="220" t="str">
        <f>IFERROR(VLOOKUP(M192,Data!$C$4:$D$395,2,0),"")</f>
        <v/>
      </c>
      <c r="O192" s="220"/>
      <c r="P192" s="229"/>
      <c r="Q192" s="221"/>
      <c r="R192" s="222" t="str">
        <f t="shared" ref="R192:R255" si="42">IFERROR(Q192/P192, "-")</f>
        <v>-</v>
      </c>
      <c r="S192" s="223"/>
      <c r="T192" s="224"/>
      <c r="U192" s="225">
        <f t="shared" ref="U192:U255" si="43">+Q192*S192+P192*T192</f>
        <v>0</v>
      </c>
      <c r="V192" s="226">
        <v>0</v>
      </c>
      <c r="W192" s="227"/>
      <c r="X192" s="228">
        <f t="shared" ref="X192:X255" si="44">+Q192*V192+P192*W192</f>
        <v>0</v>
      </c>
      <c r="Y192" s="229"/>
      <c r="Z192" s="229"/>
      <c r="AA192" s="229"/>
      <c r="AB192" s="222">
        <f t="shared" ref="AB192:AB255" si="45">+Y192+Z192+AA192</f>
        <v>0</v>
      </c>
      <c r="AC192" s="230">
        <f t="shared" ref="AC192:AC255" si="46">IF((U192-Y192-Z192-AA192)&lt;0,"",(U192-Y192-Z192-AA192))</f>
        <v>0</v>
      </c>
      <c r="AD192" s="222" t="str">
        <f t="shared" ref="AD192:AD255" si="47">IF((U192-Y192-Z192-AA192)&lt;0,(Y192+Z192+AA192-U192),"")</f>
        <v/>
      </c>
      <c r="AE192" s="201"/>
      <c r="AF192" s="231" t="str">
        <f>+IFERROR(VLOOKUP(L192,Data!$F$4:$G$97,2,0),"")</f>
        <v/>
      </c>
    </row>
    <row r="193" spans="9:32" ht="15" customHeight="1" x14ac:dyDescent="0.3">
      <c r="I193" s="201" t="str">
        <f t="shared" si="40"/>
        <v/>
      </c>
      <c r="J193" s="218">
        <f t="shared" si="41"/>
        <v>190</v>
      </c>
      <c r="K193" s="250"/>
      <c r="L193" s="219"/>
      <c r="M193" s="218"/>
      <c r="N193" s="220" t="str">
        <f>IFERROR(VLOOKUP(M193,Data!$C$4:$D$395,2,0),"")</f>
        <v/>
      </c>
      <c r="O193" s="220"/>
      <c r="P193" s="229"/>
      <c r="Q193" s="221"/>
      <c r="R193" s="222" t="str">
        <f t="shared" si="42"/>
        <v>-</v>
      </c>
      <c r="S193" s="223"/>
      <c r="T193" s="224"/>
      <c r="U193" s="225">
        <f t="shared" si="43"/>
        <v>0</v>
      </c>
      <c r="V193" s="226">
        <v>0</v>
      </c>
      <c r="W193" s="227"/>
      <c r="X193" s="228">
        <f t="shared" si="44"/>
        <v>0</v>
      </c>
      <c r="Y193" s="229"/>
      <c r="Z193" s="229"/>
      <c r="AA193" s="229"/>
      <c r="AB193" s="222">
        <f t="shared" si="45"/>
        <v>0</v>
      </c>
      <c r="AC193" s="230">
        <f t="shared" si="46"/>
        <v>0</v>
      </c>
      <c r="AD193" s="222" t="str">
        <f t="shared" si="47"/>
        <v/>
      </c>
      <c r="AE193" s="201"/>
      <c r="AF193" s="231" t="str">
        <f>+IFERROR(VLOOKUP(L193,Data!$F$4:$G$97,2,0),"")</f>
        <v/>
      </c>
    </row>
    <row r="194" spans="9:32" ht="15" customHeight="1" x14ac:dyDescent="0.3">
      <c r="I194" s="201" t="str">
        <f t="shared" si="40"/>
        <v/>
      </c>
      <c r="J194" s="218">
        <f t="shared" si="41"/>
        <v>191</v>
      </c>
      <c r="K194" s="250"/>
      <c r="L194" s="219"/>
      <c r="M194" s="218"/>
      <c r="N194" s="220" t="str">
        <f>IFERROR(VLOOKUP(M194,Data!$C$4:$D$395,2,0),"")</f>
        <v/>
      </c>
      <c r="O194" s="220"/>
      <c r="P194" s="229"/>
      <c r="Q194" s="221"/>
      <c r="R194" s="222" t="str">
        <f t="shared" si="42"/>
        <v>-</v>
      </c>
      <c r="S194" s="223"/>
      <c r="T194" s="224"/>
      <c r="U194" s="225">
        <f t="shared" si="43"/>
        <v>0</v>
      </c>
      <c r="V194" s="226">
        <v>0</v>
      </c>
      <c r="W194" s="227"/>
      <c r="X194" s="228">
        <f t="shared" si="44"/>
        <v>0</v>
      </c>
      <c r="Y194" s="229"/>
      <c r="Z194" s="229"/>
      <c r="AA194" s="229"/>
      <c r="AB194" s="222">
        <f t="shared" si="45"/>
        <v>0</v>
      </c>
      <c r="AC194" s="230">
        <f t="shared" si="46"/>
        <v>0</v>
      </c>
      <c r="AD194" s="222" t="str">
        <f t="shared" si="47"/>
        <v/>
      </c>
      <c r="AE194" s="201"/>
      <c r="AF194" s="231" t="str">
        <f>+IFERROR(VLOOKUP(L194,Data!$F$4:$G$97,2,0),"")</f>
        <v/>
      </c>
    </row>
    <row r="195" spans="9:32" ht="15" customHeight="1" x14ac:dyDescent="0.3">
      <c r="I195" s="201" t="str">
        <f t="shared" si="40"/>
        <v/>
      </c>
      <c r="J195" s="218">
        <f t="shared" si="41"/>
        <v>192</v>
      </c>
      <c r="K195" s="250"/>
      <c r="L195" s="219"/>
      <c r="M195" s="218"/>
      <c r="N195" s="220" t="str">
        <f>IFERROR(VLOOKUP(M195,Data!$C$4:$D$395,2,0),"")</f>
        <v/>
      </c>
      <c r="O195" s="220"/>
      <c r="P195" s="229"/>
      <c r="Q195" s="221"/>
      <c r="R195" s="222" t="str">
        <f t="shared" si="42"/>
        <v>-</v>
      </c>
      <c r="S195" s="223"/>
      <c r="T195" s="224"/>
      <c r="U195" s="225">
        <f t="shared" si="43"/>
        <v>0</v>
      </c>
      <c r="V195" s="226">
        <v>0</v>
      </c>
      <c r="W195" s="227"/>
      <c r="X195" s="228">
        <f t="shared" si="44"/>
        <v>0</v>
      </c>
      <c r="Y195" s="229"/>
      <c r="Z195" s="229"/>
      <c r="AA195" s="229"/>
      <c r="AB195" s="222">
        <f t="shared" si="45"/>
        <v>0</v>
      </c>
      <c r="AC195" s="230">
        <f t="shared" si="46"/>
        <v>0</v>
      </c>
      <c r="AD195" s="222" t="str">
        <f t="shared" si="47"/>
        <v/>
      </c>
      <c r="AE195" s="201"/>
      <c r="AF195" s="231" t="str">
        <f>+IFERROR(VLOOKUP(L195,Data!$F$4:$G$97,2,0),"")</f>
        <v/>
      </c>
    </row>
    <row r="196" spans="9:32" ht="15" customHeight="1" x14ac:dyDescent="0.3">
      <c r="I196" s="201" t="str">
        <f t="shared" si="40"/>
        <v/>
      </c>
      <c r="J196" s="218">
        <f t="shared" si="41"/>
        <v>193</v>
      </c>
      <c r="K196" s="250"/>
      <c r="L196" s="219"/>
      <c r="M196" s="218"/>
      <c r="N196" s="220" t="str">
        <f>IFERROR(VLOOKUP(M196,Data!$C$4:$D$395,2,0),"")</f>
        <v/>
      </c>
      <c r="O196" s="220"/>
      <c r="P196" s="229"/>
      <c r="Q196" s="221"/>
      <c r="R196" s="222" t="str">
        <f t="shared" si="42"/>
        <v>-</v>
      </c>
      <c r="S196" s="223"/>
      <c r="T196" s="224"/>
      <c r="U196" s="225">
        <f t="shared" si="43"/>
        <v>0</v>
      </c>
      <c r="V196" s="226">
        <v>0</v>
      </c>
      <c r="W196" s="227"/>
      <c r="X196" s="228">
        <f t="shared" si="44"/>
        <v>0</v>
      </c>
      <c r="Y196" s="229"/>
      <c r="Z196" s="229"/>
      <c r="AA196" s="229"/>
      <c r="AB196" s="222">
        <f t="shared" si="45"/>
        <v>0</v>
      </c>
      <c r="AC196" s="230">
        <f t="shared" si="46"/>
        <v>0</v>
      </c>
      <c r="AD196" s="222" t="str">
        <f t="shared" si="47"/>
        <v/>
      </c>
      <c r="AE196" s="201"/>
      <c r="AF196" s="231" t="str">
        <f>+IFERROR(VLOOKUP(L196,Data!$F$4:$G$97,2,0),"")</f>
        <v/>
      </c>
    </row>
    <row r="197" spans="9:32" ht="15" customHeight="1" x14ac:dyDescent="0.3">
      <c r="I197" s="201" t="str">
        <f t="shared" si="40"/>
        <v/>
      </c>
      <c r="J197" s="218">
        <f t="shared" si="41"/>
        <v>194</v>
      </c>
      <c r="K197" s="250"/>
      <c r="L197" s="219"/>
      <c r="M197" s="218"/>
      <c r="N197" s="220" t="str">
        <f>IFERROR(VLOOKUP(M197,Data!$C$4:$D$395,2,0),"")</f>
        <v/>
      </c>
      <c r="O197" s="220"/>
      <c r="P197" s="229"/>
      <c r="Q197" s="221"/>
      <c r="R197" s="222" t="str">
        <f t="shared" si="42"/>
        <v>-</v>
      </c>
      <c r="S197" s="223"/>
      <c r="T197" s="224"/>
      <c r="U197" s="225">
        <f t="shared" si="43"/>
        <v>0</v>
      </c>
      <c r="V197" s="226">
        <v>0</v>
      </c>
      <c r="W197" s="227"/>
      <c r="X197" s="228">
        <f t="shared" si="44"/>
        <v>0</v>
      </c>
      <c r="Y197" s="229"/>
      <c r="Z197" s="229"/>
      <c r="AA197" s="229"/>
      <c r="AB197" s="222">
        <f t="shared" si="45"/>
        <v>0</v>
      </c>
      <c r="AC197" s="230">
        <f t="shared" si="46"/>
        <v>0</v>
      </c>
      <c r="AD197" s="222" t="str">
        <f t="shared" si="47"/>
        <v/>
      </c>
      <c r="AE197" s="201"/>
      <c r="AF197" s="231" t="str">
        <f>+IFERROR(VLOOKUP(L197,Data!$F$4:$G$97,2,0),"")</f>
        <v/>
      </c>
    </row>
    <row r="198" spans="9:32" ht="15" customHeight="1" x14ac:dyDescent="0.3">
      <c r="I198" s="201" t="str">
        <f t="shared" si="40"/>
        <v/>
      </c>
      <c r="J198" s="218">
        <f t="shared" si="41"/>
        <v>195</v>
      </c>
      <c r="K198" s="250"/>
      <c r="L198" s="219"/>
      <c r="M198" s="218"/>
      <c r="N198" s="220" t="str">
        <f>IFERROR(VLOOKUP(M198,Data!$C$4:$D$395,2,0),"")</f>
        <v/>
      </c>
      <c r="O198" s="220"/>
      <c r="P198" s="229"/>
      <c r="Q198" s="221"/>
      <c r="R198" s="222" t="str">
        <f t="shared" si="42"/>
        <v>-</v>
      </c>
      <c r="S198" s="223"/>
      <c r="T198" s="224"/>
      <c r="U198" s="225">
        <f t="shared" si="43"/>
        <v>0</v>
      </c>
      <c r="V198" s="226">
        <v>0</v>
      </c>
      <c r="W198" s="227"/>
      <c r="X198" s="228">
        <f t="shared" si="44"/>
        <v>0</v>
      </c>
      <c r="Y198" s="229"/>
      <c r="Z198" s="229"/>
      <c r="AA198" s="229"/>
      <c r="AB198" s="222">
        <f t="shared" si="45"/>
        <v>0</v>
      </c>
      <c r="AC198" s="230">
        <f t="shared" si="46"/>
        <v>0</v>
      </c>
      <c r="AD198" s="222" t="str">
        <f t="shared" si="47"/>
        <v/>
      </c>
      <c r="AE198" s="201"/>
      <c r="AF198" s="231" t="str">
        <f>+IFERROR(VLOOKUP(L198,Data!$F$4:$G$97,2,0),"")</f>
        <v/>
      </c>
    </row>
    <row r="199" spans="9:32" ht="15" customHeight="1" x14ac:dyDescent="0.3">
      <c r="I199" s="201" t="str">
        <f t="shared" si="40"/>
        <v/>
      </c>
      <c r="J199" s="218">
        <f t="shared" si="41"/>
        <v>196</v>
      </c>
      <c r="K199" s="250"/>
      <c r="L199" s="219"/>
      <c r="M199" s="218"/>
      <c r="N199" s="220" t="str">
        <f>IFERROR(VLOOKUP(M199,Data!$C$4:$D$395,2,0),"")</f>
        <v/>
      </c>
      <c r="O199" s="220"/>
      <c r="P199" s="229"/>
      <c r="Q199" s="221"/>
      <c r="R199" s="222" t="str">
        <f t="shared" si="42"/>
        <v>-</v>
      </c>
      <c r="S199" s="223"/>
      <c r="T199" s="224"/>
      <c r="U199" s="225">
        <f t="shared" si="43"/>
        <v>0</v>
      </c>
      <c r="V199" s="226">
        <v>0</v>
      </c>
      <c r="W199" s="227"/>
      <c r="X199" s="228">
        <f t="shared" si="44"/>
        <v>0</v>
      </c>
      <c r="Y199" s="229"/>
      <c r="Z199" s="229"/>
      <c r="AA199" s="229"/>
      <c r="AB199" s="222">
        <f t="shared" si="45"/>
        <v>0</v>
      </c>
      <c r="AC199" s="230">
        <f t="shared" si="46"/>
        <v>0</v>
      </c>
      <c r="AD199" s="222" t="str">
        <f t="shared" si="47"/>
        <v/>
      </c>
      <c r="AE199" s="201"/>
      <c r="AF199" s="231" t="str">
        <f>+IFERROR(VLOOKUP(L199,Data!$F$4:$G$97,2,0),"")</f>
        <v/>
      </c>
    </row>
    <row r="200" spans="9:32" ht="15" customHeight="1" x14ac:dyDescent="0.3">
      <c r="I200" s="201" t="str">
        <f t="shared" si="40"/>
        <v/>
      </c>
      <c r="J200" s="218">
        <f t="shared" si="41"/>
        <v>197</v>
      </c>
      <c r="K200" s="250"/>
      <c r="L200" s="219"/>
      <c r="M200" s="218"/>
      <c r="N200" s="220" t="str">
        <f>IFERROR(VLOOKUP(M200,Data!$C$4:$D$395,2,0),"")</f>
        <v/>
      </c>
      <c r="O200" s="220"/>
      <c r="P200" s="229"/>
      <c r="Q200" s="221"/>
      <c r="R200" s="222" t="str">
        <f t="shared" si="42"/>
        <v>-</v>
      </c>
      <c r="S200" s="223"/>
      <c r="T200" s="224"/>
      <c r="U200" s="225">
        <f t="shared" si="43"/>
        <v>0</v>
      </c>
      <c r="V200" s="226">
        <v>0</v>
      </c>
      <c r="W200" s="227"/>
      <c r="X200" s="228">
        <f t="shared" si="44"/>
        <v>0</v>
      </c>
      <c r="Y200" s="229"/>
      <c r="Z200" s="229"/>
      <c r="AA200" s="229"/>
      <c r="AB200" s="222">
        <f t="shared" si="45"/>
        <v>0</v>
      </c>
      <c r="AC200" s="230">
        <f t="shared" si="46"/>
        <v>0</v>
      </c>
      <c r="AD200" s="222" t="str">
        <f t="shared" si="47"/>
        <v/>
      </c>
      <c r="AE200" s="201"/>
      <c r="AF200" s="231" t="str">
        <f>+IFERROR(VLOOKUP(L200,Data!$F$4:$G$97,2,0),"")</f>
        <v/>
      </c>
    </row>
    <row r="201" spans="9:32" ht="15" customHeight="1" x14ac:dyDescent="0.3">
      <c r="I201" s="201" t="str">
        <f t="shared" si="40"/>
        <v/>
      </c>
      <c r="J201" s="218">
        <f t="shared" si="41"/>
        <v>198</v>
      </c>
      <c r="K201" s="250"/>
      <c r="L201" s="219"/>
      <c r="M201" s="218"/>
      <c r="N201" s="220" t="str">
        <f>IFERROR(VLOOKUP(M201,Data!$C$4:$D$395,2,0),"")</f>
        <v/>
      </c>
      <c r="O201" s="220"/>
      <c r="P201" s="229"/>
      <c r="Q201" s="221"/>
      <c r="R201" s="222" t="str">
        <f t="shared" si="42"/>
        <v>-</v>
      </c>
      <c r="S201" s="223"/>
      <c r="T201" s="224"/>
      <c r="U201" s="225">
        <f t="shared" si="43"/>
        <v>0</v>
      </c>
      <c r="V201" s="226">
        <v>0</v>
      </c>
      <c r="W201" s="227"/>
      <c r="X201" s="228">
        <f t="shared" si="44"/>
        <v>0</v>
      </c>
      <c r="Y201" s="229"/>
      <c r="Z201" s="229"/>
      <c r="AA201" s="229"/>
      <c r="AB201" s="222">
        <f t="shared" si="45"/>
        <v>0</v>
      </c>
      <c r="AC201" s="230">
        <f t="shared" si="46"/>
        <v>0</v>
      </c>
      <c r="AD201" s="222" t="str">
        <f t="shared" si="47"/>
        <v/>
      </c>
      <c r="AE201" s="201"/>
      <c r="AF201" s="231" t="str">
        <f>+IFERROR(VLOOKUP(L201,Data!$F$4:$G$97,2,0),"")</f>
        <v/>
      </c>
    </row>
    <row r="202" spans="9:32" ht="15" customHeight="1" x14ac:dyDescent="0.3">
      <c r="I202" s="201" t="str">
        <f t="shared" si="40"/>
        <v/>
      </c>
      <c r="J202" s="218">
        <f t="shared" si="41"/>
        <v>199</v>
      </c>
      <c r="K202" s="250"/>
      <c r="L202" s="219"/>
      <c r="M202" s="218"/>
      <c r="N202" s="220" t="str">
        <f>IFERROR(VLOOKUP(M202,Data!$C$4:$D$395,2,0),"")</f>
        <v/>
      </c>
      <c r="O202" s="220"/>
      <c r="P202" s="229"/>
      <c r="Q202" s="221"/>
      <c r="R202" s="222" t="str">
        <f t="shared" si="42"/>
        <v>-</v>
      </c>
      <c r="S202" s="223"/>
      <c r="T202" s="224"/>
      <c r="U202" s="225">
        <f t="shared" si="43"/>
        <v>0</v>
      </c>
      <c r="V202" s="226">
        <v>0</v>
      </c>
      <c r="W202" s="227"/>
      <c r="X202" s="228">
        <f t="shared" si="44"/>
        <v>0</v>
      </c>
      <c r="Y202" s="229"/>
      <c r="Z202" s="229"/>
      <c r="AA202" s="229"/>
      <c r="AB202" s="222">
        <f t="shared" si="45"/>
        <v>0</v>
      </c>
      <c r="AC202" s="230">
        <f t="shared" si="46"/>
        <v>0</v>
      </c>
      <c r="AD202" s="222" t="str">
        <f t="shared" si="47"/>
        <v/>
      </c>
      <c r="AE202" s="201"/>
      <c r="AF202" s="231" t="str">
        <f>+IFERROR(VLOOKUP(L202,Data!$F$4:$G$97,2,0),"")</f>
        <v/>
      </c>
    </row>
    <row r="203" spans="9:32" ht="15" customHeight="1" x14ac:dyDescent="0.3">
      <c r="I203" s="201" t="str">
        <f t="shared" si="40"/>
        <v/>
      </c>
      <c r="J203" s="218">
        <f t="shared" si="41"/>
        <v>200</v>
      </c>
      <c r="K203" s="250"/>
      <c r="L203" s="219"/>
      <c r="M203" s="218"/>
      <c r="N203" s="220" t="str">
        <f>IFERROR(VLOOKUP(M203,Data!$C$4:$D$395,2,0),"")</f>
        <v/>
      </c>
      <c r="O203" s="220"/>
      <c r="P203" s="229"/>
      <c r="Q203" s="221"/>
      <c r="R203" s="222" t="str">
        <f t="shared" si="42"/>
        <v>-</v>
      </c>
      <c r="S203" s="223"/>
      <c r="T203" s="224"/>
      <c r="U203" s="225">
        <f t="shared" si="43"/>
        <v>0</v>
      </c>
      <c r="V203" s="226">
        <v>0</v>
      </c>
      <c r="W203" s="227"/>
      <c r="X203" s="228">
        <f t="shared" si="44"/>
        <v>0</v>
      </c>
      <c r="Y203" s="229"/>
      <c r="Z203" s="229"/>
      <c r="AA203" s="229"/>
      <c r="AB203" s="222">
        <f t="shared" si="45"/>
        <v>0</v>
      </c>
      <c r="AC203" s="230">
        <f t="shared" si="46"/>
        <v>0</v>
      </c>
      <c r="AD203" s="222" t="str">
        <f t="shared" si="47"/>
        <v/>
      </c>
      <c r="AE203" s="201"/>
      <c r="AF203" s="231" t="str">
        <f>+IFERROR(VLOOKUP(L203,Data!$F$4:$G$97,2,0),"")</f>
        <v/>
      </c>
    </row>
    <row r="204" spans="9:32" ht="15" customHeight="1" x14ac:dyDescent="0.3">
      <c r="I204" s="201" t="str">
        <f t="shared" si="40"/>
        <v/>
      </c>
      <c r="J204" s="218">
        <f t="shared" si="41"/>
        <v>201</v>
      </c>
      <c r="K204" s="250"/>
      <c r="L204" s="219"/>
      <c r="M204" s="218"/>
      <c r="N204" s="220" t="str">
        <f>IFERROR(VLOOKUP(M204,Data!$C$4:$D$395,2,0),"")</f>
        <v/>
      </c>
      <c r="O204" s="220"/>
      <c r="P204" s="229"/>
      <c r="Q204" s="221"/>
      <c r="R204" s="222" t="str">
        <f t="shared" si="42"/>
        <v>-</v>
      </c>
      <c r="S204" s="223"/>
      <c r="T204" s="224"/>
      <c r="U204" s="225">
        <f t="shared" si="43"/>
        <v>0</v>
      </c>
      <c r="V204" s="226">
        <v>0</v>
      </c>
      <c r="W204" s="227"/>
      <c r="X204" s="228">
        <f t="shared" si="44"/>
        <v>0</v>
      </c>
      <c r="Y204" s="229"/>
      <c r="Z204" s="229"/>
      <c r="AA204" s="229"/>
      <c r="AB204" s="222">
        <f t="shared" si="45"/>
        <v>0</v>
      </c>
      <c r="AC204" s="230">
        <f t="shared" si="46"/>
        <v>0</v>
      </c>
      <c r="AD204" s="222" t="str">
        <f t="shared" si="47"/>
        <v/>
      </c>
      <c r="AE204" s="201"/>
      <c r="AF204" s="231" t="str">
        <f>+IFERROR(VLOOKUP(L204,Data!$F$4:$G$97,2,0),"")</f>
        <v/>
      </c>
    </row>
    <row r="205" spans="9:32" ht="15" customHeight="1" x14ac:dyDescent="0.3">
      <c r="I205" s="201" t="str">
        <f t="shared" si="40"/>
        <v/>
      </c>
      <c r="J205" s="218">
        <f t="shared" si="41"/>
        <v>202</v>
      </c>
      <c r="K205" s="250"/>
      <c r="L205" s="219"/>
      <c r="M205" s="218"/>
      <c r="N205" s="220" t="str">
        <f>IFERROR(VLOOKUP(M205,Data!$C$4:$D$395,2,0),"")</f>
        <v/>
      </c>
      <c r="O205" s="220"/>
      <c r="P205" s="229"/>
      <c r="Q205" s="221"/>
      <c r="R205" s="222" t="str">
        <f t="shared" si="42"/>
        <v>-</v>
      </c>
      <c r="S205" s="223"/>
      <c r="T205" s="224"/>
      <c r="U205" s="225">
        <f t="shared" si="43"/>
        <v>0</v>
      </c>
      <c r="V205" s="226">
        <v>0</v>
      </c>
      <c r="W205" s="227"/>
      <c r="X205" s="228">
        <f t="shared" si="44"/>
        <v>0</v>
      </c>
      <c r="Y205" s="229"/>
      <c r="Z205" s="229"/>
      <c r="AA205" s="229"/>
      <c r="AB205" s="222">
        <f t="shared" si="45"/>
        <v>0</v>
      </c>
      <c r="AC205" s="230">
        <f t="shared" si="46"/>
        <v>0</v>
      </c>
      <c r="AD205" s="222" t="str">
        <f t="shared" si="47"/>
        <v/>
      </c>
      <c r="AE205" s="201"/>
      <c r="AF205" s="231" t="str">
        <f>+IFERROR(VLOOKUP(L205,Data!$F$4:$G$97,2,0),"")</f>
        <v/>
      </c>
    </row>
    <row r="206" spans="9:32" ht="15" customHeight="1" x14ac:dyDescent="0.3">
      <c r="I206" s="201" t="str">
        <f t="shared" si="40"/>
        <v/>
      </c>
      <c r="J206" s="218">
        <f t="shared" si="41"/>
        <v>203</v>
      </c>
      <c r="K206" s="250"/>
      <c r="L206" s="219"/>
      <c r="M206" s="218"/>
      <c r="N206" s="220" t="str">
        <f>IFERROR(VLOOKUP(M206,Data!$C$4:$D$395,2,0),"")</f>
        <v/>
      </c>
      <c r="O206" s="220"/>
      <c r="P206" s="229"/>
      <c r="Q206" s="221"/>
      <c r="R206" s="222" t="str">
        <f t="shared" si="42"/>
        <v>-</v>
      </c>
      <c r="S206" s="223"/>
      <c r="T206" s="224"/>
      <c r="U206" s="225">
        <f t="shared" si="43"/>
        <v>0</v>
      </c>
      <c r="V206" s="226">
        <v>0</v>
      </c>
      <c r="W206" s="227"/>
      <c r="X206" s="228">
        <f t="shared" si="44"/>
        <v>0</v>
      </c>
      <c r="Y206" s="229"/>
      <c r="Z206" s="229"/>
      <c r="AA206" s="229"/>
      <c r="AB206" s="222">
        <f t="shared" si="45"/>
        <v>0</v>
      </c>
      <c r="AC206" s="230">
        <f t="shared" si="46"/>
        <v>0</v>
      </c>
      <c r="AD206" s="222" t="str">
        <f t="shared" si="47"/>
        <v/>
      </c>
      <c r="AE206" s="201"/>
      <c r="AF206" s="231" t="str">
        <f>+IFERROR(VLOOKUP(L206,Data!$F$4:$G$97,2,0),"")</f>
        <v/>
      </c>
    </row>
    <row r="207" spans="9:32" ht="15" customHeight="1" x14ac:dyDescent="0.3">
      <c r="I207" s="201" t="str">
        <f t="shared" si="40"/>
        <v/>
      </c>
      <c r="J207" s="218">
        <f t="shared" si="41"/>
        <v>204</v>
      </c>
      <c r="K207" s="250"/>
      <c r="L207" s="219"/>
      <c r="M207" s="218"/>
      <c r="N207" s="220" t="str">
        <f>IFERROR(VLOOKUP(M207,Data!$C$4:$D$395,2,0),"")</f>
        <v/>
      </c>
      <c r="O207" s="220"/>
      <c r="P207" s="229"/>
      <c r="Q207" s="221"/>
      <c r="R207" s="222" t="str">
        <f t="shared" si="42"/>
        <v>-</v>
      </c>
      <c r="S207" s="223"/>
      <c r="T207" s="224"/>
      <c r="U207" s="225">
        <f t="shared" si="43"/>
        <v>0</v>
      </c>
      <c r="V207" s="226">
        <v>0</v>
      </c>
      <c r="W207" s="227"/>
      <c r="X207" s="228">
        <f t="shared" si="44"/>
        <v>0</v>
      </c>
      <c r="Y207" s="229"/>
      <c r="Z207" s="229"/>
      <c r="AA207" s="229"/>
      <c r="AB207" s="222">
        <f t="shared" si="45"/>
        <v>0</v>
      </c>
      <c r="AC207" s="230">
        <f t="shared" si="46"/>
        <v>0</v>
      </c>
      <c r="AD207" s="222" t="str">
        <f t="shared" si="47"/>
        <v/>
      </c>
      <c r="AE207" s="201"/>
      <c r="AF207" s="231" t="str">
        <f>+IFERROR(VLOOKUP(L207,Data!$F$4:$G$97,2,0),"")</f>
        <v/>
      </c>
    </row>
    <row r="208" spans="9:32" ht="15" customHeight="1" x14ac:dyDescent="0.3">
      <c r="I208" s="201" t="str">
        <f t="shared" si="40"/>
        <v/>
      </c>
      <c r="J208" s="218">
        <f t="shared" si="41"/>
        <v>205</v>
      </c>
      <c r="K208" s="250"/>
      <c r="L208" s="219"/>
      <c r="M208" s="218"/>
      <c r="N208" s="220" t="str">
        <f>IFERROR(VLOOKUP(M208,Data!$C$4:$D$395,2,0),"")</f>
        <v/>
      </c>
      <c r="O208" s="220"/>
      <c r="P208" s="229"/>
      <c r="Q208" s="221"/>
      <c r="R208" s="222" t="str">
        <f t="shared" si="42"/>
        <v>-</v>
      </c>
      <c r="S208" s="223"/>
      <c r="T208" s="224"/>
      <c r="U208" s="225">
        <f t="shared" si="43"/>
        <v>0</v>
      </c>
      <c r="V208" s="226">
        <v>0</v>
      </c>
      <c r="W208" s="227"/>
      <c r="X208" s="228">
        <f t="shared" si="44"/>
        <v>0</v>
      </c>
      <c r="Y208" s="229"/>
      <c r="Z208" s="229"/>
      <c r="AA208" s="229"/>
      <c r="AB208" s="222">
        <f t="shared" si="45"/>
        <v>0</v>
      </c>
      <c r="AC208" s="230">
        <f t="shared" si="46"/>
        <v>0</v>
      </c>
      <c r="AD208" s="222" t="str">
        <f t="shared" si="47"/>
        <v/>
      </c>
      <c r="AE208" s="201"/>
      <c r="AF208" s="231" t="str">
        <f>+IFERROR(VLOOKUP(L208,Data!$F$4:$G$97,2,0),"")</f>
        <v/>
      </c>
    </row>
    <row r="209" spans="9:32" ht="15" customHeight="1" x14ac:dyDescent="0.3">
      <c r="I209" s="201" t="str">
        <f t="shared" si="40"/>
        <v/>
      </c>
      <c r="J209" s="218">
        <f t="shared" si="41"/>
        <v>206</v>
      </c>
      <c r="K209" s="250"/>
      <c r="L209" s="219"/>
      <c r="M209" s="218"/>
      <c r="N209" s="220" t="str">
        <f>IFERROR(VLOOKUP(M209,Data!$C$4:$D$395,2,0),"")</f>
        <v/>
      </c>
      <c r="O209" s="220"/>
      <c r="P209" s="229"/>
      <c r="Q209" s="221"/>
      <c r="R209" s="222" t="str">
        <f t="shared" si="42"/>
        <v>-</v>
      </c>
      <c r="S209" s="223"/>
      <c r="T209" s="224"/>
      <c r="U209" s="225">
        <f t="shared" si="43"/>
        <v>0</v>
      </c>
      <c r="V209" s="226">
        <v>0</v>
      </c>
      <c r="W209" s="227"/>
      <c r="X209" s="228">
        <f t="shared" si="44"/>
        <v>0</v>
      </c>
      <c r="Y209" s="229"/>
      <c r="Z209" s="229"/>
      <c r="AA209" s="229"/>
      <c r="AB209" s="222">
        <f t="shared" si="45"/>
        <v>0</v>
      </c>
      <c r="AC209" s="230">
        <f t="shared" si="46"/>
        <v>0</v>
      </c>
      <c r="AD209" s="222" t="str">
        <f t="shared" si="47"/>
        <v/>
      </c>
      <c r="AE209" s="201"/>
      <c r="AF209" s="231" t="str">
        <f>+IFERROR(VLOOKUP(L209,Data!$F$4:$G$97,2,0),"")</f>
        <v/>
      </c>
    </row>
    <row r="210" spans="9:32" ht="15" customHeight="1" x14ac:dyDescent="0.3">
      <c r="I210" s="201" t="str">
        <f t="shared" si="40"/>
        <v/>
      </c>
      <c r="J210" s="218">
        <f t="shared" si="41"/>
        <v>207</v>
      </c>
      <c r="K210" s="250"/>
      <c r="L210" s="219"/>
      <c r="M210" s="218"/>
      <c r="N210" s="220" t="str">
        <f>IFERROR(VLOOKUP(M210,Data!$C$4:$D$395,2,0),"")</f>
        <v/>
      </c>
      <c r="O210" s="220"/>
      <c r="P210" s="229"/>
      <c r="Q210" s="221"/>
      <c r="R210" s="222" t="str">
        <f t="shared" si="42"/>
        <v>-</v>
      </c>
      <c r="S210" s="223"/>
      <c r="T210" s="224"/>
      <c r="U210" s="225">
        <f t="shared" si="43"/>
        <v>0</v>
      </c>
      <c r="V210" s="226">
        <v>0</v>
      </c>
      <c r="W210" s="227"/>
      <c r="X210" s="228">
        <f t="shared" si="44"/>
        <v>0</v>
      </c>
      <c r="Y210" s="229"/>
      <c r="Z210" s="229"/>
      <c r="AA210" s="229"/>
      <c r="AB210" s="222">
        <f t="shared" si="45"/>
        <v>0</v>
      </c>
      <c r="AC210" s="230">
        <f t="shared" si="46"/>
        <v>0</v>
      </c>
      <c r="AD210" s="222" t="str">
        <f t="shared" si="47"/>
        <v/>
      </c>
      <c r="AE210" s="201"/>
      <c r="AF210" s="231" t="str">
        <f>+IFERROR(VLOOKUP(L210,Data!$F$4:$G$97,2,0),"")</f>
        <v/>
      </c>
    </row>
    <row r="211" spans="9:32" ht="15" customHeight="1" x14ac:dyDescent="0.3">
      <c r="I211" s="201" t="str">
        <f t="shared" si="40"/>
        <v/>
      </c>
      <c r="J211" s="218">
        <f t="shared" si="41"/>
        <v>208</v>
      </c>
      <c r="K211" s="250"/>
      <c r="L211" s="219"/>
      <c r="M211" s="218"/>
      <c r="N211" s="220" t="str">
        <f>IFERROR(VLOOKUP(M211,Data!$C$4:$D$395,2,0),"")</f>
        <v/>
      </c>
      <c r="O211" s="220"/>
      <c r="P211" s="229"/>
      <c r="Q211" s="221"/>
      <c r="R211" s="222" t="str">
        <f t="shared" si="42"/>
        <v>-</v>
      </c>
      <c r="S211" s="223"/>
      <c r="T211" s="224"/>
      <c r="U211" s="225">
        <f t="shared" si="43"/>
        <v>0</v>
      </c>
      <c r="V211" s="226">
        <v>0</v>
      </c>
      <c r="W211" s="227"/>
      <c r="X211" s="228">
        <f t="shared" si="44"/>
        <v>0</v>
      </c>
      <c r="Y211" s="229"/>
      <c r="Z211" s="229"/>
      <c r="AA211" s="229"/>
      <c r="AB211" s="222">
        <f t="shared" si="45"/>
        <v>0</v>
      </c>
      <c r="AC211" s="230">
        <f t="shared" si="46"/>
        <v>0</v>
      </c>
      <c r="AD211" s="222" t="str">
        <f t="shared" si="47"/>
        <v/>
      </c>
      <c r="AE211" s="201"/>
      <c r="AF211" s="231" t="str">
        <f>+IFERROR(VLOOKUP(L211,Data!$F$4:$G$97,2,0),"")</f>
        <v/>
      </c>
    </row>
    <row r="212" spans="9:32" ht="15" customHeight="1" x14ac:dyDescent="0.3">
      <c r="I212" s="201" t="str">
        <f t="shared" si="40"/>
        <v/>
      </c>
      <c r="J212" s="218">
        <f t="shared" si="41"/>
        <v>209</v>
      </c>
      <c r="K212" s="250"/>
      <c r="L212" s="219"/>
      <c r="M212" s="218"/>
      <c r="N212" s="220" t="str">
        <f>IFERROR(VLOOKUP(M212,Data!$C$4:$D$395,2,0),"")</f>
        <v/>
      </c>
      <c r="O212" s="220"/>
      <c r="P212" s="229"/>
      <c r="Q212" s="221"/>
      <c r="R212" s="222" t="str">
        <f t="shared" si="42"/>
        <v>-</v>
      </c>
      <c r="S212" s="223"/>
      <c r="T212" s="224"/>
      <c r="U212" s="225">
        <f t="shared" si="43"/>
        <v>0</v>
      </c>
      <c r="V212" s="226">
        <v>0</v>
      </c>
      <c r="W212" s="227"/>
      <c r="X212" s="228">
        <f t="shared" si="44"/>
        <v>0</v>
      </c>
      <c r="Y212" s="229"/>
      <c r="Z212" s="229"/>
      <c r="AA212" s="229"/>
      <c r="AB212" s="222">
        <f t="shared" si="45"/>
        <v>0</v>
      </c>
      <c r="AC212" s="230">
        <f t="shared" si="46"/>
        <v>0</v>
      </c>
      <c r="AD212" s="222" t="str">
        <f t="shared" si="47"/>
        <v/>
      </c>
      <c r="AE212" s="201"/>
      <c r="AF212" s="231" t="str">
        <f>+IFERROR(VLOOKUP(L212,Data!$F$4:$G$97,2,0),"")</f>
        <v/>
      </c>
    </row>
    <row r="213" spans="9:32" ht="15" customHeight="1" x14ac:dyDescent="0.3">
      <c r="I213" s="201" t="str">
        <f t="shared" si="40"/>
        <v/>
      </c>
      <c r="J213" s="218">
        <f t="shared" si="41"/>
        <v>210</v>
      </c>
      <c r="K213" s="250"/>
      <c r="L213" s="219"/>
      <c r="M213" s="218"/>
      <c r="N213" s="220" t="str">
        <f>IFERROR(VLOOKUP(M213,Data!$C$4:$D$395,2,0),"")</f>
        <v/>
      </c>
      <c r="O213" s="220"/>
      <c r="P213" s="229"/>
      <c r="Q213" s="221"/>
      <c r="R213" s="222" t="str">
        <f t="shared" si="42"/>
        <v>-</v>
      </c>
      <c r="S213" s="223"/>
      <c r="T213" s="224"/>
      <c r="U213" s="225">
        <f t="shared" si="43"/>
        <v>0</v>
      </c>
      <c r="V213" s="226">
        <v>0</v>
      </c>
      <c r="W213" s="227"/>
      <c r="X213" s="228">
        <f t="shared" si="44"/>
        <v>0</v>
      </c>
      <c r="Y213" s="229"/>
      <c r="Z213" s="229"/>
      <c r="AA213" s="229"/>
      <c r="AB213" s="222">
        <f t="shared" si="45"/>
        <v>0</v>
      </c>
      <c r="AC213" s="230">
        <f t="shared" si="46"/>
        <v>0</v>
      </c>
      <c r="AD213" s="222" t="str">
        <f t="shared" si="47"/>
        <v/>
      </c>
      <c r="AE213" s="201"/>
      <c r="AF213" s="231" t="str">
        <f>+IFERROR(VLOOKUP(L213,Data!$F$4:$G$97,2,0),"")</f>
        <v/>
      </c>
    </row>
    <row r="214" spans="9:32" ht="15" customHeight="1" x14ac:dyDescent="0.3">
      <c r="I214" s="201" t="str">
        <f t="shared" si="40"/>
        <v/>
      </c>
      <c r="J214" s="218">
        <f t="shared" si="41"/>
        <v>211</v>
      </c>
      <c r="K214" s="250"/>
      <c r="L214" s="219"/>
      <c r="M214" s="218"/>
      <c r="N214" s="220" t="str">
        <f>IFERROR(VLOOKUP(M214,Data!$C$4:$D$395,2,0),"")</f>
        <v/>
      </c>
      <c r="O214" s="220"/>
      <c r="P214" s="229"/>
      <c r="Q214" s="221"/>
      <c r="R214" s="222" t="str">
        <f t="shared" si="42"/>
        <v>-</v>
      </c>
      <c r="S214" s="223"/>
      <c r="T214" s="224"/>
      <c r="U214" s="225">
        <f t="shared" si="43"/>
        <v>0</v>
      </c>
      <c r="V214" s="226">
        <v>0</v>
      </c>
      <c r="W214" s="227"/>
      <c r="X214" s="228">
        <f t="shared" si="44"/>
        <v>0</v>
      </c>
      <c r="Y214" s="229"/>
      <c r="Z214" s="229"/>
      <c r="AA214" s="229"/>
      <c r="AB214" s="222">
        <f t="shared" si="45"/>
        <v>0</v>
      </c>
      <c r="AC214" s="230">
        <f t="shared" si="46"/>
        <v>0</v>
      </c>
      <c r="AD214" s="222" t="str">
        <f t="shared" si="47"/>
        <v/>
      </c>
      <c r="AE214" s="201"/>
      <c r="AF214" s="231" t="str">
        <f>+IFERROR(VLOOKUP(L214,Data!$F$4:$G$97,2,0),"")</f>
        <v/>
      </c>
    </row>
    <row r="215" spans="9:32" ht="15" customHeight="1" x14ac:dyDescent="0.3">
      <c r="I215" s="201" t="str">
        <f t="shared" si="40"/>
        <v/>
      </c>
      <c r="J215" s="218">
        <f t="shared" si="41"/>
        <v>212</v>
      </c>
      <c r="K215" s="250"/>
      <c r="L215" s="219"/>
      <c r="M215" s="218"/>
      <c r="N215" s="220" t="str">
        <f>IFERROR(VLOOKUP(M215,Data!$C$4:$D$395,2,0),"")</f>
        <v/>
      </c>
      <c r="O215" s="220"/>
      <c r="P215" s="229"/>
      <c r="Q215" s="221"/>
      <c r="R215" s="222" t="str">
        <f t="shared" si="42"/>
        <v>-</v>
      </c>
      <c r="S215" s="223"/>
      <c r="T215" s="224"/>
      <c r="U215" s="225">
        <f t="shared" si="43"/>
        <v>0</v>
      </c>
      <c r="V215" s="226">
        <v>0</v>
      </c>
      <c r="W215" s="227"/>
      <c r="X215" s="228">
        <f t="shared" si="44"/>
        <v>0</v>
      </c>
      <c r="Y215" s="229"/>
      <c r="Z215" s="229"/>
      <c r="AA215" s="229"/>
      <c r="AB215" s="222">
        <f t="shared" si="45"/>
        <v>0</v>
      </c>
      <c r="AC215" s="230">
        <f t="shared" si="46"/>
        <v>0</v>
      </c>
      <c r="AD215" s="222" t="str">
        <f t="shared" si="47"/>
        <v/>
      </c>
      <c r="AE215" s="201"/>
      <c r="AF215" s="231" t="str">
        <f>+IFERROR(VLOOKUP(L215,Data!$F$4:$G$97,2,0),"")</f>
        <v/>
      </c>
    </row>
    <row r="216" spans="9:32" ht="15" customHeight="1" x14ac:dyDescent="0.3">
      <c r="I216" s="201" t="str">
        <f t="shared" si="40"/>
        <v/>
      </c>
      <c r="J216" s="218">
        <f t="shared" si="41"/>
        <v>213</v>
      </c>
      <c r="K216" s="250"/>
      <c r="L216" s="219"/>
      <c r="M216" s="218"/>
      <c r="N216" s="220" t="str">
        <f>IFERROR(VLOOKUP(M216,Data!$C$4:$D$395,2,0),"")</f>
        <v/>
      </c>
      <c r="O216" s="220"/>
      <c r="P216" s="229"/>
      <c r="Q216" s="221"/>
      <c r="R216" s="222" t="str">
        <f t="shared" si="42"/>
        <v>-</v>
      </c>
      <c r="S216" s="223"/>
      <c r="T216" s="224"/>
      <c r="U216" s="225">
        <f t="shared" si="43"/>
        <v>0</v>
      </c>
      <c r="V216" s="226">
        <v>0</v>
      </c>
      <c r="W216" s="227"/>
      <c r="X216" s="228">
        <f t="shared" si="44"/>
        <v>0</v>
      </c>
      <c r="Y216" s="229"/>
      <c r="Z216" s="229"/>
      <c r="AA216" s="229"/>
      <c r="AB216" s="222">
        <f t="shared" si="45"/>
        <v>0</v>
      </c>
      <c r="AC216" s="230">
        <f t="shared" si="46"/>
        <v>0</v>
      </c>
      <c r="AD216" s="222" t="str">
        <f t="shared" si="47"/>
        <v/>
      </c>
      <c r="AE216" s="201"/>
      <c r="AF216" s="231" t="str">
        <f>+IFERROR(VLOOKUP(L216,Data!$F$4:$G$97,2,0),"")</f>
        <v/>
      </c>
    </row>
    <row r="217" spans="9:32" ht="15" customHeight="1" x14ac:dyDescent="0.3">
      <c r="I217" s="201" t="str">
        <f t="shared" si="40"/>
        <v/>
      </c>
      <c r="J217" s="218">
        <f t="shared" si="41"/>
        <v>214</v>
      </c>
      <c r="K217" s="250"/>
      <c r="L217" s="219"/>
      <c r="M217" s="218"/>
      <c r="N217" s="220" t="str">
        <f>IFERROR(VLOOKUP(M217,Data!$C$4:$D$395,2,0),"")</f>
        <v/>
      </c>
      <c r="O217" s="220"/>
      <c r="P217" s="229"/>
      <c r="Q217" s="221"/>
      <c r="R217" s="222" t="str">
        <f t="shared" si="42"/>
        <v>-</v>
      </c>
      <c r="S217" s="223"/>
      <c r="T217" s="224"/>
      <c r="U217" s="225">
        <f t="shared" si="43"/>
        <v>0</v>
      </c>
      <c r="V217" s="226">
        <v>0</v>
      </c>
      <c r="W217" s="227"/>
      <c r="X217" s="228">
        <f t="shared" si="44"/>
        <v>0</v>
      </c>
      <c r="Y217" s="229"/>
      <c r="Z217" s="229"/>
      <c r="AA217" s="229"/>
      <c r="AB217" s="222">
        <f t="shared" si="45"/>
        <v>0</v>
      </c>
      <c r="AC217" s="230">
        <f t="shared" si="46"/>
        <v>0</v>
      </c>
      <c r="AD217" s="222" t="str">
        <f t="shared" si="47"/>
        <v/>
      </c>
      <c r="AE217" s="201"/>
      <c r="AF217" s="231" t="str">
        <f>+IFERROR(VLOOKUP(L217,Data!$F$4:$G$97,2,0),"")</f>
        <v/>
      </c>
    </row>
    <row r="218" spans="9:32" ht="15" customHeight="1" x14ac:dyDescent="0.3">
      <c r="I218" s="201" t="str">
        <f t="shared" si="40"/>
        <v/>
      </c>
      <c r="J218" s="218">
        <f t="shared" si="41"/>
        <v>215</v>
      </c>
      <c r="K218" s="250"/>
      <c r="L218" s="219"/>
      <c r="M218" s="218"/>
      <c r="N218" s="220" t="str">
        <f>IFERROR(VLOOKUP(M218,Data!$C$4:$D$395,2,0),"")</f>
        <v/>
      </c>
      <c r="O218" s="220"/>
      <c r="P218" s="229"/>
      <c r="Q218" s="221"/>
      <c r="R218" s="222" t="str">
        <f t="shared" si="42"/>
        <v>-</v>
      </c>
      <c r="S218" s="223"/>
      <c r="T218" s="224"/>
      <c r="U218" s="225">
        <f t="shared" si="43"/>
        <v>0</v>
      </c>
      <c r="V218" s="226">
        <v>0</v>
      </c>
      <c r="W218" s="227"/>
      <c r="X218" s="228">
        <f t="shared" si="44"/>
        <v>0</v>
      </c>
      <c r="Y218" s="229"/>
      <c r="Z218" s="229"/>
      <c r="AA218" s="229"/>
      <c r="AB218" s="222">
        <f t="shared" si="45"/>
        <v>0</v>
      </c>
      <c r="AC218" s="230">
        <f t="shared" si="46"/>
        <v>0</v>
      </c>
      <c r="AD218" s="222" t="str">
        <f t="shared" si="47"/>
        <v/>
      </c>
      <c r="AE218" s="201"/>
      <c r="AF218" s="231" t="str">
        <f>+IFERROR(VLOOKUP(L218,Data!$F$4:$G$97,2,0),"")</f>
        <v/>
      </c>
    </row>
    <row r="219" spans="9:32" ht="15" customHeight="1" x14ac:dyDescent="0.3">
      <c r="I219" s="201" t="str">
        <f t="shared" si="40"/>
        <v/>
      </c>
      <c r="J219" s="218">
        <f t="shared" si="41"/>
        <v>216</v>
      </c>
      <c r="K219" s="250"/>
      <c r="L219" s="219"/>
      <c r="M219" s="218"/>
      <c r="N219" s="220" t="str">
        <f>IFERROR(VLOOKUP(M219,Data!$C$4:$D$395,2,0),"")</f>
        <v/>
      </c>
      <c r="O219" s="220"/>
      <c r="P219" s="229"/>
      <c r="Q219" s="221"/>
      <c r="R219" s="222" t="str">
        <f t="shared" si="42"/>
        <v>-</v>
      </c>
      <c r="S219" s="223"/>
      <c r="T219" s="224"/>
      <c r="U219" s="225">
        <f t="shared" si="43"/>
        <v>0</v>
      </c>
      <c r="V219" s="226">
        <v>0</v>
      </c>
      <c r="W219" s="227"/>
      <c r="X219" s="228">
        <f t="shared" si="44"/>
        <v>0</v>
      </c>
      <c r="Y219" s="229"/>
      <c r="Z219" s="229"/>
      <c r="AA219" s="229"/>
      <c r="AB219" s="222">
        <f t="shared" si="45"/>
        <v>0</v>
      </c>
      <c r="AC219" s="230">
        <f t="shared" si="46"/>
        <v>0</v>
      </c>
      <c r="AD219" s="222" t="str">
        <f t="shared" si="47"/>
        <v/>
      </c>
      <c r="AE219" s="201"/>
      <c r="AF219" s="231" t="str">
        <f>+IFERROR(VLOOKUP(L219,Data!$F$4:$G$97,2,0),"")</f>
        <v/>
      </c>
    </row>
    <row r="220" spans="9:32" ht="15" customHeight="1" x14ac:dyDescent="0.3">
      <c r="I220" s="201" t="str">
        <f t="shared" si="40"/>
        <v/>
      </c>
      <c r="J220" s="218">
        <f t="shared" si="41"/>
        <v>217</v>
      </c>
      <c r="K220" s="250"/>
      <c r="L220" s="219"/>
      <c r="M220" s="218"/>
      <c r="N220" s="220" t="str">
        <f>IFERROR(VLOOKUP(M220,Data!$C$4:$D$395,2,0),"")</f>
        <v/>
      </c>
      <c r="O220" s="220"/>
      <c r="P220" s="229"/>
      <c r="Q220" s="221"/>
      <c r="R220" s="222" t="str">
        <f t="shared" si="42"/>
        <v>-</v>
      </c>
      <c r="S220" s="223"/>
      <c r="T220" s="224"/>
      <c r="U220" s="225">
        <f t="shared" si="43"/>
        <v>0</v>
      </c>
      <c r="V220" s="226">
        <v>0</v>
      </c>
      <c r="W220" s="227"/>
      <c r="X220" s="228">
        <f t="shared" si="44"/>
        <v>0</v>
      </c>
      <c r="Y220" s="229"/>
      <c r="Z220" s="229"/>
      <c r="AA220" s="229"/>
      <c r="AB220" s="222">
        <f t="shared" si="45"/>
        <v>0</v>
      </c>
      <c r="AC220" s="230">
        <f t="shared" si="46"/>
        <v>0</v>
      </c>
      <c r="AD220" s="222" t="str">
        <f t="shared" si="47"/>
        <v/>
      </c>
      <c r="AE220" s="201"/>
      <c r="AF220" s="231" t="str">
        <f>+IFERROR(VLOOKUP(L220,Data!$F$4:$G$97,2,0),"")</f>
        <v/>
      </c>
    </row>
    <row r="221" spans="9:32" ht="15" customHeight="1" x14ac:dyDescent="0.3">
      <c r="I221" s="201" t="str">
        <f t="shared" si="40"/>
        <v/>
      </c>
      <c r="J221" s="218">
        <f t="shared" si="41"/>
        <v>218</v>
      </c>
      <c r="K221" s="250"/>
      <c r="L221" s="219"/>
      <c r="M221" s="218"/>
      <c r="N221" s="220" t="str">
        <f>IFERROR(VLOOKUP(M221,Data!$C$4:$D$395,2,0),"")</f>
        <v/>
      </c>
      <c r="O221" s="220"/>
      <c r="P221" s="229"/>
      <c r="Q221" s="221"/>
      <c r="R221" s="222" t="str">
        <f t="shared" si="42"/>
        <v>-</v>
      </c>
      <c r="S221" s="223"/>
      <c r="T221" s="224"/>
      <c r="U221" s="225">
        <f t="shared" si="43"/>
        <v>0</v>
      </c>
      <c r="V221" s="226">
        <v>0</v>
      </c>
      <c r="W221" s="227"/>
      <c r="X221" s="228">
        <f t="shared" si="44"/>
        <v>0</v>
      </c>
      <c r="Y221" s="229"/>
      <c r="Z221" s="229"/>
      <c r="AA221" s="229"/>
      <c r="AB221" s="222">
        <f t="shared" si="45"/>
        <v>0</v>
      </c>
      <c r="AC221" s="230">
        <f t="shared" si="46"/>
        <v>0</v>
      </c>
      <c r="AD221" s="222" t="str">
        <f t="shared" si="47"/>
        <v/>
      </c>
      <c r="AE221" s="201"/>
      <c r="AF221" s="231" t="str">
        <f>+IFERROR(VLOOKUP(L221,Data!$F$4:$G$97,2,0),"")</f>
        <v/>
      </c>
    </row>
    <row r="222" spans="9:32" ht="15" customHeight="1" x14ac:dyDescent="0.3">
      <c r="I222" s="201" t="str">
        <f t="shared" si="40"/>
        <v/>
      </c>
      <c r="J222" s="218">
        <f t="shared" si="41"/>
        <v>219</v>
      </c>
      <c r="K222" s="250"/>
      <c r="L222" s="219"/>
      <c r="M222" s="218"/>
      <c r="N222" s="220" t="str">
        <f>IFERROR(VLOOKUP(M222,Data!$C$4:$D$395,2,0),"")</f>
        <v/>
      </c>
      <c r="O222" s="220"/>
      <c r="P222" s="229"/>
      <c r="Q222" s="221"/>
      <c r="R222" s="222" t="str">
        <f t="shared" si="42"/>
        <v>-</v>
      </c>
      <c r="S222" s="223"/>
      <c r="T222" s="224"/>
      <c r="U222" s="225">
        <f t="shared" si="43"/>
        <v>0</v>
      </c>
      <c r="V222" s="226">
        <v>0</v>
      </c>
      <c r="W222" s="227"/>
      <c r="X222" s="228">
        <f t="shared" si="44"/>
        <v>0</v>
      </c>
      <c r="Y222" s="229"/>
      <c r="Z222" s="229"/>
      <c r="AA222" s="229"/>
      <c r="AB222" s="222">
        <f t="shared" si="45"/>
        <v>0</v>
      </c>
      <c r="AC222" s="230">
        <f t="shared" si="46"/>
        <v>0</v>
      </c>
      <c r="AD222" s="222" t="str">
        <f t="shared" si="47"/>
        <v/>
      </c>
      <c r="AE222" s="201"/>
      <c r="AF222" s="231" t="str">
        <f>+IFERROR(VLOOKUP(L222,Data!$F$4:$G$97,2,0),"")</f>
        <v/>
      </c>
    </row>
    <row r="223" spans="9:32" ht="15" customHeight="1" x14ac:dyDescent="0.3">
      <c r="I223" s="201" t="str">
        <f t="shared" si="40"/>
        <v/>
      </c>
      <c r="J223" s="218">
        <f t="shared" si="41"/>
        <v>220</v>
      </c>
      <c r="K223" s="250"/>
      <c r="L223" s="219"/>
      <c r="M223" s="218"/>
      <c r="N223" s="220" t="str">
        <f>IFERROR(VLOOKUP(M223,Data!$C$4:$D$395,2,0),"")</f>
        <v/>
      </c>
      <c r="O223" s="220"/>
      <c r="P223" s="229"/>
      <c r="Q223" s="221"/>
      <c r="R223" s="222" t="str">
        <f t="shared" si="42"/>
        <v>-</v>
      </c>
      <c r="S223" s="223"/>
      <c r="T223" s="224"/>
      <c r="U223" s="225">
        <f t="shared" si="43"/>
        <v>0</v>
      </c>
      <c r="V223" s="226">
        <v>0</v>
      </c>
      <c r="W223" s="227"/>
      <c r="X223" s="228">
        <f t="shared" si="44"/>
        <v>0</v>
      </c>
      <c r="Y223" s="229"/>
      <c r="Z223" s="229"/>
      <c r="AA223" s="229"/>
      <c r="AB223" s="222">
        <f t="shared" si="45"/>
        <v>0</v>
      </c>
      <c r="AC223" s="230">
        <f t="shared" si="46"/>
        <v>0</v>
      </c>
      <c r="AD223" s="222" t="str">
        <f t="shared" si="47"/>
        <v/>
      </c>
      <c r="AE223" s="201"/>
      <c r="AF223" s="231" t="str">
        <f>+IFERROR(VLOOKUP(L223,Data!$F$4:$G$97,2,0),"")</f>
        <v/>
      </c>
    </row>
    <row r="224" spans="9:32" ht="15" customHeight="1" x14ac:dyDescent="0.3">
      <c r="I224" s="201" t="str">
        <f t="shared" si="40"/>
        <v/>
      </c>
      <c r="J224" s="218">
        <f t="shared" si="41"/>
        <v>221</v>
      </c>
      <c r="K224" s="250"/>
      <c r="L224" s="219"/>
      <c r="M224" s="218"/>
      <c r="N224" s="220" t="str">
        <f>IFERROR(VLOOKUP(M224,Data!$C$4:$D$395,2,0),"")</f>
        <v/>
      </c>
      <c r="O224" s="220"/>
      <c r="P224" s="229"/>
      <c r="Q224" s="221"/>
      <c r="R224" s="222" t="str">
        <f t="shared" si="42"/>
        <v>-</v>
      </c>
      <c r="S224" s="223"/>
      <c r="T224" s="224"/>
      <c r="U224" s="225">
        <f t="shared" si="43"/>
        <v>0</v>
      </c>
      <c r="V224" s="226">
        <v>0</v>
      </c>
      <c r="W224" s="227"/>
      <c r="X224" s="228">
        <f t="shared" si="44"/>
        <v>0</v>
      </c>
      <c r="Y224" s="229"/>
      <c r="Z224" s="229"/>
      <c r="AA224" s="229"/>
      <c r="AB224" s="222">
        <f t="shared" si="45"/>
        <v>0</v>
      </c>
      <c r="AC224" s="230">
        <f t="shared" si="46"/>
        <v>0</v>
      </c>
      <c r="AD224" s="222" t="str">
        <f t="shared" si="47"/>
        <v/>
      </c>
      <c r="AE224" s="201"/>
      <c r="AF224" s="231" t="str">
        <f>+IFERROR(VLOOKUP(L224,Data!$F$4:$G$97,2,0),"")</f>
        <v/>
      </c>
    </row>
    <row r="225" spans="9:32" ht="15" customHeight="1" x14ac:dyDescent="0.3">
      <c r="I225" s="201" t="str">
        <f t="shared" si="40"/>
        <v/>
      </c>
      <c r="J225" s="218">
        <f t="shared" si="41"/>
        <v>222</v>
      </c>
      <c r="K225" s="250"/>
      <c r="L225" s="219"/>
      <c r="M225" s="218"/>
      <c r="N225" s="220" t="str">
        <f>IFERROR(VLOOKUP(M225,Data!$C$4:$D$395,2,0),"")</f>
        <v/>
      </c>
      <c r="O225" s="220"/>
      <c r="P225" s="229"/>
      <c r="Q225" s="221"/>
      <c r="R225" s="222" t="str">
        <f t="shared" si="42"/>
        <v>-</v>
      </c>
      <c r="S225" s="223"/>
      <c r="T225" s="224"/>
      <c r="U225" s="225">
        <f t="shared" si="43"/>
        <v>0</v>
      </c>
      <c r="V225" s="226">
        <v>0</v>
      </c>
      <c r="W225" s="227"/>
      <c r="X225" s="228">
        <f t="shared" si="44"/>
        <v>0</v>
      </c>
      <c r="Y225" s="229"/>
      <c r="Z225" s="229"/>
      <c r="AA225" s="229"/>
      <c r="AB225" s="222">
        <f t="shared" si="45"/>
        <v>0</v>
      </c>
      <c r="AC225" s="230">
        <f t="shared" si="46"/>
        <v>0</v>
      </c>
      <c r="AD225" s="222" t="str">
        <f t="shared" si="47"/>
        <v/>
      </c>
      <c r="AE225" s="201"/>
      <c r="AF225" s="231" t="str">
        <f>+IFERROR(VLOOKUP(L225,Data!$F$4:$G$97,2,0),"")</f>
        <v/>
      </c>
    </row>
    <row r="226" spans="9:32" ht="15" customHeight="1" x14ac:dyDescent="0.3">
      <c r="I226" s="201" t="str">
        <f t="shared" si="40"/>
        <v/>
      </c>
      <c r="J226" s="218">
        <f t="shared" si="41"/>
        <v>223</v>
      </c>
      <c r="K226" s="250"/>
      <c r="L226" s="219"/>
      <c r="M226" s="218"/>
      <c r="N226" s="220" t="str">
        <f>IFERROR(VLOOKUP(M226,Data!$C$4:$D$395,2,0),"")</f>
        <v/>
      </c>
      <c r="O226" s="220"/>
      <c r="P226" s="229"/>
      <c r="Q226" s="221"/>
      <c r="R226" s="222" t="str">
        <f t="shared" si="42"/>
        <v>-</v>
      </c>
      <c r="S226" s="223"/>
      <c r="T226" s="224"/>
      <c r="U226" s="225">
        <f t="shared" si="43"/>
        <v>0</v>
      </c>
      <c r="V226" s="226">
        <v>0</v>
      </c>
      <c r="W226" s="227"/>
      <c r="X226" s="228">
        <f t="shared" si="44"/>
        <v>0</v>
      </c>
      <c r="Y226" s="229"/>
      <c r="Z226" s="229"/>
      <c r="AA226" s="229"/>
      <c r="AB226" s="222">
        <f t="shared" si="45"/>
        <v>0</v>
      </c>
      <c r="AC226" s="230">
        <f t="shared" si="46"/>
        <v>0</v>
      </c>
      <c r="AD226" s="222" t="str">
        <f t="shared" si="47"/>
        <v/>
      </c>
      <c r="AE226" s="201"/>
      <c r="AF226" s="231" t="str">
        <f>+IFERROR(VLOOKUP(L226,Data!$F$4:$G$97,2,0),"")</f>
        <v/>
      </c>
    </row>
    <row r="227" spans="9:32" ht="15" customHeight="1" x14ac:dyDescent="0.3">
      <c r="I227" s="201" t="str">
        <f t="shared" si="40"/>
        <v/>
      </c>
      <c r="J227" s="218">
        <f t="shared" si="41"/>
        <v>224</v>
      </c>
      <c r="K227" s="250"/>
      <c r="L227" s="219"/>
      <c r="M227" s="218"/>
      <c r="N227" s="220" t="str">
        <f>IFERROR(VLOOKUP(M227,Data!$C$4:$D$395,2,0),"")</f>
        <v/>
      </c>
      <c r="O227" s="220"/>
      <c r="P227" s="229"/>
      <c r="Q227" s="221"/>
      <c r="R227" s="222" t="str">
        <f t="shared" si="42"/>
        <v>-</v>
      </c>
      <c r="S227" s="223"/>
      <c r="T227" s="224"/>
      <c r="U227" s="225">
        <f t="shared" si="43"/>
        <v>0</v>
      </c>
      <c r="V227" s="226">
        <v>0</v>
      </c>
      <c r="W227" s="227"/>
      <c r="X227" s="228">
        <f t="shared" si="44"/>
        <v>0</v>
      </c>
      <c r="Y227" s="229"/>
      <c r="Z227" s="229"/>
      <c r="AA227" s="229"/>
      <c r="AB227" s="222">
        <f t="shared" si="45"/>
        <v>0</v>
      </c>
      <c r="AC227" s="230">
        <f t="shared" si="46"/>
        <v>0</v>
      </c>
      <c r="AD227" s="222" t="str">
        <f t="shared" si="47"/>
        <v/>
      </c>
      <c r="AE227" s="201"/>
      <c r="AF227" s="231" t="str">
        <f>+IFERROR(VLOOKUP(L227,Data!$F$4:$G$97,2,0),"")</f>
        <v/>
      </c>
    </row>
    <row r="228" spans="9:32" ht="15" customHeight="1" x14ac:dyDescent="0.3">
      <c r="I228" s="201" t="str">
        <f t="shared" si="40"/>
        <v/>
      </c>
      <c r="J228" s="218">
        <f t="shared" si="41"/>
        <v>225</v>
      </c>
      <c r="K228" s="250"/>
      <c r="L228" s="219"/>
      <c r="M228" s="218"/>
      <c r="N228" s="220" t="str">
        <f>IFERROR(VLOOKUP(M228,Data!$C$4:$D$395,2,0),"")</f>
        <v/>
      </c>
      <c r="O228" s="220"/>
      <c r="P228" s="229"/>
      <c r="Q228" s="221"/>
      <c r="R228" s="222" t="str">
        <f t="shared" si="42"/>
        <v>-</v>
      </c>
      <c r="S228" s="223"/>
      <c r="T228" s="224"/>
      <c r="U228" s="225">
        <f t="shared" si="43"/>
        <v>0</v>
      </c>
      <c r="V228" s="226">
        <v>0</v>
      </c>
      <c r="W228" s="227"/>
      <c r="X228" s="228">
        <f t="shared" si="44"/>
        <v>0</v>
      </c>
      <c r="Y228" s="229"/>
      <c r="Z228" s="229"/>
      <c r="AA228" s="229"/>
      <c r="AB228" s="222">
        <f t="shared" si="45"/>
        <v>0</v>
      </c>
      <c r="AC228" s="230">
        <f t="shared" si="46"/>
        <v>0</v>
      </c>
      <c r="AD228" s="222" t="str">
        <f t="shared" si="47"/>
        <v/>
      </c>
      <c r="AE228" s="201"/>
      <c r="AF228" s="231" t="str">
        <f>+IFERROR(VLOOKUP(L228,Data!$F$4:$G$97,2,0),"")</f>
        <v/>
      </c>
    </row>
    <row r="229" spans="9:32" ht="15" customHeight="1" x14ac:dyDescent="0.3">
      <c r="I229" s="201" t="str">
        <f t="shared" si="40"/>
        <v/>
      </c>
      <c r="J229" s="218">
        <f t="shared" si="41"/>
        <v>226</v>
      </c>
      <c r="K229" s="250"/>
      <c r="L229" s="219"/>
      <c r="M229" s="218"/>
      <c r="N229" s="220" t="str">
        <f>IFERROR(VLOOKUP(M229,Data!$C$4:$D$395,2,0),"")</f>
        <v/>
      </c>
      <c r="O229" s="220"/>
      <c r="P229" s="229"/>
      <c r="Q229" s="221"/>
      <c r="R229" s="222" t="str">
        <f t="shared" si="42"/>
        <v>-</v>
      </c>
      <c r="S229" s="223"/>
      <c r="T229" s="224"/>
      <c r="U229" s="225">
        <f t="shared" si="43"/>
        <v>0</v>
      </c>
      <c r="V229" s="226">
        <v>0</v>
      </c>
      <c r="W229" s="227"/>
      <c r="X229" s="228">
        <f t="shared" si="44"/>
        <v>0</v>
      </c>
      <c r="Y229" s="229"/>
      <c r="Z229" s="229"/>
      <c r="AA229" s="229"/>
      <c r="AB229" s="222">
        <f t="shared" si="45"/>
        <v>0</v>
      </c>
      <c r="AC229" s="230">
        <f t="shared" si="46"/>
        <v>0</v>
      </c>
      <c r="AD229" s="222" t="str">
        <f t="shared" si="47"/>
        <v/>
      </c>
      <c r="AE229" s="201"/>
      <c r="AF229" s="231" t="str">
        <f>+IFERROR(VLOOKUP(L229,Data!$F$4:$G$97,2,0),"")</f>
        <v/>
      </c>
    </row>
    <row r="230" spans="9:32" ht="15" customHeight="1" x14ac:dyDescent="0.3">
      <c r="I230" s="201" t="str">
        <f t="shared" si="40"/>
        <v/>
      </c>
      <c r="J230" s="218">
        <f t="shared" si="41"/>
        <v>227</v>
      </c>
      <c r="K230" s="250"/>
      <c r="L230" s="219"/>
      <c r="M230" s="218"/>
      <c r="N230" s="220" t="str">
        <f>IFERROR(VLOOKUP(M230,Data!$C$4:$D$395,2,0),"")</f>
        <v/>
      </c>
      <c r="O230" s="220"/>
      <c r="P230" s="229"/>
      <c r="Q230" s="221"/>
      <c r="R230" s="222" t="str">
        <f t="shared" si="42"/>
        <v>-</v>
      </c>
      <c r="S230" s="223"/>
      <c r="T230" s="224"/>
      <c r="U230" s="225">
        <f t="shared" si="43"/>
        <v>0</v>
      </c>
      <c r="V230" s="226">
        <v>0</v>
      </c>
      <c r="W230" s="227"/>
      <c r="X230" s="228">
        <f t="shared" si="44"/>
        <v>0</v>
      </c>
      <c r="Y230" s="229"/>
      <c r="Z230" s="229"/>
      <c r="AA230" s="229"/>
      <c r="AB230" s="222">
        <f t="shared" si="45"/>
        <v>0</v>
      </c>
      <c r="AC230" s="230">
        <f t="shared" si="46"/>
        <v>0</v>
      </c>
      <c r="AD230" s="222" t="str">
        <f t="shared" si="47"/>
        <v/>
      </c>
      <c r="AE230" s="201"/>
      <c r="AF230" s="231" t="str">
        <f>+IFERROR(VLOOKUP(L230,Data!$F$4:$G$97,2,0),"")</f>
        <v/>
      </c>
    </row>
    <row r="231" spans="9:32" ht="15" customHeight="1" x14ac:dyDescent="0.3">
      <c r="I231" s="201" t="str">
        <f t="shared" si="40"/>
        <v/>
      </c>
      <c r="J231" s="218">
        <f t="shared" si="41"/>
        <v>228</v>
      </c>
      <c r="K231" s="250"/>
      <c r="L231" s="219"/>
      <c r="M231" s="218"/>
      <c r="N231" s="220" t="str">
        <f>IFERROR(VLOOKUP(M231,Data!$C$4:$D$395,2,0),"")</f>
        <v/>
      </c>
      <c r="O231" s="220"/>
      <c r="P231" s="229"/>
      <c r="Q231" s="221"/>
      <c r="R231" s="222" t="str">
        <f t="shared" si="42"/>
        <v>-</v>
      </c>
      <c r="S231" s="223"/>
      <c r="T231" s="224"/>
      <c r="U231" s="225">
        <f t="shared" si="43"/>
        <v>0</v>
      </c>
      <c r="V231" s="226">
        <v>0</v>
      </c>
      <c r="W231" s="227"/>
      <c r="X231" s="228">
        <f t="shared" si="44"/>
        <v>0</v>
      </c>
      <c r="Y231" s="229"/>
      <c r="Z231" s="229"/>
      <c r="AA231" s="229"/>
      <c r="AB231" s="222">
        <f t="shared" si="45"/>
        <v>0</v>
      </c>
      <c r="AC231" s="230">
        <f t="shared" si="46"/>
        <v>0</v>
      </c>
      <c r="AD231" s="222" t="str">
        <f t="shared" si="47"/>
        <v/>
      </c>
      <c r="AE231" s="201"/>
      <c r="AF231" s="231" t="str">
        <f>+IFERROR(VLOOKUP(L231,Data!$F$4:$G$97,2,0),"")</f>
        <v/>
      </c>
    </row>
    <row r="232" spans="9:32" ht="15" customHeight="1" x14ac:dyDescent="0.3">
      <c r="I232" s="201" t="str">
        <f t="shared" si="40"/>
        <v/>
      </c>
      <c r="J232" s="218">
        <f t="shared" si="41"/>
        <v>229</v>
      </c>
      <c r="K232" s="250"/>
      <c r="L232" s="219"/>
      <c r="M232" s="218"/>
      <c r="N232" s="220" t="str">
        <f>IFERROR(VLOOKUP(M232,Data!$C$4:$D$395,2,0),"")</f>
        <v/>
      </c>
      <c r="O232" s="220"/>
      <c r="P232" s="229"/>
      <c r="Q232" s="221"/>
      <c r="R232" s="222" t="str">
        <f t="shared" si="42"/>
        <v>-</v>
      </c>
      <c r="S232" s="223"/>
      <c r="T232" s="224"/>
      <c r="U232" s="225">
        <f t="shared" si="43"/>
        <v>0</v>
      </c>
      <c r="V232" s="226">
        <v>0</v>
      </c>
      <c r="W232" s="227"/>
      <c r="X232" s="228">
        <f t="shared" si="44"/>
        <v>0</v>
      </c>
      <c r="Y232" s="229"/>
      <c r="Z232" s="229"/>
      <c r="AA232" s="229"/>
      <c r="AB232" s="222">
        <f t="shared" si="45"/>
        <v>0</v>
      </c>
      <c r="AC232" s="230">
        <f t="shared" si="46"/>
        <v>0</v>
      </c>
      <c r="AD232" s="222" t="str">
        <f t="shared" si="47"/>
        <v/>
      </c>
      <c r="AE232" s="201"/>
      <c r="AF232" s="231" t="str">
        <f>+IFERROR(VLOOKUP(L232,Data!$F$4:$G$97,2,0),"")</f>
        <v/>
      </c>
    </row>
    <row r="233" spans="9:32" ht="15" customHeight="1" x14ac:dyDescent="0.3">
      <c r="I233" s="201" t="str">
        <f t="shared" si="40"/>
        <v/>
      </c>
      <c r="J233" s="218">
        <f t="shared" si="41"/>
        <v>230</v>
      </c>
      <c r="K233" s="250"/>
      <c r="L233" s="219"/>
      <c r="M233" s="218"/>
      <c r="N233" s="220" t="str">
        <f>IFERROR(VLOOKUP(M233,Data!$C$4:$D$395,2,0),"")</f>
        <v/>
      </c>
      <c r="O233" s="220"/>
      <c r="P233" s="229"/>
      <c r="Q233" s="221"/>
      <c r="R233" s="222" t="str">
        <f t="shared" si="42"/>
        <v>-</v>
      </c>
      <c r="S233" s="223"/>
      <c r="T233" s="224"/>
      <c r="U233" s="225">
        <f t="shared" si="43"/>
        <v>0</v>
      </c>
      <c r="V233" s="226">
        <v>0</v>
      </c>
      <c r="W233" s="227"/>
      <c r="X233" s="228">
        <f t="shared" si="44"/>
        <v>0</v>
      </c>
      <c r="Y233" s="229"/>
      <c r="Z233" s="229"/>
      <c r="AA233" s="229"/>
      <c r="AB233" s="222">
        <f t="shared" si="45"/>
        <v>0</v>
      </c>
      <c r="AC233" s="230">
        <f t="shared" si="46"/>
        <v>0</v>
      </c>
      <c r="AD233" s="222" t="str">
        <f t="shared" si="47"/>
        <v/>
      </c>
      <c r="AE233" s="201"/>
      <c r="AF233" s="231" t="str">
        <f>+IFERROR(VLOOKUP(L233,Data!$F$4:$G$97,2,0),"")</f>
        <v/>
      </c>
    </row>
    <row r="234" spans="9:32" ht="15" customHeight="1" x14ac:dyDescent="0.3">
      <c r="I234" s="201" t="str">
        <f t="shared" si="40"/>
        <v/>
      </c>
      <c r="J234" s="218">
        <f t="shared" si="41"/>
        <v>231</v>
      </c>
      <c r="K234" s="250"/>
      <c r="L234" s="219"/>
      <c r="M234" s="218"/>
      <c r="N234" s="220" t="str">
        <f>IFERROR(VLOOKUP(M234,Data!$C$4:$D$395,2,0),"")</f>
        <v/>
      </c>
      <c r="O234" s="220"/>
      <c r="P234" s="229"/>
      <c r="Q234" s="221"/>
      <c r="R234" s="222" t="str">
        <f t="shared" si="42"/>
        <v>-</v>
      </c>
      <c r="S234" s="223"/>
      <c r="T234" s="224"/>
      <c r="U234" s="225">
        <f t="shared" si="43"/>
        <v>0</v>
      </c>
      <c r="V234" s="226">
        <v>0</v>
      </c>
      <c r="W234" s="227"/>
      <c r="X234" s="228">
        <f t="shared" si="44"/>
        <v>0</v>
      </c>
      <c r="Y234" s="229"/>
      <c r="Z234" s="229"/>
      <c r="AA234" s="229"/>
      <c r="AB234" s="222">
        <f t="shared" si="45"/>
        <v>0</v>
      </c>
      <c r="AC234" s="230">
        <f t="shared" si="46"/>
        <v>0</v>
      </c>
      <c r="AD234" s="222" t="str">
        <f t="shared" si="47"/>
        <v/>
      </c>
      <c r="AE234" s="201"/>
      <c r="AF234" s="231" t="str">
        <f>+IFERROR(VLOOKUP(L234,Data!$F$4:$G$97,2,0),"")</f>
        <v/>
      </c>
    </row>
    <row r="235" spans="9:32" ht="15" customHeight="1" x14ac:dyDescent="0.3">
      <c r="I235" s="201" t="str">
        <f t="shared" si="40"/>
        <v/>
      </c>
      <c r="J235" s="218">
        <f t="shared" si="41"/>
        <v>232</v>
      </c>
      <c r="K235" s="250"/>
      <c r="L235" s="219"/>
      <c r="M235" s="218"/>
      <c r="N235" s="220" t="str">
        <f>IFERROR(VLOOKUP(M235,Data!$C$4:$D$395,2,0),"")</f>
        <v/>
      </c>
      <c r="O235" s="220"/>
      <c r="P235" s="229"/>
      <c r="Q235" s="221"/>
      <c r="R235" s="222" t="str">
        <f t="shared" si="42"/>
        <v>-</v>
      </c>
      <c r="S235" s="223"/>
      <c r="T235" s="224"/>
      <c r="U235" s="225">
        <f t="shared" si="43"/>
        <v>0</v>
      </c>
      <c r="V235" s="226">
        <v>0</v>
      </c>
      <c r="W235" s="227"/>
      <c r="X235" s="228">
        <f t="shared" si="44"/>
        <v>0</v>
      </c>
      <c r="Y235" s="229"/>
      <c r="Z235" s="229"/>
      <c r="AA235" s="229"/>
      <c r="AB235" s="222">
        <f t="shared" si="45"/>
        <v>0</v>
      </c>
      <c r="AC235" s="230">
        <f t="shared" si="46"/>
        <v>0</v>
      </c>
      <c r="AD235" s="222" t="str">
        <f t="shared" si="47"/>
        <v/>
      </c>
      <c r="AE235" s="201"/>
      <c r="AF235" s="231" t="str">
        <f>+IFERROR(VLOOKUP(L235,Data!$F$4:$G$97,2,0),"")</f>
        <v/>
      </c>
    </row>
    <row r="236" spans="9:32" ht="15" customHeight="1" x14ac:dyDescent="0.3">
      <c r="I236" s="201" t="str">
        <f t="shared" si="40"/>
        <v/>
      </c>
      <c r="J236" s="218">
        <f t="shared" si="41"/>
        <v>233</v>
      </c>
      <c r="K236" s="250"/>
      <c r="L236" s="219"/>
      <c r="M236" s="218"/>
      <c r="N236" s="220" t="str">
        <f>IFERROR(VLOOKUP(M236,Data!$C$4:$D$395,2,0),"")</f>
        <v/>
      </c>
      <c r="O236" s="220"/>
      <c r="P236" s="229"/>
      <c r="Q236" s="221"/>
      <c r="R236" s="222" t="str">
        <f t="shared" si="42"/>
        <v>-</v>
      </c>
      <c r="S236" s="223"/>
      <c r="T236" s="224"/>
      <c r="U236" s="225">
        <f t="shared" si="43"/>
        <v>0</v>
      </c>
      <c r="V236" s="226">
        <v>0</v>
      </c>
      <c r="W236" s="227"/>
      <c r="X236" s="228">
        <f t="shared" si="44"/>
        <v>0</v>
      </c>
      <c r="Y236" s="229"/>
      <c r="Z236" s="229"/>
      <c r="AA236" s="229"/>
      <c r="AB236" s="222">
        <f t="shared" si="45"/>
        <v>0</v>
      </c>
      <c r="AC236" s="230">
        <f t="shared" si="46"/>
        <v>0</v>
      </c>
      <c r="AD236" s="222" t="str">
        <f t="shared" si="47"/>
        <v/>
      </c>
      <c r="AE236" s="201"/>
      <c r="AF236" s="231" t="str">
        <f>+IFERROR(VLOOKUP(L236,Data!$F$4:$G$97,2,0),"")</f>
        <v/>
      </c>
    </row>
    <row r="237" spans="9:32" ht="15" customHeight="1" x14ac:dyDescent="0.3">
      <c r="I237" s="201" t="str">
        <f t="shared" si="40"/>
        <v/>
      </c>
      <c r="J237" s="218">
        <f t="shared" si="41"/>
        <v>234</v>
      </c>
      <c r="K237" s="250"/>
      <c r="L237" s="219"/>
      <c r="M237" s="218"/>
      <c r="N237" s="220" t="str">
        <f>IFERROR(VLOOKUP(M237,Data!$C$4:$D$395,2,0),"")</f>
        <v/>
      </c>
      <c r="O237" s="220"/>
      <c r="P237" s="229"/>
      <c r="Q237" s="221"/>
      <c r="R237" s="222" t="str">
        <f t="shared" si="42"/>
        <v>-</v>
      </c>
      <c r="S237" s="223"/>
      <c r="T237" s="224"/>
      <c r="U237" s="225">
        <f t="shared" si="43"/>
        <v>0</v>
      </c>
      <c r="V237" s="226">
        <v>0</v>
      </c>
      <c r="W237" s="227"/>
      <c r="X237" s="228">
        <f t="shared" si="44"/>
        <v>0</v>
      </c>
      <c r="Y237" s="229"/>
      <c r="Z237" s="229"/>
      <c r="AA237" s="229"/>
      <c r="AB237" s="222">
        <f t="shared" si="45"/>
        <v>0</v>
      </c>
      <c r="AC237" s="230">
        <f t="shared" si="46"/>
        <v>0</v>
      </c>
      <c r="AD237" s="222" t="str">
        <f t="shared" si="47"/>
        <v/>
      </c>
      <c r="AE237" s="201"/>
      <c r="AF237" s="231" t="str">
        <f>+IFERROR(VLOOKUP(L237,Data!$F$4:$G$97,2,0),"")</f>
        <v/>
      </c>
    </row>
    <row r="238" spans="9:32" ht="15" customHeight="1" x14ac:dyDescent="0.3">
      <c r="I238" s="201" t="str">
        <f t="shared" si="40"/>
        <v/>
      </c>
      <c r="J238" s="218">
        <f t="shared" si="41"/>
        <v>235</v>
      </c>
      <c r="K238" s="250"/>
      <c r="L238" s="219"/>
      <c r="M238" s="218"/>
      <c r="N238" s="220" t="str">
        <f>IFERROR(VLOOKUP(M238,Data!$C$4:$D$395,2,0),"")</f>
        <v/>
      </c>
      <c r="O238" s="220"/>
      <c r="P238" s="229"/>
      <c r="Q238" s="221"/>
      <c r="R238" s="222" t="str">
        <f t="shared" si="42"/>
        <v>-</v>
      </c>
      <c r="S238" s="223"/>
      <c r="T238" s="224"/>
      <c r="U238" s="225">
        <f t="shared" si="43"/>
        <v>0</v>
      </c>
      <c r="V238" s="226">
        <v>0</v>
      </c>
      <c r="W238" s="227"/>
      <c r="X238" s="228">
        <f t="shared" si="44"/>
        <v>0</v>
      </c>
      <c r="Y238" s="229"/>
      <c r="Z238" s="229"/>
      <c r="AA238" s="229"/>
      <c r="AB238" s="222">
        <f t="shared" si="45"/>
        <v>0</v>
      </c>
      <c r="AC238" s="230">
        <f t="shared" si="46"/>
        <v>0</v>
      </c>
      <c r="AD238" s="222" t="str">
        <f t="shared" si="47"/>
        <v/>
      </c>
      <c r="AE238" s="201"/>
      <c r="AF238" s="231" t="str">
        <f>+IFERROR(VLOOKUP(L238,Data!$F$4:$G$97,2,0),"")</f>
        <v/>
      </c>
    </row>
    <row r="239" spans="9:32" ht="15" customHeight="1" x14ac:dyDescent="0.3">
      <c r="I239" s="201" t="str">
        <f t="shared" si="40"/>
        <v/>
      </c>
      <c r="J239" s="218">
        <f t="shared" si="41"/>
        <v>236</v>
      </c>
      <c r="K239" s="250"/>
      <c r="L239" s="219"/>
      <c r="M239" s="218"/>
      <c r="N239" s="220" t="str">
        <f>IFERROR(VLOOKUP(M239,Data!$C$4:$D$395,2,0),"")</f>
        <v/>
      </c>
      <c r="O239" s="220"/>
      <c r="P239" s="229"/>
      <c r="Q239" s="221"/>
      <c r="R239" s="222" t="str">
        <f t="shared" si="42"/>
        <v>-</v>
      </c>
      <c r="S239" s="223"/>
      <c r="T239" s="224"/>
      <c r="U239" s="225">
        <f t="shared" si="43"/>
        <v>0</v>
      </c>
      <c r="V239" s="226">
        <v>0</v>
      </c>
      <c r="W239" s="227"/>
      <c r="X239" s="228">
        <f t="shared" si="44"/>
        <v>0</v>
      </c>
      <c r="Y239" s="229"/>
      <c r="Z239" s="229"/>
      <c r="AA239" s="229"/>
      <c r="AB239" s="222">
        <f t="shared" si="45"/>
        <v>0</v>
      </c>
      <c r="AC239" s="230">
        <f t="shared" si="46"/>
        <v>0</v>
      </c>
      <c r="AD239" s="222" t="str">
        <f t="shared" si="47"/>
        <v/>
      </c>
      <c r="AE239" s="201"/>
      <c r="AF239" s="231" t="str">
        <f>+IFERROR(VLOOKUP(L239,Data!$F$4:$G$97,2,0),"")</f>
        <v/>
      </c>
    </row>
    <row r="240" spans="9:32" ht="15" customHeight="1" x14ac:dyDescent="0.3">
      <c r="I240" s="201" t="str">
        <f t="shared" si="40"/>
        <v/>
      </c>
      <c r="J240" s="218">
        <f t="shared" si="41"/>
        <v>237</v>
      </c>
      <c r="K240" s="250"/>
      <c r="L240" s="219"/>
      <c r="M240" s="218"/>
      <c r="N240" s="220" t="str">
        <f>IFERROR(VLOOKUP(M240,Data!$C$4:$D$395,2,0),"")</f>
        <v/>
      </c>
      <c r="O240" s="220"/>
      <c r="P240" s="229"/>
      <c r="Q240" s="221"/>
      <c r="R240" s="222" t="str">
        <f t="shared" si="42"/>
        <v>-</v>
      </c>
      <c r="S240" s="223"/>
      <c r="T240" s="224"/>
      <c r="U240" s="225">
        <f t="shared" si="43"/>
        <v>0</v>
      </c>
      <c r="V240" s="226">
        <v>0</v>
      </c>
      <c r="W240" s="227"/>
      <c r="X240" s="228">
        <f t="shared" si="44"/>
        <v>0</v>
      </c>
      <c r="Y240" s="229"/>
      <c r="Z240" s="229"/>
      <c r="AA240" s="229"/>
      <c r="AB240" s="222">
        <f t="shared" si="45"/>
        <v>0</v>
      </c>
      <c r="AC240" s="230">
        <f t="shared" si="46"/>
        <v>0</v>
      </c>
      <c r="AD240" s="222" t="str">
        <f t="shared" si="47"/>
        <v/>
      </c>
      <c r="AE240" s="201"/>
      <c r="AF240" s="231" t="str">
        <f>+IFERROR(VLOOKUP(L240,Data!$F$4:$G$97,2,0),"")</f>
        <v/>
      </c>
    </row>
    <row r="241" spans="9:32" ht="15" customHeight="1" x14ac:dyDescent="0.3">
      <c r="I241" s="201" t="str">
        <f t="shared" si="40"/>
        <v/>
      </c>
      <c r="J241" s="218">
        <f t="shared" si="41"/>
        <v>238</v>
      </c>
      <c r="K241" s="250"/>
      <c r="L241" s="219"/>
      <c r="M241" s="218"/>
      <c r="N241" s="220" t="str">
        <f>IFERROR(VLOOKUP(M241,Data!$C$4:$D$395,2,0),"")</f>
        <v/>
      </c>
      <c r="O241" s="220"/>
      <c r="P241" s="229"/>
      <c r="Q241" s="221"/>
      <c r="R241" s="222" t="str">
        <f t="shared" si="42"/>
        <v>-</v>
      </c>
      <c r="S241" s="223"/>
      <c r="T241" s="224"/>
      <c r="U241" s="225">
        <f t="shared" si="43"/>
        <v>0</v>
      </c>
      <c r="V241" s="226">
        <v>0</v>
      </c>
      <c r="W241" s="227"/>
      <c r="X241" s="228">
        <f t="shared" si="44"/>
        <v>0</v>
      </c>
      <c r="Y241" s="229"/>
      <c r="Z241" s="229"/>
      <c r="AA241" s="229"/>
      <c r="AB241" s="222">
        <f t="shared" si="45"/>
        <v>0</v>
      </c>
      <c r="AC241" s="230">
        <f t="shared" si="46"/>
        <v>0</v>
      </c>
      <c r="AD241" s="222" t="str">
        <f t="shared" si="47"/>
        <v/>
      </c>
      <c r="AE241" s="201"/>
      <c r="AF241" s="231" t="str">
        <f>+IFERROR(VLOOKUP(L241,Data!$F$4:$G$97,2,0),"")</f>
        <v/>
      </c>
    </row>
    <row r="242" spans="9:32" ht="15" customHeight="1" x14ac:dyDescent="0.3">
      <c r="I242" s="201" t="str">
        <f t="shared" si="40"/>
        <v/>
      </c>
      <c r="J242" s="218">
        <f t="shared" si="41"/>
        <v>239</v>
      </c>
      <c r="K242" s="250"/>
      <c r="L242" s="219"/>
      <c r="M242" s="218"/>
      <c r="N242" s="220" t="str">
        <f>IFERROR(VLOOKUP(M242,Data!$C$4:$D$395,2,0),"")</f>
        <v/>
      </c>
      <c r="O242" s="220"/>
      <c r="P242" s="229"/>
      <c r="Q242" s="221"/>
      <c r="R242" s="222" t="str">
        <f t="shared" si="42"/>
        <v>-</v>
      </c>
      <c r="S242" s="223"/>
      <c r="T242" s="224"/>
      <c r="U242" s="225">
        <f t="shared" si="43"/>
        <v>0</v>
      </c>
      <c r="V242" s="226">
        <v>0</v>
      </c>
      <c r="W242" s="227"/>
      <c r="X242" s="228">
        <f t="shared" si="44"/>
        <v>0</v>
      </c>
      <c r="Y242" s="229"/>
      <c r="Z242" s="229"/>
      <c r="AA242" s="229"/>
      <c r="AB242" s="222">
        <f t="shared" si="45"/>
        <v>0</v>
      </c>
      <c r="AC242" s="230">
        <f t="shared" si="46"/>
        <v>0</v>
      </c>
      <c r="AD242" s="222" t="str">
        <f t="shared" si="47"/>
        <v/>
      </c>
      <c r="AE242" s="201"/>
      <c r="AF242" s="231" t="str">
        <f>+IFERROR(VLOOKUP(L242,Data!$F$4:$G$97,2,0),"")</f>
        <v/>
      </c>
    </row>
    <row r="243" spans="9:32" ht="15" customHeight="1" x14ac:dyDescent="0.3">
      <c r="I243" s="201" t="str">
        <f t="shared" si="40"/>
        <v/>
      </c>
      <c r="J243" s="218">
        <f t="shared" si="41"/>
        <v>240</v>
      </c>
      <c r="K243" s="250"/>
      <c r="L243" s="219"/>
      <c r="M243" s="218"/>
      <c r="N243" s="220" t="str">
        <f>IFERROR(VLOOKUP(M243,Data!$C$4:$D$395,2,0),"")</f>
        <v/>
      </c>
      <c r="O243" s="220"/>
      <c r="P243" s="229"/>
      <c r="Q243" s="221"/>
      <c r="R243" s="222" t="str">
        <f t="shared" si="42"/>
        <v>-</v>
      </c>
      <c r="S243" s="223"/>
      <c r="T243" s="224"/>
      <c r="U243" s="225">
        <f t="shared" si="43"/>
        <v>0</v>
      </c>
      <c r="V243" s="226">
        <v>0</v>
      </c>
      <c r="W243" s="227"/>
      <c r="X243" s="228">
        <f t="shared" si="44"/>
        <v>0</v>
      </c>
      <c r="Y243" s="229"/>
      <c r="Z243" s="229"/>
      <c r="AA243" s="229"/>
      <c r="AB243" s="222">
        <f t="shared" si="45"/>
        <v>0</v>
      </c>
      <c r="AC243" s="230">
        <f t="shared" si="46"/>
        <v>0</v>
      </c>
      <c r="AD243" s="222" t="str">
        <f t="shared" si="47"/>
        <v/>
      </c>
      <c r="AE243" s="201"/>
      <c r="AF243" s="231" t="str">
        <f>+IFERROR(VLOOKUP(L243,Data!$F$4:$G$97,2,0),"")</f>
        <v/>
      </c>
    </row>
    <row r="244" spans="9:32" ht="15" customHeight="1" x14ac:dyDescent="0.3">
      <c r="I244" s="201" t="str">
        <f t="shared" si="40"/>
        <v/>
      </c>
      <c r="J244" s="218">
        <f t="shared" si="41"/>
        <v>241</v>
      </c>
      <c r="K244" s="250"/>
      <c r="L244" s="219"/>
      <c r="M244" s="218"/>
      <c r="N244" s="220" t="str">
        <f>IFERROR(VLOOKUP(M244,Data!$C$4:$D$395,2,0),"")</f>
        <v/>
      </c>
      <c r="O244" s="220"/>
      <c r="P244" s="229"/>
      <c r="Q244" s="221"/>
      <c r="R244" s="222" t="str">
        <f t="shared" si="42"/>
        <v>-</v>
      </c>
      <c r="S244" s="223"/>
      <c r="T244" s="224"/>
      <c r="U244" s="225">
        <f t="shared" si="43"/>
        <v>0</v>
      </c>
      <c r="V244" s="226">
        <v>0</v>
      </c>
      <c r="W244" s="227"/>
      <c r="X244" s="228">
        <f t="shared" si="44"/>
        <v>0</v>
      </c>
      <c r="Y244" s="229"/>
      <c r="Z244" s="229"/>
      <c r="AA244" s="229"/>
      <c r="AB244" s="222">
        <f t="shared" si="45"/>
        <v>0</v>
      </c>
      <c r="AC244" s="230">
        <f t="shared" si="46"/>
        <v>0</v>
      </c>
      <c r="AD244" s="222" t="str">
        <f t="shared" si="47"/>
        <v/>
      </c>
      <c r="AE244" s="201"/>
      <c r="AF244" s="231" t="str">
        <f>+IFERROR(VLOOKUP(L244,Data!$F$4:$G$97,2,0),"")</f>
        <v/>
      </c>
    </row>
    <row r="245" spans="9:32" ht="15" customHeight="1" x14ac:dyDescent="0.3">
      <c r="I245" s="201" t="str">
        <f t="shared" si="40"/>
        <v/>
      </c>
      <c r="J245" s="218">
        <f t="shared" si="41"/>
        <v>242</v>
      </c>
      <c r="K245" s="250"/>
      <c r="L245" s="219"/>
      <c r="M245" s="218"/>
      <c r="N245" s="220" t="str">
        <f>IFERROR(VLOOKUP(M245,Data!$C$4:$D$395,2,0),"")</f>
        <v/>
      </c>
      <c r="O245" s="220"/>
      <c r="P245" s="229"/>
      <c r="Q245" s="221"/>
      <c r="R245" s="222" t="str">
        <f t="shared" si="42"/>
        <v>-</v>
      </c>
      <c r="S245" s="223"/>
      <c r="T245" s="224"/>
      <c r="U245" s="225">
        <f t="shared" si="43"/>
        <v>0</v>
      </c>
      <c r="V245" s="226">
        <v>0</v>
      </c>
      <c r="W245" s="227"/>
      <c r="X245" s="228">
        <f t="shared" si="44"/>
        <v>0</v>
      </c>
      <c r="Y245" s="229"/>
      <c r="Z245" s="229"/>
      <c r="AA245" s="229"/>
      <c r="AB245" s="222">
        <f t="shared" si="45"/>
        <v>0</v>
      </c>
      <c r="AC245" s="230">
        <f t="shared" si="46"/>
        <v>0</v>
      </c>
      <c r="AD245" s="222" t="str">
        <f t="shared" si="47"/>
        <v/>
      </c>
      <c r="AE245" s="201"/>
      <c r="AF245" s="231" t="str">
        <f>+IFERROR(VLOOKUP(L245,Data!$F$4:$G$97,2,0),"")</f>
        <v/>
      </c>
    </row>
    <row r="246" spans="9:32" ht="15" customHeight="1" x14ac:dyDescent="0.3">
      <c r="I246" s="201" t="str">
        <f t="shared" si="40"/>
        <v/>
      </c>
      <c r="J246" s="218">
        <f t="shared" si="41"/>
        <v>243</v>
      </c>
      <c r="K246" s="250"/>
      <c r="L246" s="219"/>
      <c r="M246" s="218"/>
      <c r="N246" s="220" t="str">
        <f>IFERROR(VLOOKUP(M246,Data!$C$4:$D$395,2,0),"")</f>
        <v/>
      </c>
      <c r="O246" s="220"/>
      <c r="P246" s="229"/>
      <c r="Q246" s="221"/>
      <c r="R246" s="222" t="str">
        <f t="shared" si="42"/>
        <v>-</v>
      </c>
      <c r="S246" s="223"/>
      <c r="T246" s="224"/>
      <c r="U246" s="225">
        <f t="shared" si="43"/>
        <v>0</v>
      </c>
      <c r="V246" s="226">
        <v>0</v>
      </c>
      <c r="W246" s="227"/>
      <c r="X246" s="228">
        <f t="shared" si="44"/>
        <v>0</v>
      </c>
      <c r="Y246" s="229"/>
      <c r="Z246" s="229"/>
      <c r="AA246" s="229"/>
      <c r="AB246" s="222">
        <f t="shared" si="45"/>
        <v>0</v>
      </c>
      <c r="AC246" s="230">
        <f t="shared" si="46"/>
        <v>0</v>
      </c>
      <c r="AD246" s="222" t="str">
        <f t="shared" si="47"/>
        <v/>
      </c>
      <c r="AE246" s="201"/>
      <c r="AF246" s="231" t="str">
        <f>+IFERROR(VLOOKUP(L246,Data!$F$4:$G$97,2,0),"")</f>
        <v/>
      </c>
    </row>
    <row r="247" spans="9:32" ht="15" customHeight="1" x14ac:dyDescent="0.3">
      <c r="I247" s="201" t="str">
        <f t="shared" si="40"/>
        <v/>
      </c>
      <c r="J247" s="218">
        <f t="shared" si="41"/>
        <v>244</v>
      </c>
      <c r="K247" s="250"/>
      <c r="L247" s="219"/>
      <c r="M247" s="218"/>
      <c r="N247" s="220" t="str">
        <f>IFERROR(VLOOKUP(M247,Data!$C$4:$D$395,2,0),"")</f>
        <v/>
      </c>
      <c r="O247" s="220"/>
      <c r="P247" s="229"/>
      <c r="Q247" s="221"/>
      <c r="R247" s="222" t="str">
        <f t="shared" si="42"/>
        <v>-</v>
      </c>
      <c r="S247" s="223"/>
      <c r="T247" s="224"/>
      <c r="U247" s="225">
        <f t="shared" si="43"/>
        <v>0</v>
      </c>
      <c r="V247" s="226">
        <v>0</v>
      </c>
      <c r="W247" s="227"/>
      <c r="X247" s="228">
        <f t="shared" si="44"/>
        <v>0</v>
      </c>
      <c r="Y247" s="229"/>
      <c r="Z247" s="229"/>
      <c r="AA247" s="229"/>
      <c r="AB247" s="222">
        <f t="shared" si="45"/>
        <v>0</v>
      </c>
      <c r="AC247" s="230">
        <f t="shared" si="46"/>
        <v>0</v>
      </c>
      <c r="AD247" s="222" t="str">
        <f t="shared" si="47"/>
        <v/>
      </c>
      <c r="AE247" s="201"/>
      <c r="AF247" s="231" t="str">
        <f>+IFERROR(VLOOKUP(L247,Data!$F$4:$G$97,2,0),"")</f>
        <v/>
      </c>
    </row>
    <row r="248" spans="9:32" ht="15" customHeight="1" x14ac:dyDescent="0.3">
      <c r="I248" s="201" t="str">
        <f t="shared" si="40"/>
        <v/>
      </c>
      <c r="J248" s="218">
        <f t="shared" si="41"/>
        <v>245</v>
      </c>
      <c r="K248" s="250"/>
      <c r="L248" s="219"/>
      <c r="M248" s="218"/>
      <c r="N248" s="220" t="str">
        <f>IFERROR(VLOOKUP(M248,Data!$C$4:$D$395,2,0),"")</f>
        <v/>
      </c>
      <c r="O248" s="220"/>
      <c r="P248" s="229"/>
      <c r="Q248" s="221"/>
      <c r="R248" s="222" t="str">
        <f t="shared" si="42"/>
        <v>-</v>
      </c>
      <c r="S248" s="223"/>
      <c r="T248" s="224"/>
      <c r="U248" s="225">
        <f t="shared" si="43"/>
        <v>0</v>
      </c>
      <c r="V248" s="226">
        <v>0</v>
      </c>
      <c r="W248" s="227"/>
      <c r="X248" s="228">
        <f t="shared" si="44"/>
        <v>0</v>
      </c>
      <c r="Y248" s="229"/>
      <c r="Z248" s="229"/>
      <c r="AA248" s="229"/>
      <c r="AB248" s="222">
        <f t="shared" si="45"/>
        <v>0</v>
      </c>
      <c r="AC248" s="230">
        <f t="shared" si="46"/>
        <v>0</v>
      </c>
      <c r="AD248" s="222" t="str">
        <f t="shared" si="47"/>
        <v/>
      </c>
      <c r="AE248" s="201"/>
      <c r="AF248" s="231" t="str">
        <f>+IFERROR(VLOOKUP(L248,Data!$F$4:$G$97,2,0),"")</f>
        <v/>
      </c>
    </row>
    <row r="249" spans="9:32" ht="15" customHeight="1" x14ac:dyDescent="0.3">
      <c r="I249" s="201" t="str">
        <f t="shared" si="40"/>
        <v/>
      </c>
      <c r="J249" s="218">
        <f t="shared" si="41"/>
        <v>246</v>
      </c>
      <c r="K249" s="250"/>
      <c r="L249" s="219"/>
      <c r="M249" s="218"/>
      <c r="N249" s="220" t="str">
        <f>IFERROR(VLOOKUP(M249,Data!$C$4:$D$395,2,0),"")</f>
        <v/>
      </c>
      <c r="O249" s="220"/>
      <c r="P249" s="229"/>
      <c r="Q249" s="221"/>
      <c r="R249" s="222" t="str">
        <f t="shared" si="42"/>
        <v>-</v>
      </c>
      <c r="S249" s="223"/>
      <c r="T249" s="224"/>
      <c r="U249" s="225">
        <f t="shared" si="43"/>
        <v>0</v>
      </c>
      <c r="V249" s="226">
        <v>0</v>
      </c>
      <c r="W249" s="227"/>
      <c r="X249" s="228">
        <f t="shared" si="44"/>
        <v>0</v>
      </c>
      <c r="Y249" s="229"/>
      <c r="Z249" s="229"/>
      <c r="AA249" s="229"/>
      <c r="AB249" s="222">
        <f t="shared" si="45"/>
        <v>0</v>
      </c>
      <c r="AC249" s="230">
        <f t="shared" si="46"/>
        <v>0</v>
      </c>
      <c r="AD249" s="222" t="str">
        <f t="shared" si="47"/>
        <v/>
      </c>
      <c r="AE249" s="201"/>
      <c r="AF249" s="231" t="str">
        <f>+IFERROR(VLOOKUP(L249,Data!$F$4:$G$97,2,0),"")</f>
        <v/>
      </c>
    </row>
    <row r="250" spans="9:32" ht="15" customHeight="1" x14ac:dyDescent="0.3">
      <c r="I250" s="201" t="str">
        <f t="shared" si="40"/>
        <v/>
      </c>
      <c r="J250" s="218">
        <f t="shared" si="41"/>
        <v>247</v>
      </c>
      <c r="K250" s="250"/>
      <c r="L250" s="219"/>
      <c r="M250" s="218"/>
      <c r="N250" s="220" t="str">
        <f>IFERROR(VLOOKUP(M250,Data!$C$4:$D$395,2,0),"")</f>
        <v/>
      </c>
      <c r="O250" s="220"/>
      <c r="P250" s="229"/>
      <c r="Q250" s="221"/>
      <c r="R250" s="222" t="str">
        <f t="shared" si="42"/>
        <v>-</v>
      </c>
      <c r="S250" s="223"/>
      <c r="T250" s="224"/>
      <c r="U250" s="225">
        <f t="shared" si="43"/>
        <v>0</v>
      </c>
      <c r="V250" s="226">
        <v>0</v>
      </c>
      <c r="W250" s="227"/>
      <c r="X250" s="228">
        <f t="shared" si="44"/>
        <v>0</v>
      </c>
      <c r="Y250" s="229"/>
      <c r="Z250" s="229"/>
      <c r="AA250" s="229"/>
      <c r="AB250" s="222">
        <f t="shared" si="45"/>
        <v>0</v>
      </c>
      <c r="AC250" s="230">
        <f t="shared" si="46"/>
        <v>0</v>
      </c>
      <c r="AD250" s="222" t="str">
        <f t="shared" si="47"/>
        <v/>
      </c>
      <c r="AE250" s="201"/>
      <c r="AF250" s="231" t="str">
        <f>+IFERROR(VLOOKUP(L250,Data!$F$4:$G$97,2,0),"")</f>
        <v/>
      </c>
    </row>
    <row r="251" spans="9:32" ht="15" customHeight="1" x14ac:dyDescent="0.3">
      <c r="I251" s="201" t="str">
        <f t="shared" si="40"/>
        <v/>
      </c>
      <c r="J251" s="218">
        <f t="shared" si="41"/>
        <v>248</v>
      </c>
      <c r="K251" s="250"/>
      <c r="L251" s="219"/>
      <c r="M251" s="218"/>
      <c r="N251" s="220" t="str">
        <f>IFERROR(VLOOKUP(M251,Data!$C$4:$D$395,2,0),"")</f>
        <v/>
      </c>
      <c r="O251" s="220"/>
      <c r="P251" s="229"/>
      <c r="Q251" s="221"/>
      <c r="R251" s="222" t="str">
        <f t="shared" si="42"/>
        <v>-</v>
      </c>
      <c r="S251" s="223"/>
      <c r="T251" s="224"/>
      <c r="U251" s="225">
        <f t="shared" si="43"/>
        <v>0</v>
      </c>
      <c r="V251" s="226">
        <v>0</v>
      </c>
      <c r="W251" s="227"/>
      <c r="X251" s="228">
        <f t="shared" si="44"/>
        <v>0</v>
      </c>
      <c r="Y251" s="229"/>
      <c r="Z251" s="229"/>
      <c r="AA251" s="229"/>
      <c r="AB251" s="222">
        <f t="shared" si="45"/>
        <v>0</v>
      </c>
      <c r="AC251" s="230">
        <f t="shared" si="46"/>
        <v>0</v>
      </c>
      <c r="AD251" s="222" t="str">
        <f t="shared" si="47"/>
        <v/>
      </c>
      <c r="AE251" s="201"/>
      <c r="AF251" s="231" t="str">
        <f>+IFERROR(VLOOKUP(L251,Data!$F$4:$G$97,2,0),"")</f>
        <v/>
      </c>
    </row>
    <row r="252" spans="9:32" ht="15" customHeight="1" x14ac:dyDescent="0.3">
      <c r="I252" s="201" t="str">
        <f t="shared" si="40"/>
        <v/>
      </c>
      <c r="J252" s="218">
        <f t="shared" si="41"/>
        <v>249</v>
      </c>
      <c r="K252" s="250"/>
      <c r="L252" s="219"/>
      <c r="M252" s="218"/>
      <c r="N252" s="220" t="str">
        <f>IFERROR(VLOOKUP(M252,Data!$C$4:$D$395,2,0),"")</f>
        <v/>
      </c>
      <c r="O252" s="220"/>
      <c r="P252" s="229"/>
      <c r="Q252" s="221"/>
      <c r="R252" s="222" t="str">
        <f t="shared" si="42"/>
        <v>-</v>
      </c>
      <c r="S252" s="223"/>
      <c r="T252" s="224"/>
      <c r="U252" s="225">
        <f t="shared" si="43"/>
        <v>0</v>
      </c>
      <c r="V252" s="226">
        <v>0</v>
      </c>
      <c r="W252" s="227"/>
      <c r="X252" s="228">
        <f t="shared" si="44"/>
        <v>0</v>
      </c>
      <c r="Y252" s="229"/>
      <c r="Z252" s="229"/>
      <c r="AA252" s="229"/>
      <c r="AB252" s="222">
        <f t="shared" si="45"/>
        <v>0</v>
      </c>
      <c r="AC252" s="230">
        <f t="shared" si="46"/>
        <v>0</v>
      </c>
      <c r="AD252" s="222" t="str">
        <f t="shared" si="47"/>
        <v/>
      </c>
      <c r="AE252" s="201"/>
      <c r="AF252" s="231" t="str">
        <f>+IFERROR(VLOOKUP(L252,Data!$F$4:$G$97,2,0),"")</f>
        <v/>
      </c>
    </row>
    <row r="253" spans="9:32" ht="15" customHeight="1" x14ac:dyDescent="0.3">
      <c r="I253" s="201" t="str">
        <f t="shared" ref="I253:I316" si="48">+AF253</f>
        <v/>
      </c>
      <c r="J253" s="218">
        <f t="shared" si="41"/>
        <v>250</v>
      </c>
      <c r="K253" s="250"/>
      <c r="L253" s="219"/>
      <c r="M253" s="218"/>
      <c r="N253" s="220" t="str">
        <f>IFERROR(VLOOKUP(M253,Data!$C$4:$D$395,2,0),"")</f>
        <v/>
      </c>
      <c r="O253" s="220"/>
      <c r="P253" s="229"/>
      <c r="Q253" s="221"/>
      <c r="R253" s="222" t="str">
        <f t="shared" si="42"/>
        <v>-</v>
      </c>
      <c r="S253" s="223"/>
      <c r="T253" s="224"/>
      <c r="U253" s="225">
        <f t="shared" si="43"/>
        <v>0</v>
      </c>
      <c r="V253" s="226">
        <v>0</v>
      </c>
      <c r="W253" s="227"/>
      <c r="X253" s="228">
        <f t="shared" si="44"/>
        <v>0</v>
      </c>
      <c r="Y253" s="229"/>
      <c r="Z253" s="229"/>
      <c r="AA253" s="229"/>
      <c r="AB253" s="222">
        <f t="shared" si="45"/>
        <v>0</v>
      </c>
      <c r="AC253" s="230">
        <f t="shared" si="46"/>
        <v>0</v>
      </c>
      <c r="AD253" s="222" t="str">
        <f t="shared" si="47"/>
        <v/>
      </c>
      <c r="AE253" s="201"/>
      <c r="AF253" s="231" t="str">
        <f>+IFERROR(VLOOKUP(L253,Data!$F$4:$G$97,2,0),"")</f>
        <v/>
      </c>
    </row>
    <row r="254" spans="9:32" ht="15" customHeight="1" x14ac:dyDescent="0.3">
      <c r="I254" s="201" t="str">
        <f t="shared" si="48"/>
        <v/>
      </c>
      <c r="J254" s="218">
        <f t="shared" ref="J254:J317" si="49">J253+1</f>
        <v>251</v>
      </c>
      <c r="K254" s="250"/>
      <c r="L254" s="219"/>
      <c r="M254" s="218"/>
      <c r="N254" s="220" t="str">
        <f>IFERROR(VLOOKUP(M254,Data!$C$4:$D$395,2,0),"")</f>
        <v/>
      </c>
      <c r="O254" s="220"/>
      <c r="P254" s="229"/>
      <c r="Q254" s="221"/>
      <c r="R254" s="222" t="str">
        <f t="shared" si="42"/>
        <v>-</v>
      </c>
      <c r="S254" s="223"/>
      <c r="T254" s="224"/>
      <c r="U254" s="225">
        <f t="shared" si="43"/>
        <v>0</v>
      </c>
      <c r="V254" s="226">
        <v>0</v>
      </c>
      <c r="W254" s="227"/>
      <c r="X254" s="228">
        <f t="shared" si="44"/>
        <v>0</v>
      </c>
      <c r="Y254" s="229"/>
      <c r="Z254" s="229"/>
      <c r="AA254" s="229"/>
      <c r="AB254" s="222">
        <f t="shared" si="45"/>
        <v>0</v>
      </c>
      <c r="AC254" s="230">
        <f t="shared" si="46"/>
        <v>0</v>
      </c>
      <c r="AD254" s="222" t="str">
        <f t="shared" si="47"/>
        <v/>
      </c>
      <c r="AE254" s="201"/>
      <c r="AF254" s="231" t="str">
        <f>+IFERROR(VLOOKUP(L254,Data!$F$4:$G$97,2,0),"")</f>
        <v/>
      </c>
    </row>
    <row r="255" spans="9:32" ht="15" customHeight="1" x14ac:dyDescent="0.3">
      <c r="I255" s="201" t="str">
        <f t="shared" si="48"/>
        <v/>
      </c>
      <c r="J255" s="218">
        <f t="shared" si="49"/>
        <v>252</v>
      </c>
      <c r="K255" s="250"/>
      <c r="L255" s="219"/>
      <c r="M255" s="218"/>
      <c r="N255" s="220" t="str">
        <f>IFERROR(VLOOKUP(M255,Data!$C$4:$D$395,2,0),"")</f>
        <v/>
      </c>
      <c r="O255" s="220"/>
      <c r="P255" s="229"/>
      <c r="Q255" s="221"/>
      <c r="R255" s="222" t="str">
        <f t="shared" si="42"/>
        <v>-</v>
      </c>
      <c r="S255" s="223"/>
      <c r="T255" s="224"/>
      <c r="U255" s="225">
        <f t="shared" si="43"/>
        <v>0</v>
      </c>
      <c r="V255" s="226">
        <v>0</v>
      </c>
      <c r="W255" s="227"/>
      <c r="X255" s="228">
        <f t="shared" si="44"/>
        <v>0</v>
      </c>
      <c r="Y255" s="229"/>
      <c r="Z255" s="229"/>
      <c r="AA255" s="229"/>
      <c r="AB255" s="222">
        <f t="shared" si="45"/>
        <v>0</v>
      </c>
      <c r="AC255" s="230">
        <f t="shared" si="46"/>
        <v>0</v>
      </c>
      <c r="AD255" s="222" t="str">
        <f t="shared" si="47"/>
        <v/>
      </c>
      <c r="AE255" s="201"/>
      <c r="AF255" s="231" t="str">
        <f>+IFERROR(VLOOKUP(L255,Data!$F$4:$G$97,2,0),"")</f>
        <v/>
      </c>
    </row>
    <row r="256" spans="9:32" ht="15" customHeight="1" x14ac:dyDescent="0.3">
      <c r="I256" s="201" t="str">
        <f t="shared" si="48"/>
        <v/>
      </c>
      <c r="J256" s="218">
        <f t="shared" si="49"/>
        <v>253</v>
      </c>
      <c r="K256" s="250"/>
      <c r="L256" s="219"/>
      <c r="M256" s="218"/>
      <c r="N256" s="220" t="str">
        <f>IFERROR(VLOOKUP(M256,Data!$C$4:$D$395,2,0),"")</f>
        <v/>
      </c>
      <c r="O256" s="220"/>
      <c r="P256" s="229"/>
      <c r="Q256" s="221"/>
      <c r="R256" s="222" t="str">
        <f t="shared" ref="R256:R319" si="50">IFERROR(Q256/P256, "-")</f>
        <v>-</v>
      </c>
      <c r="S256" s="223"/>
      <c r="T256" s="224"/>
      <c r="U256" s="225">
        <f t="shared" ref="U256:U319" si="51">+Q256*S256+P256*T256</f>
        <v>0</v>
      </c>
      <c r="V256" s="226">
        <v>0</v>
      </c>
      <c r="W256" s="227"/>
      <c r="X256" s="228">
        <f t="shared" ref="X256:X319" si="52">+Q256*V256+P256*W256</f>
        <v>0</v>
      </c>
      <c r="Y256" s="229"/>
      <c r="Z256" s="229"/>
      <c r="AA256" s="229"/>
      <c r="AB256" s="222">
        <f t="shared" ref="AB256:AB319" si="53">+Y256+Z256+AA256</f>
        <v>0</v>
      </c>
      <c r="AC256" s="230">
        <f t="shared" ref="AC256:AC319" si="54">IF((U256-Y256-Z256-AA256)&lt;0,"",(U256-Y256-Z256-AA256))</f>
        <v>0</v>
      </c>
      <c r="AD256" s="222" t="str">
        <f t="shared" ref="AD256:AD319" si="55">IF((U256-Y256-Z256-AA256)&lt;0,(Y256+Z256+AA256-U256),"")</f>
        <v/>
      </c>
      <c r="AE256" s="201"/>
      <c r="AF256" s="231" t="str">
        <f>+IFERROR(VLOOKUP(L256,Data!$F$4:$G$97,2,0),"")</f>
        <v/>
      </c>
    </row>
    <row r="257" spans="9:32" ht="15" customHeight="1" x14ac:dyDescent="0.3">
      <c r="I257" s="201" t="str">
        <f t="shared" si="48"/>
        <v/>
      </c>
      <c r="J257" s="218">
        <f t="shared" si="49"/>
        <v>254</v>
      </c>
      <c r="K257" s="250"/>
      <c r="L257" s="219"/>
      <c r="M257" s="218"/>
      <c r="N257" s="220" t="str">
        <f>IFERROR(VLOOKUP(M257,Data!$C$4:$D$395,2,0),"")</f>
        <v/>
      </c>
      <c r="O257" s="220"/>
      <c r="P257" s="229"/>
      <c r="Q257" s="221"/>
      <c r="R257" s="222" t="str">
        <f t="shared" si="50"/>
        <v>-</v>
      </c>
      <c r="S257" s="223"/>
      <c r="T257" s="224"/>
      <c r="U257" s="225">
        <f t="shared" si="51"/>
        <v>0</v>
      </c>
      <c r="V257" s="226">
        <v>0</v>
      </c>
      <c r="W257" s="227"/>
      <c r="X257" s="228">
        <f t="shared" si="52"/>
        <v>0</v>
      </c>
      <c r="Y257" s="229"/>
      <c r="Z257" s="229"/>
      <c r="AA257" s="229"/>
      <c r="AB257" s="222">
        <f t="shared" si="53"/>
        <v>0</v>
      </c>
      <c r="AC257" s="230">
        <f t="shared" si="54"/>
        <v>0</v>
      </c>
      <c r="AD257" s="222" t="str">
        <f t="shared" si="55"/>
        <v/>
      </c>
      <c r="AE257" s="201"/>
      <c r="AF257" s="231" t="str">
        <f>+IFERROR(VLOOKUP(L257,Data!$F$4:$G$97,2,0),"")</f>
        <v/>
      </c>
    </row>
    <row r="258" spans="9:32" ht="15" customHeight="1" x14ac:dyDescent="0.3">
      <c r="I258" s="201" t="str">
        <f t="shared" si="48"/>
        <v/>
      </c>
      <c r="J258" s="218">
        <f t="shared" si="49"/>
        <v>255</v>
      </c>
      <c r="K258" s="250"/>
      <c r="L258" s="219"/>
      <c r="M258" s="218"/>
      <c r="N258" s="220" t="str">
        <f>IFERROR(VLOOKUP(M258,Data!$C$4:$D$395,2,0),"")</f>
        <v/>
      </c>
      <c r="O258" s="220"/>
      <c r="P258" s="229"/>
      <c r="Q258" s="221"/>
      <c r="R258" s="222" t="str">
        <f t="shared" si="50"/>
        <v>-</v>
      </c>
      <c r="S258" s="223"/>
      <c r="T258" s="224"/>
      <c r="U258" s="225">
        <f t="shared" si="51"/>
        <v>0</v>
      </c>
      <c r="V258" s="226">
        <v>0</v>
      </c>
      <c r="W258" s="227"/>
      <c r="X258" s="228">
        <f t="shared" si="52"/>
        <v>0</v>
      </c>
      <c r="Y258" s="229"/>
      <c r="Z258" s="229"/>
      <c r="AA258" s="229"/>
      <c r="AB258" s="222">
        <f t="shared" si="53"/>
        <v>0</v>
      </c>
      <c r="AC258" s="230">
        <f t="shared" si="54"/>
        <v>0</v>
      </c>
      <c r="AD258" s="222" t="str">
        <f t="shared" si="55"/>
        <v/>
      </c>
      <c r="AE258" s="201"/>
      <c r="AF258" s="231" t="str">
        <f>+IFERROR(VLOOKUP(L258,Data!$F$4:$G$97,2,0),"")</f>
        <v/>
      </c>
    </row>
    <row r="259" spans="9:32" ht="15" customHeight="1" x14ac:dyDescent="0.3">
      <c r="I259" s="201" t="str">
        <f t="shared" si="48"/>
        <v/>
      </c>
      <c r="J259" s="218">
        <f t="shared" si="49"/>
        <v>256</v>
      </c>
      <c r="K259" s="250"/>
      <c r="L259" s="219"/>
      <c r="M259" s="218"/>
      <c r="N259" s="220" t="str">
        <f>IFERROR(VLOOKUP(M259,Data!$C$4:$D$395,2,0),"")</f>
        <v/>
      </c>
      <c r="O259" s="220"/>
      <c r="P259" s="229"/>
      <c r="Q259" s="221"/>
      <c r="R259" s="222" t="str">
        <f t="shared" si="50"/>
        <v>-</v>
      </c>
      <c r="S259" s="223"/>
      <c r="T259" s="224"/>
      <c r="U259" s="225">
        <f t="shared" si="51"/>
        <v>0</v>
      </c>
      <c r="V259" s="226">
        <v>0</v>
      </c>
      <c r="W259" s="227"/>
      <c r="X259" s="228">
        <f t="shared" si="52"/>
        <v>0</v>
      </c>
      <c r="Y259" s="229"/>
      <c r="Z259" s="229"/>
      <c r="AA259" s="229"/>
      <c r="AB259" s="222">
        <f t="shared" si="53"/>
        <v>0</v>
      </c>
      <c r="AC259" s="230">
        <f t="shared" si="54"/>
        <v>0</v>
      </c>
      <c r="AD259" s="222" t="str">
        <f t="shared" si="55"/>
        <v/>
      </c>
      <c r="AE259" s="201"/>
      <c r="AF259" s="231" t="str">
        <f>+IFERROR(VLOOKUP(L259,Data!$F$4:$G$97,2,0),"")</f>
        <v/>
      </c>
    </row>
    <row r="260" spans="9:32" ht="15" customHeight="1" x14ac:dyDescent="0.3">
      <c r="I260" s="201" t="str">
        <f t="shared" si="48"/>
        <v/>
      </c>
      <c r="J260" s="218">
        <f t="shared" si="49"/>
        <v>257</v>
      </c>
      <c r="K260" s="250"/>
      <c r="L260" s="219"/>
      <c r="M260" s="218"/>
      <c r="N260" s="220" t="str">
        <f>IFERROR(VLOOKUP(M260,Data!$C$4:$D$395,2,0),"")</f>
        <v/>
      </c>
      <c r="O260" s="220"/>
      <c r="P260" s="229"/>
      <c r="Q260" s="221"/>
      <c r="R260" s="222" t="str">
        <f t="shared" si="50"/>
        <v>-</v>
      </c>
      <c r="S260" s="223"/>
      <c r="T260" s="224"/>
      <c r="U260" s="225">
        <f t="shared" si="51"/>
        <v>0</v>
      </c>
      <c r="V260" s="226">
        <v>0</v>
      </c>
      <c r="W260" s="227"/>
      <c r="X260" s="228">
        <f t="shared" si="52"/>
        <v>0</v>
      </c>
      <c r="Y260" s="229"/>
      <c r="Z260" s="229"/>
      <c r="AA260" s="229"/>
      <c r="AB260" s="222">
        <f t="shared" si="53"/>
        <v>0</v>
      </c>
      <c r="AC260" s="230">
        <f t="shared" si="54"/>
        <v>0</v>
      </c>
      <c r="AD260" s="222" t="str">
        <f t="shared" si="55"/>
        <v/>
      </c>
      <c r="AE260" s="201"/>
      <c r="AF260" s="231" t="str">
        <f>+IFERROR(VLOOKUP(L260,Data!$F$4:$G$97,2,0),"")</f>
        <v/>
      </c>
    </row>
    <row r="261" spans="9:32" ht="15" customHeight="1" x14ac:dyDescent="0.3">
      <c r="I261" s="201" t="str">
        <f t="shared" si="48"/>
        <v/>
      </c>
      <c r="J261" s="218">
        <f t="shared" si="49"/>
        <v>258</v>
      </c>
      <c r="K261" s="250"/>
      <c r="L261" s="219"/>
      <c r="M261" s="218"/>
      <c r="N261" s="220" t="str">
        <f>IFERROR(VLOOKUP(M261,Data!$C$4:$D$395,2,0),"")</f>
        <v/>
      </c>
      <c r="O261" s="220"/>
      <c r="P261" s="229"/>
      <c r="Q261" s="221"/>
      <c r="R261" s="222" t="str">
        <f t="shared" si="50"/>
        <v>-</v>
      </c>
      <c r="S261" s="223"/>
      <c r="T261" s="224"/>
      <c r="U261" s="225">
        <f t="shared" si="51"/>
        <v>0</v>
      </c>
      <c r="V261" s="226">
        <v>0</v>
      </c>
      <c r="W261" s="227"/>
      <c r="X261" s="228">
        <f t="shared" si="52"/>
        <v>0</v>
      </c>
      <c r="Y261" s="229"/>
      <c r="Z261" s="229"/>
      <c r="AA261" s="229"/>
      <c r="AB261" s="222">
        <f t="shared" si="53"/>
        <v>0</v>
      </c>
      <c r="AC261" s="230">
        <f t="shared" si="54"/>
        <v>0</v>
      </c>
      <c r="AD261" s="222" t="str">
        <f t="shared" si="55"/>
        <v/>
      </c>
      <c r="AE261" s="201"/>
      <c r="AF261" s="231" t="str">
        <f>+IFERROR(VLOOKUP(L261,Data!$F$4:$G$97,2,0),"")</f>
        <v/>
      </c>
    </row>
    <row r="262" spans="9:32" ht="15" customHeight="1" x14ac:dyDescent="0.3">
      <c r="I262" s="201" t="str">
        <f t="shared" si="48"/>
        <v/>
      </c>
      <c r="J262" s="218">
        <f t="shared" si="49"/>
        <v>259</v>
      </c>
      <c r="K262" s="250"/>
      <c r="L262" s="219"/>
      <c r="M262" s="218"/>
      <c r="N262" s="220" t="str">
        <f>IFERROR(VLOOKUP(M262,Data!$C$4:$D$395,2,0),"")</f>
        <v/>
      </c>
      <c r="O262" s="220"/>
      <c r="P262" s="229"/>
      <c r="Q262" s="221"/>
      <c r="R262" s="222" t="str">
        <f t="shared" si="50"/>
        <v>-</v>
      </c>
      <c r="S262" s="223"/>
      <c r="T262" s="224"/>
      <c r="U262" s="225">
        <f t="shared" si="51"/>
        <v>0</v>
      </c>
      <c r="V262" s="226">
        <v>0</v>
      </c>
      <c r="W262" s="227"/>
      <c r="X262" s="228">
        <f t="shared" si="52"/>
        <v>0</v>
      </c>
      <c r="Y262" s="229"/>
      <c r="Z262" s="229"/>
      <c r="AA262" s="229"/>
      <c r="AB262" s="222">
        <f t="shared" si="53"/>
        <v>0</v>
      </c>
      <c r="AC262" s="230">
        <f t="shared" si="54"/>
        <v>0</v>
      </c>
      <c r="AD262" s="222" t="str">
        <f t="shared" si="55"/>
        <v/>
      </c>
      <c r="AE262" s="201"/>
      <c r="AF262" s="231" t="str">
        <f>+IFERROR(VLOOKUP(L262,Data!$F$4:$G$97,2,0),"")</f>
        <v/>
      </c>
    </row>
    <row r="263" spans="9:32" ht="15" customHeight="1" x14ac:dyDescent="0.3">
      <c r="I263" s="201" t="str">
        <f t="shared" si="48"/>
        <v/>
      </c>
      <c r="J263" s="218">
        <f t="shared" si="49"/>
        <v>260</v>
      </c>
      <c r="K263" s="250"/>
      <c r="L263" s="219"/>
      <c r="M263" s="218"/>
      <c r="N263" s="220" t="str">
        <f>IFERROR(VLOOKUP(M263,Data!$C$4:$D$395,2,0),"")</f>
        <v/>
      </c>
      <c r="O263" s="220"/>
      <c r="P263" s="229"/>
      <c r="Q263" s="221"/>
      <c r="R263" s="222" t="str">
        <f t="shared" si="50"/>
        <v>-</v>
      </c>
      <c r="S263" s="223"/>
      <c r="T263" s="224"/>
      <c r="U263" s="225">
        <f t="shared" si="51"/>
        <v>0</v>
      </c>
      <c r="V263" s="226">
        <v>0</v>
      </c>
      <c r="W263" s="227"/>
      <c r="X263" s="228">
        <f t="shared" si="52"/>
        <v>0</v>
      </c>
      <c r="Y263" s="229"/>
      <c r="Z263" s="229"/>
      <c r="AA263" s="229"/>
      <c r="AB263" s="222">
        <f t="shared" si="53"/>
        <v>0</v>
      </c>
      <c r="AC263" s="230">
        <f t="shared" si="54"/>
        <v>0</v>
      </c>
      <c r="AD263" s="222" t="str">
        <f t="shared" si="55"/>
        <v/>
      </c>
      <c r="AE263" s="201"/>
      <c r="AF263" s="231" t="str">
        <f>+IFERROR(VLOOKUP(L263,Data!$F$4:$G$97,2,0),"")</f>
        <v/>
      </c>
    </row>
    <row r="264" spans="9:32" ht="15" customHeight="1" x14ac:dyDescent="0.3">
      <c r="I264" s="201" t="str">
        <f t="shared" si="48"/>
        <v/>
      </c>
      <c r="J264" s="218">
        <f t="shared" si="49"/>
        <v>261</v>
      </c>
      <c r="K264" s="250"/>
      <c r="L264" s="219"/>
      <c r="M264" s="218"/>
      <c r="N264" s="220" t="str">
        <f>IFERROR(VLOOKUP(M264,Data!$C$4:$D$395,2,0),"")</f>
        <v/>
      </c>
      <c r="O264" s="220"/>
      <c r="P264" s="229"/>
      <c r="Q264" s="221"/>
      <c r="R264" s="222" t="str">
        <f t="shared" si="50"/>
        <v>-</v>
      </c>
      <c r="S264" s="223"/>
      <c r="T264" s="224"/>
      <c r="U264" s="225">
        <f t="shared" si="51"/>
        <v>0</v>
      </c>
      <c r="V264" s="226">
        <v>0</v>
      </c>
      <c r="W264" s="227"/>
      <c r="X264" s="228">
        <f t="shared" si="52"/>
        <v>0</v>
      </c>
      <c r="Y264" s="229"/>
      <c r="Z264" s="229"/>
      <c r="AA264" s="229"/>
      <c r="AB264" s="222">
        <f t="shared" si="53"/>
        <v>0</v>
      </c>
      <c r="AC264" s="230">
        <f t="shared" si="54"/>
        <v>0</v>
      </c>
      <c r="AD264" s="222" t="str">
        <f t="shared" si="55"/>
        <v/>
      </c>
      <c r="AE264" s="201"/>
      <c r="AF264" s="231" t="str">
        <f>+IFERROR(VLOOKUP(L264,Data!$F$4:$G$97,2,0),"")</f>
        <v/>
      </c>
    </row>
    <row r="265" spans="9:32" ht="15" customHeight="1" x14ac:dyDescent="0.3">
      <c r="I265" s="201" t="str">
        <f t="shared" si="48"/>
        <v/>
      </c>
      <c r="J265" s="218">
        <f t="shared" si="49"/>
        <v>262</v>
      </c>
      <c r="K265" s="250"/>
      <c r="L265" s="219"/>
      <c r="M265" s="218"/>
      <c r="N265" s="220" t="str">
        <f>IFERROR(VLOOKUP(M265,Data!$C$4:$D$395,2,0),"")</f>
        <v/>
      </c>
      <c r="O265" s="220"/>
      <c r="P265" s="229"/>
      <c r="Q265" s="221"/>
      <c r="R265" s="222" t="str">
        <f t="shared" si="50"/>
        <v>-</v>
      </c>
      <c r="S265" s="223"/>
      <c r="T265" s="224"/>
      <c r="U265" s="225">
        <f t="shared" si="51"/>
        <v>0</v>
      </c>
      <c r="V265" s="226">
        <v>0</v>
      </c>
      <c r="W265" s="227"/>
      <c r="X265" s="228">
        <f t="shared" si="52"/>
        <v>0</v>
      </c>
      <c r="Y265" s="229"/>
      <c r="Z265" s="229"/>
      <c r="AA265" s="229"/>
      <c r="AB265" s="222">
        <f t="shared" si="53"/>
        <v>0</v>
      </c>
      <c r="AC265" s="230">
        <f t="shared" si="54"/>
        <v>0</v>
      </c>
      <c r="AD265" s="222" t="str">
        <f t="shared" si="55"/>
        <v/>
      </c>
      <c r="AE265" s="201"/>
      <c r="AF265" s="231" t="str">
        <f>+IFERROR(VLOOKUP(L265,Data!$F$4:$G$97,2,0),"")</f>
        <v/>
      </c>
    </row>
    <row r="266" spans="9:32" ht="15" customHeight="1" x14ac:dyDescent="0.3">
      <c r="I266" s="201" t="str">
        <f t="shared" si="48"/>
        <v/>
      </c>
      <c r="J266" s="218">
        <f t="shared" si="49"/>
        <v>263</v>
      </c>
      <c r="K266" s="250"/>
      <c r="L266" s="219"/>
      <c r="M266" s="218"/>
      <c r="N266" s="220" t="str">
        <f>IFERROR(VLOOKUP(M266,Data!$C$4:$D$395,2,0),"")</f>
        <v/>
      </c>
      <c r="O266" s="220"/>
      <c r="P266" s="229"/>
      <c r="Q266" s="221"/>
      <c r="R266" s="222" t="str">
        <f t="shared" si="50"/>
        <v>-</v>
      </c>
      <c r="S266" s="223"/>
      <c r="T266" s="224"/>
      <c r="U266" s="225">
        <f t="shared" si="51"/>
        <v>0</v>
      </c>
      <c r="V266" s="226">
        <v>0</v>
      </c>
      <c r="W266" s="227"/>
      <c r="X266" s="228">
        <f t="shared" si="52"/>
        <v>0</v>
      </c>
      <c r="Y266" s="229"/>
      <c r="Z266" s="229"/>
      <c r="AA266" s="229"/>
      <c r="AB266" s="222">
        <f t="shared" si="53"/>
        <v>0</v>
      </c>
      <c r="AC266" s="230">
        <f t="shared" si="54"/>
        <v>0</v>
      </c>
      <c r="AD266" s="222" t="str">
        <f t="shared" si="55"/>
        <v/>
      </c>
      <c r="AE266" s="201"/>
      <c r="AF266" s="231" t="str">
        <f>+IFERROR(VLOOKUP(L266,Data!$F$4:$G$97,2,0),"")</f>
        <v/>
      </c>
    </row>
    <row r="267" spans="9:32" ht="15" customHeight="1" x14ac:dyDescent="0.3">
      <c r="I267" s="201" t="str">
        <f t="shared" si="48"/>
        <v/>
      </c>
      <c r="J267" s="218">
        <f t="shared" si="49"/>
        <v>264</v>
      </c>
      <c r="K267" s="250"/>
      <c r="L267" s="219"/>
      <c r="M267" s="218"/>
      <c r="N267" s="220" t="str">
        <f>IFERROR(VLOOKUP(M267,Data!$C$4:$D$395,2,0),"")</f>
        <v/>
      </c>
      <c r="O267" s="220"/>
      <c r="P267" s="229"/>
      <c r="Q267" s="221"/>
      <c r="R267" s="222" t="str">
        <f t="shared" si="50"/>
        <v>-</v>
      </c>
      <c r="S267" s="223"/>
      <c r="T267" s="224"/>
      <c r="U267" s="225">
        <f t="shared" si="51"/>
        <v>0</v>
      </c>
      <c r="V267" s="226">
        <v>0</v>
      </c>
      <c r="W267" s="227"/>
      <c r="X267" s="228">
        <f t="shared" si="52"/>
        <v>0</v>
      </c>
      <c r="Y267" s="229"/>
      <c r="Z267" s="229"/>
      <c r="AA267" s="229"/>
      <c r="AB267" s="222">
        <f t="shared" si="53"/>
        <v>0</v>
      </c>
      <c r="AC267" s="230">
        <f t="shared" si="54"/>
        <v>0</v>
      </c>
      <c r="AD267" s="222" t="str">
        <f t="shared" si="55"/>
        <v/>
      </c>
      <c r="AE267" s="201"/>
      <c r="AF267" s="231" t="str">
        <f>+IFERROR(VLOOKUP(L267,Data!$F$4:$G$97,2,0),"")</f>
        <v/>
      </c>
    </row>
    <row r="268" spans="9:32" ht="15" customHeight="1" x14ac:dyDescent="0.3">
      <c r="I268" s="201" t="str">
        <f t="shared" si="48"/>
        <v/>
      </c>
      <c r="J268" s="218">
        <f t="shared" si="49"/>
        <v>265</v>
      </c>
      <c r="K268" s="250"/>
      <c r="L268" s="219"/>
      <c r="M268" s="218"/>
      <c r="N268" s="220" t="str">
        <f>IFERROR(VLOOKUP(M268,Data!$C$4:$D$395,2,0),"")</f>
        <v/>
      </c>
      <c r="O268" s="220"/>
      <c r="P268" s="229"/>
      <c r="Q268" s="221"/>
      <c r="R268" s="222" t="str">
        <f t="shared" si="50"/>
        <v>-</v>
      </c>
      <c r="S268" s="223"/>
      <c r="T268" s="224"/>
      <c r="U268" s="225">
        <f t="shared" si="51"/>
        <v>0</v>
      </c>
      <c r="V268" s="226">
        <v>0</v>
      </c>
      <c r="W268" s="227"/>
      <c r="X268" s="228">
        <f t="shared" si="52"/>
        <v>0</v>
      </c>
      <c r="Y268" s="229"/>
      <c r="Z268" s="229"/>
      <c r="AA268" s="229"/>
      <c r="AB268" s="222">
        <f t="shared" si="53"/>
        <v>0</v>
      </c>
      <c r="AC268" s="230">
        <f t="shared" si="54"/>
        <v>0</v>
      </c>
      <c r="AD268" s="222" t="str">
        <f t="shared" si="55"/>
        <v/>
      </c>
      <c r="AE268" s="201"/>
      <c r="AF268" s="231" t="str">
        <f>+IFERROR(VLOOKUP(L268,Data!$F$4:$G$97,2,0),"")</f>
        <v/>
      </c>
    </row>
    <row r="269" spans="9:32" ht="15" customHeight="1" x14ac:dyDescent="0.3">
      <c r="I269" s="201" t="str">
        <f t="shared" si="48"/>
        <v/>
      </c>
      <c r="J269" s="218">
        <f t="shared" si="49"/>
        <v>266</v>
      </c>
      <c r="K269" s="250"/>
      <c r="L269" s="219"/>
      <c r="M269" s="218"/>
      <c r="N269" s="220" t="str">
        <f>IFERROR(VLOOKUP(M269,Data!$C$4:$D$395,2,0),"")</f>
        <v/>
      </c>
      <c r="O269" s="220"/>
      <c r="P269" s="229"/>
      <c r="Q269" s="221"/>
      <c r="R269" s="222" t="str">
        <f t="shared" si="50"/>
        <v>-</v>
      </c>
      <c r="S269" s="223"/>
      <c r="T269" s="224"/>
      <c r="U269" s="225">
        <f t="shared" si="51"/>
        <v>0</v>
      </c>
      <c r="V269" s="226">
        <v>0</v>
      </c>
      <c r="W269" s="227"/>
      <c r="X269" s="228">
        <f t="shared" si="52"/>
        <v>0</v>
      </c>
      <c r="Y269" s="229"/>
      <c r="Z269" s="229"/>
      <c r="AA269" s="229"/>
      <c r="AB269" s="222">
        <f t="shared" si="53"/>
        <v>0</v>
      </c>
      <c r="AC269" s="230">
        <f t="shared" si="54"/>
        <v>0</v>
      </c>
      <c r="AD269" s="222" t="str">
        <f t="shared" si="55"/>
        <v/>
      </c>
      <c r="AE269" s="201"/>
      <c r="AF269" s="231" t="str">
        <f>+IFERROR(VLOOKUP(L269,Data!$F$4:$G$97,2,0),"")</f>
        <v/>
      </c>
    </row>
    <row r="270" spans="9:32" ht="15" customHeight="1" x14ac:dyDescent="0.3">
      <c r="I270" s="201" t="str">
        <f t="shared" si="48"/>
        <v/>
      </c>
      <c r="J270" s="218">
        <f t="shared" si="49"/>
        <v>267</v>
      </c>
      <c r="K270" s="250"/>
      <c r="L270" s="219"/>
      <c r="M270" s="218"/>
      <c r="N270" s="220" t="str">
        <f>IFERROR(VLOOKUP(M270,Data!$C$4:$D$395,2,0),"")</f>
        <v/>
      </c>
      <c r="O270" s="220"/>
      <c r="P270" s="229"/>
      <c r="Q270" s="221"/>
      <c r="R270" s="222" t="str">
        <f t="shared" si="50"/>
        <v>-</v>
      </c>
      <c r="S270" s="223"/>
      <c r="T270" s="224"/>
      <c r="U270" s="225">
        <f t="shared" si="51"/>
        <v>0</v>
      </c>
      <c r="V270" s="226">
        <v>0</v>
      </c>
      <c r="W270" s="227"/>
      <c r="X270" s="228">
        <f t="shared" si="52"/>
        <v>0</v>
      </c>
      <c r="Y270" s="229"/>
      <c r="Z270" s="229"/>
      <c r="AA270" s="229"/>
      <c r="AB270" s="222">
        <f t="shared" si="53"/>
        <v>0</v>
      </c>
      <c r="AC270" s="230">
        <f t="shared" si="54"/>
        <v>0</v>
      </c>
      <c r="AD270" s="222" t="str">
        <f t="shared" si="55"/>
        <v/>
      </c>
      <c r="AE270" s="201"/>
      <c r="AF270" s="231" t="str">
        <f>+IFERROR(VLOOKUP(L270,Data!$F$4:$G$97,2,0),"")</f>
        <v/>
      </c>
    </row>
    <row r="271" spans="9:32" ht="15" customHeight="1" x14ac:dyDescent="0.3">
      <c r="I271" s="201" t="str">
        <f t="shared" si="48"/>
        <v/>
      </c>
      <c r="J271" s="218">
        <f t="shared" si="49"/>
        <v>268</v>
      </c>
      <c r="K271" s="250"/>
      <c r="L271" s="219"/>
      <c r="M271" s="218"/>
      <c r="N271" s="220" t="str">
        <f>IFERROR(VLOOKUP(M271,Data!$C$4:$D$395,2,0),"")</f>
        <v/>
      </c>
      <c r="O271" s="220"/>
      <c r="P271" s="229"/>
      <c r="Q271" s="221"/>
      <c r="R271" s="222" t="str">
        <f t="shared" si="50"/>
        <v>-</v>
      </c>
      <c r="S271" s="223"/>
      <c r="T271" s="224"/>
      <c r="U271" s="225">
        <f t="shared" si="51"/>
        <v>0</v>
      </c>
      <c r="V271" s="226">
        <v>0</v>
      </c>
      <c r="W271" s="227"/>
      <c r="X271" s="228">
        <f t="shared" si="52"/>
        <v>0</v>
      </c>
      <c r="Y271" s="229"/>
      <c r="Z271" s="229"/>
      <c r="AA271" s="229"/>
      <c r="AB271" s="222">
        <f t="shared" si="53"/>
        <v>0</v>
      </c>
      <c r="AC271" s="230">
        <f t="shared" si="54"/>
        <v>0</v>
      </c>
      <c r="AD271" s="222" t="str">
        <f t="shared" si="55"/>
        <v/>
      </c>
      <c r="AE271" s="201"/>
      <c r="AF271" s="231" t="str">
        <f>+IFERROR(VLOOKUP(L271,Data!$F$4:$G$97,2,0),"")</f>
        <v/>
      </c>
    </row>
    <row r="272" spans="9:32" ht="15" customHeight="1" x14ac:dyDescent="0.3">
      <c r="I272" s="201" t="str">
        <f t="shared" si="48"/>
        <v/>
      </c>
      <c r="J272" s="218">
        <f t="shared" si="49"/>
        <v>269</v>
      </c>
      <c r="K272" s="250"/>
      <c r="L272" s="219"/>
      <c r="M272" s="218"/>
      <c r="N272" s="220" t="str">
        <f>IFERROR(VLOOKUP(M272,Data!$C$4:$D$395,2,0),"")</f>
        <v/>
      </c>
      <c r="O272" s="220"/>
      <c r="P272" s="229"/>
      <c r="Q272" s="221"/>
      <c r="R272" s="222" t="str">
        <f t="shared" si="50"/>
        <v>-</v>
      </c>
      <c r="S272" s="223"/>
      <c r="T272" s="224"/>
      <c r="U272" s="225">
        <f t="shared" si="51"/>
        <v>0</v>
      </c>
      <c r="V272" s="226">
        <v>0</v>
      </c>
      <c r="W272" s="227"/>
      <c r="X272" s="228">
        <f t="shared" si="52"/>
        <v>0</v>
      </c>
      <c r="Y272" s="229"/>
      <c r="Z272" s="229"/>
      <c r="AA272" s="229"/>
      <c r="AB272" s="222">
        <f t="shared" si="53"/>
        <v>0</v>
      </c>
      <c r="AC272" s="230">
        <f t="shared" si="54"/>
        <v>0</v>
      </c>
      <c r="AD272" s="222" t="str">
        <f t="shared" si="55"/>
        <v/>
      </c>
      <c r="AE272" s="201"/>
      <c r="AF272" s="231" t="str">
        <f>+IFERROR(VLOOKUP(L272,Data!$F$4:$G$97,2,0),"")</f>
        <v/>
      </c>
    </row>
    <row r="273" spans="9:32" ht="15" customHeight="1" x14ac:dyDescent="0.3">
      <c r="I273" s="201" t="str">
        <f t="shared" si="48"/>
        <v/>
      </c>
      <c r="J273" s="218">
        <f t="shared" si="49"/>
        <v>270</v>
      </c>
      <c r="K273" s="250"/>
      <c r="L273" s="219"/>
      <c r="M273" s="218"/>
      <c r="N273" s="220" t="str">
        <f>IFERROR(VLOOKUP(M273,Data!$C$4:$D$395,2,0),"")</f>
        <v/>
      </c>
      <c r="O273" s="220"/>
      <c r="P273" s="229"/>
      <c r="Q273" s="221"/>
      <c r="R273" s="222" t="str">
        <f t="shared" si="50"/>
        <v>-</v>
      </c>
      <c r="S273" s="223"/>
      <c r="T273" s="224"/>
      <c r="U273" s="225">
        <f t="shared" si="51"/>
        <v>0</v>
      </c>
      <c r="V273" s="226">
        <v>0</v>
      </c>
      <c r="W273" s="227"/>
      <c r="X273" s="228">
        <f t="shared" si="52"/>
        <v>0</v>
      </c>
      <c r="Y273" s="229"/>
      <c r="Z273" s="229"/>
      <c r="AA273" s="229"/>
      <c r="AB273" s="222">
        <f t="shared" si="53"/>
        <v>0</v>
      </c>
      <c r="AC273" s="230">
        <f t="shared" si="54"/>
        <v>0</v>
      </c>
      <c r="AD273" s="222" t="str">
        <f t="shared" si="55"/>
        <v/>
      </c>
      <c r="AE273" s="201"/>
      <c r="AF273" s="231" t="str">
        <f>+IFERROR(VLOOKUP(L273,Data!$F$4:$G$97,2,0),"")</f>
        <v/>
      </c>
    </row>
    <row r="274" spans="9:32" ht="15" customHeight="1" x14ac:dyDescent="0.3">
      <c r="I274" s="201" t="str">
        <f t="shared" si="48"/>
        <v/>
      </c>
      <c r="J274" s="218">
        <f t="shared" si="49"/>
        <v>271</v>
      </c>
      <c r="K274" s="250"/>
      <c r="L274" s="219"/>
      <c r="M274" s="218"/>
      <c r="N274" s="220" t="str">
        <f>IFERROR(VLOOKUP(M274,Data!$C$4:$D$395,2,0),"")</f>
        <v/>
      </c>
      <c r="O274" s="220"/>
      <c r="P274" s="229"/>
      <c r="Q274" s="221"/>
      <c r="R274" s="222" t="str">
        <f t="shared" si="50"/>
        <v>-</v>
      </c>
      <c r="S274" s="223"/>
      <c r="T274" s="224"/>
      <c r="U274" s="225">
        <f t="shared" si="51"/>
        <v>0</v>
      </c>
      <c r="V274" s="226">
        <v>0</v>
      </c>
      <c r="W274" s="227"/>
      <c r="X274" s="228">
        <f t="shared" si="52"/>
        <v>0</v>
      </c>
      <c r="Y274" s="229"/>
      <c r="Z274" s="229"/>
      <c r="AA274" s="229"/>
      <c r="AB274" s="222">
        <f t="shared" si="53"/>
        <v>0</v>
      </c>
      <c r="AC274" s="230">
        <f t="shared" si="54"/>
        <v>0</v>
      </c>
      <c r="AD274" s="222" t="str">
        <f t="shared" si="55"/>
        <v/>
      </c>
      <c r="AE274" s="201"/>
      <c r="AF274" s="231" t="str">
        <f>+IFERROR(VLOOKUP(L274,Data!$F$4:$G$97,2,0),"")</f>
        <v/>
      </c>
    </row>
    <row r="275" spans="9:32" ht="15" customHeight="1" x14ac:dyDescent="0.3">
      <c r="I275" s="201" t="str">
        <f t="shared" si="48"/>
        <v/>
      </c>
      <c r="J275" s="218">
        <f t="shared" si="49"/>
        <v>272</v>
      </c>
      <c r="K275" s="250"/>
      <c r="L275" s="219"/>
      <c r="M275" s="218"/>
      <c r="N275" s="220" t="str">
        <f>IFERROR(VLOOKUP(M275,Data!$C$4:$D$395,2,0),"")</f>
        <v/>
      </c>
      <c r="O275" s="220"/>
      <c r="P275" s="229"/>
      <c r="Q275" s="221"/>
      <c r="R275" s="222" t="str">
        <f t="shared" si="50"/>
        <v>-</v>
      </c>
      <c r="S275" s="223"/>
      <c r="T275" s="224"/>
      <c r="U275" s="225">
        <f t="shared" si="51"/>
        <v>0</v>
      </c>
      <c r="V275" s="226">
        <v>0</v>
      </c>
      <c r="W275" s="227"/>
      <c r="X275" s="228">
        <f t="shared" si="52"/>
        <v>0</v>
      </c>
      <c r="Y275" s="229"/>
      <c r="Z275" s="229"/>
      <c r="AA275" s="229"/>
      <c r="AB275" s="222">
        <f t="shared" si="53"/>
        <v>0</v>
      </c>
      <c r="AC275" s="230">
        <f t="shared" si="54"/>
        <v>0</v>
      </c>
      <c r="AD275" s="222" t="str">
        <f t="shared" si="55"/>
        <v/>
      </c>
      <c r="AE275" s="201"/>
      <c r="AF275" s="231" t="str">
        <f>+IFERROR(VLOOKUP(L275,Data!$F$4:$G$97,2,0),"")</f>
        <v/>
      </c>
    </row>
    <row r="276" spans="9:32" ht="15" customHeight="1" x14ac:dyDescent="0.3">
      <c r="I276" s="201" t="str">
        <f t="shared" si="48"/>
        <v/>
      </c>
      <c r="J276" s="218">
        <f t="shared" si="49"/>
        <v>273</v>
      </c>
      <c r="K276" s="250"/>
      <c r="L276" s="219"/>
      <c r="M276" s="218"/>
      <c r="N276" s="220" t="str">
        <f>IFERROR(VLOOKUP(M276,Data!$C$4:$D$395,2,0),"")</f>
        <v/>
      </c>
      <c r="O276" s="220"/>
      <c r="P276" s="229"/>
      <c r="Q276" s="221"/>
      <c r="R276" s="222" t="str">
        <f t="shared" si="50"/>
        <v>-</v>
      </c>
      <c r="S276" s="223"/>
      <c r="T276" s="224"/>
      <c r="U276" s="225">
        <f t="shared" si="51"/>
        <v>0</v>
      </c>
      <c r="V276" s="226">
        <v>0</v>
      </c>
      <c r="W276" s="227"/>
      <c r="X276" s="228">
        <f t="shared" si="52"/>
        <v>0</v>
      </c>
      <c r="Y276" s="229"/>
      <c r="Z276" s="229"/>
      <c r="AA276" s="229"/>
      <c r="AB276" s="222">
        <f t="shared" si="53"/>
        <v>0</v>
      </c>
      <c r="AC276" s="230">
        <f t="shared" si="54"/>
        <v>0</v>
      </c>
      <c r="AD276" s="222" t="str">
        <f t="shared" si="55"/>
        <v/>
      </c>
      <c r="AE276" s="201"/>
      <c r="AF276" s="231" t="str">
        <f>+IFERROR(VLOOKUP(L276,Data!$F$4:$G$97,2,0),"")</f>
        <v/>
      </c>
    </row>
    <row r="277" spans="9:32" ht="15" customHeight="1" x14ac:dyDescent="0.3">
      <c r="I277" s="201" t="str">
        <f t="shared" si="48"/>
        <v/>
      </c>
      <c r="J277" s="218">
        <f t="shared" si="49"/>
        <v>274</v>
      </c>
      <c r="K277" s="250"/>
      <c r="L277" s="219"/>
      <c r="M277" s="218"/>
      <c r="N277" s="220" t="str">
        <f>IFERROR(VLOOKUP(M277,Data!$C$4:$D$395,2,0),"")</f>
        <v/>
      </c>
      <c r="O277" s="220"/>
      <c r="P277" s="229"/>
      <c r="Q277" s="221"/>
      <c r="R277" s="222" t="str">
        <f t="shared" si="50"/>
        <v>-</v>
      </c>
      <c r="S277" s="223"/>
      <c r="T277" s="224"/>
      <c r="U277" s="225">
        <f t="shared" si="51"/>
        <v>0</v>
      </c>
      <c r="V277" s="226">
        <v>0</v>
      </c>
      <c r="W277" s="227"/>
      <c r="X277" s="228">
        <f t="shared" si="52"/>
        <v>0</v>
      </c>
      <c r="Y277" s="229"/>
      <c r="Z277" s="229"/>
      <c r="AA277" s="229"/>
      <c r="AB277" s="222">
        <f t="shared" si="53"/>
        <v>0</v>
      </c>
      <c r="AC277" s="230">
        <f t="shared" si="54"/>
        <v>0</v>
      </c>
      <c r="AD277" s="222" t="str">
        <f t="shared" si="55"/>
        <v/>
      </c>
      <c r="AE277" s="201"/>
      <c r="AF277" s="231" t="str">
        <f>+IFERROR(VLOOKUP(L277,Data!$F$4:$G$97,2,0),"")</f>
        <v/>
      </c>
    </row>
    <row r="278" spans="9:32" ht="15" customHeight="1" x14ac:dyDescent="0.3">
      <c r="I278" s="201" t="str">
        <f t="shared" si="48"/>
        <v/>
      </c>
      <c r="J278" s="218">
        <f t="shared" si="49"/>
        <v>275</v>
      </c>
      <c r="K278" s="250"/>
      <c r="L278" s="219"/>
      <c r="M278" s="218"/>
      <c r="N278" s="220" t="str">
        <f>IFERROR(VLOOKUP(M278,Data!$C$4:$D$395,2,0),"")</f>
        <v/>
      </c>
      <c r="O278" s="220"/>
      <c r="P278" s="229"/>
      <c r="Q278" s="221"/>
      <c r="R278" s="222" t="str">
        <f t="shared" si="50"/>
        <v>-</v>
      </c>
      <c r="S278" s="223"/>
      <c r="T278" s="224"/>
      <c r="U278" s="225">
        <f t="shared" si="51"/>
        <v>0</v>
      </c>
      <c r="V278" s="226">
        <v>0</v>
      </c>
      <c r="W278" s="227"/>
      <c r="X278" s="228">
        <f t="shared" si="52"/>
        <v>0</v>
      </c>
      <c r="Y278" s="229"/>
      <c r="Z278" s="229"/>
      <c r="AA278" s="229"/>
      <c r="AB278" s="222">
        <f t="shared" si="53"/>
        <v>0</v>
      </c>
      <c r="AC278" s="230">
        <f t="shared" si="54"/>
        <v>0</v>
      </c>
      <c r="AD278" s="222" t="str">
        <f t="shared" si="55"/>
        <v/>
      </c>
      <c r="AE278" s="201"/>
      <c r="AF278" s="231" t="str">
        <f>+IFERROR(VLOOKUP(L278,Data!$F$4:$G$97,2,0),"")</f>
        <v/>
      </c>
    </row>
    <row r="279" spans="9:32" ht="15" customHeight="1" x14ac:dyDescent="0.3">
      <c r="I279" s="201" t="str">
        <f t="shared" si="48"/>
        <v/>
      </c>
      <c r="J279" s="218">
        <f t="shared" si="49"/>
        <v>276</v>
      </c>
      <c r="K279" s="250"/>
      <c r="L279" s="219"/>
      <c r="M279" s="218"/>
      <c r="N279" s="220" t="str">
        <f>IFERROR(VLOOKUP(M279,Data!$C$4:$D$395,2,0),"")</f>
        <v/>
      </c>
      <c r="O279" s="220"/>
      <c r="P279" s="229"/>
      <c r="Q279" s="221"/>
      <c r="R279" s="222" t="str">
        <f t="shared" si="50"/>
        <v>-</v>
      </c>
      <c r="S279" s="223"/>
      <c r="T279" s="224"/>
      <c r="U279" s="225">
        <f t="shared" si="51"/>
        <v>0</v>
      </c>
      <c r="V279" s="226">
        <v>0</v>
      </c>
      <c r="W279" s="227"/>
      <c r="X279" s="228">
        <f t="shared" si="52"/>
        <v>0</v>
      </c>
      <c r="Y279" s="229"/>
      <c r="Z279" s="229"/>
      <c r="AA279" s="229"/>
      <c r="AB279" s="222">
        <f t="shared" si="53"/>
        <v>0</v>
      </c>
      <c r="AC279" s="230">
        <f t="shared" si="54"/>
        <v>0</v>
      </c>
      <c r="AD279" s="222" t="str">
        <f t="shared" si="55"/>
        <v/>
      </c>
      <c r="AE279" s="201"/>
      <c r="AF279" s="231" t="str">
        <f>+IFERROR(VLOOKUP(L279,Data!$F$4:$G$97,2,0),"")</f>
        <v/>
      </c>
    </row>
    <row r="280" spans="9:32" ht="15" customHeight="1" x14ac:dyDescent="0.3">
      <c r="I280" s="201" t="str">
        <f t="shared" si="48"/>
        <v/>
      </c>
      <c r="J280" s="218">
        <f t="shared" si="49"/>
        <v>277</v>
      </c>
      <c r="K280" s="250"/>
      <c r="L280" s="219"/>
      <c r="M280" s="218"/>
      <c r="N280" s="220" t="str">
        <f>IFERROR(VLOOKUP(M280,Data!$C$4:$D$395,2,0),"")</f>
        <v/>
      </c>
      <c r="O280" s="220"/>
      <c r="P280" s="229"/>
      <c r="Q280" s="221"/>
      <c r="R280" s="222" t="str">
        <f t="shared" si="50"/>
        <v>-</v>
      </c>
      <c r="S280" s="223"/>
      <c r="T280" s="224"/>
      <c r="U280" s="225">
        <f t="shared" si="51"/>
        <v>0</v>
      </c>
      <c r="V280" s="226">
        <v>0</v>
      </c>
      <c r="W280" s="227"/>
      <c r="X280" s="228">
        <f t="shared" si="52"/>
        <v>0</v>
      </c>
      <c r="Y280" s="229"/>
      <c r="Z280" s="229"/>
      <c r="AA280" s="229"/>
      <c r="AB280" s="222">
        <f t="shared" si="53"/>
        <v>0</v>
      </c>
      <c r="AC280" s="230">
        <f t="shared" si="54"/>
        <v>0</v>
      </c>
      <c r="AD280" s="222" t="str">
        <f t="shared" si="55"/>
        <v/>
      </c>
      <c r="AE280" s="201"/>
      <c r="AF280" s="231" t="str">
        <f>+IFERROR(VLOOKUP(L280,Data!$F$4:$G$97,2,0),"")</f>
        <v/>
      </c>
    </row>
    <row r="281" spans="9:32" ht="15" customHeight="1" x14ac:dyDescent="0.3">
      <c r="I281" s="201" t="str">
        <f t="shared" si="48"/>
        <v/>
      </c>
      <c r="J281" s="218">
        <f t="shared" si="49"/>
        <v>278</v>
      </c>
      <c r="K281" s="250"/>
      <c r="L281" s="219"/>
      <c r="M281" s="218"/>
      <c r="N281" s="220" t="str">
        <f>IFERROR(VLOOKUP(M281,Data!$C$4:$D$395,2,0),"")</f>
        <v/>
      </c>
      <c r="O281" s="220"/>
      <c r="P281" s="229"/>
      <c r="Q281" s="221"/>
      <c r="R281" s="222" t="str">
        <f t="shared" si="50"/>
        <v>-</v>
      </c>
      <c r="S281" s="223"/>
      <c r="T281" s="224"/>
      <c r="U281" s="225">
        <f t="shared" si="51"/>
        <v>0</v>
      </c>
      <c r="V281" s="226">
        <v>0</v>
      </c>
      <c r="W281" s="227"/>
      <c r="X281" s="228">
        <f t="shared" si="52"/>
        <v>0</v>
      </c>
      <c r="Y281" s="229"/>
      <c r="Z281" s="229"/>
      <c r="AA281" s="229"/>
      <c r="AB281" s="222">
        <f t="shared" si="53"/>
        <v>0</v>
      </c>
      <c r="AC281" s="230">
        <f t="shared" si="54"/>
        <v>0</v>
      </c>
      <c r="AD281" s="222" t="str">
        <f t="shared" si="55"/>
        <v/>
      </c>
      <c r="AE281" s="201"/>
      <c r="AF281" s="231" t="str">
        <f>+IFERROR(VLOOKUP(L281,Data!$F$4:$G$97,2,0),"")</f>
        <v/>
      </c>
    </row>
    <row r="282" spans="9:32" ht="15" customHeight="1" x14ac:dyDescent="0.3">
      <c r="I282" s="201" t="str">
        <f t="shared" si="48"/>
        <v/>
      </c>
      <c r="J282" s="218">
        <f t="shared" si="49"/>
        <v>279</v>
      </c>
      <c r="K282" s="250"/>
      <c r="L282" s="219"/>
      <c r="M282" s="218"/>
      <c r="N282" s="220" t="str">
        <f>IFERROR(VLOOKUP(M282,Data!$C$4:$D$395,2,0),"")</f>
        <v/>
      </c>
      <c r="O282" s="220"/>
      <c r="P282" s="229"/>
      <c r="Q282" s="221"/>
      <c r="R282" s="222" t="str">
        <f t="shared" si="50"/>
        <v>-</v>
      </c>
      <c r="S282" s="223"/>
      <c r="T282" s="224"/>
      <c r="U282" s="225">
        <f t="shared" si="51"/>
        <v>0</v>
      </c>
      <c r="V282" s="226">
        <v>0</v>
      </c>
      <c r="W282" s="227"/>
      <c r="X282" s="228">
        <f t="shared" si="52"/>
        <v>0</v>
      </c>
      <c r="Y282" s="229"/>
      <c r="Z282" s="229"/>
      <c r="AA282" s="229"/>
      <c r="AB282" s="222">
        <f t="shared" si="53"/>
        <v>0</v>
      </c>
      <c r="AC282" s="230">
        <f t="shared" si="54"/>
        <v>0</v>
      </c>
      <c r="AD282" s="222" t="str">
        <f t="shared" si="55"/>
        <v/>
      </c>
      <c r="AE282" s="201"/>
      <c r="AF282" s="231" t="str">
        <f>+IFERROR(VLOOKUP(L282,Data!$F$4:$G$97,2,0),"")</f>
        <v/>
      </c>
    </row>
    <row r="283" spans="9:32" ht="15" customHeight="1" x14ac:dyDescent="0.3">
      <c r="I283" s="201" t="str">
        <f t="shared" si="48"/>
        <v/>
      </c>
      <c r="J283" s="218">
        <f t="shared" si="49"/>
        <v>280</v>
      </c>
      <c r="K283" s="250"/>
      <c r="L283" s="219"/>
      <c r="M283" s="218"/>
      <c r="N283" s="220" t="str">
        <f>IFERROR(VLOOKUP(M283,Data!$C$4:$D$395,2,0),"")</f>
        <v/>
      </c>
      <c r="O283" s="220"/>
      <c r="P283" s="229"/>
      <c r="Q283" s="221"/>
      <c r="R283" s="222" t="str">
        <f t="shared" si="50"/>
        <v>-</v>
      </c>
      <c r="S283" s="223"/>
      <c r="T283" s="224"/>
      <c r="U283" s="225">
        <f t="shared" si="51"/>
        <v>0</v>
      </c>
      <c r="V283" s="226">
        <v>0</v>
      </c>
      <c r="W283" s="227"/>
      <c r="X283" s="228">
        <f t="shared" si="52"/>
        <v>0</v>
      </c>
      <c r="Y283" s="229"/>
      <c r="Z283" s="229"/>
      <c r="AA283" s="229"/>
      <c r="AB283" s="222">
        <f t="shared" si="53"/>
        <v>0</v>
      </c>
      <c r="AC283" s="230">
        <f t="shared" si="54"/>
        <v>0</v>
      </c>
      <c r="AD283" s="222" t="str">
        <f t="shared" si="55"/>
        <v/>
      </c>
      <c r="AE283" s="201"/>
      <c r="AF283" s="231" t="str">
        <f>+IFERROR(VLOOKUP(L283,Data!$F$4:$G$97,2,0),"")</f>
        <v/>
      </c>
    </row>
    <row r="284" spans="9:32" ht="15" customHeight="1" x14ac:dyDescent="0.3">
      <c r="I284" s="201" t="str">
        <f t="shared" si="48"/>
        <v/>
      </c>
      <c r="J284" s="218">
        <f t="shared" si="49"/>
        <v>281</v>
      </c>
      <c r="K284" s="250"/>
      <c r="L284" s="219"/>
      <c r="M284" s="218"/>
      <c r="N284" s="220" t="str">
        <f>IFERROR(VLOOKUP(M284,Data!$C$4:$D$395,2,0),"")</f>
        <v/>
      </c>
      <c r="O284" s="220"/>
      <c r="P284" s="229"/>
      <c r="Q284" s="221"/>
      <c r="R284" s="222" t="str">
        <f t="shared" si="50"/>
        <v>-</v>
      </c>
      <c r="S284" s="223"/>
      <c r="T284" s="224"/>
      <c r="U284" s="225">
        <f t="shared" si="51"/>
        <v>0</v>
      </c>
      <c r="V284" s="226">
        <v>0</v>
      </c>
      <c r="W284" s="227"/>
      <c r="X284" s="228">
        <f t="shared" si="52"/>
        <v>0</v>
      </c>
      <c r="Y284" s="229"/>
      <c r="Z284" s="229"/>
      <c r="AA284" s="229"/>
      <c r="AB284" s="222">
        <f t="shared" si="53"/>
        <v>0</v>
      </c>
      <c r="AC284" s="230">
        <f t="shared" si="54"/>
        <v>0</v>
      </c>
      <c r="AD284" s="222" t="str">
        <f t="shared" si="55"/>
        <v/>
      </c>
      <c r="AE284" s="201"/>
      <c r="AF284" s="231" t="str">
        <f>+IFERROR(VLOOKUP(L284,Data!$F$4:$G$97,2,0),"")</f>
        <v/>
      </c>
    </row>
    <row r="285" spans="9:32" ht="15" customHeight="1" x14ac:dyDescent="0.3">
      <c r="I285" s="201" t="str">
        <f t="shared" si="48"/>
        <v/>
      </c>
      <c r="J285" s="218">
        <f t="shared" si="49"/>
        <v>282</v>
      </c>
      <c r="K285" s="250"/>
      <c r="L285" s="219"/>
      <c r="M285" s="218"/>
      <c r="N285" s="220" t="str">
        <f>IFERROR(VLOOKUP(M285,Data!$C$4:$D$395,2,0),"")</f>
        <v/>
      </c>
      <c r="O285" s="220"/>
      <c r="P285" s="229"/>
      <c r="Q285" s="221"/>
      <c r="R285" s="222" t="str">
        <f t="shared" si="50"/>
        <v>-</v>
      </c>
      <c r="S285" s="223"/>
      <c r="T285" s="224"/>
      <c r="U285" s="225">
        <f t="shared" si="51"/>
        <v>0</v>
      </c>
      <c r="V285" s="226">
        <v>0</v>
      </c>
      <c r="W285" s="227"/>
      <c r="X285" s="228">
        <f t="shared" si="52"/>
        <v>0</v>
      </c>
      <c r="Y285" s="229"/>
      <c r="Z285" s="229"/>
      <c r="AA285" s="229"/>
      <c r="AB285" s="222">
        <f t="shared" si="53"/>
        <v>0</v>
      </c>
      <c r="AC285" s="230">
        <f t="shared" si="54"/>
        <v>0</v>
      </c>
      <c r="AD285" s="222" t="str">
        <f t="shared" si="55"/>
        <v/>
      </c>
      <c r="AE285" s="201"/>
      <c r="AF285" s="231" t="str">
        <f>+IFERROR(VLOOKUP(L285,Data!$F$4:$G$97,2,0),"")</f>
        <v/>
      </c>
    </row>
    <row r="286" spans="9:32" ht="15" customHeight="1" x14ac:dyDescent="0.3">
      <c r="I286" s="201" t="str">
        <f t="shared" si="48"/>
        <v/>
      </c>
      <c r="J286" s="218">
        <f t="shared" si="49"/>
        <v>283</v>
      </c>
      <c r="K286" s="250"/>
      <c r="L286" s="219"/>
      <c r="M286" s="218"/>
      <c r="N286" s="220" t="str">
        <f>IFERROR(VLOOKUP(M286,Data!$C$4:$D$395,2,0),"")</f>
        <v/>
      </c>
      <c r="O286" s="220"/>
      <c r="P286" s="229"/>
      <c r="Q286" s="221"/>
      <c r="R286" s="222" t="str">
        <f t="shared" si="50"/>
        <v>-</v>
      </c>
      <c r="S286" s="223"/>
      <c r="T286" s="224"/>
      <c r="U286" s="225">
        <f t="shared" si="51"/>
        <v>0</v>
      </c>
      <c r="V286" s="226">
        <v>0</v>
      </c>
      <c r="W286" s="227"/>
      <c r="X286" s="228">
        <f t="shared" si="52"/>
        <v>0</v>
      </c>
      <c r="Y286" s="229"/>
      <c r="Z286" s="229"/>
      <c r="AA286" s="229"/>
      <c r="AB286" s="222">
        <f t="shared" si="53"/>
        <v>0</v>
      </c>
      <c r="AC286" s="230">
        <f t="shared" si="54"/>
        <v>0</v>
      </c>
      <c r="AD286" s="222" t="str">
        <f t="shared" si="55"/>
        <v/>
      </c>
      <c r="AE286" s="201"/>
      <c r="AF286" s="231" t="str">
        <f>+IFERROR(VLOOKUP(L286,Data!$F$4:$G$97,2,0),"")</f>
        <v/>
      </c>
    </row>
    <row r="287" spans="9:32" ht="15" customHeight="1" x14ac:dyDescent="0.3">
      <c r="I287" s="201" t="str">
        <f t="shared" si="48"/>
        <v/>
      </c>
      <c r="J287" s="218">
        <f t="shared" si="49"/>
        <v>284</v>
      </c>
      <c r="K287" s="250"/>
      <c r="L287" s="219"/>
      <c r="M287" s="218"/>
      <c r="N287" s="220" t="str">
        <f>IFERROR(VLOOKUP(M287,Data!$C$4:$D$395,2,0),"")</f>
        <v/>
      </c>
      <c r="O287" s="220"/>
      <c r="P287" s="229"/>
      <c r="Q287" s="221"/>
      <c r="R287" s="222" t="str">
        <f t="shared" si="50"/>
        <v>-</v>
      </c>
      <c r="S287" s="223"/>
      <c r="T287" s="224"/>
      <c r="U287" s="225">
        <f t="shared" si="51"/>
        <v>0</v>
      </c>
      <c r="V287" s="226">
        <v>0</v>
      </c>
      <c r="W287" s="227"/>
      <c r="X287" s="228">
        <f t="shared" si="52"/>
        <v>0</v>
      </c>
      <c r="Y287" s="229"/>
      <c r="Z287" s="229"/>
      <c r="AA287" s="229"/>
      <c r="AB287" s="222">
        <f t="shared" si="53"/>
        <v>0</v>
      </c>
      <c r="AC287" s="230">
        <f t="shared" si="54"/>
        <v>0</v>
      </c>
      <c r="AD287" s="222" t="str">
        <f t="shared" si="55"/>
        <v/>
      </c>
      <c r="AE287" s="201"/>
      <c r="AF287" s="231" t="str">
        <f>+IFERROR(VLOOKUP(L287,Data!$F$4:$G$97,2,0),"")</f>
        <v/>
      </c>
    </row>
    <row r="288" spans="9:32" ht="15" customHeight="1" x14ac:dyDescent="0.3">
      <c r="I288" s="201" t="str">
        <f t="shared" si="48"/>
        <v/>
      </c>
      <c r="J288" s="218">
        <f t="shared" si="49"/>
        <v>285</v>
      </c>
      <c r="K288" s="250"/>
      <c r="L288" s="219"/>
      <c r="M288" s="218"/>
      <c r="N288" s="220" t="str">
        <f>IFERROR(VLOOKUP(M288,Data!$C$4:$D$395,2,0),"")</f>
        <v/>
      </c>
      <c r="O288" s="220"/>
      <c r="P288" s="229"/>
      <c r="Q288" s="221"/>
      <c r="R288" s="222" t="str">
        <f t="shared" si="50"/>
        <v>-</v>
      </c>
      <c r="S288" s="223"/>
      <c r="T288" s="224"/>
      <c r="U288" s="225">
        <f t="shared" si="51"/>
        <v>0</v>
      </c>
      <c r="V288" s="226">
        <v>0</v>
      </c>
      <c r="W288" s="227"/>
      <c r="X288" s="228">
        <f t="shared" si="52"/>
        <v>0</v>
      </c>
      <c r="Y288" s="229"/>
      <c r="Z288" s="229"/>
      <c r="AA288" s="229"/>
      <c r="AB288" s="222">
        <f t="shared" si="53"/>
        <v>0</v>
      </c>
      <c r="AC288" s="230">
        <f t="shared" si="54"/>
        <v>0</v>
      </c>
      <c r="AD288" s="222" t="str">
        <f t="shared" si="55"/>
        <v/>
      </c>
      <c r="AE288" s="201"/>
      <c r="AF288" s="231" t="str">
        <f>+IFERROR(VLOOKUP(L288,Data!$F$4:$G$97,2,0),"")</f>
        <v/>
      </c>
    </row>
    <row r="289" spans="9:32" ht="15" customHeight="1" x14ac:dyDescent="0.3">
      <c r="I289" s="201" t="str">
        <f t="shared" si="48"/>
        <v/>
      </c>
      <c r="J289" s="218">
        <f t="shared" si="49"/>
        <v>286</v>
      </c>
      <c r="K289" s="250"/>
      <c r="L289" s="219"/>
      <c r="M289" s="218"/>
      <c r="N289" s="220" t="str">
        <f>IFERROR(VLOOKUP(M289,Data!$C$4:$D$395,2,0),"")</f>
        <v/>
      </c>
      <c r="O289" s="220"/>
      <c r="P289" s="229"/>
      <c r="Q289" s="221"/>
      <c r="R289" s="222" t="str">
        <f t="shared" si="50"/>
        <v>-</v>
      </c>
      <c r="S289" s="223"/>
      <c r="T289" s="224"/>
      <c r="U289" s="225">
        <f t="shared" si="51"/>
        <v>0</v>
      </c>
      <c r="V289" s="226">
        <v>0</v>
      </c>
      <c r="W289" s="227"/>
      <c r="X289" s="228">
        <f t="shared" si="52"/>
        <v>0</v>
      </c>
      <c r="Y289" s="229"/>
      <c r="Z289" s="229"/>
      <c r="AA289" s="229"/>
      <c r="AB289" s="222">
        <f t="shared" si="53"/>
        <v>0</v>
      </c>
      <c r="AC289" s="230">
        <f t="shared" si="54"/>
        <v>0</v>
      </c>
      <c r="AD289" s="222" t="str">
        <f t="shared" si="55"/>
        <v/>
      </c>
      <c r="AE289" s="201"/>
      <c r="AF289" s="231" t="str">
        <f>+IFERROR(VLOOKUP(L289,Data!$F$4:$G$97,2,0),"")</f>
        <v/>
      </c>
    </row>
    <row r="290" spans="9:32" ht="15" customHeight="1" x14ac:dyDescent="0.3">
      <c r="I290" s="201" t="str">
        <f t="shared" si="48"/>
        <v/>
      </c>
      <c r="J290" s="218">
        <f t="shared" si="49"/>
        <v>287</v>
      </c>
      <c r="K290" s="250"/>
      <c r="L290" s="219"/>
      <c r="M290" s="218"/>
      <c r="N290" s="220" t="str">
        <f>IFERROR(VLOOKUP(M290,Data!$C$4:$D$395,2,0),"")</f>
        <v/>
      </c>
      <c r="O290" s="220"/>
      <c r="P290" s="229"/>
      <c r="Q290" s="221"/>
      <c r="R290" s="222" t="str">
        <f t="shared" si="50"/>
        <v>-</v>
      </c>
      <c r="S290" s="223"/>
      <c r="T290" s="224"/>
      <c r="U290" s="225">
        <f t="shared" si="51"/>
        <v>0</v>
      </c>
      <c r="V290" s="226">
        <v>0</v>
      </c>
      <c r="W290" s="227"/>
      <c r="X290" s="228">
        <f t="shared" si="52"/>
        <v>0</v>
      </c>
      <c r="Y290" s="229"/>
      <c r="Z290" s="229"/>
      <c r="AA290" s="229"/>
      <c r="AB290" s="222">
        <f t="shared" si="53"/>
        <v>0</v>
      </c>
      <c r="AC290" s="230">
        <f t="shared" si="54"/>
        <v>0</v>
      </c>
      <c r="AD290" s="222" t="str">
        <f t="shared" si="55"/>
        <v/>
      </c>
      <c r="AE290" s="201"/>
      <c r="AF290" s="231" t="str">
        <f>+IFERROR(VLOOKUP(L290,Data!$F$4:$G$97,2,0),"")</f>
        <v/>
      </c>
    </row>
    <row r="291" spans="9:32" ht="15" customHeight="1" x14ac:dyDescent="0.3">
      <c r="I291" s="201" t="str">
        <f t="shared" si="48"/>
        <v/>
      </c>
      <c r="J291" s="218">
        <f t="shared" si="49"/>
        <v>288</v>
      </c>
      <c r="K291" s="250"/>
      <c r="L291" s="219"/>
      <c r="M291" s="218"/>
      <c r="N291" s="220" t="str">
        <f>IFERROR(VLOOKUP(M291,Data!$C$4:$D$395,2,0),"")</f>
        <v/>
      </c>
      <c r="O291" s="220"/>
      <c r="P291" s="229"/>
      <c r="Q291" s="221"/>
      <c r="R291" s="222" t="str">
        <f t="shared" si="50"/>
        <v>-</v>
      </c>
      <c r="S291" s="223"/>
      <c r="T291" s="224"/>
      <c r="U291" s="225">
        <f t="shared" si="51"/>
        <v>0</v>
      </c>
      <c r="V291" s="226">
        <v>0</v>
      </c>
      <c r="W291" s="227"/>
      <c r="X291" s="228">
        <f t="shared" si="52"/>
        <v>0</v>
      </c>
      <c r="Y291" s="229"/>
      <c r="Z291" s="229"/>
      <c r="AA291" s="229"/>
      <c r="AB291" s="222">
        <f t="shared" si="53"/>
        <v>0</v>
      </c>
      <c r="AC291" s="230">
        <f t="shared" si="54"/>
        <v>0</v>
      </c>
      <c r="AD291" s="222" t="str">
        <f t="shared" si="55"/>
        <v/>
      </c>
      <c r="AE291" s="201"/>
      <c r="AF291" s="231" t="str">
        <f>+IFERROR(VLOOKUP(L291,Data!$F$4:$G$97,2,0),"")</f>
        <v/>
      </c>
    </row>
    <row r="292" spans="9:32" ht="15" customHeight="1" x14ac:dyDescent="0.3">
      <c r="I292" s="201" t="str">
        <f t="shared" si="48"/>
        <v/>
      </c>
      <c r="J292" s="218">
        <f t="shared" si="49"/>
        <v>289</v>
      </c>
      <c r="K292" s="250"/>
      <c r="L292" s="219"/>
      <c r="M292" s="218"/>
      <c r="N292" s="220" t="str">
        <f>IFERROR(VLOOKUP(M292,Data!$C$4:$D$395,2,0),"")</f>
        <v/>
      </c>
      <c r="O292" s="220"/>
      <c r="P292" s="229"/>
      <c r="Q292" s="221"/>
      <c r="R292" s="222" t="str">
        <f t="shared" si="50"/>
        <v>-</v>
      </c>
      <c r="S292" s="223"/>
      <c r="T292" s="224"/>
      <c r="U292" s="225">
        <f t="shared" si="51"/>
        <v>0</v>
      </c>
      <c r="V292" s="226">
        <v>0</v>
      </c>
      <c r="W292" s="227"/>
      <c r="X292" s="228">
        <f t="shared" si="52"/>
        <v>0</v>
      </c>
      <c r="Y292" s="229"/>
      <c r="Z292" s="229"/>
      <c r="AA292" s="229"/>
      <c r="AB292" s="222">
        <f t="shared" si="53"/>
        <v>0</v>
      </c>
      <c r="AC292" s="230">
        <f t="shared" si="54"/>
        <v>0</v>
      </c>
      <c r="AD292" s="222" t="str">
        <f t="shared" si="55"/>
        <v/>
      </c>
      <c r="AE292" s="201"/>
      <c r="AF292" s="231" t="str">
        <f>+IFERROR(VLOOKUP(L292,Data!$F$4:$G$97,2,0),"")</f>
        <v/>
      </c>
    </row>
    <row r="293" spans="9:32" ht="15" customHeight="1" x14ac:dyDescent="0.3">
      <c r="I293" s="201" t="str">
        <f t="shared" si="48"/>
        <v/>
      </c>
      <c r="J293" s="218">
        <f t="shared" si="49"/>
        <v>290</v>
      </c>
      <c r="K293" s="250"/>
      <c r="L293" s="219"/>
      <c r="M293" s="218"/>
      <c r="N293" s="220" t="str">
        <f>IFERROR(VLOOKUP(M293,Data!$C$4:$D$395,2,0),"")</f>
        <v/>
      </c>
      <c r="O293" s="220"/>
      <c r="P293" s="229"/>
      <c r="Q293" s="221"/>
      <c r="R293" s="222" t="str">
        <f t="shared" si="50"/>
        <v>-</v>
      </c>
      <c r="S293" s="223"/>
      <c r="T293" s="224"/>
      <c r="U293" s="225">
        <f t="shared" si="51"/>
        <v>0</v>
      </c>
      <c r="V293" s="226">
        <v>0</v>
      </c>
      <c r="W293" s="227"/>
      <c r="X293" s="228">
        <f t="shared" si="52"/>
        <v>0</v>
      </c>
      <c r="Y293" s="229"/>
      <c r="Z293" s="229"/>
      <c r="AA293" s="229"/>
      <c r="AB293" s="222">
        <f t="shared" si="53"/>
        <v>0</v>
      </c>
      <c r="AC293" s="230">
        <f t="shared" si="54"/>
        <v>0</v>
      </c>
      <c r="AD293" s="222" t="str">
        <f t="shared" si="55"/>
        <v/>
      </c>
      <c r="AE293" s="201"/>
      <c r="AF293" s="231" t="str">
        <f>+IFERROR(VLOOKUP(L293,Data!$F$4:$G$97,2,0),"")</f>
        <v/>
      </c>
    </row>
    <row r="294" spans="9:32" ht="15" customHeight="1" x14ac:dyDescent="0.3">
      <c r="I294" s="201" t="str">
        <f t="shared" si="48"/>
        <v/>
      </c>
      <c r="J294" s="218">
        <f t="shared" si="49"/>
        <v>291</v>
      </c>
      <c r="K294" s="250"/>
      <c r="L294" s="219"/>
      <c r="M294" s="218"/>
      <c r="N294" s="220" t="str">
        <f>IFERROR(VLOOKUP(M294,Data!$C$4:$D$395,2,0),"")</f>
        <v/>
      </c>
      <c r="O294" s="220"/>
      <c r="P294" s="229"/>
      <c r="Q294" s="221"/>
      <c r="R294" s="222" t="str">
        <f t="shared" si="50"/>
        <v>-</v>
      </c>
      <c r="S294" s="223"/>
      <c r="T294" s="224"/>
      <c r="U294" s="225">
        <f t="shared" si="51"/>
        <v>0</v>
      </c>
      <c r="V294" s="226">
        <v>0</v>
      </c>
      <c r="W294" s="227"/>
      <c r="X294" s="228">
        <f t="shared" si="52"/>
        <v>0</v>
      </c>
      <c r="Y294" s="229"/>
      <c r="Z294" s="229"/>
      <c r="AA294" s="229"/>
      <c r="AB294" s="222">
        <f t="shared" si="53"/>
        <v>0</v>
      </c>
      <c r="AC294" s="230">
        <f t="shared" si="54"/>
        <v>0</v>
      </c>
      <c r="AD294" s="222" t="str">
        <f t="shared" si="55"/>
        <v/>
      </c>
      <c r="AE294" s="201"/>
      <c r="AF294" s="231" t="str">
        <f>+IFERROR(VLOOKUP(L294,Data!$F$4:$G$97,2,0),"")</f>
        <v/>
      </c>
    </row>
    <row r="295" spans="9:32" ht="15" customHeight="1" x14ac:dyDescent="0.3">
      <c r="I295" s="201" t="str">
        <f t="shared" si="48"/>
        <v/>
      </c>
      <c r="J295" s="218">
        <f t="shared" si="49"/>
        <v>292</v>
      </c>
      <c r="K295" s="250"/>
      <c r="L295" s="219"/>
      <c r="M295" s="218"/>
      <c r="N295" s="220" t="str">
        <f>IFERROR(VLOOKUP(M295,Data!$C$4:$D$395,2,0),"")</f>
        <v/>
      </c>
      <c r="O295" s="220"/>
      <c r="P295" s="229"/>
      <c r="Q295" s="221"/>
      <c r="R295" s="222" t="str">
        <f t="shared" si="50"/>
        <v>-</v>
      </c>
      <c r="S295" s="223"/>
      <c r="T295" s="224"/>
      <c r="U295" s="225">
        <f t="shared" si="51"/>
        <v>0</v>
      </c>
      <c r="V295" s="226">
        <v>0</v>
      </c>
      <c r="W295" s="227"/>
      <c r="X295" s="228">
        <f t="shared" si="52"/>
        <v>0</v>
      </c>
      <c r="Y295" s="229"/>
      <c r="Z295" s="229"/>
      <c r="AA295" s="229"/>
      <c r="AB295" s="222">
        <f t="shared" si="53"/>
        <v>0</v>
      </c>
      <c r="AC295" s="230">
        <f t="shared" si="54"/>
        <v>0</v>
      </c>
      <c r="AD295" s="222" t="str">
        <f t="shared" si="55"/>
        <v/>
      </c>
      <c r="AE295" s="201"/>
      <c r="AF295" s="231" t="str">
        <f>+IFERROR(VLOOKUP(L295,Data!$F$4:$G$97,2,0),"")</f>
        <v/>
      </c>
    </row>
    <row r="296" spans="9:32" ht="15" customHeight="1" x14ac:dyDescent="0.3">
      <c r="I296" s="201" t="str">
        <f t="shared" si="48"/>
        <v/>
      </c>
      <c r="J296" s="218">
        <f t="shared" si="49"/>
        <v>293</v>
      </c>
      <c r="K296" s="250"/>
      <c r="L296" s="219"/>
      <c r="M296" s="218"/>
      <c r="N296" s="220" t="str">
        <f>IFERROR(VLOOKUP(M296,Data!$C$4:$D$395,2,0),"")</f>
        <v/>
      </c>
      <c r="O296" s="220"/>
      <c r="P296" s="229"/>
      <c r="Q296" s="221"/>
      <c r="R296" s="222" t="str">
        <f t="shared" si="50"/>
        <v>-</v>
      </c>
      <c r="S296" s="223"/>
      <c r="T296" s="224"/>
      <c r="U296" s="225">
        <f t="shared" si="51"/>
        <v>0</v>
      </c>
      <c r="V296" s="226">
        <v>0</v>
      </c>
      <c r="W296" s="227"/>
      <c r="X296" s="228">
        <f t="shared" si="52"/>
        <v>0</v>
      </c>
      <c r="Y296" s="229"/>
      <c r="Z296" s="229"/>
      <c r="AA296" s="229"/>
      <c r="AB296" s="222">
        <f t="shared" si="53"/>
        <v>0</v>
      </c>
      <c r="AC296" s="230">
        <f t="shared" si="54"/>
        <v>0</v>
      </c>
      <c r="AD296" s="222" t="str">
        <f t="shared" si="55"/>
        <v/>
      </c>
      <c r="AE296" s="201"/>
      <c r="AF296" s="231" t="str">
        <f>+IFERROR(VLOOKUP(L296,Data!$F$4:$G$97,2,0),"")</f>
        <v/>
      </c>
    </row>
    <row r="297" spans="9:32" ht="15" customHeight="1" x14ac:dyDescent="0.3">
      <c r="I297" s="201" t="str">
        <f t="shared" si="48"/>
        <v/>
      </c>
      <c r="J297" s="218">
        <f t="shared" si="49"/>
        <v>294</v>
      </c>
      <c r="K297" s="250"/>
      <c r="L297" s="219"/>
      <c r="M297" s="218"/>
      <c r="N297" s="220" t="str">
        <f>IFERROR(VLOOKUP(M297,Data!$C$4:$D$395,2,0),"")</f>
        <v/>
      </c>
      <c r="O297" s="220"/>
      <c r="P297" s="229"/>
      <c r="Q297" s="221"/>
      <c r="R297" s="222" t="str">
        <f t="shared" si="50"/>
        <v>-</v>
      </c>
      <c r="S297" s="223"/>
      <c r="T297" s="224"/>
      <c r="U297" s="225">
        <f t="shared" si="51"/>
        <v>0</v>
      </c>
      <c r="V297" s="226">
        <v>0</v>
      </c>
      <c r="W297" s="227"/>
      <c r="X297" s="228">
        <f t="shared" si="52"/>
        <v>0</v>
      </c>
      <c r="Y297" s="229"/>
      <c r="Z297" s="229"/>
      <c r="AA297" s="229"/>
      <c r="AB297" s="222">
        <f t="shared" si="53"/>
        <v>0</v>
      </c>
      <c r="AC297" s="230">
        <f t="shared" si="54"/>
        <v>0</v>
      </c>
      <c r="AD297" s="222" t="str">
        <f t="shared" si="55"/>
        <v/>
      </c>
      <c r="AE297" s="201"/>
      <c r="AF297" s="231" t="str">
        <f>+IFERROR(VLOOKUP(L297,Data!$F$4:$G$97,2,0),"")</f>
        <v/>
      </c>
    </row>
    <row r="298" spans="9:32" ht="15" customHeight="1" x14ac:dyDescent="0.3">
      <c r="I298" s="201" t="str">
        <f t="shared" si="48"/>
        <v/>
      </c>
      <c r="J298" s="218">
        <f t="shared" si="49"/>
        <v>295</v>
      </c>
      <c r="K298" s="250"/>
      <c r="L298" s="219"/>
      <c r="M298" s="218"/>
      <c r="N298" s="220" t="str">
        <f>IFERROR(VLOOKUP(M298,Data!$C$4:$D$395,2,0),"")</f>
        <v/>
      </c>
      <c r="O298" s="220"/>
      <c r="P298" s="229"/>
      <c r="Q298" s="221"/>
      <c r="R298" s="222" t="str">
        <f t="shared" si="50"/>
        <v>-</v>
      </c>
      <c r="S298" s="223"/>
      <c r="T298" s="224"/>
      <c r="U298" s="225">
        <f t="shared" si="51"/>
        <v>0</v>
      </c>
      <c r="V298" s="226">
        <v>0</v>
      </c>
      <c r="W298" s="227"/>
      <c r="X298" s="228">
        <f t="shared" si="52"/>
        <v>0</v>
      </c>
      <c r="Y298" s="229"/>
      <c r="Z298" s="229"/>
      <c r="AA298" s="229"/>
      <c r="AB298" s="222">
        <f t="shared" si="53"/>
        <v>0</v>
      </c>
      <c r="AC298" s="230">
        <f t="shared" si="54"/>
        <v>0</v>
      </c>
      <c r="AD298" s="222" t="str">
        <f t="shared" si="55"/>
        <v/>
      </c>
      <c r="AE298" s="201"/>
      <c r="AF298" s="231" t="str">
        <f>+IFERROR(VLOOKUP(L298,Data!$F$4:$G$97,2,0),"")</f>
        <v/>
      </c>
    </row>
    <row r="299" spans="9:32" ht="15" customHeight="1" x14ac:dyDescent="0.3">
      <c r="I299" s="201" t="str">
        <f t="shared" si="48"/>
        <v/>
      </c>
      <c r="J299" s="218">
        <f t="shared" si="49"/>
        <v>296</v>
      </c>
      <c r="K299" s="250"/>
      <c r="L299" s="219"/>
      <c r="M299" s="218"/>
      <c r="N299" s="220" t="str">
        <f>IFERROR(VLOOKUP(M299,Data!$C$4:$D$395,2,0),"")</f>
        <v/>
      </c>
      <c r="O299" s="220"/>
      <c r="P299" s="229"/>
      <c r="Q299" s="221"/>
      <c r="R299" s="222" t="str">
        <f t="shared" si="50"/>
        <v>-</v>
      </c>
      <c r="S299" s="223"/>
      <c r="T299" s="224"/>
      <c r="U299" s="225">
        <f t="shared" si="51"/>
        <v>0</v>
      </c>
      <c r="V299" s="226">
        <v>0</v>
      </c>
      <c r="W299" s="227"/>
      <c r="X299" s="228">
        <f t="shared" si="52"/>
        <v>0</v>
      </c>
      <c r="Y299" s="229"/>
      <c r="Z299" s="229"/>
      <c r="AA299" s="229"/>
      <c r="AB299" s="222">
        <f t="shared" si="53"/>
        <v>0</v>
      </c>
      <c r="AC299" s="230">
        <f t="shared" si="54"/>
        <v>0</v>
      </c>
      <c r="AD299" s="222" t="str">
        <f t="shared" si="55"/>
        <v/>
      </c>
      <c r="AE299" s="201"/>
      <c r="AF299" s="231" t="str">
        <f>+IFERROR(VLOOKUP(L299,Data!$F$4:$G$97,2,0),"")</f>
        <v/>
      </c>
    </row>
    <row r="300" spans="9:32" ht="15" customHeight="1" x14ac:dyDescent="0.3">
      <c r="I300" s="201" t="str">
        <f t="shared" si="48"/>
        <v/>
      </c>
      <c r="J300" s="218">
        <f t="shared" si="49"/>
        <v>297</v>
      </c>
      <c r="K300" s="250"/>
      <c r="L300" s="219"/>
      <c r="M300" s="218"/>
      <c r="N300" s="220" t="str">
        <f>IFERROR(VLOOKUP(M300,Data!$C$4:$D$395,2,0),"")</f>
        <v/>
      </c>
      <c r="O300" s="220"/>
      <c r="P300" s="229"/>
      <c r="Q300" s="221"/>
      <c r="R300" s="222" t="str">
        <f t="shared" si="50"/>
        <v>-</v>
      </c>
      <c r="S300" s="223"/>
      <c r="T300" s="224"/>
      <c r="U300" s="225">
        <f t="shared" si="51"/>
        <v>0</v>
      </c>
      <c r="V300" s="226">
        <v>0</v>
      </c>
      <c r="W300" s="227"/>
      <c r="X300" s="228">
        <f t="shared" si="52"/>
        <v>0</v>
      </c>
      <c r="Y300" s="229"/>
      <c r="Z300" s="229"/>
      <c r="AA300" s="229"/>
      <c r="AB300" s="222">
        <f t="shared" si="53"/>
        <v>0</v>
      </c>
      <c r="AC300" s="230">
        <f t="shared" si="54"/>
        <v>0</v>
      </c>
      <c r="AD300" s="222" t="str">
        <f t="shared" si="55"/>
        <v/>
      </c>
      <c r="AE300" s="201"/>
      <c r="AF300" s="231" t="str">
        <f>+IFERROR(VLOOKUP(L300,Data!$F$4:$G$97,2,0),"")</f>
        <v/>
      </c>
    </row>
    <row r="301" spans="9:32" ht="15" customHeight="1" x14ac:dyDescent="0.3">
      <c r="I301" s="201" t="str">
        <f t="shared" si="48"/>
        <v/>
      </c>
      <c r="J301" s="218">
        <f t="shared" si="49"/>
        <v>298</v>
      </c>
      <c r="K301" s="250"/>
      <c r="L301" s="219"/>
      <c r="M301" s="218"/>
      <c r="N301" s="220" t="str">
        <f>IFERROR(VLOOKUP(M301,Data!$C$4:$D$395,2,0),"")</f>
        <v/>
      </c>
      <c r="O301" s="220"/>
      <c r="P301" s="229"/>
      <c r="Q301" s="221"/>
      <c r="R301" s="222" t="str">
        <f t="shared" si="50"/>
        <v>-</v>
      </c>
      <c r="S301" s="223"/>
      <c r="T301" s="224"/>
      <c r="U301" s="225">
        <f t="shared" si="51"/>
        <v>0</v>
      </c>
      <c r="V301" s="226">
        <v>0</v>
      </c>
      <c r="W301" s="227"/>
      <c r="X301" s="228">
        <f t="shared" si="52"/>
        <v>0</v>
      </c>
      <c r="Y301" s="229"/>
      <c r="Z301" s="229"/>
      <c r="AA301" s="229"/>
      <c r="AB301" s="222">
        <f t="shared" si="53"/>
        <v>0</v>
      </c>
      <c r="AC301" s="230">
        <f t="shared" si="54"/>
        <v>0</v>
      </c>
      <c r="AD301" s="222" t="str">
        <f t="shared" si="55"/>
        <v/>
      </c>
      <c r="AE301" s="201"/>
      <c r="AF301" s="231" t="str">
        <f>+IFERROR(VLOOKUP(L301,Data!$F$4:$G$97,2,0),"")</f>
        <v/>
      </c>
    </row>
    <row r="302" spans="9:32" ht="15" customHeight="1" x14ac:dyDescent="0.3">
      <c r="I302" s="201" t="str">
        <f t="shared" si="48"/>
        <v/>
      </c>
      <c r="J302" s="218">
        <f t="shared" si="49"/>
        <v>299</v>
      </c>
      <c r="K302" s="250"/>
      <c r="L302" s="219"/>
      <c r="M302" s="218"/>
      <c r="N302" s="220" t="str">
        <f>IFERROR(VLOOKUP(M302,Data!$C$4:$D$395,2,0),"")</f>
        <v/>
      </c>
      <c r="O302" s="220"/>
      <c r="P302" s="229"/>
      <c r="Q302" s="221"/>
      <c r="R302" s="222" t="str">
        <f t="shared" si="50"/>
        <v>-</v>
      </c>
      <c r="S302" s="223"/>
      <c r="T302" s="224"/>
      <c r="U302" s="225">
        <f t="shared" si="51"/>
        <v>0</v>
      </c>
      <c r="V302" s="226">
        <v>0</v>
      </c>
      <c r="W302" s="227"/>
      <c r="X302" s="228">
        <f t="shared" si="52"/>
        <v>0</v>
      </c>
      <c r="Y302" s="229"/>
      <c r="Z302" s="229"/>
      <c r="AA302" s="229"/>
      <c r="AB302" s="222">
        <f t="shared" si="53"/>
        <v>0</v>
      </c>
      <c r="AC302" s="230">
        <f t="shared" si="54"/>
        <v>0</v>
      </c>
      <c r="AD302" s="222" t="str">
        <f t="shared" si="55"/>
        <v/>
      </c>
      <c r="AE302" s="201"/>
      <c r="AF302" s="231" t="str">
        <f>+IFERROR(VLOOKUP(L302,Data!$F$4:$G$97,2,0),"")</f>
        <v/>
      </c>
    </row>
    <row r="303" spans="9:32" ht="15" customHeight="1" x14ac:dyDescent="0.3">
      <c r="I303" s="201" t="str">
        <f t="shared" si="48"/>
        <v/>
      </c>
      <c r="J303" s="218">
        <f t="shared" si="49"/>
        <v>300</v>
      </c>
      <c r="K303" s="250"/>
      <c r="L303" s="219"/>
      <c r="M303" s="218"/>
      <c r="N303" s="220" t="str">
        <f>IFERROR(VLOOKUP(M303,Data!$C$4:$D$395,2,0),"")</f>
        <v/>
      </c>
      <c r="O303" s="220"/>
      <c r="P303" s="229"/>
      <c r="Q303" s="221"/>
      <c r="R303" s="222" t="str">
        <f t="shared" si="50"/>
        <v>-</v>
      </c>
      <c r="S303" s="223"/>
      <c r="T303" s="224"/>
      <c r="U303" s="225">
        <f t="shared" si="51"/>
        <v>0</v>
      </c>
      <c r="V303" s="226">
        <v>0</v>
      </c>
      <c r="W303" s="227"/>
      <c r="X303" s="228">
        <f t="shared" si="52"/>
        <v>0</v>
      </c>
      <c r="Y303" s="229"/>
      <c r="Z303" s="229"/>
      <c r="AA303" s="229"/>
      <c r="AB303" s="222">
        <f t="shared" si="53"/>
        <v>0</v>
      </c>
      <c r="AC303" s="230">
        <f t="shared" si="54"/>
        <v>0</v>
      </c>
      <c r="AD303" s="222" t="str">
        <f t="shared" si="55"/>
        <v/>
      </c>
      <c r="AE303" s="201"/>
      <c r="AF303" s="231" t="str">
        <f>+IFERROR(VLOOKUP(L303,Data!$F$4:$G$97,2,0),"")</f>
        <v/>
      </c>
    </row>
    <row r="304" spans="9:32" ht="15" customHeight="1" x14ac:dyDescent="0.3">
      <c r="I304" s="201" t="str">
        <f t="shared" si="48"/>
        <v/>
      </c>
      <c r="J304" s="218">
        <f t="shared" si="49"/>
        <v>301</v>
      </c>
      <c r="K304" s="250"/>
      <c r="L304" s="219"/>
      <c r="M304" s="218"/>
      <c r="N304" s="220" t="str">
        <f>IFERROR(VLOOKUP(M304,Data!$C$4:$D$395,2,0),"")</f>
        <v/>
      </c>
      <c r="O304" s="220"/>
      <c r="P304" s="229"/>
      <c r="Q304" s="221"/>
      <c r="R304" s="222" t="str">
        <f t="shared" si="50"/>
        <v>-</v>
      </c>
      <c r="S304" s="223"/>
      <c r="T304" s="224"/>
      <c r="U304" s="225">
        <f t="shared" si="51"/>
        <v>0</v>
      </c>
      <c r="V304" s="226">
        <v>0</v>
      </c>
      <c r="W304" s="227"/>
      <c r="X304" s="228">
        <f t="shared" si="52"/>
        <v>0</v>
      </c>
      <c r="Y304" s="229"/>
      <c r="Z304" s="229"/>
      <c r="AA304" s="229"/>
      <c r="AB304" s="222">
        <f t="shared" si="53"/>
        <v>0</v>
      </c>
      <c r="AC304" s="230">
        <f t="shared" si="54"/>
        <v>0</v>
      </c>
      <c r="AD304" s="222" t="str">
        <f t="shared" si="55"/>
        <v/>
      </c>
      <c r="AE304" s="201"/>
      <c r="AF304" s="231" t="str">
        <f>+IFERROR(VLOOKUP(L304,Data!$F$4:$G$97,2,0),"")</f>
        <v/>
      </c>
    </row>
    <row r="305" spans="9:32" ht="15" customHeight="1" x14ac:dyDescent="0.3">
      <c r="I305" s="201" t="str">
        <f t="shared" si="48"/>
        <v/>
      </c>
      <c r="J305" s="218">
        <f t="shared" si="49"/>
        <v>302</v>
      </c>
      <c r="K305" s="250"/>
      <c r="L305" s="219"/>
      <c r="M305" s="218"/>
      <c r="N305" s="220" t="str">
        <f>IFERROR(VLOOKUP(M305,Data!$C$4:$D$395,2,0),"")</f>
        <v/>
      </c>
      <c r="O305" s="220"/>
      <c r="P305" s="229"/>
      <c r="Q305" s="221"/>
      <c r="R305" s="222" t="str">
        <f t="shared" si="50"/>
        <v>-</v>
      </c>
      <c r="S305" s="223"/>
      <c r="T305" s="224"/>
      <c r="U305" s="225">
        <f t="shared" si="51"/>
        <v>0</v>
      </c>
      <c r="V305" s="226">
        <v>0</v>
      </c>
      <c r="W305" s="227"/>
      <c r="X305" s="228">
        <f t="shared" si="52"/>
        <v>0</v>
      </c>
      <c r="Y305" s="229"/>
      <c r="Z305" s="229"/>
      <c r="AA305" s="229"/>
      <c r="AB305" s="222">
        <f t="shared" si="53"/>
        <v>0</v>
      </c>
      <c r="AC305" s="230">
        <f t="shared" si="54"/>
        <v>0</v>
      </c>
      <c r="AD305" s="222" t="str">
        <f t="shared" si="55"/>
        <v/>
      </c>
      <c r="AE305" s="201"/>
      <c r="AF305" s="231" t="str">
        <f>+IFERROR(VLOOKUP(L305,Data!$F$4:$G$97,2,0),"")</f>
        <v/>
      </c>
    </row>
    <row r="306" spans="9:32" ht="15" customHeight="1" x14ac:dyDescent="0.3">
      <c r="I306" s="201" t="str">
        <f t="shared" si="48"/>
        <v/>
      </c>
      <c r="J306" s="218">
        <f t="shared" si="49"/>
        <v>303</v>
      </c>
      <c r="K306" s="250"/>
      <c r="L306" s="219"/>
      <c r="M306" s="218"/>
      <c r="N306" s="220" t="str">
        <f>IFERROR(VLOOKUP(M306,Data!$C$4:$D$395,2,0),"")</f>
        <v/>
      </c>
      <c r="O306" s="220"/>
      <c r="P306" s="229"/>
      <c r="Q306" s="221"/>
      <c r="R306" s="222" t="str">
        <f t="shared" si="50"/>
        <v>-</v>
      </c>
      <c r="S306" s="223"/>
      <c r="T306" s="224"/>
      <c r="U306" s="225">
        <f t="shared" si="51"/>
        <v>0</v>
      </c>
      <c r="V306" s="226">
        <v>0</v>
      </c>
      <c r="W306" s="227"/>
      <c r="X306" s="228">
        <f t="shared" si="52"/>
        <v>0</v>
      </c>
      <c r="Y306" s="229"/>
      <c r="Z306" s="229"/>
      <c r="AA306" s="229"/>
      <c r="AB306" s="222">
        <f t="shared" si="53"/>
        <v>0</v>
      </c>
      <c r="AC306" s="230">
        <f t="shared" si="54"/>
        <v>0</v>
      </c>
      <c r="AD306" s="222" t="str">
        <f t="shared" si="55"/>
        <v/>
      </c>
      <c r="AE306" s="201"/>
      <c r="AF306" s="231" t="str">
        <f>+IFERROR(VLOOKUP(L306,Data!$F$4:$G$97,2,0),"")</f>
        <v/>
      </c>
    </row>
    <row r="307" spans="9:32" ht="15" customHeight="1" x14ac:dyDescent="0.3">
      <c r="I307" s="201" t="str">
        <f t="shared" si="48"/>
        <v/>
      </c>
      <c r="J307" s="218">
        <f t="shared" si="49"/>
        <v>304</v>
      </c>
      <c r="K307" s="250"/>
      <c r="L307" s="219"/>
      <c r="M307" s="218"/>
      <c r="N307" s="220" t="str">
        <f>IFERROR(VLOOKUP(M307,Data!$C$4:$D$395,2,0),"")</f>
        <v/>
      </c>
      <c r="O307" s="220"/>
      <c r="P307" s="229"/>
      <c r="Q307" s="221"/>
      <c r="R307" s="222" t="str">
        <f t="shared" si="50"/>
        <v>-</v>
      </c>
      <c r="S307" s="223"/>
      <c r="T307" s="224"/>
      <c r="U307" s="225">
        <f t="shared" si="51"/>
        <v>0</v>
      </c>
      <c r="V307" s="226">
        <v>0</v>
      </c>
      <c r="W307" s="227"/>
      <c r="X307" s="228">
        <f t="shared" si="52"/>
        <v>0</v>
      </c>
      <c r="Y307" s="229"/>
      <c r="Z307" s="229"/>
      <c r="AA307" s="229"/>
      <c r="AB307" s="222">
        <f t="shared" si="53"/>
        <v>0</v>
      </c>
      <c r="AC307" s="230">
        <f t="shared" si="54"/>
        <v>0</v>
      </c>
      <c r="AD307" s="222" t="str">
        <f t="shared" si="55"/>
        <v/>
      </c>
      <c r="AE307" s="201"/>
      <c r="AF307" s="231" t="str">
        <f>+IFERROR(VLOOKUP(L307,Data!$F$4:$G$97,2,0),"")</f>
        <v/>
      </c>
    </row>
    <row r="308" spans="9:32" ht="15" customHeight="1" x14ac:dyDescent="0.3">
      <c r="I308" s="201" t="str">
        <f t="shared" si="48"/>
        <v/>
      </c>
      <c r="J308" s="218">
        <f t="shared" si="49"/>
        <v>305</v>
      </c>
      <c r="K308" s="250"/>
      <c r="L308" s="219"/>
      <c r="M308" s="218"/>
      <c r="N308" s="220" t="str">
        <f>IFERROR(VLOOKUP(M308,Data!$C$4:$D$395,2,0),"")</f>
        <v/>
      </c>
      <c r="O308" s="220"/>
      <c r="P308" s="229"/>
      <c r="Q308" s="221"/>
      <c r="R308" s="222" t="str">
        <f t="shared" si="50"/>
        <v>-</v>
      </c>
      <c r="S308" s="223"/>
      <c r="T308" s="224"/>
      <c r="U308" s="225">
        <f t="shared" si="51"/>
        <v>0</v>
      </c>
      <c r="V308" s="226">
        <v>0</v>
      </c>
      <c r="W308" s="227"/>
      <c r="X308" s="228">
        <f t="shared" si="52"/>
        <v>0</v>
      </c>
      <c r="Y308" s="229"/>
      <c r="Z308" s="229"/>
      <c r="AA308" s="229"/>
      <c r="AB308" s="222">
        <f t="shared" si="53"/>
        <v>0</v>
      </c>
      <c r="AC308" s="230">
        <f t="shared" si="54"/>
        <v>0</v>
      </c>
      <c r="AD308" s="222" t="str">
        <f t="shared" si="55"/>
        <v/>
      </c>
      <c r="AE308" s="201"/>
      <c r="AF308" s="231" t="str">
        <f>+IFERROR(VLOOKUP(L308,Data!$F$4:$G$97,2,0),"")</f>
        <v/>
      </c>
    </row>
    <row r="309" spans="9:32" ht="15" customHeight="1" x14ac:dyDescent="0.3">
      <c r="I309" s="201" t="str">
        <f t="shared" si="48"/>
        <v/>
      </c>
      <c r="J309" s="218">
        <f t="shared" si="49"/>
        <v>306</v>
      </c>
      <c r="K309" s="250"/>
      <c r="L309" s="219"/>
      <c r="M309" s="218"/>
      <c r="N309" s="220" t="str">
        <f>IFERROR(VLOOKUP(M309,Data!$C$4:$D$395,2,0),"")</f>
        <v/>
      </c>
      <c r="O309" s="220"/>
      <c r="P309" s="229"/>
      <c r="Q309" s="221"/>
      <c r="R309" s="222" t="str">
        <f t="shared" si="50"/>
        <v>-</v>
      </c>
      <c r="S309" s="223"/>
      <c r="T309" s="224"/>
      <c r="U309" s="225">
        <f t="shared" si="51"/>
        <v>0</v>
      </c>
      <c r="V309" s="226">
        <v>0</v>
      </c>
      <c r="W309" s="227"/>
      <c r="X309" s="228">
        <f t="shared" si="52"/>
        <v>0</v>
      </c>
      <c r="Y309" s="229"/>
      <c r="Z309" s="229"/>
      <c r="AA309" s="229"/>
      <c r="AB309" s="222">
        <f t="shared" si="53"/>
        <v>0</v>
      </c>
      <c r="AC309" s="230">
        <f t="shared" si="54"/>
        <v>0</v>
      </c>
      <c r="AD309" s="222" t="str">
        <f t="shared" si="55"/>
        <v/>
      </c>
      <c r="AE309" s="201"/>
      <c r="AF309" s="231" t="str">
        <f>+IFERROR(VLOOKUP(L309,Data!$F$4:$G$97,2,0),"")</f>
        <v/>
      </c>
    </row>
    <row r="310" spans="9:32" ht="15" customHeight="1" x14ac:dyDescent="0.3">
      <c r="I310" s="201" t="str">
        <f t="shared" si="48"/>
        <v/>
      </c>
      <c r="J310" s="218">
        <f t="shared" si="49"/>
        <v>307</v>
      </c>
      <c r="K310" s="250"/>
      <c r="L310" s="219"/>
      <c r="M310" s="218"/>
      <c r="N310" s="220" t="str">
        <f>IFERROR(VLOOKUP(M310,Data!$C$4:$D$395,2,0),"")</f>
        <v/>
      </c>
      <c r="O310" s="220"/>
      <c r="P310" s="229"/>
      <c r="Q310" s="221"/>
      <c r="R310" s="222" t="str">
        <f t="shared" si="50"/>
        <v>-</v>
      </c>
      <c r="S310" s="223"/>
      <c r="T310" s="224"/>
      <c r="U310" s="225">
        <f t="shared" si="51"/>
        <v>0</v>
      </c>
      <c r="V310" s="226">
        <v>0</v>
      </c>
      <c r="W310" s="227"/>
      <c r="X310" s="228">
        <f t="shared" si="52"/>
        <v>0</v>
      </c>
      <c r="Y310" s="229"/>
      <c r="Z310" s="229"/>
      <c r="AA310" s="229"/>
      <c r="AB310" s="222">
        <f t="shared" si="53"/>
        <v>0</v>
      </c>
      <c r="AC310" s="230">
        <f t="shared" si="54"/>
        <v>0</v>
      </c>
      <c r="AD310" s="222" t="str">
        <f t="shared" si="55"/>
        <v/>
      </c>
      <c r="AE310" s="201"/>
      <c r="AF310" s="231" t="str">
        <f>+IFERROR(VLOOKUP(L310,Data!$F$4:$G$97,2,0),"")</f>
        <v/>
      </c>
    </row>
    <row r="311" spans="9:32" ht="15" customHeight="1" x14ac:dyDescent="0.3">
      <c r="I311" s="201" t="str">
        <f t="shared" si="48"/>
        <v/>
      </c>
      <c r="J311" s="218">
        <f t="shared" si="49"/>
        <v>308</v>
      </c>
      <c r="K311" s="250"/>
      <c r="L311" s="219"/>
      <c r="M311" s="218"/>
      <c r="N311" s="220" t="str">
        <f>IFERROR(VLOOKUP(M311,Data!$C$4:$D$395,2,0),"")</f>
        <v/>
      </c>
      <c r="O311" s="220"/>
      <c r="P311" s="229"/>
      <c r="Q311" s="221"/>
      <c r="R311" s="222" t="str">
        <f t="shared" si="50"/>
        <v>-</v>
      </c>
      <c r="S311" s="223"/>
      <c r="T311" s="224"/>
      <c r="U311" s="225">
        <f t="shared" si="51"/>
        <v>0</v>
      </c>
      <c r="V311" s="226">
        <v>0</v>
      </c>
      <c r="W311" s="227"/>
      <c r="X311" s="228">
        <f t="shared" si="52"/>
        <v>0</v>
      </c>
      <c r="Y311" s="229"/>
      <c r="Z311" s="229"/>
      <c r="AA311" s="229"/>
      <c r="AB311" s="222">
        <f t="shared" si="53"/>
        <v>0</v>
      </c>
      <c r="AC311" s="230">
        <f t="shared" si="54"/>
        <v>0</v>
      </c>
      <c r="AD311" s="222" t="str">
        <f t="shared" si="55"/>
        <v/>
      </c>
      <c r="AE311" s="201"/>
      <c r="AF311" s="231" t="str">
        <f>+IFERROR(VLOOKUP(L311,Data!$F$4:$G$97,2,0),"")</f>
        <v/>
      </c>
    </row>
    <row r="312" spans="9:32" ht="15" customHeight="1" x14ac:dyDescent="0.3">
      <c r="I312" s="201" t="str">
        <f t="shared" si="48"/>
        <v/>
      </c>
      <c r="J312" s="218">
        <f t="shared" si="49"/>
        <v>309</v>
      </c>
      <c r="K312" s="250"/>
      <c r="L312" s="219"/>
      <c r="M312" s="218"/>
      <c r="N312" s="220" t="str">
        <f>IFERROR(VLOOKUP(M312,Data!$C$4:$D$395,2,0),"")</f>
        <v/>
      </c>
      <c r="O312" s="220"/>
      <c r="P312" s="229"/>
      <c r="Q312" s="221"/>
      <c r="R312" s="222" t="str">
        <f t="shared" si="50"/>
        <v>-</v>
      </c>
      <c r="S312" s="223"/>
      <c r="T312" s="224"/>
      <c r="U312" s="225">
        <f t="shared" si="51"/>
        <v>0</v>
      </c>
      <c r="V312" s="226">
        <v>0</v>
      </c>
      <c r="W312" s="227"/>
      <c r="X312" s="228">
        <f t="shared" si="52"/>
        <v>0</v>
      </c>
      <c r="Y312" s="229"/>
      <c r="Z312" s="229"/>
      <c r="AA312" s="229"/>
      <c r="AB312" s="222">
        <f t="shared" si="53"/>
        <v>0</v>
      </c>
      <c r="AC312" s="230">
        <f t="shared" si="54"/>
        <v>0</v>
      </c>
      <c r="AD312" s="222" t="str">
        <f t="shared" si="55"/>
        <v/>
      </c>
      <c r="AE312" s="201"/>
      <c r="AF312" s="231" t="str">
        <f>+IFERROR(VLOOKUP(L312,Data!$F$4:$G$97,2,0),"")</f>
        <v/>
      </c>
    </row>
    <row r="313" spans="9:32" ht="15" customHeight="1" x14ac:dyDescent="0.3">
      <c r="I313" s="201" t="str">
        <f t="shared" si="48"/>
        <v/>
      </c>
      <c r="J313" s="218">
        <f t="shared" si="49"/>
        <v>310</v>
      </c>
      <c r="K313" s="250"/>
      <c r="L313" s="219"/>
      <c r="M313" s="218"/>
      <c r="N313" s="220" t="str">
        <f>IFERROR(VLOOKUP(M313,Data!$C$4:$D$395,2,0),"")</f>
        <v/>
      </c>
      <c r="O313" s="220"/>
      <c r="P313" s="229"/>
      <c r="Q313" s="221"/>
      <c r="R313" s="222" t="str">
        <f t="shared" si="50"/>
        <v>-</v>
      </c>
      <c r="S313" s="223"/>
      <c r="T313" s="224"/>
      <c r="U313" s="225">
        <f t="shared" si="51"/>
        <v>0</v>
      </c>
      <c r="V313" s="226">
        <v>0</v>
      </c>
      <c r="W313" s="227"/>
      <c r="X313" s="228">
        <f t="shared" si="52"/>
        <v>0</v>
      </c>
      <c r="Y313" s="229"/>
      <c r="Z313" s="229"/>
      <c r="AA313" s="229"/>
      <c r="AB313" s="222">
        <f t="shared" si="53"/>
        <v>0</v>
      </c>
      <c r="AC313" s="230">
        <f t="shared" si="54"/>
        <v>0</v>
      </c>
      <c r="AD313" s="222" t="str">
        <f t="shared" si="55"/>
        <v/>
      </c>
      <c r="AE313" s="201"/>
      <c r="AF313" s="231" t="str">
        <f>+IFERROR(VLOOKUP(L313,Data!$F$4:$G$97,2,0),"")</f>
        <v/>
      </c>
    </row>
    <row r="314" spans="9:32" ht="15" customHeight="1" x14ac:dyDescent="0.3">
      <c r="I314" s="201" t="str">
        <f t="shared" si="48"/>
        <v/>
      </c>
      <c r="J314" s="218">
        <f t="shared" si="49"/>
        <v>311</v>
      </c>
      <c r="K314" s="250"/>
      <c r="L314" s="219"/>
      <c r="M314" s="218"/>
      <c r="N314" s="220" t="str">
        <f>IFERROR(VLOOKUP(M314,Data!$C$4:$D$395,2,0),"")</f>
        <v/>
      </c>
      <c r="O314" s="220"/>
      <c r="P314" s="229"/>
      <c r="Q314" s="221"/>
      <c r="R314" s="222" t="str">
        <f t="shared" si="50"/>
        <v>-</v>
      </c>
      <c r="S314" s="223"/>
      <c r="T314" s="224"/>
      <c r="U314" s="225">
        <f t="shared" si="51"/>
        <v>0</v>
      </c>
      <c r="V314" s="226">
        <v>0</v>
      </c>
      <c r="W314" s="227"/>
      <c r="X314" s="228">
        <f t="shared" si="52"/>
        <v>0</v>
      </c>
      <c r="Y314" s="229"/>
      <c r="Z314" s="229"/>
      <c r="AA314" s="229"/>
      <c r="AB314" s="222">
        <f t="shared" si="53"/>
        <v>0</v>
      </c>
      <c r="AC314" s="230">
        <f t="shared" si="54"/>
        <v>0</v>
      </c>
      <c r="AD314" s="222" t="str">
        <f t="shared" si="55"/>
        <v/>
      </c>
      <c r="AE314" s="201"/>
      <c r="AF314" s="231" t="str">
        <f>+IFERROR(VLOOKUP(L314,Data!$F$4:$G$97,2,0),"")</f>
        <v/>
      </c>
    </row>
    <row r="315" spans="9:32" ht="15" customHeight="1" x14ac:dyDescent="0.3">
      <c r="I315" s="201" t="str">
        <f t="shared" si="48"/>
        <v/>
      </c>
      <c r="J315" s="218">
        <f t="shared" si="49"/>
        <v>312</v>
      </c>
      <c r="K315" s="250"/>
      <c r="L315" s="219"/>
      <c r="M315" s="218"/>
      <c r="N315" s="220" t="str">
        <f>IFERROR(VLOOKUP(M315,Data!$C$4:$D$395,2,0),"")</f>
        <v/>
      </c>
      <c r="O315" s="220"/>
      <c r="P315" s="229"/>
      <c r="Q315" s="221"/>
      <c r="R315" s="222" t="str">
        <f t="shared" si="50"/>
        <v>-</v>
      </c>
      <c r="S315" s="223"/>
      <c r="T315" s="224"/>
      <c r="U315" s="225">
        <f t="shared" si="51"/>
        <v>0</v>
      </c>
      <c r="V315" s="226">
        <v>0</v>
      </c>
      <c r="W315" s="227"/>
      <c r="X315" s="228">
        <f t="shared" si="52"/>
        <v>0</v>
      </c>
      <c r="Y315" s="229"/>
      <c r="Z315" s="229"/>
      <c r="AA315" s="229"/>
      <c r="AB315" s="222">
        <f t="shared" si="53"/>
        <v>0</v>
      </c>
      <c r="AC315" s="230">
        <f t="shared" si="54"/>
        <v>0</v>
      </c>
      <c r="AD315" s="222" t="str">
        <f t="shared" si="55"/>
        <v/>
      </c>
      <c r="AE315" s="201"/>
      <c r="AF315" s="231" t="str">
        <f>+IFERROR(VLOOKUP(L315,Data!$F$4:$G$97,2,0),"")</f>
        <v/>
      </c>
    </row>
    <row r="316" spans="9:32" ht="15" customHeight="1" x14ac:dyDescent="0.3">
      <c r="I316" s="201" t="str">
        <f t="shared" si="48"/>
        <v/>
      </c>
      <c r="J316" s="218">
        <f t="shared" si="49"/>
        <v>313</v>
      </c>
      <c r="K316" s="250"/>
      <c r="L316" s="219"/>
      <c r="M316" s="218"/>
      <c r="N316" s="220" t="str">
        <f>IFERROR(VLOOKUP(M316,Data!$C$4:$D$395,2,0),"")</f>
        <v/>
      </c>
      <c r="O316" s="220"/>
      <c r="P316" s="229"/>
      <c r="Q316" s="221"/>
      <c r="R316" s="222" t="str">
        <f t="shared" si="50"/>
        <v>-</v>
      </c>
      <c r="S316" s="223"/>
      <c r="T316" s="224"/>
      <c r="U316" s="225">
        <f t="shared" si="51"/>
        <v>0</v>
      </c>
      <c r="V316" s="226">
        <v>0</v>
      </c>
      <c r="W316" s="227"/>
      <c r="X316" s="228">
        <f t="shared" si="52"/>
        <v>0</v>
      </c>
      <c r="Y316" s="229"/>
      <c r="Z316" s="229"/>
      <c r="AA316" s="229"/>
      <c r="AB316" s="222">
        <f t="shared" si="53"/>
        <v>0</v>
      </c>
      <c r="AC316" s="230">
        <f t="shared" si="54"/>
        <v>0</v>
      </c>
      <c r="AD316" s="222" t="str">
        <f t="shared" si="55"/>
        <v/>
      </c>
      <c r="AE316" s="201"/>
      <c r="AF316" s="231" t="str">
        <f>+IFERROR(VLOOKUP(L316,Data!$F$4:$G$97,2,0),"")</f>
        <v/>
      </c>
    </row>
    <row r="317" spans="9:32" ht="15" customHeight="1" x14ac:dyDescent="0.3">
      <c r="I317" s="201" t="str">
        <f t="shared" ref="I317:I380" si="56">+AF317</f>
        <v/>
      </c>
      <c r="J317" s="218">
        <f t="shared" si="49"/>
        <v>314</v>
      </c>
      <c r="K317" s="250"/>
      <c r="L317" s="219"/>
      <c r="M317" s="218"/>
      <c r="N317" s="220" t="str">
        <f>IFERROR(VLOOKUP(M317,Data!$C$4:$D$395,2,0),"")</f>
        <v/>
      </c>
      <c r="O317" s="220"/>
      <c r="P317" s="229"/>
      <c r="Q317" s="221"/>
      <c r="R317" s="222" t="str">
        <f t="shared" si="50"/>
        <v>-</v>
      </c>
      <c r="S317" s="223"/>
      <c r="T317" s="224"/>
      <c r="U317" s="225">
        <f t="shared" si="51"/>
        <v>0</v>
      </c>
      <c r="V317" s="226">
        <v>0</v>
      </c>
      <c r="W317" s="227"/>
      <c r="X317" s="228">
        <f t="shared" si="52"/>
        <v>0</v>
      </c>
      <c r="Y317" s="229"/>
      <c r="Z317" s="229"/>
      <c r="AA317" s="229"/>
      <c r="AB317" s="222">
        <f t="shared" si="53"/>
        <v>0</v>
      </c>
      <c r="AC317" s="230">
        <f t="shared" si="54"/>
        <v>0</v>
      </c>
      <c r="AD317" s="222" t="str">
        <f t="shared" si="55"/>
        <v/>
      </c>
      <c r="AE317" s="201"/>
      <c r="AF317" s="231" t="str">
        <f>+IFERROR(VLOOKUP(L317,Data!$F$4:$G$97,2,0),"")</f>
        <v/>
      </c>
    </row>
    <row r="318" spans="9:32" ht="15" customHeight="1" x14ac:dyDescent="0.3">
      <c r="I318" s="201" t="str">
        <f t="shared" si="56"/>
        <v/>
      </c>
      <c r="J318" s="218">
        <f t="shared" ref="J318:J381" si="57">J317+1</f>
        <v>315</v>
      </c>
      <c r="K318" s="250"/>
      <c r="L318" s="219"/>
      <c r="M318" s="218"/>
      <c r="N318" s="220" t="str">
        <f>IFERROR(VLOOKUP(M318,Data!$C$4:$D$395,2,0),"")</f>
        <v/>
      </c>
      <c r="O318" s="220"/>
      <c r="P318" s="229"/>
      <c r="Q318" s="221"/>
      <c r="R318" s="222" t="str">
        <f t="shared" si="50"/>
        <v>-</v>
      </c>
      <c r="S318" s="223"/>
      <c r="T318" s="224"/>
      <c r="U318" s="225">
        <f t="shared" si="51"/>
        <v>0</v>
      </c>
      <c r="V318" s="226">
        <v>0</v>
      </c>
      <c r="W318" s="227"/>
      <c r="X318" s="228">
        <f t="shared" si="52"/>
        <v>0</v>
      </c>
      <c r="Y318" s="229"/>
      <c r="Z318" s="229"/>
      <c r="AA318" s="229"/>
      <c r="AB318" s="222">
        <f t="shared" si="53"/>
        <v>0</v>
      </c>
      <c r="AC318" s="230">
        <f t="shared" si="54"/>
        <v>0</v>
      </c>
      <c r="AD318" s="222" t="str">
        <f t="shared" si="55"/>
        <v/>
      </c>
      <c r="AE318" s="201"/>
      <c r="AF318" s="231" t="str">
        <f>+IFERROR(VLOOKUP(L318,Data!$F$4:$G$97,2,0),"")</f>
        <v/>
      </c>
    </row>
    <row r="319" spans="9:32" ht="15" customHeight="1" x14ac:dyDescent="0.3">
      <c r="I319" s="201" t="str">
        <f t="shared" si="56"/>
        <v/>
      </c>
      <c r="J319" s="218">
        <f t="shared" si="57"/>
        <v>316</v>
      </c>
      <c r="K319" s="250"/>
      <c r="L319" s="219"/>
      <c r="M319" s="218"/>
      <c r="N319" s="220" t="str">
        <f>IFERROR(VLOOKUP(M319,Data!$C$4:$D$395,2,0),"")</f>
        <v/>
      </c>
      <c r="O319" s="220"/>
      <c r="P319" s="229"/>
      <c r="Q319" s="221"/>
      <c r="R319" s="222" t="str">
        <f t="shared" si="50"/>
        <v>-</v>
      </c>
      <c r="S319" s="223"/>
      <c r="T319" s="224"/>
      <c r="U319" s="225">
        <f t="shared" si="51"/>
        <v>0</v>
      </c>
      <c r="V319" s="226">
        <v>0</v>
      </c>
      <c r="W319" s="227"/>
      <c r="X319" s="228">
        <f t="shared" si="52"/>
        <v>0</v>
      </c>
      <c r="Y319" s="229"/>
      <c r="Z319" s="229"/>
      <c r="AA319" s="229"/>
      <c r="AB319" s="222">
        <f t="shared" si="53"/>
        <v>0</v>
      </c>
      <c r="AC319" s="230">
        <f t="shared" si="54"/>
        <v>0</v>
      </c>
      <c r="AD319" s="222" t="str">
        <f t="shared" si="55"/>
        <v/>
      </c>
      <c r="AE319" s="201"/>
      <c r="AF319" s="231" t="str">
        <f>+IFERROR(VLOOKUP(L319,Data!$F$4:$G$97,2,0),"")</f>
        <v/>
      </c>
    </row>
    <row r="320" spans="9:32" ht="15" customHeight="1" x14ac:dyDescent="0.3">
      <c r="I320" s="201" t="str">
        <f t="shared" si="56"/>
        <v/>
      </c>
      <c r="J320" s="218">
        <f t="shared" si="57"/>
        <v>317</v>
      </c>
      <c r="K320" s="250"/>
      <c r="L320" s="219"/>
      <c r="M320" s="218"/>
      <c r="N320" s="220" t="str">
        <f>IFERROR(VLOOKUP(M320,Data!$C$4:$D$395,2,0),"")</f>
        <v/>
      </c>
      <c r="O320" s="220"/>
      <c r="P320" s="229"/>
      <c r="Q320" s="221"/>
      <c r="R320" s="222" t="str">
        <f t="shared" ref="R320:R383" si="58">IFERROR(Q320/P320, "-")</f>
        <v>-</v>
      </c>
      <c r="S320" s="223"/>
      <c r="T320" s="224"/>
      <c r="U320" s="225">
        <f t="shared" ref="U320:U383" si="59">+Q320*S320+P320*T320</f>
        <v>0</v>
      </c>
      <c r="V320" s="226">
        <v>0</v>
      </c>
      <c r="W320" s="227"/>
      <c r="X320" s="228">
        <f t="shared" ref="X320:X383" si="60">+Q320*V320+P320*W320</f>
        <v>0</v>
      </c>
      <c r="Y320" s="229"/>
      <c r="Z320" s="229"/>
      <c r="AA320" s="229"/>
      <c r="AB320" s="222">
        <f t="shared" ref="AB320:AB383" si="61">+Y320+Z320+AA320</f>
        <v>0</v>
      </c>
      <c r="AC320" s="230">
        <f t="shared" ref="AC320:AC383" si="62">IF((U320-Y320-Z320-AA320)&lt;0,"",(U320-Y320-Z320-AA320))</f>
        <v>0</v>
      </c>
      <c r="AD320" s="222" t="str">
        <f t="shared" ref="AD320:AD383" si="63">IF((U320-Y320-Z320-AA320)&lt;0,(Y320+Z320+AA320-U320),"")</f>
        <v/>
      </c>
      <c r="AE320" s="201"/>
      <c r="AF320" s="231" t="str">
        <f>+IFERROR(VLOOKUP(L320,Data!$F$4:$G$97,2,0),"")</f>
        <v/>
      </c>
    </row>
    <row r="321" spans="9:32" ht="15" customHeight="1" x14ac:dyDescent="0.3">
      <c r="I321" s="201" t="str">
        <f t="shared" si="56"/>
        <v/>
      </c>
      <c r="J321" s="218">
        <f t="shared" si="57"/>
        <v>318</v>
      </c>
      <c r="K321" s="250"/>
      <c r="L321" s="219"/>
      <c r="M321" s="218"/>
      <c r="N321" s="220" t="str">
        <f>IFERROR(VLOOKUP(M321,Data!$C$4:$D$395,2,0),"")</f>
        <v/>
      </c>
      <c r="O321" s="220"/>
      <c r="P321" s="229"/>
      <c r="Q321" s="221"/>
      <c r="R321" s="222" t="str">
        <f t="shared" si="58"/>
        <v>-</v>
      </c>
      <c r="S321" s="223"/>
      <c r="T321" s="224"/>
      <c r="U321" s="225">
        <f t="shared" si="59"/>
        <v>0</v>
      </c>
      <c r="V321" s="226">
        <v>0</v>
      </c>
      <c r="W321" s="227"/>
      <c r="X321" s="228">
        <f t="shared" si="60"/>
        <v>0</v>
      </c>
      <c r="Y321" s="229"/>
      <c r="Z321" s="229"/>
      <c r="AA321" s="229"/>
      <c r="AB321" s="222">
        <f t="shared" si="61"/>
        <v>0</v>
      </c>
      <c r="AC321" s="230">
        <f t="shared" si="62"/>
        <v>0</v>
      </c>
      <c r="AD321" s="222" t="str">
        <f t="shared" si="63"/>
        <v/>
      </c>
      <c r="AE321" s="201"/>
      <c r="AF321" s="231" t="str">
        <f>+IFERROR(VLOOKUP(L321,Data!$F$4:$G$97,2,0),"")</f>
        <v/>
      </c>
    </row>
    <row r="322" spans="9:32" ht="15" customHeight="1" x14ac:dyDescent="0.3">
      <c r="I322" s="201" t="str">
        <f t="shared" si="56"/>
        <v/>
      </c>
      <c r="J322" s="218">
        <f t="shared" si="57"/>
        <v>319</v>
      </c>
      <c r="K322" s="250"/>
      <c r="L322" s="219"/>
      <c r="M322" s="218"/>
      <c r="N322" s="220" t="str">
        <f>IFERROR(VLOOKUP(M322,Data!$C$4:$D$395,2,0),"")</f>
        <v/>
      </c>
      <c r="O322" s="220"/>
      <c r="P322" s="229"/>
      <c r="Q322" s="221"/>
      <c r="R322" s="222" t="str">
        <f t="shared" si="58"/>
        <v>-</v>
      </c>
      <c r="S322" s="223"/>
      <c r="T322" s="224"/>
      <c r="U322" s="225">
        <f t="shared" si="59"/>
        <v>0</v>
      </c>
      <c r="V322" s="226">
        <v>0</v>
      </c>
      <c r="W322" s="227"/>
      <c r="X322" s="228">
        <f t="shared" si="60"/>
        <v>0</v>
      </c>
      <c r="Y322" s="229"/>
      <c r="Z322" s="229"/>
      <c r="AA322" s="229"/>
      <c r="AB322" s="222">
        <f t="shared" si="61"/>
        <v>0</v>
      </c>
      <c r="AC322" s="230">
        <f t="shared" si="62"/>
        <v>0</v>
      </c>
      <c r="AD322" s="222" t="str">
        <f t="shared" si="63"/>
        <v/>
      </c>
      <c r="AE322" s="201"/>
      <c r="AF322" s="231" t="str">
        <f>+IFERROR(VLOOKUP(L322,Data!$F$4:$G$97,2,0),"")</f>
        <v/>
      </c>
    </row>
    <row r="323" spans="9:32" ht="15" customHeight="1" x14ac:dyDescent="0.3">
      <c r="I323" s="201" t="str">
        <f t="shared" si="56"/>
        <v/>
      </c>
      <c r="J323" s="218">
        <f t="shared" si="57"/>
        <v>320</v>
      </c>
      <c r="K323" s="250"/>
      <c r="L323" s="219"/>
      <c r="M323" s="218"/>
      <c r="N323" s="220" t="str">
        <f>IFERROR(VLOOKUP(M323,Data!$C$4:$D$395,2,0),"")</f>
        <v/>
      </c>
      <c r="O323" s="220"/>
      <c r="P323" s="229"/>
      <c r="Q323" s="221"/>
      <c r="R323" s="222" t="str">
        <f t="shared" si="58"/>
        <v>-</v>
      </c>
      <c r="S323" s="223"/>
      <c r="T323" s="224"/>
      <c r="U323" s="225">
        <f t="shared" si="59"/>
        <v>0</v>
      </c>
      <c r="V323" s="226">
        <v>0</v>
      </c>
      <c r="W323" s="227"/>
      <c r="X323" s="228">
        <f t="shared" si="60"/>
        <v>0</v>
      </c>
      <c r="Y323" s="229"/>
      <c r="Z323" s="229"/>
      <c r="AA323" s="229"/>
      <c r="AB323" s="222">
        <f t="shared" si="61"/>
        <v>0</v>
      </c>
      <c r="AC323" s="230">
        <f t="shared" si="62"/>
        <v>0</v>
      </c>
      <c r="AD323" s="222" t="str">
        <f t="shared" si="63"/>
        <v/>
      </c>
      <c r="AE323" s="201"/>
      <c r="AF323" s="231" t="str">
        <f>+IFERROR(VLOOKUP(L323,Data!$F$4:$G$97,2,0),"")</f>
        <v/>
      </c>
    </row>
    <row r="324" spans="9:32" ht="15" customHeight="1" x14ac:dyDescent="0.3">
      <c r="I324" s="201" t="str">
        <f t="shared" si="56"/>
        <v/>
      </c>
      <c r="J324" s="218">
        <f t="shared" si="57"/>
        <v>321</v>
      </c>
      <c r="K324" s="250"/>
      <c r="L324" s="219"/>
      <c r="M324" s="218"/>
      <c r="N324" s="220" t="str">
        <f>IFERROR(VLOOKUP(M324,Data!$C$4:$D$395,2,0),"")</f>
        <v/>
      </c>
      <c r="O324" s="220"/>
      <c r="P324" s="229"/>
      <c r="Q324" s="221"/>
      <c r="R324" s="222" t="str">
        <f t="shared" si="58"/>
        <v>-</v>
      </c>
      <c r="S324" s="223"/>
      <c r="T324" s="224"/>
      <c r="U324" s="225">
        <f t="shared" si="59"/>
        <v>0</v>
      </c>
      <c r="V324" s="226">
        <v>0</v>
      </c>
      <c r="W324" s="227"/>
      <c r="X324" s="228">
        <f t="shared" si="60"/>
        <v>0</v>
      </c>
      <c r="Y324" s="229"/>
      <c r="Z324" s="229"/>
      <c r="AA324" s="229"/>
      <c r="AB324" s="222">
        <f t="shared" si="61"/>
        <v>0</v>
      </c>
      <c r="AC324" s="230">
        <f t="shared" si="62"/>
        <v>0</v>
      </c>
      <c r="AD324" s="222" t="str">
        <f t="shared" si="63"/>
        <v/>
      </c>
      <c r="AE324" s="201"/>
      <c r="AF324" s="231" t="str">
        <f>+IFERROR(VLOOKUP(L324,Data!$F$4:$G$97,2,0),"")</f>
        <v/>
      </c>
    </row>
    <row r="325" spans="9:32" ht="15" customHeight="1" x14ac:dyDescent="0.3">
      <c r="I325" s="201" t="str">
        <f t="shared" si="56"/>
        <v/>
      </c>
      <c r="J325" s="218">
        <f t="shared" si="57"/>
        <v>322</v>
      </c>
      <c r="K325" s="250"/>
      <c r="L325" s="219"/>
      <c r="M325" s="218"/>
      <c r="N325" s="220" t="str">
        <f>IFERROR(VLOOKUP(M325,Data!$C$4:$D$395,2,0),"")</f>
        <v/>
      </c>
      <c r="O325" s="220"/>
      <c r="P325" s="229"/>
      <c r="Q325" s="221"/>
      <c r="R325" s="222" t="str">
        <f t="shared" si="58"/>
        <v>-</v>
      </c>
      <c r="S325" s="223"/>
      <c r="T325" s="224"/>
      <c r="U325" s="225">
        <f t="shared" si="59"/>
        <v>0</v>
      </c>
      <c r="V325" s="226">
        <v>0</v>
      </c>
      <c r="W325" s="227"/>
      <c r="X325" s="228">
        <f t="shared" si="60"/>
        <v>0</v>
      </c>
      <c r="Y325" s="229"/>
      <c r="Z325" s="229"/>
      <c r="AA325" s="229"/>
      <c r="AB325" s="222">
        <f t="shared" si="61"/>
        <v>0</v>
      </c>
      <c r="AC325" s="230">
        <f t="shared" si="62"/>
        <v>0</v>
      </c>
      <c r="AD325" s="222" t="str">
        <f t="shared" si="63"/>
        <v/>
      </c>
      <c r="AE325" s="201"/>
      <c r="AF325" s="231" t="str">
        <f>+IFERROR(VLOOKUP(L325,Data!$F$4:$G$97,2,0),"")</f>
        <v/>
      </c>
    </row>
    <row r="326" spans="9:32" ht="15" customHeight="1" x14ac:dyDescent="0.3">
      <c r="I326" s="201" t="str">
        <f t="shared" si="56"/>
        <v/>
      </c>
      <c r="J326" s="218">
        <f t="shared" si="57"/>
        <v>323</v>
      </c>
      <c r="K326" s="250"/>
      <c r="L326" s="219"/>
      <c r="M326" s="218"/>
      <c r="N326" s="220" t="str">
        <f>IFERROR(VLOOKUP(M326,Data!$C$4:$D$395,2,0),"")</f>
        <v/>
      </c>
      <c r="O326" s="220"/>
      <c r="P326" s="229"/>
      <c r="Q326" s="221"/>
      <c r="R326" s="222" t="str">
        <f t="shared" si="58"/>
        <v>-</v>
      </c>
      <c r="S326" s="223"/>
      <c r="T326" s="224"/>
      <c r="U326" s="225">
        <f t="shared" si="59"/>
        <v>0</v>
      </c>
      <c r="V326" s="226">
        <v>0</v>
      </c>
      <c r="W326" s="227"/>
      <c r="X326" s="228">
        <f t="shared" si="60"/>
        <v>0</v>
      </c>
      <c r="Y326" s="229"/>
      <c r="Z326" s="229"/>
      <c r="AA326" s="229"/>
      <c r="AB326" s="222">
        <f t="shared" si="61"/>
        <v>0</v>
      </c>
      <c r="AC326" s="230">
        <f t="shared" si="62"/>
        <v>0</v>
      </c>
      <c r="AD326" s="222" t="str">
        <f t="shared" si="63"/>
        <v/>
      </c>
      <c r="AE326" s="201"/>
      <c r="AF326" s="231" t="str">
        <f>+IFERROR(VLOOKUP(L326,Data!$F$4:$G$97,2,0),"")</f>
        <v/>
      </c>
    </row>
    <row r="327" spans="9:32" ht="15" customHeight="1" x14ac:dyDescent="0.3">
      <c r="I327" s="201" t="str">
        <f t="shared" si="56"/>
        <v/>
      </c>
      <c r="J327" s="218">
        <f t="shared" si="57"/>
        <v>324</v>
      </c>
      <c r="K327" s="250"/>
      <c r="L327" s="219"/>
      <c r="M327" s="218"/>
      <c r="N327" s="220" t="str">
        <f>IFERROR(VLOOKUP(M327,Data!$C$4:$D$395,2,0),"")</f>
        <v/>
      </c>
      <c r="O327" s="220"/>
      <c r="P327" s="229"/>
      <c r="Q327" s="221"/>
      <c r="R327" s="222" t="str">
        <f t="shared" si="58"/>
        <v>-</v>
      </c>
      <c r="S327" s="223"/>
      <c r="T327" s="224"/>
      <c r="U327" s="225">
        <f t="shared" si="59"/>
        <v>0</v>
      </c>
      <c r="V327" s="226">
        <v>0</v>
      </c>
      <c r="W327" s="227"/>
      <c r="X327" s="228">
        <f t="shared" si="60"/>
        <v>0</v>
      </c>
      <c r="Y327" s="229"/>
      <c r="Z327" s="229"/>
      <c r="AA327" s="229"/>
      <c r="AB327" s="222">
        <f t="shared" si="61"/>
        <v>0</v>
      </c>
      <c r="AC327" s="230">
        <f t="shared" si="62"/>
        <v>0</v>
      </c>
      <c r="AD327" s="222" t="str">
        <f t="shared" si="63"/>
        <v/>
      </c>
      <c r="AE327" s="201"/>
      <c r="AF327" s="231" t="str">
        <f>+IFERROR(VLOOKUP(L327,Data!$F$4:$G$97,2,0),"")</f>
        <v/>
      </c>
    </row>
    <row r="328" spans="9:32" ht="15" customHeight="1" x14ac:dyDescent="0.3">
      <c r="I328" s="201" t="str">
        <f t="shared" si="56"/>
        <v/>
      </c>
      <c r="J328" s="218">
        <f t="shared" si="57"/>
        <v>325</v>
      </c>
      <c r="K328" s="250"/>
      <c r="L328" s="219"/>
      <c r="M328" s="218"/>
      <c r="N328" s="220" t="str">
        <f>IFERROR(VLOOKUP(M328,Data!$C$4:$D$395,2,0),"")</f>
        <v/>
      </c>
      <c r="O328" s="220"/>
      <c r="P328" s="229"/>
      <c r="Q328" s="221"/>
      <c r="R328" s="222" t="str">
        <f t="shared" si="58"/>
        <v>-</v>
      </c>
      <c r="S328" s="223"/>
      <c r="T328" s="224"/>
      <c r="U328" s="225">
        <f t="shared" si="59"/>
        <v>0</v>
      </c>
      <c r="V328" s="226">
        <v>0</v>
      </c>
      <c r="W328" s="227"/>
      <c r="X328" s="228">
        <f t="shared" si="60"/>
        <v>0</v>
      </c>
      <c r="Y328" s="229"/>
      <c r="Z328" s="229"/>
      <c r="AA328" s="229"/>
      <c r="AB328" s="222">
        <f t="shared" si="61"/>
        <v>0</v>
      </c>
      <c r="AC328" s="230">
        <f t="shared" si="62"/>
        <v>0</v>
      </c>
      <c r="AD328" s="222" t="str">
        <f t="shared" si="63"/>
        <v/>
      </c>
      <c r="AE328" s="201"/>
      <c r="AF328" s="231" t="str">
        <f>+IFERROR(VLOOKUP(L328,Data!$F$4:$G$97,2,0),"")</f>
        <v/>
      </c>
    </row>
    <row r="329" spans="9:32" ht="15" customHeight="1" x14ac:dyDescent="0.3">
      <c r="I329" s="201" t="str">
        <f t="shared" si="56"/>
        <v/>
      </c>
      <c r="J329" s="218">
        <f t="shared" si="57"/>
        <v>326</v>
      </c>
      <c r="K329" s="250"/>
      <c r="L329" s="219"/>
      <c r="M329" s="218"/>
      <c r="N329" s="220" t="str">
        <f>IFERROR(VLOOKUP(M329,Data!$C$4:$D$395,2,0),"")</f>
        <v/>
      </c>
      <c r="O329" s="220"/>
      <c r="P329" s="229"/>
      <c r="Q329" s="221"/>
      <c r="R329" s="222" t="str">
        <f t="shared" si="58"/>
        <v>-</v>
      </c>
      <c r="S329" s="223"/>
      <c r="T329" s="224"/>
      <c r="U329" s="225">
        <f t="shared" si="59"/>
        <v>0</v>
      </c>
      <c r="V329" s="226">
        <v>0</v>
      </c>
      <c r="W329" s="227"/>
      <c r="X329" s="228">
        <f t="shared" si="60"/>
        <v>0</v>
      </c>
      <c r="Y329" s="229"/>
      <c r="Z329" s="229"/>
      <c r="AA329" s="229"/>
      <c r="AB329" s="222">
        <f t="shared" si="61"/>
        <v>0</v>
      </c>
      <c r="AC329" s="230">
        <f t="shared" si="62"/>
        <v>0</v>
      </c>
      <c r="AD329" s="222" t="str">
        <f t="shared" si="63"/>
        <v/>
      </c>
      <c r="AE329" s="201"/>
      <c r="AF329" s="231" t="str">
        <f>+IFERROR(VLOOKUP(L329,Data!$F$4:$G$97,2,0),"")</f>
        <v/>
      </c>
    </row>
    <row r="330" spans="9:32" ht="15" customHeight="1" x14ac:dyDescent="0.3">
      <c r="I330" s="201" t="str">
        <f t="shared" si="56"/>
        <v/>
      </c>
      <c r="J330" s="218">
        <f t="shared" si="57"/>
        <v>327</v>
      </c>
      <c r="K330" s="250"/>
      <c r="L330" s="219"/>
      <c r="M330" s="218"/>
      <c r="N330" s="220" t="str">
        <f>IFERROR(VLOOKUP(M330,Data!$C$4:$D$395,2,0),"")</f>
        <v/>
      </c>
      <c r="O330" s="220"/>
      <c r="P330" s="229"/>
      <c r="Q330" s="221"/>
      <c r="R330" s="222" t="str">
        <f t="shared" si="58"/>
        <v>-</v>
      </c>
      <c r="S330" s="223"/>
      <c r="T330" s="224"/>
      <c r="U330" s="225">
        <f t="shared" si="59"/>
        <v>0</v>
      </c>
      <c r="V330" s="226">
        <v>0</v>
      </c>
      <c r="W330" s="227"/>
      <c r="X330" s="228">
        <f t="shared" si="60"/>
        <v>0</v>
      </c>
      <c r="Y330" s="229"/>
      <c r="Z330" s="229"/>
      <c r="AA330" s="229"/>
      <c r="AB330" s="222">
        <f t="shared" si="61"/>
        <v>0</v>
      </c>
      <c r="AC330" s="230">
        <f t="shared" si="62"/>
        <v>0</v>
      </c>
      <c r="AD330" s="222" t="str">
        <f t="shared" si="63"/>
        <v/>
      </c>
      <c r="AE330" s="201"/>
      <c r="AF330" s="231" t="str">
        <f>+IFERROR(VLOOKUP(L330,Data!$F$4:$G$97,2,0),"")</f>
        <v/>
      </c>
    </row>
    <row r="331" spans="9:32" ht="15" customHeight="1" x14ac:dyDescent="0.3">
      <c r="I331" s="201" t="str">
        <f t="shared" si="56"/>
        <v/>
      </c>
      <c r="J331" s="218">
        <f t="shared" si="57"/>
        <v>328</v>
      </c>
      <c r="K331" s="250"/>
      <c r="L331" s="219"/>
      <c r="M331" s="218"/>
      <c r="N331" s="220" t="str">
        <f>IFERROR(VLOOKUP(M331,Data!$C$4:$D$395,2,0),"")</f>
        <v/>
      </c>
      <c r="O331" s="220"/>
      <c r="P331" s="229"/>
      <c r="Q331" s="221"/>
      <c r="R331" s="222" t="str">
        <f t="shared" si="58"/>
        <v>-</v>
      </c>
      <c r="S331" s="223"/>
      <c r="T331" s="224"/>
      <c r="U331" s="225">
        <f t="shared" si="59"/>
        <v>0</v>
      </c>
      <c r="V331" s="226">
        <v>0</v>
      </c>
      <c r="W331" s="227"/>
      <c r="X331" s="228">
        <f t="shared" si="60"/>
        <v>0</v>
      </c>
      <c r="Y331" s="229"/>
      <c r="Z331" s="229"/>
      <c r="AA331" s="229"/>
      <c r="AB331" s="222">
        <f t="shared" si="61"/>
        <v>0</v>
      </c>
      <c r="AC331" s="230">
        <f t="shared" si="62"/>
        <v>0</v>
      </c>
      <c r="AD331" s="222" t="str">
        <f t="shared" si="63"/>
        <v/>
      </c>
      <c r="AE331" s="201"/>
      <c r="AF331" s="231" t="str">
        <f>+IFERROR(VLOOKUP(L331,Data!$F$4:$G$97,2,0),"")</f>
        <v/>
      </c>
    </row>
    <row r="332" spans="9:32" ht="15" customHeight="1" x14ac:dyDescent="0.3">
      <c r="I332" s="201" t="str">
        <f t="shared" si="56"/>
        <v/>
      </c>
      <c r="J332" s="218">
        <f t="shared" si="57"/>
        <v>329</v>
      </c>
      <c r="K332" s="250"/>
      <c r="L332" s="219"/>
      <c r="M332" s="218"/>
      <c r="N332" s="220" t="str">
        <f>IFERROR(VLOOKUP(M332,Data!$C$4:$D$395,2,0),"")</f>
        <v/>
      </c>
      <c r="O332" s="220"/>
      <c r="P332" s="229"/>
      <c r="Q332" s="221"/>
      <c r="R332" s="222" t="str">
        <f t="shared" si="58"/>
        <v>-</v>
      </c>
      <c r="S332" s="223"/>
      <c r="T332" s="224"/>
      <c r="U332" s="225">
        <f t="shared" si="59"/>
        <v>0</v>
      </c>
      <c r="V332" s="226">
        <v>0</v>
      </c>
      <c r="W332" s="227"/>
      <c r="X332" s="228">
        <f t="shared" si="60"/>
        <v>0</v>
      </c>
      <c r="Y332" s="229"/>
      <c r="Z332" s="229"/>
      <c r="AA332" s="229"/>
      <c r="AB332" s="222">
        <f t="shared" si="61"/>
        <v>0</v>
      </c>
      <c r="AC332" s="230">
        <f t="shared" si="62"/>
        <v>0</v>
      </c>
      <c r="AD332" s="222" t="str">
        <f t="shared" si="63"/>
        <v/>
      </c>
      <c r="AE332" s="201"/>
      <c r="AF332" s="231" t="str">
        <f>+IFERROR(VLOOKUP(L332,Data!$F$4:$G$97,2,0),"")</f>
        <v/>
      </c>
    </row>
    <row r="333" spans="9:32" ht="15" customHeight="1" x14ac:dyDescent="0.3">
      <c r="I333" s="201" t="str">
        <f t="shared" si="56"/>
        <v/>
      </c>
      <c r="J333" s="218">
        <f t="shared" si="57"/>
        <v>330</v>
      </c>
      <c r="K333" s="250"/>
      <c r="L333" s="219"/>
      <c r="M333" s="218"/>
      <c r="N333" s="220" t="str">
        <f>IFERROR(VLOOKUP(M333,Data!$C$4:$D$395,2,0),"")</f>
        <v/>
      </c>
      <c r="O333" s="220"/>
      <c r="P333" s="229"/>
      <c r="Q333" s="221"/>
      <c r="R333" s="222" t="str">
        <f t="shared" si="58"/>
        <v>-</v>
      </c>
      <c r="S333" s="223"/>
      <c r="T333" s="224"/>
      <c r="U333" s="225">
        <f t="shared" si="59"/>
        <v>0</v>
      </c>
      <c r="V333" s="226">
        <v>0</v>
      </c>
      <c r="W333" s="227"/>
      <c r="X333" s="228">
        <f t="shared" si="60"/>
        <v>0</v>
      </c>
      <c r="Y333" s="229"/>
      <c r="Z333" s="229"/>
      <c r="AA333" s="229"/>
      <c r="AB333" s="222">
        <f t="shared" si="61"/>
        <v>0</v>
      </c>
      <c r="AC333" s="230">
        <f t="shared" si="62"/>
        <v>0</v>
      </c>
      <c r="AD333" s="222" t="str">
        <f t="shared" si="63"/>
        <v/>
      </c>
      <c r="AE333" s="201"/>
      <c r="AF333" s="231" t="str">
        <f>+IFERROR(VLOOKUP(L333,Data!$F$4:$G$97,2,0),"")</f>
        <v/>
      </c>
    </row>
    <row r="334" spans="9:32" ht="15" customHeight="1" x14ac:dyDescent="0.3">
      <c r="I334" s="201" t="str">
        <f t="shared" si="56"/>
        <v/>
      </c>
      <c r="J334" s="218">
        <f t="shared" si="57"/>
        <v>331</v>
      </c>
      <c r="K334" s="250"/>
      <c r="L334" s="219"/>
      <c r="M334" s="218"/>
      <c r="N334" s="220" t="str">
        <f>IFERROR(VLOOKUP(M334,Data!$C$4:$D$395,2,0),"")</f>
        <v/>
      </c>
      <c r="O334" s="220"/>
      <c r="P334" s="229"/>
      <c r="Q334" s="221"/>
      <c r="R334" s="222" t="str">
        <f t="shared" si="58"/>
        <v>-</v>
      </c>
      <c r="S334" s="223"/>
      <c r="T334" s="224"/>
      <c r="U334" s="225">
        <f t="shared" si="59"/>
        <v>0</v>
      </c>
      <c r="V334" s="226">
        <v>0</v>
      </c>
      <c r="W334" s="227"/>
      <c r="X334" s="228">
        <f t="shared" si="60"/>
        <v>0</v>
      </c>
      <c r="Y334" s="229"/>
      <c r="Z334" s="229"/>
      <c r="AA334" s="229"/>
      <c r="AB334" s="222">
        <f t="shared" si="61"/>
        <v>0</v>
      </c>
      <c r="AC334" s="230">
        <f t="shared" si="62"/>
        <v>0</v>
      </c>
      <c r="AD334" s="222" t="str">
        <f t="shared" si="63"/>
        <v/>
      </c>
      <c r="AE334" s="201"/>
      <c r="AF334" s="231" t="str">
        <f>+IFERROR(VLOOKUP(L334,Data!$F$4:$G$97,2,0),"")</f>
        <v/>
      </c>
    </row>
    <row r="335" spans="9:32" ht="15" customHeight="1" x14ac:dyDescent="0.3">
      <c r="I335" s="201" t="str">
        <f t="shared" si="56"/>
        <v/>
      </c>
      <c r="J335" s="218">
        <f t="shared" si="57"/>
        <v>332</v>
      </c>
      <c r="K335" s="250"/>
      <c r="L335" s="219"/>
      <c r="M335" s="218"/>
      <c r="N335" s="220" t="str">
        <f>IFERROR(VLOOKUP(M335,Data!$C$4:$D$395,2,0),"")</f>
        <v/>
      </c>
      <c r="O335" s="220"/>
      <c r="P335" s="229"/>
      <c r="Q335" s="221"/>
      <c r="R335" s="222" t="str">
        <f t="shared" si="58"/>
        <v>-</v>
      </c>
      <c r="S335" s="223"/>
      <c r="T335" s="224"/>
      <c r="U335" s="225">
        <f t="shared" si="59"/>
        <v>0</v>
      </c>
      <c r="V335" s="226">
        <v>0</v>
      </c>
      <c r="W335" s="227"/>
      <c r="X335" s="228">
        <f t="shared" si="60"/>
        <v>0</v>
      </c>
      <c r="Y335" s="229"/>
      <c r="Z335" s="229"/>
      <c r="AA335" s="229"/>
      <c r="AB335" s="222">
        <f t="shared" si="61"/>
        <v>0</v>
      </c>
      <c r="AC335" s="230">
        <f t="shared" si="62"/>
        <v>0</v>
      </c>
      <c r="AD335" s="222" t="str">
        <f t="shared" si="63"/>
        <v/>
      </c>
      <c r="AE335" s="201"/>
      <c r="AF335" s="231" t="str">
        <f>+IFERROR(VLOOKUP(L335,Data!$F$4:$G$97,2,0),"")</f>
        <v/>
      </c>
    </row>
    <row r="336" spans="9:32" ht="15" customHeight="1" x14ac:dyDescent="0.3">
      <c r="I336" s="201" t="str">
        <f t="shared" si="56"/>
        <v/>
      </c>
      <c r="J336" s="218">
        <f t="shared" si="57"/>
        <v>333</v>
      </c>
      <c r="K336" s="250"/>
      <c r="L336" s="219"/>
      <c r="M336" s="218"/>
      <c r="N336" s="220" t="str">
        <f>IFERROR(VLOOKUP(M336,Data!$C$4:$D$395,2,0),"")</f>
        <v/>
      </c>
      <c r="O336" s="220"/>
      <c r="P336" s="229"/>
      <c r="Q336" s="221"/>
      <c r="R336" s="222" t="str">
        <f t="shared" si="58"/>
        <v>-</v>
      </c>
      <c r="S336" s="223"/>
      <c r="T336" s="224"/>
      <c r="U336" s="225">
        <f t="shared" si="59"/>
        <v>0</v>
      </c>
      <c r="V336" s="226">
        <v>0</v>
      </c>
      <c r="W336" s="227"/>
      <c r="X336" s="228">
        <f t="shared" si="60"/>
        <v>0</v>
      </c>
      <c r="Y336" s="229"/>
      <c r="Z336" s="229"/>
      <c r="AA336" s="229"/>
      <c r="AB336" s="222">
        <f t="shared" si="61"/>
        <v>0</v>
      </c>
      <c r="AC336" s="230">
        <f t="shared" si="62"/>
        <v>0</v>
      </c>
      <c r="AD336" s="222" t="str">
        <f t="shared" si="63"/>
        <v/>
      </c>
      <c r="AE336" s="201"/>
      <c r="AF336" s="231" t="str">
        <f>+IFERROR(VLOOKUP(L336,Data!$F$4:$G$97,2,0),"")</f>
        <v/>
      </c>
    </row>
    <row r="337" spans="9:32" ht="15" customHeight="1" x14ac:dyDescent="0.3">
      <c r="I337" s="201" t="str">
        <f t="shared" si="56"/>
        <v/>
      </c>
      <c r="J337" s="218">
        <f t="shared" si="57"/>
        <v>334</v>
      </c>
      <c r="K337" s="250"/>
      <c r="L337" s="219"/>
      <c r="M337" s="218"/>
      <c r="N337" s="220" t="str">
        <f>IFERROR(VLOOKUP(M337,Data!$C$4:$D$395,2,0),"")</f>
        <v/>
      </c>
      <c r="O337" s="220"/>
      <c r="P337" s="229"/>
      <c r="Q337" s="221"/>
      <c r="R337" s="222" t="str">
        <f t="shared" si="58"/>
        <v>-</v>
      </c>
      <c r="S337" s="223"/>
      <c r="T337" s="224"/>
      <c r="U337" s="225">
        <f t="shared" si="59"/>
        <v>0</v>
      </c>
      <c r="V337" s="226">
        <v>0</v>
      </c>
      <c r="W337" s="227"/>
      <c r="X337" s="228">
        <f t="shared" si="60"/>
        <v>0</v>
      </c>
      <c r="Y337" s="229"/>
      <c r="Z337" s="229"/>
      <c r="AA337" s="229"/>
      <c r="AB337" s="222">
        <f t="shared" si="61"/>
        <v>0</v>
      </c>
      <c r="AC337" s="230">
        <f t="shared" si="62"/>
        <v>0</v>
      </c>
      <c r="AD337" s="222" t="str">
        <f t="shared" si="63"/>
        <v/>
      </c>
      <c r="AE337" s="201"/>
      <c r="AF337" s="231" t="str">
        <f>+IFERROR(VLOOKUP(L337,Data!$F$4:$G$97,2,0),"")</f>
        <v/>
      </c>
    </row>
    <row r="338" spans="9:32" ht="15" customHeight="1" x14ac:dyDescent="0.3">
      <c r="I338" s="201" t="str">
        <f t="shared" si="56"/>
        <v/>
      </c>
      <c r="J338" s="218">
        <f t="shared" si="57"/>
        <v>335</v>
      </c>
      <c r="K338" s="250"/>
      <c r="L338" s="219"/>
      <c r="M338" s="218"/>
      <c r="N338" s="220" t="str">
        <f>IFERROR(VLOOKUP(M338,Data!$C$4:$D$395,2,0),"")</f>
        <v/>
      </c>
      <c r="O338" s="220"/>
      <c r="P338" s="229"/>
      <c r="Q338" s="221"/>
      <c r="R338" s="222" t="str">
        <f t="shared" si="58"/>
        <v>-</v>
      </c>
      <c r="S338" s="223"/>
      <c r="T338" s="224"/>
      <c r="U338" s="225">
        <f t="shared" si="59"/>
        <v>0</v>
      </c>
      <c r="V338" s="226">
        <v>0</v>
      </c>
      <c r="W338" s="227"/>
      <c r="X338" s="228">
        <f t="shared" si="60"/>
        <v>0</v>
      </c>
      <c r="Y338" s="229"/>
      <c r="Z338" s="229"/>
      <c r="AA338" s="229"/>
      <c r="AB338" s="222">
        <f t="shared" si="61"/>
        <v>0</v>
      </c>
      <c r="AC338" s="230">
        <f t="shared" si="62"/>
        <v>0</v>
      </c>
      <c r="AD338" s="222" t="str">
        <f t="shared" si="63"/>
        <v/>
      </c>
      <c r="AE338" s="201"/>
      <c r="AF338" s="231" t="str">
        <f>+IFERROR(VLOOKUP(L338,Data!$F$4:$G$97,2,0),"")</f>
        <v/>
      </c>
    </row>
    <row r="339" spans="9:32" ht="15" customHeight="1" x14ac:dyDescent="0.3">
      <c r="I339" s="201" t="str">
        <f t="shared" si="56"/>
        <v/>
      </c>
      <c r="J339" s="218">
        <f t="shared" si="57"/>
        <v>336</v>
      </c>
      <c r="K339" s="250"/>
      <c r="L339" s="219"/>
      <c r="M339" s="218"/>
      <c r="N339" s="220" t="str">
        <f>IFERROR(VLOOKUP(M339,Data!$C$4:$D$395,2,0),"")</f>
        <v/>
      </c>
      <c r="O339" s="220"/>
      <c r="P339" s="229"/>
      <c r="Q339" s="221"/>
      <c r="R339" s="222" t="str">
        <f t="shared" si="58"/>
        <v>-</v>
      </c>
      <c r="S339" s="223"/>
      <c r="T339" s="224"/>
      <c r="U339" s="225">
        <f t="shared" si="59"/>
        <v>0</v>
      </c>
      <c r="V339" s="226">
        <v>0</v>
      </c>
      <c r="W339" s="227"/>
      <c r="X339" s="228">
        <f t="shared" si="60"/>
        <v>0</v>
      </c>
      <c r="Y339" s="229"/>
      <c r="Z339" s="229"/>
      <c r="AA339" s="229"/>
      <c r="AB339" s="222">
        <f t="shared" si="61"/>
        <v>0</v>
      </c>
      <c r="AC339" s="230">
        <f t="shared" si="62"/>
        <v>0</v>
      </c>
      <c r="AD339" s="222" t="str">
        <f t="shared" si="63"/>
        <v/>
      </c>
      <c r="AE339" s="201"/>
      <c r="AF339" s="231" t="str">
        <f>+IFERROR(VLOOKUP(L339,Data!$F$4:$G$97,2,0),"")</f>
        <v/>
      </c>
    </row>
    <row r="340" spans="9:32" ht="15" customHeight="1" x14ac:dyDescent="0.3">
      <c r="I340" s="201" t="str">
        <f t="shared" si="56"/>
        <v/>
      </c>
      <c r="J340" s="218">
        <f t="shared" si="57"/>
        <v>337</v>
      </c>
      <c r="K340" s="250"/>
      <c r="L340" s="219"/>
      <c r="M340" s="218"/>
      <c r="N340" s="220" t="str">
        <f>IFERROR(VLOOKUP(M340,Data!$C$4:$D$395,2,0),"")</f>
        <v/>
      </c>
      <c r="O340" s="220"/>
      <c r="P340" s="229"/>
      <c r="Q340" s="221"/>
      <c r="R340" s="222" t="str">
        <f t="shared" si="58"/>
        <v>-</v>
      </c>
      <c r="S340" s="223"/>
      <c r="T340" s="224"/>
      <c r="U340" s="225">
        <f t="shared" si="59"/>
        <v>0</v>
      </c>
      <c r="V340" s="226">
        <v>0</v>
      </c>
      <c r="W340" s="227"/>
      <c r="X340" s="228">
        <f t="shared" si="60"/>
        <v>0</v>
      </c>
      <c r="Y340" s="229"/>
      <c r="Z340" s="229"/>
      <c r="AA340" s="229"/>
      <c r="AB340" s="222">
        <f t="shared" si="61"/>
        <v>0</v>
      </c>
      <c r="AC340" s="230">
        <f t="shared" si="62"/>
        <v>0</v>
      </c>
      <c r="AD340" s="222" t="str">
        <f t="shared" si="63"/>
        <v/>
      </c>
      <c r="AE340" s="201"/>
      <c r="AF340" s="231" t="str">
        <f>+IFERROR(VLOOKUP(L340,Data!$F$4:$G$97,2,0),"")</f>
        <v/>
      </c>
    </row>
    <row r="341" spans="9:32" ht="15" customHeight="1" x14ac:dyDescent="0.3">
      <c r="I341" s="201" t="str">
        <f t="shared" si="56"/>
        <v/>
      </c>
      <c r="J341" s="218">
        <f t="shared" si="57"/>
        <v>338</v>
      </c>
      <c r="K341" s="250"/>
      <c r="L341" s="219"/>
      <c r="M341" s="218"/>
      <c r="N341" s="220" t="str">
        <f>IFERROR(VLOOKUP(M341,Data!$C$4:$D$395,2,0),"")</f>
        <v/>
      </c>
      <c r="O341" s="220"/>
      <c r="P341" s="229"/>
      <c r="Q341" s="221"/>
      <c r="R341" s="222" t="str">
        <f t="shared" si="58"/>
        <v>-</v>
      </c>
      <c r="S341" s="223"/>
      <c r="T341" s="224"/>
      <c r="U341" s="225">
        <f t="shared" si="59"/>
        <v>0</v>
      </c>
      <c r="V341" s="226">
        <v>0</v>
      </c>
      <c r="W341" s="227"/>
      <c r="X341" s="228">
        <f t="shared" si="60"/>
        <v>0</v>
      </c>
      <c r="Y341" s="229"/>
      <c r="Z341" s="229"/>
      <c r="AA341" s="229"/>
      <c r="AB341" s="222">
        <f t="shared" si="61"/>
        <v>0</v>
      </c>
      <c r="AC341" s="230">
        <f t="shared" si="62"/>
        <v>0</v>
      </c>
      <c r="AD341" s="222" t="str">
        <f t="shared" si="63"/>
        <v/>
      </c>
      <c r="AE341" s="201"/>
      <c r="AF341" s="231" t="str">
        <f>+IFERROR(VLOOKUP(L341,Data!$F$4:$G$97,2,0),"")</f>
        <v/>
      </c>
    </row>
    <row r="342" spans="9:32" ht="15" customHeight="1" x14ac:dyDescent="0.3">
      <c r="I342" s="201" t="str">
        <f t="shared" si="56"/>
        <v/>
      </c>
      <c r="J342" s="218">
        <f t="shared" si="57"/>
        <v>339</v>
      </c>
      <c r="K342" s="250"/>
      <c r="L342" s="219"/>
      <c r="M342" s="218"/>
      <c r="N342" s="220" t="str">
        <f>IFERROR(VLOOKUP(M342,Data!$C$4:$D$395,2,0),"")</f>
        <v/>
      </c>
      <c r="O342" s="220"/>
      <c r="P342" s="229"/>
      <c r="Q342" s="221"/>
      <c r="R342" s="222" t="str">
        <f t="shared" si="58"/>
        <v>-</v>
      </c>
      <c r="S342" s="223"/>
      <c r="T342" s="224"/>
      <c r="U342" s="225">
        <f t="shared" si="59"/>
        <v>0</v>
      </c>
      <c r="V342" s="226">
        <v>0</v>
      </c>
      <c r="W342" s="227"/>
      <c r="X342" s="228">
        <f t="shared" si="60"/>
        <v>0</v>
      </c>
      <c r="Y342" s="229"/>
      <c r="Z342" s="229"/>
      <c r="AA342" s="229"/>
      <c r="AB342" s="222">
        <f t="shared" si="61"/>
        <v>0</v>
      </c>
      <c r="AC342" s="230">
        <f t="shared" si="62"/>
        <v>0</v>
      </c>
      <c r="AD342" s="222" t="str">
        <f t="shared" si="63"/>
        <v/>
      </c>
      <c r="AE342" s="201"/>
      <c r="AF342" s="231" t="str">
        <f>+IFERROR(VLOOKUP(L342,Data!$F$4:$G$97,2,0),"")</f>
        <v/>
      </c>
    </row>
    <row r="343" spans="9:32" ht="15" customHeight="1" x14ac:dyDescent="0.3">
      <c r="I343" s="201" t="str">
        <f t="shared" si="56"/>
        <v/>
      </c>
      <c r="J343" s="218">
        <f t="shared" si="57"/>
        <v>340</v>
      </c>
      <c r="K343" s="250"/>
      <c r="L343" s="219"/>
      <c r="M343" s="218"/>
      <c r="N343" s="220" t="str">
        <f>IFERROR(VLOOKUP(M343,Data!$C$4:$D$395,2,0),"")</f>
        <v/>
      </c>
      <c r="O343" s="220"/>
      <c r="P343" s="229"/>
      <c r="Q343" s="221"/>
      <c r="R343" s="222" t="str">
        <f t="shared" si="58"/>
        <v>-</v>
      </c>
      <c r="S343" s="223"/>
      <c r="T343" s="224"/>
      <c r="U343" s="225">
        <f t="shared" si="59"/>
        <v>0</v>
      </c>
      <c r="V343" s="226">
        <v>0</v>
      </c>
      <c r="W343" s="227"/>
      <c r="X343" s="228">
        <f t="shared" si="60"/>
        <v>0</v>
      </c>
      <c r="Y343" s="229"/>
      <c r="Z343" s="229"/>
      <c r="AA343" s="229"/>
      <c r="AB343" s="222">
        <f t="shared" si="61"/>
        <v>0</v>
      </c>
      <c r="AC343" s="230">
        <f t="shared" si="62"/>
        <v>0</v>
      </c>
      <c r="AD343" s="222" t="str">
        <f t="shared" si="63"/>
        <v/>
      </c>
      <c r="AE343" s="201"/>
      <c r="AF343" s="231" t="str">
        <f>+IFERROR(VLOOKUP(L343,Data!$F$4:$G$97,2,0),"")</f>
        <v/>
      </c>
    </row>
    <row r="344" spans="9:32" ht="15" customHeight="1" x14ac:dyDescent="0.3">
      <c r="I344" s="201" t="str">
        <f t="shared" si="56"/>
        <v/>
      </c>
      <c r="J344" s="218">
        <f t="shared" si="57"/>
        <v>341</v>
      </c>
      <c r="K344" s="250"/>
      <c r="L344" s="219"/>
      <c r="M344" s="218"/>
      <c r="N344" s="220" t="str">
        <f>IFERROR(VLOOKUP(M344,Data!$C$4:$D$395,2,0),"")</f>
        <v/>
      </c>
      <c r="O344" s="220"/>
      <c r="P344" s="229"/>
      <c r="Q344" s="221"/>
      <c r="R344" s="222" t="str">
        <f t="shared" si="58"/>
        <v>-</v>
      </c>
      <c r="S344" s="223"/>
      <c r="T344" s="224"/>
      <c r="U344" s="225">
        <f t="shared" si="59"/>
        <v>0</v>
      </c>
      <c r="V344" s="226">
        <v>0</v>
      </c>
      <c r="W344" s="227"/>
      <c r="X344" s="228">
        <f t="shared" si="60"/>
        <v>0</v>
      </c>
      <c r="Y344" s="229"/>
      <c r="Z344" s="229"/>
      <c r="AA344" s="229"/>
      <c r="AB344" s="222">
        <f t="shared" si="61"/>
        <v>0</v>
      </c>
      <c r="AC344" s="230">
        <f t="shared" si="62"/>
        <v>0</v>
      </c>
      <c r="AD344" s="222" t="str">
        <f t="shared" si="63"/>
        <v/>
      </c>
      <c r="AE344" s="201"/>
      <c r="AF344" s="231" t="str">
        <f>+IFERROR(VLOOKUP(L344,Data!$F$4:$G$97,2,0),"")</f>
        <v/>
      </c>
    </row>
    <row r="345" spans="9:32" ht="15" customHeight="1" x14ac:dyDescent="0.3">
      <c r="I345" s="201" t="str">
        <f t="shared" si="56"/>
        <v/>
      </c>
      <c r="J345" s="218">
        <f t="shared" si="57"/>
        <v>342</v>
      </c>
      <c r="K345" s="250"/>
      <c r="L345" s="219"/>
      <c r="M345" s="218"/>
      <c r="N345" s="220" t="str">
        <f>IFERROR(VLOOKUP(M345,Data!$C$4:$D$395,2,0),"")</f>
        <v/>
      </c>
      <c r="O345" s="220"/>
      <c r="P345" s="229"/>
      <c r="Q345" s="221"/>
      <c r="R345" s="222" t="str">
        <f t="shared" si="58"/>
        <v>-</v>
      </c>
      <c r="S345" s="223"/>
      <c r="T345" s="224"/>
      <c r="U345" s="225">
        <f t="shared" si="59"/>
        <v>0</v>
      </c>
      <c r="V345" s="226">
        <v>0</v>
      </c>
      <c r="W345" s="227"/>
      <c r="X345" s="228">
        <f t="shared" si="60"/>
        <v>0</v>
      </c>
      <c r="Y345" s="229"/>
      <c r="Z345" s="229"/>
      <c r="AA345" s="229"/>
      <c r="AB345" s="222">
        <f t="shared" si="61"/>
        <v>0</v>
      </c>
      <c r="AC345" s="230">
        <f t="shared" si="62"/>
        <v>0</v>
      </c>
      <c r="AD345" s="222" t="str">
        <f t="shared" si="63"/>
        <v/>
      </c>
      <c r="AE345" s="201"/>
      <c r="AF345" s="231" t="str">
        <f>+IFERROR(VLOOKUP(L345,Data!$F$4:$G$97,2,0),"")</f>
        <v/>
      </c>
    </row>
    <row r="346" spans="9:32" ht="15" customHeight="1" x14ac:dyDescent="0.3">
      <c r="I346" s="201" t="str">
        <f t="shared" si="56"/>
        <v/>
      </c>
      <c r="J346" s="218">
        <f t="shared" si="57"/>
        <v>343</v>
      </c>
      <c r="K346" s="250"/>
      <c r="L346" s="219"/>
      <c r="M346" s="218"/>
      <c r="N346" s="220" t="str">
        <f>IFERROR(VLOOKUP(M346,Data!$C$4:$D$395,2,0),"")</f>
        <v/>
      </c>
      <c r="O346" s="220"/>
      <c r="P346" s="229"/>
      <c r="Q346" s="221"/>
      <c r="R346" s="222" t="str">
        <f t="shared" si="58"/>
        <v>-</v>
      </c>
      <c r="S346" s="223"/>
      <c r="T346" s="224"/>
      <c r="U346" s="225">
        <f t="shared" si="59"/>
        <v>0</v>
      </c>
      <c r="V346" s="226">
        <v>0</v>
      </c>
      <c r="W346" s="227"/>
      <c r="X346" s="228">
        <f t="shared" si="60"/>
        <v>0</v>
      </c>
      <c r="Y346" s="229"/>
      <c r="Z346" s="229"/>
      <c r="AA346" s="229"/>
      <c r="AB346" s="222">
        <f t="shared" si="61"/>
        <v>0</v>
      </c>
      <c r="AC346" s="230">
        <f t="shared" si="62"/>
        <v>0</v>
      </c>
      <c r="AD346" s="222" t="str">
        <f t="shared" si="63"/>
        <v/>
      </c>
      <c r="AE346" s="201"/>
      <c r="AF346" s="231" t="str">
        <f>+IFERROR(VLOOKUP(L346,Data!$F$4:$G$97,2,0),"")</f>
        <v/>
      </c>
    </row>
    <row r="347" spans="9:32" ht="15" customHeight="1" x14ac:dyDescent="0.3">
      <c r="I347" s="201" t="str">
        <f t="shared" si="56"/>
        <v/>
      </c>
      <c r="J347" s="218">
        <f t="shared" si="57"/>
        <v>344</v>
      </c>
      <c r="K347" s="250"/>
      <c r="L347" s="219"/>
      <c r="M347" s="218"/>
      <c r="N347" s="220" t="str">
        <f>IFERROR(VLOOKUP(M347,Data!$C$4:$D$395,2,0),"")</f>
        <v/>
      </c>
      <c r="O347" s="220"/>
      <c r="P347" s="229"/>
      <c r="Q347" s="221"/>
      <c r="R347" s="222" t="str">
        <f t="shared" si="58"/>
        <v>-</v>
      </c>
      <c r="S347" s="223"/>
      <c r="T347" s="224"/>
      <c r="U347" s="225">
        <f t="shared" si="59"/>
        <v>0</v>
      </c>
      <c r="V347" s="226">
        <v>0</v>
      </c>
      <c r="W347" s="227"/>
      <c r="X347" s="228">
        <f t="shared" si="60"/>
        <v>0</v>
      </c>
      <c r="Y347" s="229"/>
      <c r="Z347" s="229"/>
      <c r="AA347" s="229"/>
      <c r="AB347" s="222">
        <f t="shared" si="61"/>
        <v>0</v>
      </c>
      <c r="AC347" s="230">
        <f t="shared" si="62"/>
        <v>0</v>
      </c>
      <c r="AD347" s="222" t="str">
        <f t="shared" si="63"/>
        <v/>
      </c>
      <c r="AE347" s="201"/>
      <c r="AF347" s="231" t="str">
        <f>+IFERROR(VLOOKUP(L347,Data!$F$4:$G$97,2,0),"")</f>
        <v/>
      </c>
    </row>
    <row r="348" spans="9:32" ht="15" customHeight="1" x14ac:dyDescent="0.3">
      <c r="I348" s="201" t="str">
        <f t="shared" si="56"/>
        <v/>
      </c>
      <c r="J348" s="218">
        <f t="shared" si="57"/>
        <v>345</v>
      </c>
      <c r="K348" s="250"/>
      <c r="L348" s="219"/>
      <c r="M348" s="218"/>
      <c r="N348" s="220" t="str">
        <f>IFERROR(VLOOKUP(M348,Data!$C$4:$D$395,2,0),"")</f>
        <v/>
      </c>
      <c r="O348" s="220"/>
      <c r="P348" s="229"/>
      <c r="Q348" s="221"/>
      <c r="R348" s="222" t="str">
        <f t="shared" si="58"/>
        <v>-</v>
      </c>
      <c r="S348" s="223"/>
      <c r="T348" s="224"/>
      <c r="U348" s="225">
        <f t="shared" si="59"/>
        <v>0</v>
      </c>
      <c r="V348" s="226">
        <v>0</v>
      </c>
      <c r="W348" s="227"/>
      <c r="X348" s="228">
        <f t="shared" si="60"/>
        <v>0</v>
      </c>
      <c r="Y348" s="229"/>
      <c r="Z348" s="229"/>
      <c r="AA348" s="229"/>
      <c r="AB348" s="222">
        <f t="shared" si="61"/>
        <v>0</v>
      </c>
      <c r="AC348" s="230">
        <f t="shared" si="62"/>
        <v>0</v>
      </c>
      <c r="AD348" s="222" t="str">
        <f t="shared" si="63"/>
        <v/>
      </c>
      <c r="AE348" s="201"/>
      <c r="AF348" s="231" t="str">
        <f>+IFERROR(VLOOKUP(L348,Data!$F$4:$G$97,2,0),"")</f>
        <v/>
      </c>
    </row>
    <row r="349" spans="9:32" ht="15" customHeight="1" x14ac:dyDescent="0.3">
      <c r="I349" s="201" t="str">
        <f t="shared" si="56"/>
        <v/>
      </c>
      <c r="J349" s="218">
        <f t="shared" si="57"/>
        <v>346</v>
      </c>
      <c r="K349" s="250"/>
      <c r="L349" s="219"/>
      <c r="M349" s="218"/>
      <c r="N349" s="220" t="str">
        <f>IFERROR(VLOOKUP(M349,Data!$C$4:$D$395,2,0),"")</f>
        <v/>
      </c>
      <c r="O349" s="220"/>
      <c r="P349" s="229"/>
      <c r="Q349" s="221"/>
      <c r="R349" s="222" t="str">
        <f t="shared" si="58"/>
        <v>-</v>
      </c>
      <c r="S349" s="223"/>
      <c r="T349" s="224"/>
      <c r="U349" s="225">
        <f t="shared" si="59"/>
        <v>0</v>
      </c>
      <c r="V349" s="226">
        <v>0</v>
      </c>
      <c r="W349" s="227"/>
      <c r="X349" s="228">
        <f t="shared" si="60"/>
        <v>0</v>
      </c>
      <c r="Y349" s="229"/>
      <c r="Z349" s="229"/>
      <c r="AA349" s="229"/>
      <c r="AB349" s="222">
        <f t="shared" si="61"/>
        <v>0</v>
      </c>
      <c r="AC349" s="230">
        <f t="shared" si="62"/>
        <v>0</v>
      </c>
      <c r="AD349" s="222" t="str">
        <f t="shared" si="63"/>
        <v/>
      </c>
      <c r="AE349" s="201"/>
      <c r="AF349" s="231" t="str">
        <f>+IFERROR(VLOOKUP(L349,Data!$F$4:$G$97,2,0),"")</f>
        <v/>
      </c>
    </row>
    <row r="350" spans="9:32" ht="15" customHeight="1" x14ac:dyDescent="0.3">
      <c r="I350" s="201" t="str">
        <f t="shared" si="56"/>
        <v/>
      </c>
      <c r="J350" s="218">
        <f t="shared" si="57"/>
        <v>347</v>
      </c>
      <c r="K350" s="250"/>
      <c r="L350" s="219"/>
      <c r="M350" s="218"/>
      <c r="N350" s="220" t="str">
        <f>IFERROR(VLOOKUP(M350,Data!$C$4:$D$395,2,0),"")</f>
        <v/>
      </c>
      <c r="O350" s="220"/>
      <c r="P350" s="229"/>
      <c r="Q350" s="221"/>
      <c r="R350" s="222" t="str">
        <f t="shared" si="58"/>
        <v>-</v>
      </c>
      <c r="S350" s="223"/>
      <c r="T350" s="224"/>
      <c r="U350" s="225">
        <f t="shared" si="59"/>
        <v>0</v>
      </c>
      <c r="V350" s="226">
        <v>0</v>
      </c>
      <c r="W350" s="227"/>
      <c r="X350" s="228">
        <f t="shared" si="60"/>
        <v>0</v>
      </c>
      <c r="Y350" s="229"/>
      <c r="Z350" s="229"/>
      <c r="AA350" s="229"/>
      <c r="AB350" s="222">
        <f t="shared" si="61"/>
        <v>0</v>
      </c>
      <c r="AC350" s="230">
        <f t="shared" si="62"/>
        <v>0</v>
      </c>
      <c r="AD350" s="222" t="str">
        <f t="shared" si="63"/>
        <v/>
      </c>
      <c r="AE350" s="201"/>
      <c r="AF350" s="231" t="str">
        <f>+IFERROR(VLOOKUP(L350,Data!$F$4:$G$97,2,0),"")</f>
        <v/>
      </c>
    </row>
    <row r="351" spans="9:32" ht="15" customHeight="1" x14ac:dyDescent="0.3">
      <c r="I351" s="201" t="str">
        <f t="shared" si="56"/>
        <v/>
      </c>
      <c r="J351" s="218">
        <f t="shared" si="57"/>
        <v>348</v>
      </c>
      <c r="K351" s="250"/>
      <c r="L351" s="219"/>
      <c r="M351" s="218"/>
      <c r="N351" s="220" t="str">
        <f>IFERROR(VLOOKUP(M351,Data!$C$4:$D$395,2,0),"")</f>
        <v/>
      </c>
      <c r="O351" s="220"/>
      <c r="P351" s="229"/>
      <c r="Q351" s="221"/>
      <c r="R351" s="222" t="str">
        <f t="shared" si="58"/>
        <v>-</v>
      </c>
      <c r="S351" s="223"/>
      <c r="T351" s="224"/>
      <c r="U351" s="225">
        <f t="shared" si="59"/>
        <v>0</v>
      </c>
      <c r="V351" s="226">
        <v>0</v>
      </c>
      <c r="W351" s="227"/>
      <c r="X351" s="228">
        <f t="shared" si="60"/>
        <v>0</v>
      </c>
      <c r="Y351" s="229"/>
      <c r="Z351" s="229"/>
      <c r="AA351" s="229"/>
      <c r="AB351" s="222">
        <f t="shared" si="61"/>
        <v>0</v>
      </c>
      <c r="AC351" s="230">
        <f t="shared" si="62"/>
        <v>0</v>
      </c>
      <c r="AD351" s="222" t="str">
        <f t="shared" si="63"/>
        <v/>
      </c>
      <c r="AE351" s="201"/>
      <c r="AF351" s="231" t="str">
        <f>+IFERROR(VLOOKUP(L351,Data!$F$4:$G$97,2,0),"")</f>
        <v/>
      </c>
    </row>
    <row r="352" spans="9:32" ht="15" customHeight="1" x14ac:dyDescent="0.3">
      <c r="I352" s="201" t="str">
        <f t="shared" si="56"/>
        <v/>
      </c>
      <c r="J352" s="218">
        <f t="shared" si="57"/>
        <v>349</v>
      </c>
      <c r="K352" s="250"/>
      <c r="L352" s="219"/>
      <c r="M352" s="218"/>
      <c r="N352" s="220" t="str">
        <f>IFERROR(VLOOKUP(M352,Data!$C$4:$D$395,2,0),"")</f>
        <v/>
      </c>
      <c r="O352" s="220"/>
      <c r="P352" s="229"/>
      <c r="Q352" s="221"/>
      <c r="R352" s="222" t="str">
        <f t="shared" si="58"/>
        <v>-</v>
      </c>
      <c r="S352" s="223"/>
      <c r="T352" s="224"/>
      <c r="U352" s="225">
        <f t="shared" si="59"/>
        <v>0</v>
      </c>
      <c r="V352" s="226">
        <v>0</v>
      </c>
      <c r="W352" s="227"/>
      <c r="X352" s="228">
        <f t="shared" si="60"/>
        <v>0</v>
      </c>
      <c r="Y352" s="229"/>
      <c r="Z352" s="229"/>
      <c r="AA352" s="229"/>
      <c r="AB352" s="222">
        <f t="shared" si="61"/>
        <v>0</v>
      </c>
      <c r="AC352" s="230">
        <f t="shared" si="62"/>
        <v>0</v>
      </c>
      <c r="AD352" s="222" t="str">
        <f t="shared" si="63"/>
        <v/>
      </c>
      <c r="AE352" s="201"/>
      <c r="AF352" s="231" t="str">
        <f>+IFERROR(VLOOKUP(L352,Data!$F$4:$G$97,2,0),"")</f>
        <v/>
      </c>
    </row>
    <row r="353" spans="9:32" ht="15" customHeight="1" x14ac:dyDescent="0.3">
      <c r="I353" s="201" t="str">
        <f t="shared" si="56"/>
        <v/>
      </c>
      <c r="J353" s="218">
        <f t="shared" si="57"/>
        <v>350</v>
      </c>
      <c r="K353" s="250"/>
      <c r="L353" s="219"/>
      <c r="M353" s="218"/>
      <c r="N353" s="220" t="str">
        <f>IFERROR(VLOOKUP(M353,Data!$C$4:$D$395,2,0),"")</f>
        <v/>
      </c>
      <c r="O353" s="220"/>
      <c r="P353" s="229"/>
      <c r="Q353" s="221"/>
      <c r="R353" s="222" t="str">
        <f t="shared" si="58"/>
        <v>-</v>
      </c>
      <c r="S353" s="223"/>
      <c r="T353" s="224"/>
      <c r="U353" s="225">
        <f t="shared" si="59"/>
        <v>0</v>
      </c>
      <c r="V353" s="226">
        <v>0</v>
      </c>
      <c r="W353" s="227"/>
      <c r="X353" s="228">
        <f t="shared" si="60"/>
        <v>0</v>
      </c>
      <c r="Y353" s="229"/>
      <c r="Z353" s="229"/>
      <c r="AA353" s="229"/>
      <c r="AB353" s="222">
        <f t="shared" si="61"/>
        <v>0</v>
      </c>
      <c r="AC353" s="230">
        <f t="shared" si="62"/>
        <v>0</v>
      </c>
      <c r="AD353" s="222" t="str">
        <f t="shared" si="63"/>
        <v/>
      </c>
      <c r="AE353" s="201"/>
      <c r="AF353" s="231" t="str">
        <f>+IFERROR(VLOOKUP(L353,Data!$F$4:$G$97,2,0),"")</f>
        <v/>
      </c>
    </row>
    <row r="354" spans="9:32" ht="15" customHeight="1" x14ac:dyDescent="0.3">
      <c r="I354" s="201" t="str">
        <f t="shared" si="56"/>
        <v/>
      </c>
      <c r="J354" s="218">
        <f t="shared" si="57"/>
        <v>351</v>
      </c>
      <c r="K354" s="250"/>
      <c r="L354" s="219"/>
      <c r="M354" s="218"/>
      <c r="N354" s="220" t="str">
        <f>IFERROR(VLOOKUP(M354,Data!$C$4:$D$395,2,0),"")</f>
        <v/>
      </c>
      <c r="O354" s="220"/>
      <c r="P354" s="229"/>
      <c r="Q354" s="221"/>
      <c r="R354" s="222" t="str">
        <f t="shared" si="58"/>
        <v>-</v>
      </c>
      <c r="S354" s="223"/>
      <c r="T354" s="224"/>
      <c r="U354" s="225">
        <f t="shared" si="59"/>
        <v>0</v>
      </c>
      <c r="V354" s="226">
        <v>0</v>
      </c>
      <c r="W354" s="227"/>
      <c r="X354" s="228">
        <f t="shared" si="60"/>
        <v>0</v>
      </c>
      <c r="Y354" s="229"/>
      <c r="Z354" s="229"/>
      <c r="AA354" s="229"/>
      <c r="AB354" s="222">
        <f t="shared" si="61"/>
        <v>0</v>
      </c>
      <c r="AC354" s="230">
        <f t="shared" si="62"/>
        <v>0</v>
      </c>
      <c r="AD354" s="222" t="str">
        <f t="shared" si="63"/>
        <v/>
      </c>
      <c r="AE354" s="201"/>
      <c r="AF354" s="231" t="str">
        <f>+IFERROR(VLOOKUP(L354,Data!$F$4:$G$97,2,0),"")</f>
        <v/>
      </c>
    </row>
    <row r="355" spans="9:32" ht="15" customHeight="1" x14ac:dyDescent="0.3">
      <c r="I355" s="201" t="str">
        <f t="shared" si="56"/>
        <v/>
      </c>
      <c r="J355" s="218">
        <f t="shared" si="57"/>
        <v>352</v>
      </c>
      <c r="K355" s="250"/>
      <c r="L355" s="219"/>
      <c r="M355" s="218"/>
      <c r="N355" s="220" t="str">
        <f>IFERROR(VLOOKUP(M355,Data!$C$4:$D$395,2,0),"")</f>
        <v/>
      </c>
      <c r="O355" s="220"/>
      <c r="P355" s="229"/>
      <c r="Q355" s="221"/>
      <c r="R355" s="222" t="str">
        <f t="shared" si="58"/>
        <v>-</v>
      </c>
      <c r="S355" s="223"/>
      <c r="T355" s="224"/>
      <c r="U355" s="225">
        <f t="shared" si="59"/>
        <v>0</v>
      </c>
      <c r="V355" s="226">
        <v>0</v>
      </c>
      <c r="W355" s="227"/>
      <c r="X355" s="228">
        <f t="shared" si="60"/>
        <v>0</v>
      </c>
      <c r="Y355" s="229"/>
      <c r="Z355" s="229"/>
      <c r="AA355" s="229"/>
      <c r="AB355" s="222">
        <f t="shared" si="61"/>
        <v>0</v>
      </c>
      <c r="AC355" s="230">
        <f t="shared" si="62"/>
        <v>0</v>
      </c>
      <c r="AD355" s="222" t="str">
        <f t="shared" si="63"/>
        <v/>
      </c>
      <c r="AE355" s="201"/>
      <c r="AF355" s="231" t="str">
        <f>+IFERROR(VLOOKUP(L355,Data!$F$4:$G$97,2,0),"")</f>
        <v/>
      </c>
    </row>
    <row r="356" spans="9:32" ht="15" customHeight="1" x14ac:dyDescent="0.3">
      <c r="I356" s="201" t="str">
        <f t="shared" si="56"/>
        <v/>
      </c>
      <c r="J356" s="218">
        <f t="shared" si="57"/>
        <v>353</v>
      </c>
      <c r="K356" s="250"/>
      <c r="L356" s="219"/>
      <c r="M356" s="218"/>
      <c r="N356" s="220" t="str">
        <f>IFERROR(VLOOKUP(M356,Data!$C$4:$D$395,2,0),"")</f>
        <v/>
      </c>
      <c r="O356" s="220"/>
      <c r="P356" s="229"/>
      <c r="Q356" s="221"/>
      <c r="R356" s="222" t="str">
        <f t="shared" si="58"/>
        <v>-</v>
      </c>
      <c r="S356" s="223"/>
      <c r="T356" s="224"/>
      <c r="U356" s="225">
        <f t="shared" si="59"/>
        <v>0</v>
      </c>
      <c r="V356" s="226">
        <v>0</v>
      </c>
      <c r="W356" s="227"/>
      <c r="X356" s="228">
        <f t="shared" si="60"/>
        <v>0</v>
      </c>
      <c r="Y356" s="229"/>
      <c r="Z356" s="229"/>
      <c r="AA356" s="229"/>
      <c r="AB356" s="222">
        <f t="shared" si="61"/>
        <v>0</v>
      </c>
      <c r="AC356" s="230">
        <f t="shared" si="62"/>
        <v>0</v>
      </c>
      <c r="AD356" s="222" t="str">
        <f t="shared" si="63"/>
        <v/>
      </c>
      <c r="AE356" s="201"/>
      <c r="AF356" s="231" t="str">
        <f>+IFERROR(VLOOKUP(L356,Data!$F$4:$G$97,2,0),"")</f>
        <v/>
      </c>
    </row>
    <row r="357" spans="9:32" ht="15" customHeight="1" x14ac:dyDescent="0.3">
      <c r="I357" s="201" t="str">
        <f t="shared" si="56"/>
        <v/>
      </c>
      <c r="J357" s="218">
        <f t="shared" si="57"/>
        <v>354</v>
      </c>
      <c r="K357" s="250"/>
      <c r="L357" s="219"/>
      <c r="M357" s="218"/>
      <c r="N357" s="220" t="str">
        <f>IFERROR(VLOOKUP(M357,Data!$C$4:$D$395,2,0),"")</f>
        <v/>
      </c>
      <c r="O357" s="220"/>
      <c r="P357" s="229"/>
      <c r="Q357" s="221"/>
      <c r="R357" s="222" t="str">
        <f t="shared" si="58"/>
        <v>-</v>
      </c>
      <c r="S357" s="223"/>
      <c r="T357" s="224"/>
      <c r="U357" s="225">
        <f t="shared" si="59"/>
        <v>0</v>
      </c>
      <c r="V357" s="226">
        <v>0</v>
      </c>
      <c r="W357" s="227"/>
      <c r="X357" s="228">
        <f t="shared" si="60"/>
        <v>0</v>
      </c>
      <c r="Y357" s="229"/>
      <c r="Z357" s="229"/>
      <c r="AA357" s="229"/>
      <c r="AB357" s="222">
        <f t="shared" si="61"/>
        <v>0</v>
      </c>
      <c r="AC357" s="230">
        <f t="shared" si="62"/>
        <v>0</v>
      </c>
      <c r="AD357" s="222" t="str">
        <f t="shared" si="63"/>
        <v/>
      </c>
      <c r="AE357" s="201"/>
      <c r="AF357" s="231" t="str">
        <f>+IFERROR(VLOOKUP(L357,Data!$F$4:$G$97,2,0),"")</f>
        <v/>
      </c>
    </row>
    <row r="358" spans="9:32" ht="15" customHeight="1" x14ac:dyDescent="0.3">
      <c r="I358" s="201" t="str">
        <f t="shared" si="56"/>
        <v/>
      </c>
      <c r="J358" s="218">
        <f t="shared" si="57"/>
        <v>355</v>
      </c>
      <c r="K358" s="250"/>
      <c r="L358" s="219"/>
      <c r="M358" s="218"/>
      <c r="N358" s="220" t="str">
        <f>IFERROR(VLOOKUP(M358,Data!$C$4:$D$395,2,0),"")</f>
        <v/>
      </c>
      <c r="O358" s="220"/>
      <c r="P358" s="229"/>
      <c r="Q358" s="221"/>
      <c r="R358" s="222" t="str">
        <f t="shared" si="58"/>
        <v>-</v>
      </c>
      <c r="S358" s="223"/>
      <c r="T358" s="224"/>
      <c r="U358" s="225">
        <f t="shared" si="59"/>
        <v>0</v>
      </c>
      <c r="V358" s="226">
        <v>0</v>
      </c>
      <c r="W358" s="227"/>
      <c r="X358" s="228">
        <f t="shared" si="60"/>
        <v>0</v>
      </c>
      <c r="Y358" s="229"/>
      <c r="Z358" s="229"/>
      <c r="AA358" s="229"/>
      <c r="AB358" s="222">
        <f t="shared" si="61"/>
        <v>0</v>
      </c>
      <c r="AC358" s="230">
        <f t="shared" si="62"/>
        <v>0</v>
      </c>
      <c r="AD358" s="222" t="str">
        <f t="shared" si="63"/>
        <v/>
      </c>
      <c r="AE358" s="201"/>
      <c r="AF358" s="231" t="str">
        <f>+IFERROR(VLOOKUP(L358,Data!$F$4:$G$97,2,0),"")</f>
        <v/>
      </c>
    </row>
    <row r="359" spans="9:32" ht="15" customHeight="1" x14ac:dyDescent="0.3">
      <c r="I359" s="201" t="str">
        <f t="shared" si="56"/>
        <v/>
      </c>
      <c r="J359" s="218">
        <f t="shared" si="57"/>
        <v>356</v>
      </c>
      <c r="K359" s="250"/>
      <c r="L359" s="219"/>
      <c r="M359" s="218"/>
      <c r="N359" s="220" t="str">
        <f>IFERROR(VLOOKUP(M359,Data!$C$4:$D$395,2,0),"")</f>
        <v/>
      </c>
      <c r="O359" s="220"/>
      <c r="P359" s="229"/>
      <c r="Q359" s="221"/>
      <c r="R359" s="222" t="str">
        <f t="shared" si="58"/>
        <v>-</v>
      </c>
      <c r="S359" s="223"/>
      <c r="T359" s="224"/>
      <c r="U359" s="225">
        <f t="shared" si="59"/>
        <v>0</v>
      </c>
      <c r="V359" s="226">
        <v>0</v>
      </c>
      <c r="W359" s="227"/>
      <c r="X359" s="228">
        <f t="shared" si="60"/>
        <v>0</v>
      </c>
      <c r="Y359" s="229"/>
      <c r="Z359" s="229"/>
      <c r="AA359" s="229"/>
      <c r="AB359" s="222">
        <f t="shared" si="61"/>
        <v>0</v>
      </c>
      <c r="AC359" s="230">
        <f t="shared" si="62"/>
        <v>0</v>
      </c>
      <c r="AD359" s="222" t="str">
        <f t="shared" si="63"/>
        <v/>
      </c>
      <c r="AE359" s="201"/>
      <c r="AF359" s="231" t="str">
        <f>+IFERROR(VLOOKUP(L359,Data!$F$4:$G$97,2,0),"")</f>
        <v/>
      </c>
    </row>
    <row r="360" spans="9:32" ht="15" customHeight="1" x14ac:dyDescent="0.3">
      <c r="I360" s="201" t="str">
        <f t="shared" si="56"/>
        <v/>
      </c>
      <c r="J360" s="218">
        <f t="shared" si="57"/>
        <v>357</v>
      </c>
      <c r="K360" s="250"/>
      <c r="L360" s="219"/>
      <c r="M360" s="218"/>
      <c r="N360" s="220" t="str">
        <f>IFERROR(VLOOKUP(M360,Data!$C$4:$D$395,2,0),"")</f>
        <v/>
      </c>
      <c r="O360" s="220"/>
      <c r="P360" s="229"/>
      <c r="Q360" s="221"/>
      <c r="R360" s="222" t="str">
        <f t="shared" si="58"/>
        <v>-</v>
      </c>
      <c r="S360" s="223"/>
      <c r="T360" s="224"/>
      <c r="U360" s="225">
        <f t="shared" si="59"/>
        <v>0</v>
      </c>
      <c r="V360" s="226">
        <v>0</v>
      </c>
      <c r="W360" s="227"/>
      <c r="X360" s="228">
        <f t="shared" si="60"/>
        <v>0</v>
      </c>
      <c r="Y360" s="229"/>
      <c r="Z360" s="229"/>
      <c r="AA360" s="229"/>
      <c r="AB360" s="222">
        <f t="shared" si="61"/>
        <v>0</v>
      </c>
      <c r="AC360" s="230">
        <f t="shared" si="62"/>
        <v>0</v>
      </c>
      <c r="AD360" s="222" t="str">
        <f t="shared" si="63"/>
        <v/>
      </c>
      <c r="AE360" s="201"/>
      <c r="AF360" s="231" t="str">
        <f>+IFERROR(VLOOKUP(L360,Data!$F$4:$G$97,2,0),"")</f>
        <v/>
      </c>
    </row>
    <row r="361" spans="9:32" ht="15" customHeight="1" x14ac:dyDescent="0.3">
      <c r="I361" s="201" t="str">
        <f t="shared" si="56"/>
        <v/>
      </c>
      <c r="J361" s="218">
        <f t="shared" si="57"/>
        <v>358</v>
      </c>
      <c r="K361" s="250"/>
      <c r="L361" s="219"/>
      <c r="M361" s="218"/>
      <c r="N361" s="220" t="str">
        <f>IFERROR(VLOOKUP(M361,Data!$C$4:$D$395,2,0),"")</f>
        <v/>
      </c>
      <c r="O361" s="220"/>
      <c r="P361" s="229"/>
      <c r="Q361" s="221"/>
      <c r="R361" s="222" t="str">
        <f t="shared" si="58"/>
        <v>-</v>
      </c>
      <c r="S361" s="223"/>
      <c r="T361" s="224"/>
      <c r="U361" s="225">
        <f t="shared" si="59"/>
        <v>0</v>
      </c>
      <c r="V361" s="226">
        <v>0</v>
      </c>
      <c r="W361" s="227"/>
      <c r="X361" s="228">
        <f t="shared" si="60"/>
        <v>0</v>
      </c>
      <c r="Y361" s="229"/>
      <c r="Z361" s="229"/>
      <c r="AA361" s="229"/>
      <c r="AB361" s="222">
        <f t="shared" si="61"/>
        <v>0</v>
      </c>
      <c r="AC361" s="230">
        <f t="shared" si="62"/>
        <v>0</v>
      </c>
      <c r="AD361" s="222" t="str">
        <f t="shared" si="63"/>
        <v/>
      </c>
      <c r="AE361" s="201"/>
      <c r="AF361" s="231" t="str">
        <f>+IFERROR(VLOOKUP(L361,Data!$F$4:$G$97,2,0),"")</f>
        <v/>
      </c>
    </row>
    <row r="362" spans="9:32" ht="15" customHeight="1" x14ac:dyDescent="0.3">
      <c r="I362" s="201" t="str">
        <f t="shared" si="56"/>
        <v/>
      </c>
      <c r="J362" s="218">
        <f t="shared" si="57"/>
        <v>359</v>
      </c>
      <c r="K362" s="250"/>
      <c r="L362" s="219"/>
      <c r="M362" s="218"/>
      <c r="N362" s="220" t="str">
        <f>IFERROR(VLOOKUP(M362,Data!$C$4:$D$395,2,0),"")</f>
        <v/>
      </c>
      <c r="O362" s="220"/>
      <c r="P362" s="229"/>
      <c r="Q362" s="221"/>
      <c r="R362" s="222" t="str">
        <f t="shared" si="58"/>
        <v>-</v>
      </c>
      <c r="S362" s="223"/>
      <c r="T362" s="224"/>
      <c r="U362" s="225">
        <f t="shared" si="59"/>
        <v>0</v>
      </c>
      <c r="V362" s="226">
        <v>0</v>
      </c>
      <c r="W362" s="227"/>
      <c r="X362" s="228">
        <f t="shared" si="60"/>
        <v>0</v>
      </c>
      <c r="Y362" s="229"/>
      <c r="Z362" s="229"/>
      <c r="AA362" s="229"/>
      <c r="AB362" s="222">
        <f t="shared" si="61"/>
        <v>0</v>
      </c>
      <c r="AC362" s="230">
        <f t="shared" si="62"/>
        <v>0</v>
      </c>
      <c r="AD362" s="222" t="str">
        <f t="shared" si="63"/>
        <v/>
      </c>
      <c r="AE362" s="201"/>
      <c r="AF362" s="231" t="str">
        <f>+IFERROR(VLOOKUP(L362,Data!$F$4:$G$97,2,0),"")</f>
        <v/>
      </c>
    </row>
    <row r="363" spans="9:32" ht="15" customHeight="1" x14ac:dyDescent="0.3">
      <c r="I363" s="201" t="str">
        <f t="shared" si="56"/>
        <v/>
      </c>
      <c r="J363" s="218">
        <f t="shared" si="57"/>
        <v>360</v>
      </c>
      <c r="K363" s="250"/>
      <c r="L363" s="219"/>
      <c r="M363" s="218"/>
      <c r="N363" s="220" t="str">
        <f>IFERROR(VLOOKUP(M363,Data!$C$4:$D$395,2,0),"")</f>
        <v/>
      </c>
      <c r="O363" s="220"/>
      <c r="P363" s="229"/>
      <c r="Q363" s="221"/>
      <c r="R363" s="222" t="str">
        <f t="shared" si="58"/>
        <v>-</v>
      </c>
      <c r="S363" s="223"/>
      <c r="T363" s="224"/>
      <c r="U363" s="225">
        <f t="shared" si="59"/>
        <v>0</v>
      </c>
      <c r="V363" s="226">
        <v>0</v>
      </c>
      <c r="W363" s="227"/>
      <c r="X363" s="228">
        <f t="shared" si="60"/>
        <v>0</v>
      </c>
      <c r="Y363" s="229"/>
      <c r="Z363" s="229"/>
      <c r="AA363" s="229"/>
      <c r="AB363" s="222">
        <f t="shared" si="61"/>
        <v>0</v>
      </c>
      <c r="AC363" s="230">
        <f t="shared" si="62"/>
        <v>0</v>
      </c>
      <c r="AD363" s="222" t="str">
        <f t="shared" si="63"/>
        <v/>
      </c>
      <c r="AE363" s="201"/>
      <c r="AF363" s="231" t="str">
        <f>+IFERROR(VLOOKUP(L363,Data!$F$4:$G$97,2,0),"")</f>
        <v/>
      </c>
    </row>
    <row r="364" spans="9:32" ht="15" customHeight="1" x14ac:dyDescent="0.3">
      <c r="I364" s="201" t="str">
        <f t="shared" si="56"/>
        <v/>
      </c>
      <c r="J364" s="218">
        <f t="shared" si="57"/>
        <v>361</v>
      </c>
      <c r="K364" s="250"/>
      <c r="L364" s="219"/>
      <c r="M364" s="218"/>
      <c r="N364" s="220" t="str">
        <f>IFERROR(VLOOKUP(M364,Data!$C$4:$D$395,2,0),"")</f>
        <v/>
      </c>
      <c r="O364" s="220"/>
      <c r="P364" s="229"/>
      <c r="Q364" s="221"/>
      <c r="R364" s="222" t="str">
        <f t="shared" si="58"/>
        <v>-</v>
      </c>
      <c r="S364" s="223"/>
      <c r="T364" s="224"/>
      <c r="U364" s="225">
        <f t="shared" si="59"/>
        <v>0</v>
      </c>
      <c r="V364" s="226">
        <v>0</v>
      </c>
      <c r="W364" s="227"/>
      <c r="X364" s="228">
        <f t="shared" si="60"/>
        <v>0</v>
      </c>
      <c r="Y364" s="229"/>
      <c r="Z364" s="229"/>
      <c r="AA364" s="229"/>
      <c r="AB364" s="222">
        <f t="shared" si="61"/>
        <v>0</v>
      </c>
      <c r="AC364" s="230">
        <f t="shared" si="62"/>
        <v>0</v>
      </c>
      <c r="AD364" s="222" t="str">
        <f t="shared" si="63"/>
        <v/>
      </c>
      <c r="AE364" s="201"/>
      <c r="AF364" s="231" t="str">
        <f>+IFERROR(VLOOKUP(L364,Data!$F$4:$G$97,2,0),"")</f>
        <v/>
      </c>
    </row>
    <row r="365" spans="9:32" ht="15" customHeight="1" x14ac:dyDescent="0.3">
      <c r="I365" s="201" t="str">
        <f t="shared" si="56"/>
        <v/>
      </c>
      <c r="J365" s="218">
        <f t="shared" si="57"/>
        <v>362</v>
      </c>
      <c r="K365" s="250"/>
      <c r="L365" s="219"/>
      <c r="M365" s="218"/>
      <c r="N365" s="220" t="str">
        <f>IFERROR(VLOOKUP(M365,Data!$C$4:$D$395,2,0),"")</f>
        <v/>
      </c>
      <c r="O365" s="220"/>
      <c r="P365" s="229"/>
      <c r="Q365" s="221"/>
      <c r="R365" s="222" t="str">
        <f t="shared" si="58"/>
        <v>-</v>
      </c>
      <c r="S365" s="223"/>
      <c r="T365" s="224"/>
      <c r="U365" s="225">
        <f t="shared" si="59"/>
        <v>0</v>
      </c>
      <c r="V365" s="226">
        <v>0</v>
      </c>
      <c r="W365" s="227"/>
      <c r="X365" s="228">
        <f t="shared" si="60"/>
        <v>0</v>
      </c>
      <c r="Y365" s="229"/>
      <c r="Z365" s="229"/>
      <c r="AA365" s="229"/>
      <c r="AB365" s="222">
        <f t="shared" si="61"/>
        <v>0</v>
      </c>
      <c r="AC365" s="230">
        <f t="shared" si="62"/>
        <v>0</v>
      </c>
      <c r="AD365" s="222" t="str">
        <f t="shared" si="63"/>
        <v/>
      </c>
      <c r="AE365" s="201"/>
      <c r="AF365" s="231" t="str">
        <f>+IFERROR(VLOOKUP(L365,Data!$F$4:$G$97,2,0),"")</f>
        <v/>
      </c>
    </row>
    <row r="366" spans="9:32" ht="15" customHeight="1" x14ac:dyDescent="0.3">
      <c r="I366" s="201" t="str">
        <f t="shared" si="56"/>
        <v/>
      </c>
      <c r="J366" s="218">
        <f t="shared" si="57"/>
        <v>363</v>
      </c>
      <c r="K366" s="250"/>
      <c r="L366" s="219"/>
      <c r="M366" s="218"/>
      <c r="N366" s="220" t="str">
        <f>IFERROR(VLOOKUP(M366,Data!$C$4:$D$395,2,0),"")</f>
        <v/>
      </c>
      <c r="O366" s="220"/>
      <c r="P366" s="229"/>
      <c r="Q366" s="221"/>
      <c r="R366" s="222" t="str">
        <f t="shared" si="58"/>
        <v>-</v>
      </c>
      <c r="S366" s="223"/>
      <c r="T366" s="224"/>
      <c r="U366" s="225">
        <f t="shared" si="59"/>
        <v>0</v>
      </c>
      <c r="V366" s="226">
        <v>0</v>
      </c>
      <c r="W366" s="227"/>
      <c r="X366" s="228">
        <f t="shared" si="60"/>
        <v>0</v>
      </c>
      <c r="Y366" s="229"/>
      <c r="Z366" s="229"/>
      <c r="AA366" s="229"/>
      <c r="AB366" s="222">
        <f t="shared" si="61"/>
        <v>0</v>
      </c>
      <c r="AC366" s="230">
        <f t="shared" si="62"/>
        <v>0</v>
      </c>
      <c r="AD366" s="222" t="str">
        <f t="shared" si="63"/>
        <v/>
      </c>
      <c r="AE366" s="201"/>
      <c r="AF366" s="231" t="str">
        <f>+IFERROR(VLOOKUP(L366,Data!$F$4:$G$97,2,0),"")</f>
        <v/>
      </c>
    </row>
    <row r="367" spans="9:32" ht="15" customHeight="1" x14ac:dyDescent="0.3">
      <c r="I367" s="201" t="str">
        <f t="shared" si="56"/>
        <v/>
      </c>
      <c r="J367" s="218">
        <f t="shared" si="57"/>
        <v>364</v>
      </c>
      <c r="K367" s="250"/>
      <c r="L367" s="219"/>
      <c r="M367" s="218"/>
      <c r="N367" s="220" t="str">
        <f>IFERROR(VLOOKUP(M367,Data!$C$4:$D$395,2,0),"")</f>
        <v/>
      </c>
      <c r="O367" s="220"/>
      <c r="P367" s="229"/>
      <c r="Q367" s="221"/>
      <c r="R367" s="222" t="str">
        <f t="shared" si="58"/>
        <v>-</v>
      </c>
      <c r="S367" s="223"/>
      <c r="T367" s="224"/>
      <c r="U367" s="225">
        <f t="shared" si="59"/>
        <v>0</v>
      </c>
      <c r="V367" s="226">
        <v>0</v>
      </c>
      <c r="W367" s="227"/>
      <c r="X367" s="228">
        <f t="shared" si="60"/>
        <v>0</v>
      </c>
      <c r="Y367" s="229"/>
      <c r="Z367" s="229"/>
      <c r="AA367" s="229"/>
      <c r="AB367" s="222">
        <f t="shared" si="61"/>
        <v>0</v>
      </c>
      <c r="AC367" s="230">
        <f t="shared" si="62"/>
        <v>0</v>
      </c>
      <c r="AD367" s="222" t="str">
        <f t="shared" si="63"/>
        <v/>
      </c>
      <c r="AE367" s="201"/>
      <c r="AF367" s="231" t="str">
        <f>+IFERROR(VLOOKUP(L367,Data!$F$4:$G$97,2,0),"")</f>
        <v/>
      </c>
    </row>
    <row r="368" spans="9:32" ht="15" customHeight="1" x14ac:dyDescent="0.3">
      <c r="I368" s="201" t="str">
        <f t="shared" si="56"/>
        <v/>
      </c>
      <c r="J368" s="218">
        <f t="shared" si="57"/>
        <v>365</v>
      </c>
      <c r="K368" s="250"/>
      <c r="L368" s="219"/>
      <c r="M368" s="218"/>
      <c r="N368" s="220" t="str">
        <f>IFERROR(VLOOKUP(M368,Data!$C$4:$D$395,2,0),"")</f>
        <v/>
      </c>
      <c r="O368" s="220"/>
      <c r="P368" s="229"/>
      <c r="Q368" s="221"/>
      <c r="R368" s="222" t="str">
        <f t="shared" si="58"/>
        <v>-</v>
      </c>
      <c r="S368" s="223"/>
      <c r="T368" s="224"/>
      <c r="U368" s="225">
        <f t="shared" si="59"/>
        <v>0</v>
      </c>
      <c r="V368" s="226">
        <v>0</v>
      </c>
      <c r="W368" s="227"/>
      <c r="X368" s="228">
        <f t="shared" si="60"/>
        <v>0</v>
      </c>
      <c r="Y368" s="229"/>
      <c r="Z368" s="229"/>
      <c r="AA368" s="229"/>
      <c r="AB368" s="222">
        <f t="shared" si="61"/>
        <v>0</v>
      </c>
      <c r="AC368" s="230">
        <f t="shared" si="62"/>
        <v>0</v>
      </c>
      <c r="AD368" s="222" t="str">
        <f t="shared" si="63"/>
        <v/>
      </c>
      <c r="AE368" s="201"/>
      <c r="AF368" s="231" t="str">
        <f>+IFERROR(VLOOKUP(L368,Data!$F$4:$G$97,2,0),"")</f>
        <v/>
      </c>
    </row>
    <row r="369" spans="9:32" ht="15" customHeight="1" x14ac:dyDescent="0.3">
      <c r="I369" s="201" t="str">
        <f t="shared" si="56"/>
        <v/>
      </c>
      <c r="J369" s="218">
        <f t="shared" si="57"/>
        <v>366</v>
      </c>
      <c r="K369" s="250"/>
      <c r="L369" s="219"/>
      <c r="M369" s="218"/>
      <c r="N369" s="220" t="str">
        <f>IFERROR(VLOOKUP(M369,Data!$C$4:$D$395,2,0),"")</f>
        <v/>
      </c>
      <c r="O369" s="220"/>
      <c r="P369" s="229"/>
      <c r="Q369" s="221"/>
      <c r="R369" s="222" t="str">
        <f t="shared" si="58"/>
        <v>-</v>
      </c>
      <c r="S369" s="223"/>
      <c r="T369" s="224"/>
      <c r="U369" s="225">
        <f t="shared" si="59"/>
        <v>0</v>
      </c>
      <c r="V369" s="226">
        <v>0</v>
      </c>
      <c r="W369" s="227"/>
      <c r="X369" s="228">
        <f t="shared" si="60"/>
        <v>0</v>
      </c>
      <c r="Y369" s="229"/>
      <c r="Z369" s="229"/>
      <c r="AA369" s="229"/>
      <c r="AB369" s="222">
        <f t="shared" si="61"/>
        <v>0</v>
      </c>
      <c r="AC369" s="230">
        <f t="shared" si="62"/>
        <v>0</v>
      </c>
      <c r="AD369" s="222" t="str">
        <f t="shared" si="63"/>
        <v/>
      </c>
      <c r="AE369" s="201"/>
      <c r="AF369" s="231" t="str">
        <f>+IFERROR(VLOOKUP(L369,Data!$F$4:$G$97,2,0),"")</f>
        <v/>
      </c>
    </row>
    <row r="370" spans="9:32" ht="15" customHeight="1" x14ac:dyDescent="0.3">
      <c r="I370" s="201" t="str">
        <f t="shared" si="56"/>
        <v/>
      </c>
      <c r="J370" s="218">
        <f t="shared" si="57"/>
        <v>367</v>
      </c>
      <c r="K370" s="250"/>
      <c r="L370" s="219"/>
      <c r="M370" s="218"/>
      <c r="N370" s="220" t="str">
        <f>IFERROR(VLOOKUP(M370,Data!$C$4:$D$395,2,0),"")</f>
        <v/>
      </c>
      <c r="O370" s="220"/>
      <c r="P370" s="229"/>
      <c r="Q370" s="221"/>
      <c r="R370" s="222" t="str">
        <f t="shared" si="58"/>
        <v>-</v>
      </c>
      <c r="S370" s="223"/>
      <c r="T370" s="224"/>
      <c r="U370" s="225">
        <f t="shared" si="59"/>
        <v>0</v>
      </c>
      <c r="V370" s="226">
        <v>0</v>
      </c>
      <c r="W370" s="227"/>
      <c r="X370" s="228">
        <f t="shared" si="60"/>
        <v>0</v>
      </c>
      <c r="Y370" s="229"/>
      <c r="Z370" s="229"/>
      <c r="AA370" s="229"/>
      <c r="AB370" s="222">
        <f t="shared" si="61"/>
        <v>0</v>
      </c>
      <c r="AC370" s="230">
        <f t="shared" si="62"/>
        <v>0</v>
      </c>
      <c r="AD370" s="222" t="str">
        <f t="shared" si="63"/>
        <v/>
      </c>
      <c r="AE370" s="201"/>
      <c r="AF370" s="231" t="str">
        <f>+IFERROR(VLOOKUP(L370,Data!$F$4:$G$97,2,0),"")</f>
        <v/>
      </c>
    </row>
    <row r="371" spans="9:32" ht="15" customHeight="1" x14ac:dyDescent="0.3">
      <c r="I371" s="201" t="str">
        <f t="shared" si="56"/>
        <v/>
      </c>
      <c r="J371" s="218">
        <f t="shared" si="57"/>
        <v>368</v>
      </c>
      <c r="K371" s="250"/>
      <c r="L371" s="219"/>
      <c r="M371" s="218"/>
      <c r="N371" s="220" t="str">
        <f>IFERROR(VLOOKUP(M371,Data!$C$4:$D$395,2,0),"")</f>
        <v/>
      </c>
      <c r="O371" s="220"/>
      <c r="P371" s="229"/>
      <c r="Q371" s="221"/>
      <c r="R371" s="222" t="str">
        <f t="shared" si="58"/>
        <v>-</v>
      </c>
      <c r="S371" s="223"/>
      <c r="T371" s="224"/>
      <c r="U371" s="225">
        <f t="shared" si="59"/>
        <v>0</v>
      </c>
      <c r="V371" s="226">
        <v>0</v>
      </c>
      <c r="W371" s="227"/>
      <c r="X371" s="228">
        <f t="shared" si="60"/>
        <v>0</v>
      </c>
      <c r="Y371" s="229"/>
      <c r="Z371" s="229"/>
      <c r="AA371" s="229"/>
      <c r="AB371" s="222">
        <f t="shared" si="61"/>
        <v>0</v>
      </c>
      <c r="AC371" s="230">
        <f t="shared" si="62"/>
        <v>0</v>
      </c>
      <c r="AD371" s="222" t="str">
        <f t="shared" si="63"/>
        <v/>
      </c>
      <c r="AE371" s="201"/>
      <c r="AF371" s="231" t="str">
        <f>+IFERROR(VLOOKUP(L371,Data!$F$4:$G$97,2,0),"")</f>
        <v/>
      </c>
    </row>
    <row r="372" spans="9:32" ht="15" customHeight="1" x14ac:dyDescent="0.3">
      <c r="I372" s="201" t="str">
        <f t="shared" si="56"/>
        <v/>
      </c>
      <c r="J372" s="218">
        <f t="shared" si="57"/>
        <v>369</v>
      </c>
      <c r="K372" s="250"/>
      <c r="L372" s="219"/>
      <c r="M372" s="218"/>
      <c r="N372" s="220" t="str">
        <f>IFERROR(VLOOKUP(M372,Data!$C$4:$D$395,2,0),"")</f>
        <v/>
      </c>
      <c r="O372" s="220"/>
      <c r="P372" s="229"/>
      <c r="Q372" s="221"/>
      <c r="R372" s="222" t="str">
        <f t="shared" si="58"/>
        <v>-</v>
      </c>
      <c r="S372" s="223"/>
      <c r="T372" s="224"/>
      <c r="U372" s="225">
        <f t="shared" si="59"/>
        <v>0</v>
      </c>
      <c r="V372" s="226">
        <v>0</v>
      </c>
      <c r="W372" s="227"/>
      <c r="X372" s="228">
        <f t="shared" si="60"/>
        <v>0</v>
      </c>
      <c r="Y372" s="229"/>
      <c r="Z372" s="229"/>
      <c r="AA372" s="229"/>
      <c r="AB372" s="222">
        <f t="shared" si="61"/>
        <v>0</v>
      </c>
      <c r="AC372" s="230">
        <f t="shared" si="62"/>
        <v>0</v>
      </c>
      <c r="AD372" s="222" t="str">
        <f t="shared" si="63"/>
        <v/>
      </c>
      <c r="AE372" s="201"/>
      <c r="AF372" s="231" t="str">
        <f>+IFERROR(VLOOKUP(L372,Data!$F$4:$G$97,2,0),"")</f>
        <v/>
      </c>
    </row>
    <row r="373" spans="9:32" ht="15" customHeight="1" x14ac:dyDescent="0.3">
      <c r="I373" s="201" t="str">
        <f t="shared" si="56"/>
        <v/>
      </c>
      <c r="J373" s="218">
        <f t="shared" si="57"/>
        <v>370</v>
      </c>
      <c r="K373" s="250"/>
      <c r="L373" s="219"/>
      <c r="M373" s="218"/>
      <c r="N373" s="220" t="str">
        <f>IFERROR(VLOOKUP(M373,Data!$C$4:$D$395,2,0),"")</f>
        <v/>
      </c>
      <c r="O373" s="220"/>
      <c r="P373" s="229"/>
      <c r="Q373" s="221"/>
      <c r="R373" s="222" t="str">
        <f t="shared" si="58"/>
        <v>-</v>
      </c>
      <c r="S373" s="223"/>
      <c r="T373" s="224"/>
      <c r="U373" s="225">
        <f t="shared" si="59"/>
        <v>0</v>
      </c>
      <c r="V373" s="226">
        <v>0</v>
      </c>
      <c r="W373" s="227"/>
      <c r="X373" s="228">
        <f t="shared" si="60"/>
        <v>0</v>
      </c>
      <c r="Y373" s="229"/>
      <c r="Z373" s="229"/>
      <c r="AA373" s="229"/>
      <c r="AB373" s="222">
        <f t="shared" si="61"/>
        <v>0</v>
      </c>
      <c r="AC373" s="230">
        <f t="shared" si="62"/>
        <v>0</v>
      </c>
      <c r="AD373" s="222" t="str">
        <f t="shared" si="63"/>
        <v/>
      </c>
      <c r="AE373" s="201"/>
      <c r="AF373" s="231" t="str">
        <f>+IFERROR(VLOOKUP(L373,Data!$F$4:$G$97,2,0),"")</f>
        <v/>
      </c>
    </row>
    <row r="374" spans="9:32" ht="15" customHeight="1" x14ac:dyDescent="0.3">
      <c r="I374" s="201" t="str">
        <f t="shared" si="56"/>
        <v/>
      </c>
      <c r="J374" s="218">
        <f t="shared" si="57"/>
        <v>371</v>
      </c>
      <c r="K374" s="250"/>
      <c r="L374" s="219"/>
      <c r="M374" s="218"/>
      <c r="N374" s="220" t="str">
        <f>IFERROR(VLOOKUP(M374,Data!$C$4:$D$395,2,0),"")</f>
        <v/>
      </c>
      <c r="O374" s="220"/>
      <c r="P374" s="229"/>
      <c r="Q374" s="221"/>
      <c r="R374" s="222" t="str">
        <f t="shared" si="58"/>
        <v>-</v>
      </c>
      <c r="S374" s="223"/>
      <c r="T374" s="224"/>
      <c r="U374" s="225">
        <f t="shared" si="59"/>
        <v>0</v>
      </c>
      <c r="V374" s="226">
        <v>0</v>
      </c>
      <c r="W374" s="227"/>
      <c r="X374" s="228">
        <f t="shared" si="60"/>
        <v>0</v>
      </c>
      <c r="Y374" s="229"/>
      <c r="Z374" s="229"/>
      <c r="AA374" s="229"/>
      <c r="AB374" s="222">
        <f t="shared" si="61"/>
        <v>0</v>
      </c>
      <c r="AC374" s="230">
        <f t="shared" si="62"/>
        <v>0</v>
      </c>
      <c r="AD374" s="222" t="str">
        <f t="shared" si="63"/>
        <v/>
      </c>
      <c r="AE374" s="201"/>
      <c r="AF374" s="231" t="str">
        <f>+IFERROR(VLOOKUP(L374,Data!$F$4:$G$97,2,0),"")</f>
        <v/>
      </c>
    </row>
    <row r="375" spans="9:32" ht="15" customHeight="1" x14ac:dyDescent="0.3">
      <c r="I375" s="201" t="str">
        <f t="shared" si="56"/>
        <v/>
      </c>
      <c r="J375" s="218">
        <f t="shared" si="57"/>
        <v>372</v>
      </c>
      <c r="K375" s="250"/>
      <c r="L375" s="219"/>
      <c r="M375" s="218"/>
      <c r="N375" s="220" t="str">
        <f>IFERROR(VLOOKUP(M375,Data!$C$4:$D$395,2,0),"")</f>
        <v/>
      </c>
      <c r="O375" s="220"/>
      <c r="P375" s="229"/>
      <c r="Q375" s="221"/>
      <c r="R375" s="222" t="str">
        <f t="shared" si="58"/>
        <v>-</v>
      </c>
      <c r="S375" s="223"/>
      <c r="T375" s="224"/>
      <c r="U375" s="225">
        <f t="shared" si="59"/>
        <v>0</v>
      </c>
      <c r="V375" s="226">
        <v>0</v>
      </c>
      <c r="W375" s="227"/>
      <c r="X375" s="228">
        <f t="shared" si="60"/>
        <v>0</v>
      </c>
      <c r="Y375" s="229"/>
      <c r="Z375" s="229"/>
      <c r="AA375" s="229"/>
      <c r="AB375" s="222">
        <f t="shared" si="61"/>
        <v>0</v>
      </c>
      <c r="AC375" s="230">
        <f t="shared" si="62"/>
        <v>0</v>
      </c>
      <c r="AD375" s="222" t="str">
        <f t="shared" si="63"/>
        <v/>
      </c>
      <c r="AE375" s="201"/>
      <c r="AF375" s="231" t="str">
        <f>+IFERROR(VLOOKUP(L375,Data!$F$4:$G$97,2,0),"")</f>
        <v/>
      </c>
    </row>
    <row r="376" spans="9:32" ht="15" customHeight="1" x14ac:dyDescent="0.3">
      <c r="I376" s="201" t="str">
        <f t="shared" si="56"/>
        <v/>
      </c>
      <c r="J376" s="218">
        <f t="shared" si="57"/>
        <v>373</v>
      </c>
      <c r="K376" s="250"/>
      <c r="L376" s="219"/>
      <c r="M376" s="218"/>
      <c r="N376" s="220" t="str">
        <f>IFERROR(VLOOKUP(M376,Data!$C$4:$D$395,2,0),"")</f>
        <v/>
      </c>
      <c r="O376" s="220"/>
      <c r="P376" s="229"/>
      <c r="Q376" s="221"/>
      <c r="R376" s="222" t="str">
        <f t="shared" si="58"/>
        <v>-</v>
      </c>
      <c r="S376" s="223"/>
      <c r="T376" s="224"/>
      <c r="U376" s="225">
        <f t="shared" si="59"/>
        <v>0</v>
      </c>
      <c r="V376" s="226">
        <v>0</v>
      </c>
      <c r="W376" s="227"/>
      <c r="X376" s="228">
        <f t="shared" si="60"/>
        <v>0</v>
      </c>
      <c r="Y376" s="229"/>
      <c r="Z376" s="229"/>
      <c r="AA376" s="229"/>
      <c r="AB376" s="222">
        <f t="shared" si="61"/>
        <v>0</v>
      </c>
      <c r="AC376" s="230">
        <f t="shared" si="62"/>
        <v>0</v>
      </c>
      <c r="AD376" s="222" t="str">
        <f t="shared" si="63"/>
        <v/>
      </c>
      <c r="AE376" s="201"/>
      <c r="AF376" s="231" t="str">
        <f>+IFERROR(VLOOKUP(L376,Data!$F$4:$G$97,2,0),"")</f>
        <v/>
      </c>
    </row>
    <row r="377" spans="9:32" ht="15" customHeight="1" x14ac:dyDescent="0.3">
      <c r="I377" s="201" t="str">
        <f t="shared" si="56"/>
        <v/>
      </c>
      <c r="J377" s="218">
        <f t="shared" si="57"/>
        <v>374</v>
      </c>
      <c r="K377" s="250"/>
      <c r="L377" s="219"/>
      <c r="M377" s="218"/>
      <c r="N377" s="220" t="str">
        <f>IFERROR(VLOOKUP(M377,Data!$C$4:$D$395,2,0),"")</f>
        <v/>
      </c>
      <c r="O377" s="220"/>
      <c r="P377" s="229"/>
      <c r="Q377" s="221"/>
      <c r="R377" s="222" t="str">
        <f t="shared" si="58"/>
        <v>-</v>
      </c>
      <c r="S377" s="223"/>
      <c r="T377" s="224"/>
      <c r="U377" s="225">
        <f t="shared" si="59"/>
        <v>0</v>
      </c>
      <c r="V377" s="226">
        <v>0</v>
      </c>
      <c r="W377" s="227"/>
      <c r="X377" s="228">
        <f t="shared" si="60"/>
        <v>0</v>
      </c>
      <c r="Y377" s="229"/>
      <c r="Z377" s="229"/>
      <c r="AA377" s="229"/>
      <c r="AB377" s="222">
        <f t="shared" si="61"/>
        <v>0</v>
      </c>
      <c r="AC377" s="230">
        <f t="shared" si="62"/>
        <v>0</v>
      </c>
      <c r="AD377" s="222" t="str">
        <f t="shared" si="63"/>
        <v/>
      </c>
      <c r="AE377" s="201"/>
      <c r="AF377" s="231" t="str">
        <f>+IFERROR(VLOOKUP(L377,Data!$F$4:$G$97,2,0),"")</f>
        <v/>
      </c>
    </row>
    <row r="378" spans="9:32" ht="15" customHeight="1" x14ac:dyDescent="0.3">
      <c r="I378" s="201" t="str">
        <f t="shared" si="56"/>
        <v/>
      </c>
      <c r="J378" s="218">
        <f t="shared" si="57"/>
        <v>375</v>
      </c>
      <c r="K378" s="250"/>
      <c r="L378" s="219"/>
      <c r="M378" s="218"/>
      <c r="N378" s="220" t="str">
        <f>IFERROR(VLOOKUP(M378,Data!$C$4:$D$395,2,0),"")</f>
        <v/>
      </c>
      <c r="O378" s="220"/>
      <c r="P378" s="229"/>
      <c r="Q378" s="221"/>
      <c r="R378" s="222" t="str">
        <f t="shared" si="58"/>
        <v>-</v>
      </c>
      <c r="S378" s="223"/>
      <c r="T378" s="224"/>
      <c r="U378" s="225">
        <f t="shared" si="59"/>
        <v>0</v>
      </c>
      <c r="V378" s="226">
        <v>0</v>
      </c>
      <c r="W378" s="227"/>
      <c r="X378" s="228">
        <f t="shared" si="60"/>
        <v>0</v>
      </c>
      <c r="Y378" s="229"/>
      <c r="Z378" s="229"/>
      <c r="AA378" s="229"/>
      <c r="AB378" s="222">
        <f t="shared" si="61"/>
        <v>0</v>
      </c>
      <c r="AC378" s="230">
        <f t="shared" si="62"/>
        <v>0</v>
      </c>
      <c r="AD378" s="222" t="str">
        <f t="shared" si="63"/>
        <v/>
      </c>
      <c r="AE378" s="201"/>
      <c r="AF378" s="231" t="str">
        <f>+IFERROR(VLOOKUP(L378,Data!$F$4:$G$97,2,0),"")</f>
        <v/>
      </c>
    </row>
    <row r="379" spans="9:32" ht="15" customHeight="1" x14ac:dyDescent="0.3">
      <c r="I379" s="201" t="str">
        <f t="shared" si="56"/>
        <v/>
      </c>
      <c r="J379" s="218">
        <f t="shared" si="57"/>
        <v>376</v>
      </c>
      <c r="K379" s="250"/>
      <c r="L379" s="219"/>
      <c r="M379" s="218"/>
      <c r="N379" s="220" t="str">
        <f>IFERROR(VLOOKUP(M379,Data!$C$4:$D$395,2,0),"")</f>
        <v/>
      </c>
      <c r="O379" s="220"/>
      <c r="P379" s="229"/>
      <c r="Q379" s="221"/>
      <c r="R379" s="222" t="str">
        <f t="shared" si="58"/>
        <v>-</v>
      </c>
      <c r="S379" s="223"/>
      <c r="T379" s="224"/>
      <c r="U379" s="225">
        <f t="shared" si="59"/>
        <v>0</v>
      </c>
      <c r="V379" s="226">
        <v>0</v>
      </c>
      <c r="W379" s="227"/>
      <c r="X379" s="228">
        <f t="shared" si="60"/>
        <v>0</v>
      </c>
      <c r="Y379" s="229"/>
      <c r="Z379" s="229"/>
      <c r="AA379" s="229"/>
      <c r="AB379" s="222">
        <f t="shared" si="61"/>
        <v>0</v>
      </c>
      <c r="AC379" s="230">
        <f t="shared" si="62"/>
        <v>0</v>
      </c>
      <c r="AD379" s="222" t="str">
        <f t="shared" si="63"/>
        <v/>
      </c>
      <c r="AE379" s="201"/>
      <c r="AF379" s="231" t="str">
        <f>+IFERROR(VLOOKUP(L379,Data!$F$4:$G$97,2,0),"")</f>
        <v/>
      </c>
    </row>
    <row r="380" spans="9:32" ht="15" customHeight="1" x14ac:dyDescent="0.3">
      <c r="I380" s="201" t="str">
        <f t="shared" si="56"/>
        <v/>
      </c>
      <c r="J380" s="218">
        <f t="shared" si="57"/>
        <v>377</v>
      </c>
      <c r="K380" s="250"/>
      <c r="L380" s="219"/>
      <c r="M380" s="218"/>
      <c r="N380" s="220" t="str">
        <f>IFERROR(VLOOKUP(M380,Data!$C$4:$D$395,2,0),"")</f>
        <v/>
      </c>
      <c r="O380" s="220"/>
      <c r="P380" s="229"/>
      <c r="Q380" s="221"/>
      <c r="R380" s="222" t="str">
        <f t="shared" si="58"/>
        <v>-</v>
      </c>
      <c r="S380" s="223"/>
      <c r="T380" s="224"/>
      <c r="U380" s="225">
        <f t="shared" si="59"/>
        <v>0</v>
      </c>
      <c r="V380" s="226">
        <v>0</v>
      </c>
      <c r="W380" s="227"/>
      <c r="X380" s="228">
        <f t="shared" si="60"/>
        <v>0</v>
      </c>
      <c r="Y380" s="229"/>
      <c r="Z380" s="229"/>
      <c r="AA380" s="229"/>
      <c r="AB380" s="222">
        <f t="shared" si="61"/>
        <v>0</v>
      </c>
      <c r="AC380" s="230">
        <f t="shared" si="62"/>
        <v>0</v>
      </c>
      <c r="AD380" s="222" t="str">
        <f t="shared" si="63"/>
        <v/>
      </c>
      <c r="AE380" s="201"/>
      <c r="AF380" s="231" t="str">
        <f>+IFERROR(VLOOKUP(L380,Data!$F$4:$G$97,2,0),"")</f>
        <v/>
      </c>
    </row>
    <row r="381" spans="9:32" ht="15" customHeight="1" x14ac:dyDescent="0.3">
      <c r="I381" s="201" t="str">
        <f t="shared" ref="I381:I444" si="64">+AF381</f>
        <v/>
      </c>
      <c r="J381" s="218">
        <f t="shared" si="57"/>
        <v>378</v>
      </c>
      <c r="K381" s="250"/>
      <c r="L381" s="219"/>
      <c r="M381" s="218"/>
      <c r="N381" s="220" t="str">
        <f>IFERROR(VLOOKUP(M381,Data!$C$4:$D$395,2,0),"")</f>
        <v/>
      </c>
      <c r="O381" s="220"/>
      <c r="P381" s="229"/>
      <c r="Q381" s="221"/>
      <c r="R381" s="222" t="str">
        <f t="shared" si="58"/>
        <v>-</v>
      </c>
      <c r="S381" s="223"/>
      <c r="T381" s="224"/>
      <c r="U381" s="225">
        <f t="shared" si="59"/>
        <v>0</v>
      </c>
      <c r="V381" s="226">
        <v>0</v>
      </c>
      <c r="W381" s="227"/>
      <c r="X381" s="228">
        <f t="shared" si="60"/>
        <v>0</v>
      </c>
      <c r="Y381" s="229"/>
      <c r="Z381" s="229"/>
      <c r="AA381" s="229"/>
      <c r="AB381" s="222">
        <f t="shared" si="61"/>
        <v>0</v>
      </c>
      <c r="AC381" s="230">
        <f t="shared" si="62"/>
        <v>0</v>
      </c>
      <c r="AD381" s="222" t="str">
        <f t="shared" si="63"/>
        <v/>
      </c>
      <c r="AE381" s="201"/>
      <c r="AF381" s="231" t="str">
        <f>+IFERROR(VLOOKUP(L381,Data!$F$4:$G$97,2,0),"")</f>
        <v/>
      </c>
    </row>
    <row r="382" spans="9:32" ht="15" customHeight="1" x14ac:dyDescent="0.3">
      <c r="I382" s="201" t="str">
        <f t="shared" si="64"/>
        <v/>
      </c>
      <c r="J382" s="218">
        <f t="shared" ref="J382:J445" si="65">J381+1</f>
        <v>379</v>
      </c>
      <c r="K382" s="250"/>
      <c r="L382" s="219"/>
      <c r="M382" s="218"/>
      <c r="N382" s="220" t="str">
        <f>IFERROR(VLOOKUP(M382,Data!$C$4:$D$395,2,0),"")</f>
        <v/>
      </c>
      <c r="O382" s="220"/>
      <c r="P382" s="229"/>
      <c r="Q382" s="221"/>
      <c r="R382" s="222" t="str">
        <f t="shared" si="58"/>
        <v>-</v>
      </c>
      <c r="S382" s="223"/>
      <c r="T382" s="224"/>
      <c r="U382" s="225">
        <f t="shared" si="59"/>
        <v>0</v>
      </c>
      <c r="V382" s="226">
        <v>0</v>
      </c>
      <c r="W382" s="227"/>
      <c r="X382" s="228">
        <f t="shared" si="60"/>
        <v>0</v>
      </c>
      <c r="Y382" s="229"/>
      <c r="Z382" s="229"/>
      <c r="AA382" s="229"/>
      <c r="AB382" s="222">
        <f t="shared" si="61"/>
        <v>0</v>
      </c>
      <c r="AC382" s="230">
        <f t="shared" si="62"/>
        <v>0</v>
      </c>
      <c r="AD382" s="222" t="str">
        <f t="shared" si="63"/>
        <v/>
      </c>
      <c r="AE382" s="201"/>
      <c r="AF382" s="231" t="str">
        <f>+IFERROR(VLOOKUP(L382,Data!$F$4:$G$97,2,0),"")</f>
        <v/>
      </c>
    </row>
    <row r="383" spans="9:32" ht="15" customHeight="1" x14ac:dyDescent="0.3">
      <c r="I383" s="201" t="str">
        <f t="shared" si="64"/>
        <v/>
      </c>
      <c r="J383" s="218">
        <f t="shared" si="65"/>
        <v>380</v>
      </c>
      <c r="K383" s="250"/>
      <c r="L383" s="219"/>
      <c r="M383" s="218"/>
      <c r="N383" s="220" t="str">
        <f>IFERROR(VLOOKUP(M383,Data!$C$4:$D$395,2,0),"")</f>
        <v/>
      </c>
      <c r="O383" s="220"/>
      <c r="P383" s="229"/>
      <c r="Q383" s="221"/>
      <c r="R383" s="222" t="str">
        <f t="shared" si="58"/>
        <v>-</v>
      </c>
      <c r="S383" s="223"/>
      <c r="T383" s="224"/>
      <c r="U383" s="225">
        <f t="shared" si="59"/>
        <v>0</v>
      </c>
      <c r="V383" s="226">
        <v>0</v>
      </c>
      <c r="W383" s="227"/>
      <c r="X383" s="228">
        <f t="shared" si="60"/>
        <v>0</v>
      </c>
      <c r="Y383" s="229"/>
      <c r="Z383" s="229"/>
      <c r="AA383" s="229"/>
      <c r="AB383" s="222">
        <f t="shared" si="61"/>
        <v>0</v>
      </c>
      <c r="AC383" s="230">
        <f t="shared" si="62"/>
        <v>0</v>
      </c>
      <c r="AD383" s="222" t="str">
        <f t="shared" si="63"/>
        <v/>
      </c>
      <c r="AE383" s="201"/>
      <c r="AF383" s="231" t="str">
        <f>+IFERROR(VLOOKUP(L383,Data!$F$4:$G$97,2,0),"")</f>
        <v/>
      </c>
    </row>
    <row r="384" spans="9:32" ht="15" customHeight="1" x14ac:dyDescent="0.3">
      <c r="I384" s="201" t="str">
        <f t="shared" si="64"/>
        <v/>
      </c>
      <c r="J384" s="218">
        <f t="shared" si="65"/>
        <v>381</v>
      </c>
      <c r="K384" s="250"/>
      <c r="L384" s="219"/>
      <c r="M384" s="218"/>
      <c r="N384" s="220" t="str">
        <f>IFERROR(VLOOKUP(M384,Data!$C$4:$D$395,2,0),"")</f>
        <v/>
      </c>
      <c r="O384" s="220"/>
      <c r="P384" s="229"/>
      <c r="Q384" s="221"/>
      <c r="R384" s="222" t="str">
        <f t="shared" ref="R384:R447" si="66">IFERROR(Q384/P384, "-")</f>
        <v>-</v>
      </c>
      <c r="S384" s="223"/>
      <c r="T384" s="224"/>
      <c r="U384" s="225">
        <f t="shared" ref="U384:U447" si="67">+Q384*S384+P384*T384</f>
        <v>0</v>
      </c>
      <c r="V384" s="226">
        <v>0</v>
      </c>
      <c r="W384" s="227"/>
      <c r="X384" s="228">
        <f t="shared" ref="X384:X447" si="68">+Q384*V384+P384*W384</f>
        <v>0</v>
      </c>
      <c r="Y384" s="229"/>
      <c r="Z384" s="229"/>
      <c r="AA384" s="229"/>
      <c r="AB384" s="222">
        <f t="shared" ref="AB384:AB447" si="69">+Y384+Z384+AA384</f>
        <v>0</v>
      </c>
      <c r="AC384" s="230">
        <f t="shared" ref="AC384:AC447" si="70">IF((U384-Y384-Z384-AA384)&lt;0,"",(U384-Y384-Z384-AA384))</f>
        <v>0</v>
      </c>
      <c r="AD384" s="222" t="str">
        <f t="shared" ref="AD384:AD447" si="71">IF((U384-Y384-Z384-AA384)&lt;0,(Y384+Z384+AA384-U384),"")</f>
        <v/>
      </c>
      <c r="AE384" s="201"/>
      <c r="AF384" s="231" t="str">
        <f>+IFERROR(VLOOKUP(L384,Data!$F$4:$G$97,2,0),"")</f>
        <v/>
      </c>
    </row>
    <row r="385" spans="9:32" ht="15" customHeight="1" x14ac:dyDescent="0.3">
      <c r="I385" s="201" t="str">
        <f t="shared" si="64"/>
        <v/>
      </c>
      <c r="J385" s="218">
        <f t="shared" si="65"/>
        <v>382</v>
      </c>
      <c r="K385" s="250"/>
      <c r="L385" s="219"/>
      <c r="M385" s="218"/>
      <c r="N385" s="220" t="str">
        <f>IFERROR(VLOOKUP(M385,Data!$C$4:$D$395,2,0),"")</f>
        <v/>
      </c>
      <c r="O385" s="220"/>
      <c r="P385" s="229"/>
      <c r="Q385" s="221"/>
      <c r="R385" s="222" t="str">
        <f t="shared" si="66"/>
        <v>-</v>
      </c>
      <c r="S385" s="223"/>
      <c r="T385" s="224"/>
      <c r="U385" s="225">
        <f t="shared" si="67"/>
        <v>0</v>
      </c>
      <c r="V385" s="226">
        <v>0</v>
      </c>
      <c r="W385" s="227"/>
      <c r="X385" s="228">
        <f t="shared" si="68"/>
        <v>0</v>
      </c>
      <c r="Y385" s="229"/>
      <c r="Z385" s="229"/>
      <c r="AA385" s="229"/>
      <c r="AB385" s="222">
        <f t="shared" si="69"/>
        <v>0</v>
      </c>
      <c r="AC385" s="230">
        <f t="shared" si="70"/>
        <v>0</v>
      </c>
      <c r="AD385" s="222" t="str">
        <f t="shared" si="71"/>
        <v/>
      </c>
      <c r="AE385" s="201"/>
      <c r="AF385" s="231" t="str">
        <f>+IFERROR(VLOOKUP(L385,Data!$F$4:$G$97,2,0),"")</f>
        <v/>
      </c>
    </row>
    <row r="386" spans="9:32" ht="15" customHeight="1" x14ac:dyDescent="0.3">
      <c r="I386" s="201" t="str">
        <f t="shared" si="64"/>
        <v/>
      </c>
      <c r="J386" s="218">
        <f t="shared" si="65"/>
        <v>383</v>
      </c>
      <c r="K386" s="250"/>
      <c r="L386" s="219"/>
      <c r="M386" s="218"/>
      <c r="N386" s="220" t="str">
        <f>IFERROR(VLOOKUP(M386,Data!$C$4:$D$395,2,0),"")</f>
        <v/>
      </c>
      <c r="O386" s="220"/>
      <c r="P386" s="229"/>
      <c r="Q386" s="221"/>
      <c r="R386" s="222" t="str">
        <f t="shared" si="66"/>
        <v>-</v>
      </c>
      <c r="S386" s="223"/>
      <c r="T386" s="224"/>
      <c r="U386" s="225">
        <f t="shared" si="67"/>
        <v>0</v>
      </c>
      <c r="V386" s="226">
        <v>0</v>
      </c>
      <c r="W386" s="227"/>
      <c r="X386" s="228">
        <f t="shared" si="68"/>
        <v>0</v>
      </c>
      <c r="Y386" s="229"/>
      <c r="Z386" s="229"/>
      <c r="AA386" s="229"/>
      <c r="AB386" s="222">
        <f t="shared" si="69"/>
        <v>0</v>
      </c>
      <c r="AC386" s="230">
        <f t="shared" si="70"/>
        <v>0</v>
      </c>
      <c r="AD386" s="222" t="str">
        <f t="shared" si="71"/>
        <v/>
      </c>
      <c r="AE386" s="201"/>
      <c r="AF386" s="231" t="str">
        <f>+IFERROR(VLOOKUP(L386,Data!$F$4:$G$97,2,0),"")</f>
        <v/>
      </c>
    </row>
    <row r="387" spans="9:32" ht="15" customHeight="1" x14ac:dyDescent="0.3">
      <c r="I387" s="201" t="str">
        <f t="shared" si="64"/>
        <v/>
      </c>
      <c r="J387" s="218">
        <f t="shared" si="65"/>
        <v>384</v>
      </c>
      <c r="K387" s="250"/>
      <c r="L387" s="219"/>
      <c r="M387" s="218"/>
      <c r="N387" s="220" t="str">
        <f>IFERROR(VLOOKUP(M387,Data!$C$4:$D$395,2,0),"")</f>
        <v/>
      </c>
      <c r="O387" s="220"/>
      <c r="P387" s="229"/>
      <c r="Q387" s="221"/>
      <c r="R387" s="222" t="str">
        <f t="shared" si="66"/>
        <v>-</v>
      </c>
      <c r="S387" s="223"/>
      <c r="T387" s="224"/>
      <c r="U387" s="225">
        <f t="shared" si="67"/>
        <v>0</v>
      </c>
      <c r="V387" s="226">
        <v>0</v>
      </c>
      <c r="W387" s="227"/>
      <c r="X387" s="228">
        <f t="shared" si="68"/>
        <v>0</v>
      </c>
      <c r="Y387" s="229"/>
      <c r="Z387" s="229"/>
      <c r="AA387" s="229"/>
      <c r="AB387" s="222">
        <f t="shared" si="69"/>
        <v>0</v>
      </c>
      <c r="AC387" s="230">
        <f t="shared" si="70"/>
        <v>0</v>
      </c>
      <c r="AD387" s="222" t="str">
        <f t="shared" si="71"/>
        <v/>
      </c>
      <c r="AE387" s="201"/>
      <c r="AF387" s="231" t="str">
        <f>+IFERROR(VLOOKUP(L387,Data!$F$4:$G$97,2,0),"")</f>
        <v/>
      </c>
    </row>
    <row r="388" spans="9:32" ht="15" customHeight="1" x14ac:dyDescent="0.3">
      <c r="I388" s="201" t="str">
        <f t="shared" si="64"/>
        <v/>
      </c>
      <c r="J388" s="218">
        <f t="shared" si="65"/>
        <v>385</v>
      </c>
      <c r="K388" s="250"/>
      <c r="L388" s="219"/>
      <c r="M388" s="218"/>
      <c r="N388" s="220" t="str">
        <f>IFERROR(VLOOKUP(M388,Data!$C$4:$D$395,2,0),"")</f>
        <v/>
      </c>
      <c r="O388" s="220"/>
      <c r="P388" s="229"/>
      <c r="Q388" s="221"/>
      <c r="R388" s="222" t="str">
        <f t="shared" si="66"/>
        <v>-</v>
      </c>
      <c r="S388" s="223"/>
      <c r="T388" s="224"/>
      <c r="U388" s="225">
        <f t="shared" si="67"/>
        <v>0</v>
      </c>
      <c r="V388" s="226">
        <v>0</v>
      </c>
      <c r="W388" s="227"/>
      <c r="X388" s="228">
        <f t="shared" si="68"/>
        <v>0</v>
      </c>
      <c r="Y388" s="229"/>
      <c r="Z388" s="229"/>
      <c r="AA388" s="229"/>
      <c r="AB388" s="222">
        <f t="shared" si="69"/>
        <v>0</v>
      </c>
      <c r="AC388" s="230">
        <f t="shared" si="70"/>
        <v>0</v>
      </c>
      <c r="AD388" s="222" t="str">
        <f t="shared" si="71"/>
        <v/>
      </c>
      <c r="AE388" s="201"/>
      <c r="AF388" s="231" t="str">
        <f>+IFERROR(VLOOKUP(L388,Data!$F$4:$G$97,2,0),"")</f>
        <v/>
      </c>
    </row>
    <row r="389" spans="9:32" ht="15" customHeight="1" x14ac:dyDescent="0.3">
      <c r="I389" s="201" t="str">
        <f t="shared" si="64"/>
        <v/>
      </c>
      <c r="J389" s="218">
        <f t="shared" si="65"/>
        <v>386</v>
      </c>
      <c r="K389" s="250"/>
      <c r="L389" s="219"/>
      <c r="M389" s="218"/>
      <c r="N389" s="220" t="str">
        <f>IFERROR(VLOOKUP(M389,Data!$C$4:$D$395,2,0),"")</f>
        <v/>
      </c>
      <c r="O389" s="220"/>
      <c r="P389" s="229"/>
      <c r="Q389" s="221"/>
      <c r="R389" s="222" t="str">
        <f t="shared" si="66"/>
        <v>-</v>
      </c>
      <c r="S389" s="223"/>
      <c r="T389" s="224"/>
      <c r="U389" s="225">
        <f t="shared" si="67"/>
        <v>0</v>
      </c>
      <c r="V389" s="226">
        <v>0</v>
      </c>
      <c r="W389" s="227"/>
      <c r="X389" s="228">
        <f t="shared" si="68"/>
        <v>0</v>
      </c>
      <c r="Y389" s="229"/>
      <c r="Z389" s="229"/>
      <c r="AA389" s="229"/>
      <c r="AB389" s="222">
        <f t="shared" si="69"/>
        <v>0</v>
      </c>
      <c r="AC389" s="230">
        <f t="shared" si="70"/>
        <v>0</v>
      </c>
      <c r="AD389" s="222" t="str">
        <f t="shared" si="71"/>
        <v/>
      </c>
      <c r="AE389" s="201"/>
      <c r="AF389" s="231" t="str">
        <f>+IFERROR(VLOOKUP(L389,Data!$F$4:$G$97,2,0),"")</f>
        <v/>
      </c>
    </row>
    <row r="390" spans="9:32" ht="15" customHeight="1" x14ac:dyDescent="0.3">
      <c r="I390" s="201" t="str">
        <f t="shared" si="64"/>
        <v/>
      </c>
      <c r="J390" s="218">
        <f t="shared" si="65"/>
        <v>387</v>
      </c>
      <c r="K390" s="250"/>
      <c r="L390" s="219"/>
      <c r="M390" s="218"/>
      <c r="N390" s="220" t="str">
        <f>IFERROR(VLOOKUP(M390,Data!$C$4:$D$395,2,0),"")</f>
        <v/>
      </c>
      <c r="O390" s="220"/>
      <c r="P390" s="229"/>
      <c r="Q390" s="221"/>
      <c r="R390" s="222" t="str">
        <f t="shared" si="66"/>
        <v>-</v>
      </c>
      <c r="S390" s="223"/>
      <c r="T390" s="224"/>
      <c r="U390" s="225">
        <f t="shared" si="67"/>
        <v>0</v>
      </c>
      <c r="V390" s="226">
        <v>0</v>
      </c>
      <c r="W390" s="227"/>
      <c r="X390" s="228">
        <f t="shared" si="68"/>
        <v>0</v>
      </c>
      <c r="Y390" s="229"/>
      <c r="Z390" s="229"/>
      <c r="AA390" s="229"/>
      <c r="AB390" s="222">
        <f t="shared" si="69"/>
        <v>0</v>
      </c>
      <c r="AC390" s="230">
        <f t="shared" si="70"/>
        <v>0</v>
      </c>
      <c r="AD390" s="222" t="str">
        <f t="shared" si="71"/>
        <v/>
      </c>
      <c r="AE390" s="201"/>
      <c r="AF390" s="231" t="str">
        <f>+IFERROR(VLOOKUP(L390,Data!$F$4:$G$97,2,0),"")</f>
        <v/>
      </c>
    </row>
    <row r="391" spans="9:32" ht="15" customHeight="1" x14ac:dyDescent="0.3">
      <c r="I391" s="201" t="str">
        <f t="shared" si="64"/>
        <v/>
      </c>
      <c r="J391" s="218">
        <f t="shared" si="65"/>
        <v>388</v>
      </c>
      <c r="K391" s="250"/>
      <c r="L391" s="219"/>
      <c r="M391" s="218"/>
      <c r="N391" s="220" t="str">
        <f>IFERROR(VLOOKUP(M391,Data!$C$4:$D$395,2,0),"")</f>
        <v/>
      </c>
      <c r="O391" s="220"/>
      <c r="P391" s="229"/>
      <c r="Q391" s="221"/>
      <c r="R391" s="222" t="str">
        <f t="shared" si="66"/>
        <v>-</v>
      </c>
      <c r="S391" s="223"/>
      <c r="T391" s="224"/>
      <c r="U391" s="225">
        <f t="shared" si="67"/>
        <v>0</v>
      </c>
      <c r="V391" s="226">
        <v>0</v>
      </c>
      <c r="W391" s="227"/>
      <c r="X391" s="228">
        <f t="shared" si="68"/>
        <v>0</v>
      </c>
      <c r="Y391" s="229"/>
      <c r="Z391" s="229"/>
      <c r="AA391" s="229"/>
      <c r="AB391" s="222">
        <f t="shared" si="69"/>
        <v>0</v>
      </c>
      <c r="AC391" s="230">
        <f t="shared" si="70"/>
        <v>0</v>
      </c>
      <c r="AD391" s="222" t="str">
        <f t="shared" si="71"/>
        <v/>
      </c>
      <c r="AE391" s="201"/>
      <c r="AF391" s="231" t="str">
        <f>+IFERROR(VLOOKUP(L391,Data!$F$4:$G$97,2,0),"")</f>
        <v/>
      </c>
    </row>
    <row r="392" spans="9:32" ht="15" customHeight="1" x14ac:dyDescent="0.3">
      <c r="I392" s="201" t="str">
        <f t="shared" si="64"/>
        <v/>
      </c>
      <c r="J392" s="218">
        <f t="shared" si="65"/>
        <v>389</v>
      </c>
      <c r="K392" s="250"/>
      <c r="L392" s="219"/>
      <c r="M392" s="218"/>
      <c r="N392" s="220" t="str">
        <f>IFERROR(VLOOKUP(M392,Data!$C$4:$D$395,2,0),"")</f>
        <v/>
      </c>
      <c r="O392" s="220"/>
      <c r="P392" s="229"/>
      <c r="Q392" s="221"/>
      <c r="R392" s="222" t="str">
        <f t="shared" si="66"/>
        <v>-</v>
      </c>
      <c r="S392" s="223"/>
      <c r="T392" s="224"/>
      <c r="U392" s="225">
        <f t="shared" si="67"/>
        <v>0</v>
      </c>
      <c r="V392" s="226">
        <v>0</v>
      </c>
      <c r="W392" s="227"/>
      <c r="X392" s="228">
        <f t="shared" si="68"/>
        <v>0</v>
      </c>
      <c r="Y392" s="229"/>
      <c r="Z392" s="229"/>
      <c r="AA392" s="229"/>
      <c r="AB392" s="222">
        <f t="shared" si="69"/>
        <v>0</v>
      </c>
      <c r="AC392" s="230">
        <f t="shared" si="70"/>
        <v>0</v>
      </c>
      <c r="AD392" s="222" t="str">
        <f t="shared" si="71"/>
        <v/>
      </c>
      <c r="AE392" s="201"/>
      <c r="AF392" s="231" t="str">
        <f>+IFERROR(VLOOKUP(L392,Data!$F$4:$G$97,2,0),"")</f>
        <v/>
      </c>
    </row>
    <row r="393" spans="9:32" ht="15" customHeight="1" x14ac:dyDescent="0.3">
      <c r="I393" s="201" t="str">
        <f t="shared" si="64"/>
        <v/>
      </c>
      <c r="J393" s="218">
        <f t="shared" si="65"/>
        <v>390</v>
      </c>
      <c r="K393" s="250"/>
      <c r="L393" s="219"/>
      <c r="M393" s="218"/>
      <c r="N393" s="220" t="str">
        <f>IFERROR(VLOOKUP(M393,Data!$C$4:$D$395,2,0),"")</f>
        <v/>
      </c>
      <c r="O393" s="220"/>
      <c r="P393" s="229"/>
      <c r="Q393" s="221"/>
      <c r="R393" s="222" t="str">
        <f t="shared" si="66"/>
        <v>-</v>
      </c>
      <c r="S393" s="223"/>
      <c r="T393" s="224"/>
      <c r="U393" s="225">
        <f t="shared" si="67"/>
        <v>0</v>
      </c>
      <c r="V393" s="226">
        <v>0</v>
      </c>
      <c r="W393" s="227"/>
      <c r="X393" s="228">
        <f t="shared" si="68"/>
        <v>0</v>
      </c>
      <c r="Y393" s="229"/>
      <c r="Z393" s="229"/>
      <c r="AA393" s="229"/>
      <c r="AB393" s="222">
        <f t="shared" si="69"/>
        <v>0</v>
      </c>
      <c r="AC393" s="230">
        <f t="shared" si="70"/>
        <v>0</v>
      </c>
      <c r="AD393" s="222" t="str">
        <f t="shared" si="71"/>
        <v/>
      </c>
      <c r="AE393" s="201"/>
      <c r="AF393" s="231" t="str">
        <f>+IFERROR(VLOOKUP(L393,Data!$F$4:$G$97,2,0),"")</f>
        <v/>
      </c>
    </row>
    <row r="394" spans="9:32" ht="15" customHeight="1" x14ac:dyDescent="0.3">
      <c r="I394" s="201" t="str">
        <f t="shared" si="64"/>
        <v/>
      </c>
      <c r="J394" s="218">
        <f t="shared" si="65"/>
        <v>391</v>
      </c>
      <c r="K394" s="250"/>
      <c r="L394" s="219"/>
      <c r="M394" s="218"/>
      <c r="N394" s="220" t="str">
        <f>IFERROR(VLOOKUP(M394,Data!$C$4:$D$395,2,0),"")</f>
        <v/>
      </c>
      <c r="O394" s="220"/>
      <c r="P394" s="229"/>
      <c r="Q394" s="221"/>
      <c r="R394" s="222" t="str">
        <f t="shared" si="66"/>
        <v>-</v>
      </c>
      <c r="S394" s="223"/>
      <c r="T394" s="224"/>
      <c r="U394" s="225">
        <f t="shared" si="67"/>
        <v>0</v>
      </c>
      <c r="V394" s="226">
        <v>0</v>
      </c>
      <c r="W394" s="227"/>
      <c r="X394" s="228">
        <f t="shared" si="68"/>
        <v>0</v>
      </c>
      <c r="Y394" s="229"/>
      <c r="Z394" s="229"/>
      <c r="AA394" s="229"/>
      <c r="AB394" s="222">
        <f t="shared" si="69"/>
        <v>0</v>
      </c>
      <c r="AC394" s="230">
        <f t="shared" si="70"/>
        <v>0</v>
      </c>
      <c r="AD394" s="222" t="str">
        <f t="shared" si="71"/>
        <v/>
      </c>
      <c r="AE394" s="201"/>
      <c r="AF394" s="231" t="str">
        <f>+IFERROR(VLOOKUP(L394,Data!$F$4:$G$97,2,0),"")</f>
        <v/>
      </c>
    </row>
    <row r="395" spans="9:32" ht="15" customHeight="1" x14ac:dyDescent="0.3">
      <c r="I395" s="201" t="str">
        <f t="shared" si="64"/>
        <v/>
      </c>
      <c r="J395" s="218">
        <f t="shared" si="65"/>
        <v>392</v>
      </c>
      <c r="K395" s="250"/>
      <c r="L395" s="219"/>
      <c r="M395" s="218"/>
      <c r="N395" s="220" t="str">
        <f>IFERROR(VLOOKUP(M395,Data!$C$4:$D$395,2,0),"")</f>
        <v/>
      </c>
      <c r="O395" s="220"/>
      <c r="P395" s="229"/>
      <c r="Q395" s="221"/>
      <c r="R395" s="222" t="str">
        <f t="shared" si="66"/>
        <v>-</v>
      </c>
      <c r="S395" s="223"/>
      <c r="T395" s="224"/>
      <c r="U395" s="225">
        <f t="shared" si="67"/>
        <v>0</v>
      </c>
      <c r="V395" s="226">
        <v>0</v>
      </c>
      <c r="W395" s="227"/>
      <c r="X395" s="228">
        <f t="shared" si="68"/>
        <v>0</v>
      </c>
      <c r="Y395" s="229"/>
      <c r="Z395" s="229"/>
      <c r="AA395" s="229"/>
      <c r="AB395" s="222">
        <f t="shared" si="69"/>
        <v>0</v>
      </c>
      <c r="AC395" s="230">
        <f t="shared" si="70"/>
        <v>0</v>
      </c>
      <c r="AD395" s="222" t="str">
        <f t="shared" si="71"/>
        <v/>
      </c>
      <c r="AE395" s="201"/>
      <c r="AF395" s="231" t="str">
        <f>+IFERROR(VLOOKUP(L395,Data!$F$4:$G$97,2,0),"")</f>
        <v/>
      </c>
    </row>
    <row r="396" spans="9:32" ht="15" customHeight="1" x14ac:dyDescent="0.3">
      <c r="I396" s="201" t="str">
        <f t="shared" si="64"/>
        <v/>
      </c>
      <c r="J396" s="218">
        <f t="shared" si="65"/>
        <v>393</v>
      </c>
      <c r="K396" s="250"/>
      <c r="L396" s="219"/>
      <c r="M396" s="218"/>
      <c r="N396" s="220" t="str">
        <f>IFERROR(VLOOKUP(M396,Data!$C$4:$D$395,2,0),"")</f>
        <v/>
      </c>
      <c r="O396" s="220"/>
      <c r="P396" s="229"/>
      <c r="Q396" s="221"/>
      <c r="R396" s="222" t="str">
        <f t="shared" si="66"/>
        <v>-</v>
      </c>
      <c r="S396" s="223"/>
      <c r="T396" s="224"/>
      <c r="U396" s="225">
        <f t="shared" si="67"/>
        <v>0</v>
      </c>
      <c r="V396" s="226">
        <v>0</v>
      </c>
      <c r="W396" s="227"/>
      <c r="X396" s="228">
        <f t="shared" si="68"/>
        <v>0</v>
      </c>
      <c r="Y396" s="229"/>
      <c r="Z396" s="229"/>
      <c r="AA396" s="229"/>
      <c r="AB396" s="222">
        <f t="shared" si="69"/>
        <v>0</v>
      </c>
      <c r="AC396" s="230">
        <f t="shared" si="70"/>
        <v>0</v>
      </c>
      <c r="AD396" s="222" t="str">
        <f t="shared" si="71"/>
        <v/>
      </c>
      <c r="AE396" s="201"/>
      <c r="AF396" s="231" t="str">
        <f>+IFERROR(VLOOKUP(L396,Data!$F$4:$G$97,2,0),"")</f>
        <v/>
      </c>
    </row>
    <row r="397" spans="9:32" ht="15" customHeight="1" x14ac:dyDescent="0.3">
      <c r="I397" s="201" t="str">
        <f t="shared" si="64"/>
        <v/>
      </c>
      <c r="J397" s="218">
        <f t="shared" si="65"/>
        <v>394</v>
      </c>
      <c r="K397" s="250"/>
      <c r="L397" s="219"/>
      <c r="M397" s="218"/>
      <c r="N397" s="220" t="str">
        <f>IFERROR(VLOOKUP(M397,Data!$C$4:$D$395,2,0),"")</f>
        <v/>
      </c>
      <c r="O397" s="220"/>
      <c r="P397" s="229"/>
      <c r="Q397" s="221"/>
      <c r="R397" s="222" t="str">
        <f t="shared" si="66"/>
        <v>-</v>
      </c>
      <c r="S397" s="223"/>
      <c r="T397" s="224"/>
      <c r="U397" s="225">
        <f t="shared" si="67"/>
        <v>0</v>
      </c>
      <c r="V397" s="226">
        <v>0</v>
      </c>
      <c r="W397" s="227"/>
      <c r="X397" s="228">
        <f t="shared" si="68"/>
        <v>0</v>
      </c>
      <c r="Y397" s="229"/>
      <c r="Z397" s="229"/>
      <c r="AA397" s="229"/>
      <c r="AB397" s="222">
        <f t="shared" si="69"/>
        <v>0</v>
      </c>
      <c r="AC397" s="230">
        <f t="shared" si="70"/>
        <v>0</v>
      </c>
      <c r="AD397" s="222" t="str">
        <f t="shared" si="71"/>
        <v/>
      </c>
      <c r="AE397" s="201"/>
      <c r="AF397" s="231" t="str">
        <f>+IFERROR(VLOOKUP(L397,Data!$F$4:$G$97,2,0),"")</f>
        <v/>
      </c>
    </row>
    <row r="398" spans="9:32" ht="15" customHeight="1" x14ac:dyDescent="0.3">
      <c r="I398" s="201" t="str">
        <f t="shared" si="64"/>
        <v/>
      </c>
      <c r="J398" s="218">
        <f t="shared" si="65"/>
        <v>395</v>
      </c>
      <c r="K398" s="250"/>
      <c r="L398" s="219"/>
      <c r="M398" s="218"/>
      <c r="N398" s="220" t="str">
        <f>IFERROR(VLOOKUP(M398,Data!$C$4:$D$395,2,0),"")</f>
        <v/>
      </c>
      <c r="O398" s="220"/>
      <c r="P398" s="229"/>
      <c r="Q398" s="221"/>
      <c r="R398" s="222" t="str">
        <f t="shared" si="66"/>
        <v>-</v>
      </c>
      <c r="S398" s="223"/>
      <c r="T398" s="224"/>
      <c r="U398" s="225">
        <f t="shared" si="67"/>
        <v>0</v>
      </c>
      <c r="V398" s="226">
        <v>0</v>
      </c>
      <c r="W398" s="227"/>
      <c r="X398" s="228">
        <f t="shared" si="68"/>
        <v>0</v>
      </c>
      <c r="Y398" s="229"/>
      <c r="Z398" s="229"/>
      <c r="AA398" s="229"/>
      <c r="AB398" s="222">
        <f t="shared" si="69"/>
        <v>0</v>
      </c>
      <c r="AC398" s="230">
        <f t="shared" si="70"/>
        <v>0</v>
      </c>
      <c r="AD398" s="222" t="str">
        <f t="shared" si="71"/>
        <v/>
      </c>
      <c r="AE398" s="201"/>
      <c r="AF398" s="231" t="str">
        <f>+IFERROR(VLOOKUP(L398,Data!$F$4:$G$97,2,0),"")</f>
        <v/>
      </c>
    </row>
    <row r="399" spans="9:32" ht="15" customHeight="1" x14ac:dyDescent="0.3">
      <c r="I399" s="201" t="str">
        <f t="shared" si="64"/>
        <v/>
      </c>
      <c r="J399" s="218">
        <f t="shared" si="65"/>
        <v>396</v>
      </c>
      <c r="K399" s="250"/>
      <c r="L399" s="219"/>
      <c r="M399" s="218"/>
      <c r="N399" s="220" t="str">
        <f>IFERROR(VLOOKUP(M399,Data!$C$4:$D$395,2,0),"")</f>
        <v/>
      </c>
      <c r="O399" s="220"/>
      <c r="P399" s="229"/>
      <c r="Q399" s="221"/>
      <c r="R399" s="222" t="str">
        <f t="shared" si="66"/>
        <v>-</v>
      </c>
      <c r="S399" s="223"/>
      <c r="T399" s="224"/>
      <c r="U399" s="225">
        <f t="shared" si="67"/>
        <v>0</v>
      </c>
      <c r="V399" s="226">
        <v>0</v>
      </c>
      <c r="W399" s="227"/>
      <c r="X399" s="228">
        <f t="shared" si="68"/>
        <v>0</v>
      </c>
      <c r="Y399" s="229"/>
      <c r="Z399" s="229"/>
      <c r="AA399" s="229"/>
      <c r="AB399" s="222">
        <f t="shared" si="69"/>
        <v>0</v>
      </c>
      <c r="AC399" s="230">
        <f t="shared" si="70"/>
        <v>0</v>
      </c>
      <c r="AD399" s="222" t="str">
        <f t="shared" si="71"/>
        <v/>
      </c>
      <c r="AE399" s="201"/>
      <c r="AF399" s="231" t="str">
        <f>+IFERROR(VLOOKUP(L399,Data!$F$4:$G$97,2,0),"")</f>
        <v/>
      </c>
    </row>
    <row r="400" spans="9:32" ht="15" customHeight="1" x14ac:dyDescent="0.3">
      <c r="I400" s="201" t="str">
        <f t="shared" si="64"/>
        <v/>
      </c>
      <c r="J400" s="218">
        <f t="shared" si="65"/>
        <v>397</v>
      </c>
      <c r="K400" s="250"/>
      <c r="L400" s="219"/>
      <c r="M400" s="218"/>
      <c r="N400" s="220" t="str">
        <f>IFERROR(VLOOKUP(M400,Data!$C$4:$D$395,2,0),"")</f>
        <v/>
      </c>
      <c r="O400" s="220"/>
      <c r="P400" s="229"/>
      <c r="Q400" s="221"/>
      <c r="R400" s="222" t="str">
        <f t="shared" si="66"/>
        <v>-</v>
      </c>
      <c r="S400" s="223"/>
      <c r="T400" s="224"/>
      <c r="U400" s="225">
        <f t="shared" si="67"/>
        <v>0</v>
      </c>
      <c r="V400" s="226">
        <v>0</v>
      </c>
      <c r="W400" s="227"/>
      <c r="X400" s="228">
        <f t="shared" si="68"/>
        <v>0</v>
      </c>
      <c r="Y400" s="229"/>
      <c r="Z400" s="229"/>
      <c r="AA400" s="229"/>
      <c r="AB400" s="222">
        <f t="shared" si="69"/>
        <v>0</v>
      </c>
      <c r="AC400" s="230">
        <f t="shared" si="70"/>
        <v>0</v>
      </c>
      <c r="AD400" s="222" t="str">
        <f t="shared" si="71"/>
        <v/>
      </c>
      <c r="AE400" s="201"/>
      <c r="AF400" s="231" t="str">
        <f>+IFERROR(VLOOKUP(L400,Data!$F$4:$G$97,2,0),"")</f>
        <v/>
      </c>
    </row>
    <row r="401" spans="9:32" ht="15" customHeight="1" x14ac:dyDescent="0.3">
      <c r="I401" s="201" t="str">
        <f t="shared" si="64"/>
        <v/>
      </c>
      <c r="J401" s="218">
        <f t="shared" si="65"/>
        <v>398</v>
      </c>
      <c r="K401" s="250"/>
      <c r="L401" s="219"/>
      <c r="M401" s="218"/>
      <c r="N401" s="220" t="str">
        <f>IFERROR(VLOOKUP(M401,Data!$C$4:$D$395,2,0),"")</f>
        <v/>
      </c>
      <c r="O401" s="220"/>
      <c r="P401" s="229"/>
      <c r="Q401" s="221"/>
      <c r="R401" s="222" t="str">
        <f t="shared" si="66"/>
        <v>-</v>
      </c>
      <c r="S401" s="223"/>
      <c r="T401" s="224"/>
      <c r="U401" s="225">
        <f t="shared" si="67"/>
        <v>0</v>
      </c>
      <c r="V401" s="226">
        <v>0</v>
      </c>
      <c r="W401" s="227"/>
      <c r="X401" s="228">
        <f t="shared" si="68"/>
        <v>0</v>
      </c>
      <c r="Y401" s="229"/>
      <c r="Z401" s="229"/>
      <c r="AA401" s="229"/>
      <c r="AB401" s="222">
        <f t="shared" si="69"/>
        <v>0</v>
      </c>
      <c r="AC401" s="230">
        <f t="shared" si="70"/>
        <v>0</v>
      </c>
      <c r="AD401" s="222" t="str">
        <f t="shared" si="71"/>
        <v/>
      </c>
      <c r="AE401" s="201"/>
      <c r="AF401" s="231" t="str">
        <f>+IFERROR(VLOOKUP(L401,Data!$F$4:$G$97,2,0),"")</f>
        <v/>
      </c>
    </row>
    <row r="402" spans="9:32" ht="15" customHeight="1" x14ac:dyDescent="0.3">
      <c r="I402" s="201" t="str">
        <f t="shared" si="64"/>
        <v/>
      </c>
      <c r="J402" s="218">
        <f t="shared" si="65"/>
        <v>399</v>
      </c>
      <c r="K402" s="250"/>
      <c r="L402" s="219"/>
      <c r="M402" s="218"/>
      <c r="N402" s="220" t="str">
        <f>IFERROR(VLOOKUP(M402,Data!$C$4:$D$395,2,0),"")</f>
        <v/>
      </c>
      <c r="O402" s="220"/>
      <c r="P402" s="229"/>
      <c r="Q402" s="221"/>
      <c r="R402" s="222" t="str">
        <f t="shared" si="66"/>
        <v>-</v>
      </c>
      <c r="S402" s="223"/>
      <c r="T402" s="224"/>
      <c r="U402" s="225">
        <f t="shared" si="67"/>
        <v>0</v>
      </c>
      <c r="V402" s="226">
        <v>0</v>
      </c>
      <c r="W402" s="227"/>
      <c r="X402" s="228">
        <f t="shared" si="68"/>
        <v>0</v>
      </c>
      <c r="Y402" s="229"/>
      <c r="Z402" s="229"/>
      <c r="AA402" s="229"/>
      <c r="AB402" s="222">
        <f t="shared" si="69"/>
        <v>0</v>
      </c>
      <c r="AC402" s="230">
        <f t="shared" si="70"/>
        <v>0</v>
      </c>
      <c r="AD402" s="222" t="str">
        <f t="shared" si="71"/>
        <v/>
      </c>
      <c r="AE402" s="201"/>
      <c r="AF402" s="231" t="str">
        <f>+IFERROR(VLOOKUP(L402,Data!$F$4:$G$97,2,0),"")</f>
        <v/>
      </c>
    </row>
    <row r="403" spans="9:32" ht="15" customHeight="1" x14ac:dyDescent="0.3">
      <c r="I403" s="201" t="str">
        <f t="shared" si="64"/>
        <v/>
      </c>
      <c r="J403" s="218">
        <f t="shared" si="65"/>
        <v>400</v>
      </c>
      <c r="K403" s="250"/>
      <c r="L403" s="219"/>
      <c r="M403" s="218"/>
      <c r="N403" s="220" t="str">
        <f>IFERROR(VLOOKUP(M403,Data!$C$4:$D$395,2,0),"")</f>
        <v/>
      </c>
      <c r="O403" s="220"/>
      <c r="P403" s="229"/>
      <c r="Q403" s="221"/>
      <c r="R403" s="222" t="str">
        <f t="shared" si="66"/>
        <v>-</v>
      </c>
      <c r="S403" s="223"/>
      <c r="T403" s="224"/>
      <c r="U403" s="225">
        <f t="shared" si="67"/>
        <v>0</v>
      </c>
      <c r="V403" s="226">
        <v>0</v>
      </c>
      <c r="W403" s="227"/>
      <c r="X403" s="228">
        <f t="shared" si="68"/>
        <v>0</v>
      </c>
      <c r="Y403" s="229"/>
      <c r="Z403" s="229"/>
      <c r="AA403" s="229"/>
      <c r="AB403" s="222">
        <f t="shared" si="69"/>
        <v>0</v>
      </c>
      <c r="AC403" s="230">
        <f t="shared" si="70"/>
        <v>0</v>
      </c>
      <c r="AD403" s="222" t="str">
        <f t="shared" si="71"/>
        <v/>
      </c>
      <c r="AE403" s="201"/>
      <c r="AF403" s="231" t="str">
        <f>+IFERROR(VLOOKUP(L403,Data!$F$4:$G$97,2,0),"")</f>
        <v/>
      </c>
    </row>
    <row r="404" spans="9:32" ht="15" customHeight="1" x14ac:dyDescent="0.3">
      <c r="I404" s="201" t="str">
        <f t="shared" si="64"/>
        <v/>
      </c>
      <c r="J404" s="218">
        <f t="shared" si="65"/>
        <v>401</v>
      </c>
      <c r="K404" s="250"/>
      <c r="L404" s="219"/>
      <c r="M404" s="218"/>
      <c r="N404" s="220" t="str">
        <f>IFERROR(VLOOKUP(M404,Data!$C$4:$D$395,2,0),"")</f>
        <v/>
      </c>
      <c r="O404" s="220"/>
      <c r="P404" s="229"/>
      <c r="Q404" s="221"/>
      <c r="R404" s="222" t="str">
        <f t="shared" si="66"/>
        <v>-</v>
      </c>
      <c r="S404" s="223"/>
      <c r="T404" s="224"/>
      <c r="U404" s="225">
        <f t="shared" si="67"/>
        <v>0</v>
      </c>
      <c r="V404" s="226">
        <v>0</v>
      </c>
      <c r="W404" s="227"/>
      <c r="X404" s="228">
        <f t="shared" si="68"/>
        <v>0</v>
      </c>
      <c r="Y404" s="229"/>
      <c r="Z404" s="229"/>
      <c r="AA404" s="229"/>
      <c r="AB404" s="222">
        <f t="shared" si="69"/>
        <v>0</v>
      </c>
      <c r="AC404" s="230">
        <f t="shared" si="70"/>
        <v>0</v>
      </c>
      <c r="AD404" s="222" t="str">
        <f t="shared" si="71"/>
        <v/>
      </c>
      <c r="AE404" s="201"/>
      <c r="AF404" s="231" t="str">
        <f>+IFERROR(VLOOKUP(L404,Data!$F$4:$G$97,2,0),"")</f>
        <v/>
      </c>
    </row>
    <row r="405" spans="9:32" ht="15" customHeight="1" x14ac:dyDescent="0.3">
      <c r="I405" s="201" t="str">
        <f t="shared" si="64"/>
        <v/>
      </c>
      <c r="J405" s="218">
        <f t="shared" si="65"/>
        <v>402</v>
      </c>
      <c r="K405" s="250"/>
      <c r="L405" s="219"/>
      <c r="M405" s="218"/>
      <c r="N405" s="220" t="str">
        <f>IFERROR(VLOOKUP(M405,Data!$C$4:$D$395,2,0),"")</f>
        <v/>
      </c>
      <c r="O405" s="220"/>
      <c r="P405" s="229"/>
      <c r="Q405" s="221"/>
      <c r="R405" s="222" t="str">
        <f t="shared" si="66"/>
        <v>-</v>
      </c>
      <c r="S405" s="223"/>
      <c r="T405" s="224"/>
      <c r="U405" s="225">
        <f t="shared" si="67"/>
        <v>0</v>
      </c>
      <c r="V405" s="226">
        <v>0</v>
      </c>
      <c r="W405" s="227"/>
      <c r="X405" s="228">
        <f t="shared" si="68"/>
        <v>0</v>
      </c>
      <c r="Y405" s="229"/>
      <c r="Z405" s="229"/>
      <c r="AA405" s="229"/>
      <c r="AB405" s="222">
        <f t="shared" si="69"/>
        <v>0</v>
      </c>
      <c r="AC405" s="230">
        <f t="shared" si="70"/>
        <v>0</v>
      </c>
      <c r="AD405" s="222" t="str">
        <f t="shared" si="71"/>
        <v/>
      </c>
      <c r="AE405" s="201"/>
      <c r="AF405" s="231" t="str">
        <f>+IFERROR(VLOOKUP(L405,Data!$F$4:$G$97,2,0),"")</f>
        <v/>
      </c>
    </row>
    <row r="406" spans="9:32" ht="15" customHeight="1" x14ac:dyDescent="0.3">
      <c r="I406" s="201" t="str">
        <f t="shared" si="64"/>
        <v/>
      </c>
      <c r="J406" s="218">
        <f t="shared" si="65"/>
        <v>403</v>
      </c>
      <c r="K406" s="250"/>
      <c r="L406" s="219"/>
      <c r="M406" s="218"/>
      <c r="N406" s="220" t="str">
        <f>IFERROR(VLOOKUP(M406,Data!$C$4:$D$395,2,0),"")</f>
        <v/>
      </c>
      <c r="O406" s="220"/>
      <c r="P406" s="229"/>
      <c r="Q406" s="221"/>
      <c r="R406" s="222" t="str">
        <f t="shared" si="66"/>
        <v>-</v>
      </c>
      <c r="S406" s="223"/>
      <c r="T406" s="224"/>
      <c r="U406" s="225">
        <f t="shared" si="67"/>
        <v>0</v>
      </c>
      <c r="V406" s="226">
        <v>0</v>
      </c>
      <c r="W406" s="227"/>
      <c r="X406" s="228">
        <f t="shared" si="68"/>
        <v>0</v>
      </c>
      <c r="Y406" s="229"/>
      <c r="Z406" s="229"/>
      <c r="AA406" s="229"/>
      <c r="AB406" s="222">
        <f t="shared" si="69"/>
        <v>0</v>
      </c>
      <c r="AC406" s="230">
        <f t="shared" si="70"/>
        <v>0</v>
      </c>
      <c r="AD406" s="222" t="str">
        <f t="shared" si="71"/>
        <v/>
      </c>
      <c r="AE406" s="201"/>
      <c r="AF406" s="231" t="str">
        <f>+IFERROR(VLOOKUP(L406,Data!$F$4:$G$97,2,0),"")</f>
        <v/>
      </c>
    </row>
    <row r="407" spans="9:32" ht="15" customHeight="1" x14ac:dyDescent="0.3">
      <c r="I407" s="201" t="str">
        <f t="shared" si="64"/>
        <v/>
      </c>
      <c r="J407" s="218">
        <f t="shared" si="65"/>
        <v>404</v>
      </c>
      <c r="K407" s="250"/>
      <c r="L407" s="219"/>
      <c r="M407" s="218"/>
      <c r="N407" s="220" t="str">
        <f>IFERROR(VLOOKUP(M407,Data!$C$4:$D$395,2,0),"")</f>
        <v/>
      </c>
      <c r="O407" s="220"/>
      <c r="P407" s="229"/>
      <c r="Q407" s="221"/>
      <c r="R407" s="222" t="str">
        <f t="shared" si="66"/>
        <v>-</v>
      </c>
      <c r="S407" s="223"/>
      <c r="T407" s="224"/>
      <c r="U407" s="225">
        <f t="shared" si="67"/>
        <v>0</v>
      </c>
      <c r="V407" s="226">
        <v>0</v>
      </c>
      <c r="W407" s="227"/>
      <c r="X407" s="228">
        <f t="shared" si="68"/>
        <v>0</v>
      </c>
      <c r="Y407" s="229"/>
      <c r="Z407" s="229"/>
      <c r="AA407" s="229"/>
      <c r="AB407" s="222">
        <f t="shared" si="69"/>
        <v>0</v>
      </c>
      <c r="AC407" s="230">
        <f t="shared" si="70"/>
        <v>0</v>
      </c>
      <c r="AD407" s="222" t="str">
        <f t="shared" si="71"/>
        <v/>
      </c>
      <c r="AE407" s="201"/>
      <c r="AF407" s="231" t="str">
        <f>+IFERROR(VLOOKUP(L407,Data!$F$4:$G$97,2,0),"")</f>
        <v/>
      </c>
    </row>
    <row r="408" spans="9:32" ht="15" customHeight="1" x14ac:dyDescent="0.3">
      <c r="I408" s="201" t="str">
        <f t="shared" si="64"/>
        <v/>
      </c>
      <c r="J408" s="218">
        <f t="shared" si="65"/>
        <v>405</v>
      </c>
      <c r="K408" s="250"/>
      <c r="L408" s="219"/>
      <c r="M408" s="218"/>
      <c r="N408" s="220" t="str">
        <f>IFERROR(VLOOKUP(M408,Data!$C$4:$D$395,2,0),"")</f>
        <v/>
      </c>
      <c r="O408" s="220"/>
      <c r="P408" s="229"/>
      <c r="Q408" s="221"/>
      <c r="R408" s="222" t="str">
        <f t="shared" si="66"/>
        <v>-</v>
      </c>
      <c r="S408" s="223"/>
      <c r="T408" s="224"/>
      <c r="U408" s="225">
        <f t="shared" si="67"/>
        <v>0</v>
      </c>
      <c r="V408" s="226">
        <v>0</v>
      </c>
      <c r="W408" s="227"/>
      <c r="X408" s="228">
        <f t="shared" si="68"/>
        <v>0</v>
      </c>
      <c r="Y408" s="229"/>
      <c r="Z408" s="229"/>
      <c r="AA408" s="229"/>
      <c r="AB408" s="222">
        <f t="shared" si="69"/>
        <v>0</v>
      </c>
      <c r="AC408" s="230">
        <f t="shared" si="70"/>
        <v>0</v>
      </c>
      <c r="AD408" s="222" t="str">
        <f t="shared" si="71"/>
        <v/>
      </c>
      <c r="AE408" s="201"/>
      <c r="AF408" s="231" t="str">
        <f>+IFERROR(VLOOKUP(L408,Data!$F$4:$G$97,2,0),"")</f>
        <v/>
      </c>
    </row>
    <row r="409" spans="9:32" ht="15" customHeight="1" x14ac:dyDescent="0.3">
      <c r="I409" s="201" t="str">
        <f t="shared" si="64"/>
        <v/>
      </c>
      <c r="J409" s="218">
        <f t="shared" si="65"/>
        <v>406</v>
      </c>
      <c r="K409" s="250"/>
      <c r="L409" s="219"/>
      <c r="M409" s="218"/>
      <c r="N409" s="220" t="str">
        <f>IFERROR(VLOOKUP(M409,Data!$C$4:$D$395,2,0),"")</f>
        <v/>
      </c>
      <c r="O409" s="220"/>
      <c r="P409" s="229"/>
      <c r="Q409" s="221"/>
      <c r="R409" s="222" t="str">
        <f t="shared" si="66"/>
        <v>-</v>
      </c>
      <c r="S409" s="223"/>
      <c r="T409" s="224"/>
      <c r="U409" s="225">
        <f t="shared" si="67"/>
        <v>0</v>
      </c>
      <c r="V409" s="226">
        <v>0</v>
      </c>
      <c r="W409" s="227"/>
      <c r="X409" s="228">
        <f t="shared" si="68"/>
        <v>0</v>
      </c>
      <c r="Y409" s="229"/>
      <c r="Z409" s="229"/>
      <c r="AA409" s="229"/>
      <c r="AB409" s="222">
        <f t="shared" si="69"/>
        <v>0</v>
      </c>
      <c r="AC409" s="230">
        <f t="shared" si="70"/>
        <v>0</v>
      </c>
      <c r="AD409" s="222" t="str">
        <f t="shared" si="71"/>
        <v/>
      </c>
      <c r="AE409" s="201"/>
      <c r="AF409" s="231" t="str">
        <f>+IFERROR(VLOOKUP(L409,Data!$F$4:$G$97,2,0),"")</f>
        <v/>
      </c>
    </row>
    <row r="410" spans="9:32" ht="15" customHeight="1" x14ac:dyDescent="0.3">
      <c r="I410" s="201" t="str">
        <f t="shared" si="64"/>
        <v/>
      </c>
      <c r="J410" s="218">
        <f t="shared" si="65"/>
        <v>407</v>
      </c>
      <c r="K410" s="250"/>
      <c r="L410" s="219"/>
      <c r="M410" s="218"/>
      <c r="N410" s="220" t="str">
        <f>IFERROR(VLOOKUP(M410,Data!$C$4:$D$395,2,0),"")</f>
        <v/>
      </c>
      <c r="O410" s="220"/>
      <c r="P410" s="229"/>
      <c r="Q410" s="221"/>
      <c r="R410" s="222" t="str">
        <f t="shared" si="66"/>
        <v>-</v>
      </c>
      <c r="S410" s="223"/>
      <c r="T410" s="224"/>
      <c r="U410" s="225">
        <f t="shared" si="67"/>
        <v>0</v>
      </c>
      <c r="V410" s="226">
        <v>0</v>
      </c>
      <c r="W410" s="227"/>
      <c r="X410" s="228">
        <f t="shared" si="68"/>
        <v>0</v>
      </c>
      <c r="Y410" s="229"/>
      <c r="Z410" s="229"/>
      <c r="AA410" s="229"/>
      <c r="AB410" s="222">
        <f t="shared" si="69"/>
        <v>0</v>
      </c>
      <c r="AC410" s="230">
        <f t="shared" si="70"/>
        <v>0</v>
      </c>
      <c r="AD410" s="222" t="str">
        <f t="shared" si="71"/>
        <v/>
      </c>
      <c r="AE410" s="201"/>
      <c r="AF410" s="231" t="str">
        <f>+IFERROR(VLOOKUP(L410,Data!$F$4:$G$97,2,0),"")</f>
        <v/>
      </c>
    </row>
    <row r="411" spans="9:32" ht="15" customHeight="1" x14ac:dyDescent="0.3">
      <c r="I411" s="201" t="str">
        <f t="shared" si="64"/>
        <v/>
      </c>
      <c r="J411" s="218">
        <f t="shared" si="65"/>
        <v>408</v>
      </c>
      <c r="K411" s="250"/>
      <c r="L411" s="219"/>
      <c r="M411" s="218"/>
      <c r="N411" s="220" t="str">
        <f>IFERROR(VLOOKUP(M411,Data!$C$4:$D$395,2,0),"")</f>
        <v/>
      </c>
      <c r="O411" s="220"/>
      <c r="P411" s="229"/>
      <c r="Q411" s="221"/>
      <c r="R411" s="222" t="str">
        <f t="shared" si="66"/>
        <v>-</v>
      </c>
      <c r="S411" s="223"/>
      <c r="T411" s="224"/>
      <c r="U411" s="225">
        <f t="shared" si="67"/>
        <v>0</v>
      </c>
      <c r="V411" s="226">
        <v>0</v>
      </c>
      <c r="W411" s="227"/>
      <c r="X411" s="228">
        <f t="shared" si="68"/>
        <v>0</v>
      </c>
      <c r="Y411" s="229"/>
      <c r="Z411" s="229"/>
      <c r="AA411" s="229"/>
      <c r="AB411" s="222">
        <f t="shared" si="69"/>
        <v>0</v>
      </c>
      <c r="AC411" s="230">
        <f t="shared" si="70"/>
        <v>0</v>
      </c>
      <c r="AD411" s="222" t="str">
        <f t="shared" si="71"/>
        <v/>
      </c>
      <c r="AE411" s="201"/>
      <c r="AF411" s="231" t="str">
        <f>+IFERROR(VLOOKUP(L411,Data!$F$4:$G$97,2,0),"")</f>
        <v/>
      </c>
    </row>
    <row r="412" spans="9:32" ht="15" customHeight="1" x14ac:dyDescent="0.3">
      <c r="I412" s="201" t="str">
        <f t="shared" si="64"/>
        <v/>
      </c>
      <c r="J412" s="218">
        <f t="shared" si="65"/>
        <v>409</v>
      </c>
      <c r="K412" s="250"/>
      <c r="L412" s="219"/>
      <c r="M412" s="218"/>
      <c r="N412" s="220" t="str">
        <f>IFERROR(VLOOKUP(M412,Data!$C$4:$D$395,2,0),"")</f>
        <v/>
      </c>
      <c r="O412" s="220"/>
      <c r="P412" s="229"/>
      <c r="Q412" s="221"/>
      <c r="R412" s="222" t="str">
        <f t="shared" si="66"/>
        <v>-</v>
      </c>
      <c r="S412" s="223"/>
      <c r="T412" s="224"/>
      <c r="U412" s="225">
        <f t="shared" si="67"/>
        <v>0</v>
      </c>
      <c r="V412" s="226">
        <v>0</v>
      </c>
      <c r="W412" s="227"/>
      <c r="X412" s="228">
        <f t="shared" si="68"/>
        <v>0</v>
      </c>
      <c r="Y412" s="229"/>
      <c r="Z412" s="229"/>
      <c r="AA412" s="229"/>
      <c r="AB412" s="222">
        <f t="shared" si="69"/>
        <v>0</v>
      </c>
      <c r="AC412" s="230">
        <f t="shared" si="70"/>
        <v>0</v>
      </c>
      <c r="AD412" s="222" t="str">
        <f t="shared" si="71"/>
        <v/>
      </c>
      <c r="AE412" s="201"/>
      <c r="AF412" s="231" t="str">
        <f>+IFERROR(VLOOKUP(L412,Data!$F$4:$G$97,2,0),"")</f>
        <v/>
      </c>
    </row>
    <row r="413" spans="9:32" ht="15" customHeight="1" x14ac:dyDescent="0.3">
      <c r="I413" s="201" t="str">
        <f t="shared" si="64"/>
        <v/>
      </c>
      <c r="J413" s="218">
        <f t="shared" si="65"/>
        <v>410</v>
      </c>
      <c r="K413" s="250"/>
      <c r="L413" s="219"/>
      <c r="M413" s="218"/>
      <c r="N413" s="220" t="str">
        <f>IFERROR(VLOOKUP(M413,Data!$C$4:$D$395,2,0),"")</f>
        <v/>
      </c>
      <c r="O413" s="220"/>
      <c r="P413" s="229"/>
      <c r="Q413" s="221"/>
      <c r="R413" s="222" t="str">
        <f t="shared" si="66"/>
        <v>-</v>
      </c>
      <c r="S413" s="223"/>
      <c r="T413" s="224"/>
      <c r="U413" s="225">
        <f t="shared" si="67"/>
        <v>0</v>
      </c>
      <c r="V413" s="226">
        <v>0</v>
      </c>
      <c r="W413" s="227"/>
      <c r="X413" s="228">
        <f t="shared" si="68"/>
        <v>0</v>
      </c>
      <c r="Y413" s="229"/>
      <c r="Z413" s="229"/>
      <c r="AA413" s="229"/>
      <c r="AB413" s="222">
        <f t="shared" si="69"/>
        <v>0</v>
      </c>
      <c r="AC413" s="230">
        <f t="shared" si="70"/>
        <v>0</v>
      </c>
      <c r="AD413" s="222" t="str">
        <f t="shared" si="71"/>
        <v/>
      </c>
      <c r="AE413" s="201"/>
      <c r="AF413" s="231" t="str">
        <f>+IFERROR(VLOOKUP(L413,Data!$F$4:$G$97,2,0),"")</f>
        <v/>
      </c>
    </row>
    <row r="414" spans="9:32" ht="15" customHeight="1" x14ac:dyDescent="0.3">
      <c r="I414" s="201" t="str">
        <f t="shared" si="64"/>
        <v/>
      </c>
      <c r="J414" s="218">
        <f t="shared" si="65"/>
        <v>411</v>
      </c>
      <c r="K414" s="250"/>
      <c r="L414" s="219"/>
      <c r="M414" s="218"/>
      <c r="N414" s="220" t="str">
        <f>IFERROR(VLOOKUP(M414,Data!$C$4:$D$395,2,0),"")</f>
        <v/>
      </c>
      <c r="O414" s="220"/>
      <c r="P414" s="229"/>
      <c r="Q414" s="221"/>
      <c r="R414" s="222" t="str">
        <f t="shared" si="66"/>
        <v>-</v>
      </c>
      <c r="S414" s="223"/>
      <c r="T414" s="224"/>
      <c r="U414" s="225">
        <f t="shared" si="67"/>
        <v>0</v>
      </c>
      <c r="V414" s="226">
        <v>0</v>
      </c>
      <c r="W414" s="227"/>
      <c r="X414" s="228">
        <f t="shared" si="68"/>
        <v>0</v>
      </c>
      <c r="Y414" s="229"/>
      <c r="Z414" s="229"/>
      <c r="AA414" s="229"/>
      <c r="AB414" s="222">
        <f t="shared" si="69"/>
        <v>0</v>
      </c>
      <c r="AC414" s="230">
        <f t="shared" si="70"/>
        <v>0</v>
      </c>
      <c r="AD414" s="222" t="str">
        <f t="shared" si="71"/>
        <v/>
      </c>
      <c r="AE414" s="201"/>
      <c r="AF414" s="231" t="str">
        <f>+IFERROR(VLOOKUP(L414,Data!$F$4:$G$97,2,0),"")</f>
        <v/>
      </c>
    </row>
    <row r="415" spans="9:32" ht="15" customHeight="1" x14ac:dyDescent="0.3">
      <c r="I415" s="201" t="str">
        <f t="shared" si="64"/>
        <v/>
      </c>
      <c r="J415" s="218">
        <f t="shared" si="65"/>
        <v>412</v>
      </c>
      <c r="K415" s="250"/>
      <c r="L415" s="219"/>
      <c r="M415" s="218"/>
      <c r="N415" s="220" t="str">
        <f>IFERROR(VLOOKUP(M415,Data!$C$4:$D$395,2,0),"")</f>
        <v/>
      </c>
      <c r="O415" s="220"/>
      <c r="P415" s="229"/>
      <c r="Q415" s="221"/>
      <c r="R415" s="222" t="str">
        <f t="shared" si="66"/>
        <v>-</v>
      </c>
      <c r="S415" s="223"/>
      <c r="T415" s="224"/>
      <c r="U415" s="225">
        <f t="shared" si="67"/>
        <v>0</v>
      </c>
      <c r="V415" s="226">
        <v>0</v>
      </c>
      <c r="W415" s="227"/>
      <c r="X415" s="228">
        <f t="shared" si="68"/>
        <v>0</v>
      </c>
      <c r="Y415" s="229"/>
      <c r="Z415" s="229"/>
      <c r="AA415" s="229"/>
      <c r="AB415" s="222">
        <f t="shared" si="69"/>
        <v>0</v>
      </c>
      <c r="AC415" s="230">
        <f t="shared" si="70"/>
        <v>0</v>
      </c>
      <c r="AD415" s="222" t="str">
        <f t="shared" si="71"/>
        <v/>
      </c>
      <c r="AE415" s="201"/>
      <c r="AF415" s="231" t="str">
        <f>+IFERROR(VLOOKUP(L415,Data!$F$4:$G$97,2,0),"")</f>
        <v/>
      </c>
    </row>
    <row r="416" spans="9:32" ht="15" customHeight="1" x14ac:dyDescent="0.3">
      <c r="I416" s="201" t="str">
        <f t="shared" si="64"/>
        <v/>
      </c>
      <c r="J416" s="218">
        <f t="shared" si="65"/>
        <v>413</v>
      </c>
      <c r="K416" s="250"/>
      <c r="L416" s="219"/>
      <c r="M416" s="218"/>
      <c r="N416" s="220" t="str">
        <f>IFERROR(VLOOKUP(M416,Data!$C$4:$D$395,2,0),"")</f>
        <v/>
      </c>
      <c r="O416" s="220"/>
      <c r="P416" s="229"/>
      <c r="Q416" s="221"/>
      <c r="R416" s="222" t="str">
        <f t="shared" si="66"/>
        <v>-</v>
      </c>
      <c r="S416" s="223"/>
      <c r="T416" s="224"/>
      <c r="U416" s="225">
        <f t="shared" si="67"/>
        <v>0</v>
      </c>
      <c r="V416" s="226">
        <v>0</v>
      </c>
      <c r="W416" s="227"/>
      <c r="X416" s="228">
        <f t="shared" si="68"/>
        <v>0</v>
      </c>
      <c r="Y416" s="229"/>
      <c r="Z416" s="229"/>
      <c r="AA416" s="229"/>
      <c r="AB416" s="222">
        <f t="shared" si="69"/>
        <v>0</v>
      </c>
      <c r="AC416" s="230">
        <f t="shared" si="70"/>
        <v>0</v>
      </c>
      <c r="AD416" s="222" t="str">
        <f t="shared" si="71"/>
        <v/>
      </c>
      <c r="AE416" s="201"/>
      <c r="AF416" s="231" t="str">
        <f>+IFERROR(VLOOKUP(L416,Data!$F$4:$G$97,2,0),"")</f>
        <v/>
      </c>
    </row>
    <row r="417" spans="9:32" ht="15" customHeight="1" x14ac:dyDescent="0.3">
      <c r="I417" s="201" t="str">
        <f t="shared" si="64"/>
        <v/>
      </c>
      <c r="J417" s="218">
        <f t="shared" si="65"/>
        <v>414</v>
      </c>
      <c r="K417" s="250"/>
      <c r="L417" s="219"/>
      <c r="M417" s="218"/>
      <c r="N417" s="220" t="str">
        <f>IFERROR(VLOOKUP(M417,Data!$C$4:$D$395,2,0),"")</f>
        <v/>
      </c>
      <c r="O417" s="220"/>
      <c r="P417" s="229"/>
      <c r="Q417" s="221"/>
      <c r="R417" s="222" t="str">
        <f t="shared" si="66"/>
        <v>-</v>
      </c>
      <c r="S417" s="223"/>
      <c r="T417" s="224"/>
      <c r="U417" s="225">
        <f t="shared" si="67"/>
        <v>0</v>
      </c>
      <c r="V417" s="226">
        <v>0</v>
      </c>
      <c r="W417" s="227"/>
      <c r="X417" s="228">
        <f t="shared" si="68"/>
        <v>0</v>
      </c>
      <c r="Y417" s="229"/>
      <c r="Z417" s="229"/>
      <c r="AA417" s="229"/>
      <c r="AB417" s="222">
        <f t="shared" si="69"/>
        <v>0</v>
      </c>
      <c r="AC417" s="230">
        <f t="shared" si="70"/>
        <v>0</v>
      </c>
      <c r="AD417" s="222" t="str">
        <f t="shared" si="71"/>
        <v/>
      </c>
      <c r="AE417" s="201"/>
      <c r="AF417" s="231" t="str">
        <f>+IFERROR(VLOOKUP(L417,Data!$F$4:$G$97,2,0),"")</f>
        <v/>
      </c>
    </row>
    <row r="418" spans="9:32" ht="15" customHeight="1" x14ac:dyDescent="0.3">
      <c r="I418" s="201" t="str">
        <f t="shared" si="64"/>
        <v/>
      </c>
      <c r="J418" s="218">
        <f t="shared" si="65"/>
        <v>415</v>
      </c>
      <c r="K418" s="250"/>
      <c r="L418" s="219"/>
      <c r="M418" s="218"/>
      <c r="N418" s="220" t="str">
        <f>IFERROR(VLOOKUP(M418,Data!$C$4:$D$395,2,0),"")</f>
        <v/>
      </c>
      <c r="O418" s="220"/>
      <c r="P418" s="229"/>
      <c r="Q418" s="221"/>
      <c r="R418" s="222" t="str">
        <f t="shared" si="66"/>
        <v>-</v>
      </c>
      <c r="S418" s="223"/>
      <c r="T418" s="224"/>
      <c r="U418" s="225">
        <f t="shared" si="67"/>
        <v>0</v>
      </c>
      <c r="V418" s="226">
        <v>0</v>
      </c>
      <c r="W418" s="227"/>
      <c r="X418" s="228">
        <f t="shared" si="68"/>
        <v>0</v>
      </c>
      <c r="Y418" s="229"/>
      <c r="Z418" s="229"/>
      <c r="AA418" s="229"/>
      <c r="AB418" s="222">
        <f t="shared" si="69"/>
        <v>0</v>
      </c>
      <c r="AC418" s="230">
        <f t="shared" si="70"/>
        <v>0</v>
      </c>
      <c r="AD418" s="222" t="str">
        <f t="shared" si="71"/>
        <v/>
      </c>
      <c r="AE418" s="201"/>
      <c r="AF418" s="231" t="str">
        <f>+IFERROR(VLOOKUP(L418,Data!$F$4:$G$97,2,0),"")</f>
        <v/>
      </c>
    </row>
    <row r="419" spans="9:32" ht="15" customHeight="1" x14ac:dyDescent="0.3">
      <c r="I419" s="201" t="str">
        <f t="shared" si="64"/>
        <v/>
      </c>
      <c r="J419" s="218">
        <f t="shared" si="65"/>
        <v>416</v>
      </c>
      <c r="K419" s="250"/>
      <c r="L419" s="219"/>
      <c r="M419" s="218"/>
      <c r="N419" s="220" t="str">
        <f>IFERROR(VLOOKUP(M419,Data!$C$4:$D$395,2,0),"")</f>
        <v/>
      </c>
      <c r="O419" s="220"/>
      <c r="P419" s="229"/>
      <c r="Q419" s="221"/>
      <c r="R419" s="222" t="str">
        <f t="shared" si="66"/>
        <v>-</v>
      </c>
      <c r="S419" s="223"/>
      <c r="T419" s="224"/>
      <c r="U419" s="225">
        <f t="shared" si="67"/>
        <v>0</v>
      </c>
      <c r="V419" s="226">
        <v>0</v>
      </c>
      <c r="W419" s="227"/>
      <c r="X419" s="228">
        <f t="shared" si="68"/>
        <v>0</v>
      </c>
      <c r="Y419" s="229"/>
      <c r="Z419" s="229"/>
      <c r="AA419" s="229"/>
      <c r="AB419" s="222">
        <f t="shared" si="69"/>
        <v>0</v>
      </c>
      <c r="AC419" s="230">
        <f t="shared" si="70"/>
        <v>0</v>
      </c>
      <c r="AD419" s="222" t="str">
        <f t="shared" si="71"/>
        <v/>
      </c>
      <c r="AE419" s="201"/>
      <c r="AF419" s="231" t="str">
        <f>+IFERROR(VLOOKUP(L419,Data!$F$4:$G$97,2,0),"")</f>
        <v/>
      </c>
    </row>
    <row r="420" spans="9:32" ht="15" customHeight="1" x14ac:dyDescent="0.3">
      <c r="I420" s="201" t="str">
        <f t="shared" si="64"/>
        <v/>
      </c>
      <c r="J420" s="218">
        <f t="shared" si="65"/>
        <v>417</v>
      </c>
      <c r="K420" s="250"/>
      <c r="L420" s="219"/>
      <c r="M420" s="218"/>
      <c r="N420" s="220" t="str">
        <f>IFERROR(VLOOKUP(M420,Data!$C$4:$D$395,2,0),"")</f>
        <v/>
      </c>
      <c r="O420" s="220"/>
      <c r="P420" s="229"/>
      <c r="Q420" s="221"/>
      <c r="R420" s="222" t="str">
        <f t="shared" si="66"/>
        <v>-</v>
      </c>
      <c r="S420" s="223"/>
      <c r="T420" s="224"/>
      <c r="U420" s="225">
        <f t="shared" si="67"/>
        <v>0</v>
      </c>
      <c r="V420" s="226">
        <v>0</v>
      </c>
      <c r="W420" s="227"/>
      <c r="X420" s="228">
        <f t="shared" si="68"/>
        <v>0</v>
      </c>
      <c r="Y420" s="229"/>
      <c r="Z420" s="229"/>
      <c r="AA420" s="229"/>
      <c r="AB420" s="222">
        <f t="shared" si="69"/>
        <v>0</v>
      </c>
      <c r="AC420" s="230">
        <f t="shared" si="70"/>
        <v>0</v>
      </c>
      <c r="AD420" s="222" t="str">
        <f t="shared" si="71"/>
        <v/>
      </c>
      <c r="AE420" s="201"/>
      <c r="AF420" s="231" t="str">
        <f>+IFERROR(VLOOKUP(L420,Data!$F$4:$G$97,2,0),"")</f>
        <v/>
      </c>
    </row>
    <row r="421" spans="9:32" ht="15" customHeight="1" x14ac:dyDescent="0.3">
      <c r="I421" s="201" t="str">
        <f t="shared" si="64"/>
        <v/>
      </c>
      <c r="J421" s="218">
        <f t="shared" si="65"/>
        <v>418</v>
      </c>
      <c r="K421" s="250"/>
      <c r="L421" s="219"/>
      <c r="M421" s="218"/>
      <c r="N421" s="220" t="str">
        <f>IFERROR(VLOOKUP(M421,Data!$C$4:$D$395,2,0),"")</f>
        <v/>
      </c>
      <c r="O421" s="220"/>
      <c r="P421" s="229"/>
      <c r="Q421" s="221"/>
      <c r="R421" s="222" t="str">
        <f t="shared" si="66"/>
        <v>-</v>
      </c>
      <c r="S421" s="223"/>
      <c r="T421" s="224"/>
      <c r="U421" s="225">
        <f t="shared" si="67"/>
        <v>0</v>
      </c>
      <c r="V421" s="226">
        <v>0</v>
      </c>
      <c r="W421" s="227"/>
      <c r="X421" s="228">
        <f t="shared" si="68"/>
        <v>0</v>
      </c>
      <c r="Y421" s="229"/>
      <c r="Z421" s="229"/>
      <c r="AA421" s="229"/>
      <c r="AB421" s="222">
        <f t="shared" si="69"/>
        <v>0</v>
      </c>
      <c r="AC421" s="230">
        <f t="shared" si="70"/>
        <v>0</v>
      </c>
      <c r="AD421" s="222" t="str">
        <f t="shared" si="71"/>
        <v/>
      </c>
      <c r="AE421" s="201"/>
      <c r="AF421" s="231" t="str">
        <f>+IFERROR(VLOOKUP(L421,Data!$F$4:$G$97,2,0),"")</f>
        <v/>
      </c>
    </row>
    <row r="422" spans="9:32" ht="15" customHeight="1" x14ac:dyDescent="0.3">
      <c r="I422" s="201" t="str">
        <f t="shared" si="64"/>
        <v/>
      </c>
      <c r="J422" s="218">
        <f t="shared" si="65"/>
        <v>419</v>
      </c>
      <c r="K422" s="250"/>
      <c r="L422" s="219"/>
      <c r="M422" s="218"/>
      <c r="N422" s="220" t="str">
        <f>IFERROR(VLOOKUP(M422,Data!$C$4:$D$395,2,0),"")</f>
        <v/>
      </c>
      <c r="O422" s="220"/>
      <c r="P422" s="229"/>
      <c r="Q422" s="221"/>
      <c r="R422" s="222" t="str">
        <f t="shared" si="66"/>
        <v>-</v>
      </c>
      <c r="S422" s="223"/>
      <c r="T422" s="224"/>
      <c r="U422" s="225">
        <f t="shared" si="67"/>
        <v>0</v>
      </c>
      <c r="V422" s="226">
        <v>0</v>
      </c>
      <c r="W422" s="227"/>
      <c r="X422" s="228">
        <f t="shared" si="68"/>
        <v>0</v>
      </c>
      <c r="Y422" s="229"/>
      <c r="Z422" s="229"/>
      <c r="AA422" s="229"/>
      <c r="AB422" s="222">
        <f t="shared" si="69"/>
        <v>0</v>
      </c>
      <c r="AC422" s="230">
        <f t="shared" si="70"/>
        <v>0</v>
      </c>
      <c r="AD422" s="222" t="str">
        <f t="shared" si="71"/>
        <v/>
      </c>
      <c r="AE422" s="201"/>
      <c r="AF422" s="231" t="str">
        <f>+IFERROR(VLOOKUP(L422,Data!$F$4:$G$97,2,0),"")</f>
        <v/>
      </c>
    </row>
    <row r="423" spans="9:32" ht="15" customHeight="1" x14ac:dyDescent="0.3">
      <c r="I423" s="201" t="str">
        <f t="shared" si="64"/>
        <v/>
      </c>
      <c r="J423" s="218">
        <f t="shared" si="65"/>
        <v>420</v>
      </c>
      <c r="K423" s="250"/>
      <c r="L423" s="219"/>
      <c r="M423" s="218"/>
      <c r="N423" s="220" t="str">
        <f>IFERROR(VLOOKUP(M423,Data!$C$4:$D$395,2,0),"")</f>
        <v/>
      </c>
      <c r="O423" s="220"/>
      <c r="P423" s="229"/>
      <c r="Q423" s="221"/>
      <c r="R423" s="222" t="str">
        <f t="shared" si="66"/>
        <v>-</v>
      </c>
      <c r="S423" s="223"/>
      <c r="T423" s="224"/>
      <c r="U423" s="225">
        <f t="shared" si="67"/>
        <v>0</v>
      </c>
      <c r="V423" s="226">
        <v>0</v>
      </c>
      <c r="W423" s="227"/>
      <c r="X423" s="228">
        <f t="shared" si="68"/>
        <v>0</v>
      </c>
      <c r="Y423" s="229"/>
      <c r="Z423" s="229"/>
      <c r="AA423" s="229"/>
      <c r="AB423" s="222">
        <f t="shared" si="69"/>
        <v>0</v>
      </c>
      <c r="AC423" s="230">
        <f t="shared" si="70"/>
        <v>0</v>
      </c>
      <c r="AD423" s="222" t="str">
        <f t="shared" si="71"/>
        <v/>
      </c>
      <c r="AE423" s="201"/>
      <c r="AF423" s="231" t="str">
        <f>+IFERROR(VLOOKUP(L423,Data!$F$4:$G$97,2,0),"")</f>
        <v/>
      </c>
    </row>
    <row r="424" spans="9:32" ht="15" customHeight="1" x14ac:dyDescent="0.3">
      <c r="I424" s="201" t="str">
        <f t="shared" si="64"/>
        <v/>
      </c>
      <c r="J424" s="218">
        <f t="shared" si="65"/>
        <v>421</v>
      </c>
      <c r="K424" s="250"/>
      <c r="L424" s="219"/>
      <c r="M424" s="218"/>
      <c r="N424" s="220" t="str">
        <f>IFERROR(VLOOKUP(M424,Data!$C$4:$D$395,2,0),"")</f>
        <v/>
      </c>
      <c r="O424" s="220"/>
      <c r="P424" s="229"/>
      <c r="Q424" s="221"/>
      <c r="R424" s="222" t="str">
        <f t="shared" si="66"/>
        <v>-</v>
      </c>
      <c r="S424" s="223"/>
      <c r="T424" s="224"/>
      <c r="U424" s="225">
        <f t="shared" si="67"/>
        <v>0</v>
      </c>
      <c r="V424" s="226">
        <v>0</v>
      </c>
      <c r="W424" s="227"/>
      <c r="X424" s="228">
        <f t="shared" si="68"/>
        <v>0</v>
      </c>
      <c r="Y424" s="229"/>
      <c r="Z424" s="229"/>
      <c r="AA424" s="229"/>
      <c r="AB424" s="222">
        <f t="shared" si="69"/>
        <v>0</v>
      </c>
      <c r="AC424" s="230">
        <f t="shared" si="70"/>
        <v>0</v>
      </c>
      <c r="AD424" s="222" t="str">
        <f t="shared" si="71"/>
        <v/>
      </c>
      <c r="AE424" s="201"/>
      <c r="AF424" s="231" t="str">
        <f>+IFERROR(VLOOKUP(L424,Data!$F$4:$G$97,2,0),"")</f>
        <v/>
      </c>
    </row>
    <row r="425" spans="9:32" ht="15" customHeight="1" x14ac:dyDescent="0.3">
      <c r="I425" s="201" t="str">
        <f t="shared" si="64"/>
        <v/>
      </c>
      <c r="J425" s="218">
        <f t="shared" si="65"/>
        <v>422</v>
      </c>
      <c r="K425" s="250"/>
      <c r="L425" s="219"/>
      <c r="M425" s="218"/>
      <c r="N425" s="220" t="str">
        <f>IFERROR(VLOOKUP(M425,Data!$C$4:$D$395,2,0),"")</f>
        <v/>
      </c>
      <c r="O425" s="220"/>
      <c r="P425" s="229"/>
      <c r="Q425" s="221"/>
      <c r="R425" s="222" t="str">
        <f t="shared" si="66"/>
        <v>-</v>
      </c>
      <c r="S425" s="223"/>
      <c r="T425" s="224"/>
      <c r="U425" s="225">
        <f t="shared" si="67"/>
        <v>0</v>
      </c>
      <c r="V425" s="226">
        <v>0</v>
      </c>
      <c r="W425" s="227"/>
      <c r="X425" s="228">
        <f t="shared" si="68"/>
        <v>0</v>
      </c>
      <c r="Y425" s="229"/>
      <c r="Z425" s="229"/>
      <c r="AA425" s="229"/>
      <c r="AB425" s="222">
        <f t="shared" si="69"/>
        <v>0</v>
      </c>
      <c r="AC425" s="230">
        <f t="shared" si="70"/>
        <v>0</v>
      </c>
      <c r="AD425" s="222" t="str">
        <f t="shared" si="71"/>
        <v/>
      </c>
      <c r="AE425" s="201"/>
      <c r="AF425" s="231" t="str">
        <f>+IFERROR(VLOOKUP(L425,Data!$F$4:$G$97,2,0),"")</f>
        <v/>
      </c>
    </row>
    <row r="426" spans="9:32" ht="15" customHeight="1" x14ac:dyDescent="0.3">
      <c r="I426" s="201" t="str">
        <f t="shared" si="64"/>
        <v/>
      </c>
      <c r="J426" s="218">
        <f t="shared" si="65"/>
        <v>423</v>
      </c>
      <c r="K426" s="250"/>
      <c r="L426" s="219"/>
      <c r="M426" s="218"/>
      <c r="N426" s="220" t="str">
        <f>IFERROR(VLOOKUP(M426,Data!$C$4:$D$395,2,0),"")</f>
        <v/>
      </c>
      <c r="O426" s="220"/>
      <c r="P426" s="229"/>
      <c r="Q426" s="221"/>
      <c r="R426" s="222" t="str">
        <f t="shared" si="66"/>
        <v>-</v>
      </c>
      <c r="S426" s="223"/>
      <c r="T426" s="224"/>
      <c r="U426" s="225">
        <f t="shared" si="67"/>
        <v>0</v>
      </c>
      <c r="V426" s="226">
        <v>0</v>
      </c>
      <c r="W426" s="227"/>
      <c r="X426" s="228">
        <f t="shared" si="68"/>
        <v>0</v>
      </c>
      <c r="Y426" s="229"/>
      <c r="Z426" s="229"/>
      <c r="AA426" s="229"/>
      <c r="AB426" s="222">
        <f t="shared" si="69"/>
        <v>0</v>
      </c>
      <c r="AC426" s="230">
        <f t="shared" si="70"/>
        <v>0</v>
      </c>
      <c r="AD426" s="222" t="str">
        <f t="shared" si="71"/>
        <v/>
      </c>
      <c r="AE426" s="201"/>
      <c r="AF426" s="231" t="str">
        <f>+IFERROR(VLOOKUP(L426,Data!$F$4:$G$97,2,0),"")</f>
        <v/>
      </c>
    </row>
    <row r="427" spans="9:32" ht="15" customHeight="1" x14ac:dyDescent="0.3">
      <c r="I427" s="201" t="str">
        <f t="shared" si="64"/>
        <v/>
      </c>
      <c r="J427" s="218">
        <f t="shared" si="65"/>
        <v>424</v>
      </c>
      <c r="K427" s="250"/>
      <c r="L427" s="219"/>
      <c r="M427" s="218"/>
      <c r="N427" s="220" t="str">
        <f>IFERROR(VLOOKUP(M427,Data!$C$4:$D$395,2,0),"")</f>
        <v/>
      </c>
      <c r="O427" s="220"/>
      <c r="P427" s="229"/>
      <c r="Q427" s="221"/>
      <c r="R427" s="222" t="str">
        <f t="shared" si="66"/>
        <v>-</v>
      </c>
      <c r="S427" s="223"/>
      <c r="T427" s="224"/>
      <c r="U427" s="225">
        <f t="shared" si="67"/>
        <v>0</v>
      </c>
      <c r="V427" s="226">
        <v>0</v>
      </c>
      <c r="W427" s="227"/>
      <c r="X427" s="228">
        <f t="shared" si="68"/>
        <v>0</v>
      </c>
      <c r="Y427" s="229"/>
      <c r="Z427" s="229"/>
      <c r="AA427" s="229"/>
      <c r="AB427" s="222">
        <f t="shared" si="69"/>
        <v>0</v>
      </c>
      <c r="AC427" s="230">
        <f t="shared" si="70"/>
        <v>0</v>
      </c>
      <c r="AD427" s="222" t="str">
        <f t="shared" si="71"/>
        <v/>
      </c>
      <c r="AE427" s="201"/>
      <c r="AF427" s="231" t="str">
        <f>+IFERROR(VLOOKUP(L427,Data!$F$4:$G$97,2,0),"")</f>
        <v/>
      </c>
    </row>
    <row r="428" spans="9:32" ht="15" customHeight="1" x14ac:dyDescent="0.3">
      <c r="I428" s="201" t="str">
        <f t="shared" si="64"/>
        <v/>
      </c>
      <c r="J428" s="218">
        <f t="shared" si="65"/>
        <v>425</v>
      </c>
      <c r="K428" s="250"/>
      <c r="L428" s="219"/>
      <c r="M428" s="218"/>
      <c r="N428" s="220" t="str">
        <f>IFERROR(VLOOKUP(M428,Data!$C$4:$D$395,2,0),"")</f>
        <v/>
      </c>
      <c r="O428" s="220"/>
      <c r="P428" s="229"/>
      <c r="Q428" s="221"/>
      <c r="R428" s="222" t="str">
        <f t="shared" si="66"/>
        <v>-</v>
      </c>
      <c r="S428" s="223"/>
      <c r="T428" s="224"/>
      <c r="U428" s="225">
        <f t="shared" si="67"/>
        <v>0</v>
      </c>
      <c r="V428" s="226">
        <v>0</v>
      </c>
      <c r="W428" s="227"/>
      <c r="X428" s="228">
        <f t="shared" si="68"/>
        <v>0</v>
      </c>
      <c r="Y428" s="229"/>
      <c r="Z428" s="229"/>
      <c r="AA428" s="229"/>
      <c r="AB428" s="222">
        <f t="shared" si="69"/>
        <v>0</v>
      </c>
      <c r="AC428" s="230">
        <f t="shared" si="70"/>
        <v>0</v>
      </c>
      <c r="AD428" s="222" t="str">
        <f t="shared" si="71"/>
        <v/>
      </c>
      <c r="AE428" s="201"/>
      <c r="AF428" s="231" t="str">
        <f>+IFERROR(VLOOKUP(L428,Data!$F$4:$G$97,2,0),"")</f>
        <v/>
      </c>
    </row>
    <row r="429" spans="9:32" ht="15" customHeight="1" x14ac:dyDescent="0.3">
      <c r="I429" s="201" t="str">
        <f t="shared" si="64"/>
        <v/>
      </c>
      <c r="J429" s="218">
        <f t="shared" si="65"/>
        <v>426</v>
      </c>
      <c r="K429" s="250"/>
      <c r="L429" s="219"/>
      <c r="M429" s="218"/>
      <c r="N429" s="220" t="str">
        <f>IFERROR(VLOOKUP(M429,Data!$C$4:$D$395,2,0),"")</f>
        <v/>
      </c>
      <c r="O429" s="220"/>
      <c r="P429" s="229"/>
      <c r="Q429" s="221"/>
      <c r="R429" s="222" t="str">
        <f t="shared" si="66"/>
        <v>-</v>
      </c>
      <c r="S429" s="223"/>
      <c r="T429" s="224"/>
      <c r="U429" s="225">
        <f t="shared" si="67"/>
        <v>0</v>
      </c>
      <c r="V429" s="226">
        <v>0</v>
      </c>
      <c r="W429" s="227"/>
      <c r="X429" s="228">
        <f t="shared" si="68"/>
        <v>0</v>
      </c>
      <c r="Y429" s="229"/>
      <c r="Z429" s="229"/>
      <c r="AA429" s="229"/>
      <c r="AB429" s="222">
        <f t="shared" si="69"/>
        <v>0</v>
      </c>
      <c r="AC429" s="230">
        <f t="shared" si="70"/>
        <v>0</v>
      </c>
      <c r="AD429" s="222" t="str">
        <f t="shared" si="71"/>
        <v/>
      </c>
      <c r="AE429" s="201"/>
      <c r="AF429" s="231" t="str">
        <f>+IFERROR(VLOOKUP(L429,Data!$F$4:$G$97,2,0),"")</f>
        <v/>
      </c>
    </row>
    <row r="430" spans="9:32" ht="15" customHeight="1" x14ac:dyDescent="0.3">
      <c r="I430" s="201" t="str">
        <f t="shared" si="64"/>
        <v/>
      </c>
      <c r="J430" s="218">
        <f t="shared" si="65"/>
        <v>427</v>
      </c>
      <c r="K430" s="250"/>
      <c r="L430" s="219"/>
      <c r="M430" s="218"/>
      <c r="N430" s="220" t="str">
        <f>IFERROR(VLOOKUP(M430,Data!$C$4:$D$395,2,0),"")</f>
        <v/>
      </c>
      <c r="O430" s="220"/>
      <c r="P430" s="229"/>
      <c r="Q430" s="221"/>
      <c r="R430" s="222" t="str">
        <f t="shared" si="66"/>
        <v>-</v>
      </c>
      <c r="S430" s="223"/>
      <c r="T430" s="224"/>
      <c r="U430" s="225">
        <f t="shared" si="67"/>
        <v>0</v>
      </c>
      <c r="V430" s="226">
        <v>0</v>
      </c>
      <c r="W430" s="227"/>
      <c r="X430" s="228">
        <f t="shared" si="68"/>
        <v>0</v>
      </c>
      <c r="Y430" s="229"/>
      <c r="Z430" s="229"/>
      <c r="AA430" s="229"/>
      <c r="AB430" s="222">
        <f t="shared" si="69"/>
        <v>0</v>
      </c>
      <c r="AC430" s="230">
        <f t="shared" si="70"/>
        <v>0</v>
      </c>
      <c r="AD430" s="222" t="str">
        <f t="shared" si="71"/>
        <v/>
      </c>
      <c r="AE430" s="201"/>
      <c r="AF430" s="231" t="str">
        <f>+IFERROR(VLOOKUP(L430,Data!$F$4:$G$97,2,0),"")</f>
        <v/>
      </c>
    </row>
    <row r="431" spans="9:32" ht="15" customHeight="1" x14ac:dyDescent="0.3">
      <c r="I431" s="201" t="str">
        <f t="shared" si="64"/>
        <v/>
      </c>
      <c r="J431" s="218">
        <f t="shared" si="65"/>
        <v>428</v>
      </c>
      <c r="K431" s="250"/>
      <c r="L431" s="219"/>
      <c r="M431" s="218"/>
      <c r="N431" s="220" t="str">
        <f>IFERROR(VLOOKUP(M431,Data!$C$4:$D$395,2,0),"")</f>
        <v/>
      </c>
      <c r="O431" s="220"/>
      <c r="P431" s="229"/>
      <c r="Q431" s="221"/>
      <c r="R431" s="222" t="str">
        <f t="shared" si="66"/>
        <v>-</v>
      </c>
      <c r="S431" s="223"/>
      <c r="T431" s="224"/>
      <c r="U431" s="225">
        <f t="shared" si="67"/>
        <v>0</v>
      </c>
      <c r="V431" s="226">
        <v>0</v>
      </c>
      <c r="W431" s="227"/>
      <c r="X431" s="228">
        <f t="shared" si="68"/>
        <v>0</v>
      </c>
      <c r="Y431" s="229"/>
      <c r="Z431" s="229"/>
      <c r="AA431" s="229"/>
      <c r="AB431" s="222">
        <f t="shared" si="69"/>
        <v>0</v>
      </c>
      <c r="AC431" s="230">
        <f t="shared" si="70"/>
        <v>0</v>
      </c>
      <c r="AD431" s="222" t="str">
        <f t="shared" si="71"/>
        <v/>
      </c>
      <c r="AE431" s="201"/>
      <c r="AF431" s="231" t="str">
        <f>+IFERROR(VLOOKUP(L431,Data!$F$4:$G$97,2,0),"")</f>
        <v/>
      </c>
    </row>
    <row r="432" spans="9:32" ht="15" customHeight="1" x14ac:dyDescent="0.3">
      <c r="I432" s="201" t="str">
        <f t="shared" si="64"/>
        <v/>
      </c>
      <c r="J432" s="218">
        <f t="shared" si="65"/>
        <v>429</v>
      </c>
      <c r="K432" s="250"/>
      <c r="L432" s="219"/>
      <c r="M432" s="218"/>
      <c r="N432" s="220" t="str">
        <f>IFERROR(VLOOKUP(M432,Data!$C$4:$D$395,2,0),"")</f>
        <v/>
      </c>
      <c r="O432" s="220"/>
      <c r="P432" s="229"/>
      <c r="Q432" s="221"/>
      <c r="R432" s="222" t="str">
        <f t="shared" si="66"/>
        <v>-</v>
      </c>
      <c r="S432" s="223"/>
      <c r="T432" s="224"/>
      <c r="U432" s="225">
        <f t="shared" si="67"/>
        <v>0</v>
      </c>
      <c r="V432" s="226">
        <v>0</v>
      </c>
      <c r="W432" s="227"/>
      <c r="X432" s="228">
        <f t="shared" si="68"/>
        <v>0</v>
      </c>
      <c r="Y432" s="229"/>
      <c r="Z432" s="229"/>
      <c r="AA432" s="229"/>
      <c r="AB432" s="222">
        <f t="shared" si="69"/>
        <v>0</v>
      </c>
      <c r="AC432" s="230">
        <f t="shared" si="70"/>
        <v>0</v>
      </c>
      <c r="AD432" s="222" t="str">
        <f t="shared" si="71"/>
        <v/>
      </c>
      <c r="AE432" s="201"/>
      <c r="AF432" s="231" t="str">
        <f>+IFERROR(VLOOKUP(L432,Data!$F$4:$G$97,2,0),"")</f>
        <v/>
      </c>
    </row>
    <row r="433" spans="9:32" ht="15" customHeight="1" x14ac:dyDescent="0.3">
      <c r="I433" s="201" t="str">
        <f t="shared" si="64"/>
        <v/>
      </c>
      <c r="J433" s="218">
        <f t="shared" si="65"/>
        <v>430</v>
      </c>
      <c r="K433" s="250"/>
      <c r="L433" s="219"/>
      <c r="M433" s="218"/>
      <c r="N433" s="220" t="str">
        <f>IFERROR(VLOOKUP(M433,Data!$C$4:$D$395,2,0),"")</f>
        <v/>
      </c>
      <c r="O433" s="220"/>
      <c r="P433" s="229"/>
      <c r="Q433" s="221"/>
      <c r="R433" s="222" t="str">
        <f t="shared" si="66"/>
        <v>-</v>
      </c>
      <c r="S433" s="223"/>
      <c r="T433" s="224"/>
      <c r="U433" s="225">
        <f t="shared" si="67"/>
        <v>0</v>
      </c>
      <c r="V433" s="226">
        <v>0</v>
      </c>
      <c r="W433" s="227"/>
      <c r="X433" s="228">
        <f t="shared" si="68"/>
        <v>0</v>
      </c>
      <c r="Y433" s="229"/>
      <c r="Z433" s="229"/>
      <c r="AA433" s="229"/>
      <c r="AB433" s="222">
        <f t="shared" si="69"/>
        <v>0</v>
      </c>
      <c r="AC433" s="230">
        <f t="shared" si="70"/>
        <v>0</v>
      </c>
      <c r="AD433" s="222" t="str">
        <f t="shared" si="71"/>
        <v/>
      </c>
      <c r="AE433" s="201"/>
      <c r="AF433" s="231" t="str">
        <f>+IFERROR(VLOOKUP(L433,Data!$F$4:$G$97,2,0),"")</f>
        <v/>
      </c>
    </row>
    <row r="434" spans="9:32" ht="15" customHeight="1" x14ac:dyDescent="0.3">
      <c r="I434" s="201" t="str">
        <f t="shared" si="64"/>
        <v/>
      </c>
      <c r="J434" s="218">
        <f t="shared" si="65"/>
        <v>431</v>
      </c>
      <c r="K434" s="250"/>
      <c r="L434" s="219"/>
      <c r="M434" s="218"/>
      <c r="N434" s="220" t="str">
        <f>IFERROR(VLOOKUP(M434,Data!$C$4:$D$395,2,0),"")</f>
        <v/>
      </c>
      <c r="O434" s="220"/>
      <c r="P434" s="229"/>
      <c r="Q434" s="221"/>
      <c r="R434" s="222" t="str">
        <f t="shared" si="66"/>
        <v>-</v>
      </c>
      <c r="S434" s="223"/>
      <c r="T434" s="224"/>
      <c r="U434" s="225">
        <f t="shared" si="67"/>
        <v>0</v>
      </c>
      <c r="V434" s="226">
        <v>0</v>
      </c>
      <c r="W434" s="227"/>
      <c r="X434" s="228">
        <f t="shared" si="68"/>
        <v>0</v>
      </c>
      <c r="Y434" s="229"/>
      <c r="Z434" s="229"/>
      <c r="AA434" s="229"/>
      <c r="AB434" s="222">
        <f t="shared" si="69"/>
        <v>0</v>
      </c>
      <c r="AC434" s="230">
        <f t="shared" si="70"/>
        <v>0</v>
      </c>
      <c r="AD434" s="222" t="str">
        <f t="shared" si="71"/>
        <v/>
      </c>
      <c r="AE434" s="201"/>
      <c r="AF434" s="231" t="str">
        <f>+IFERROR(VLOOKUP(L434,Data!$F$4:$G$97,2,0),"")</f>
        <v/>
      </c>
    </row>
    <row r="435" spans="9:32" ht="15" customHeight="1" x14ac:dyDescent="0.3">
      <c r="I435" s="201" t="str">
        <f t="shared" si="64"/>
        <v/>
      </c>
      <c r="J435" s="218">
        <f t="shared" si="65"/>
        <v>432</v>
      </c>
      <c r="K435" s="250"/>
      <c r="L435" s="219"/>
      <c r="M435" s="218"/>
      <c r="N435" s="220" t="str">
        <f>IFERROR(VLOOKUP(M435,Data!$C$4:$D$395,2,0),"")</f>
        <v/>
      </c>
      <c r="O435" s="220"/>
      <c r="P435" s="229"/>
      <c r="Q435" s="221"/>
      <c r="R435" s="222" t="str">
        <f t="shared" si="66"/>
        <v>-</v>
      </c>
      <c r="S435" s="223"/>
      <c r="T435" s="224"/>
      <c r="U435" s="225">
        <f t="shared" si="67"/>
        <v>0</v>
      </c>
      <c r="V435" s="226">
        <v>0</v>
      </c>
      <c r="W435" s="227"/>
      <c r="X435" s="228">
        <f t="shared" si="68"/>
        <v>0</v>
      </c>
      <c r="Y435" s="229"/>
      <c r="Z435" s="229"/>
      <c r="AA435" s="229"/>
      <c r="AB435" s="222">
        <f t="shared" si="69"/>
        <v>0</v>
      </c>
      <c r="AC435" s="230">
        <f t="shared" si="70"/>
        <v>0</v>
      </c>
      <c r="AD435" s="222" t="str">
        <f t="shared" si="71"/>
        <v/>
      </c>
      <c r="AE435" s="201"/>
      <c r="AF435" s="231" t="str">
        <f>+IFERROR(VLOOKUP(L435,Data!$F$4:$G$97,2,0),"")</f>
        <v/>
      </c>
    </row>
    <row r="436" spans="9:32" ht="15" customHeight="1" x14ac:dyDescent="0.3">
      <c r="I436" s="201" t="str">
        <f t="shared" si="64"/>
        <v/>
      </c>
      <c r="J436" s="218">
        <f t="shared" si="65"/>
        <v>433</v>
      </c>
      <c r="K436" s="250"/>
      <c r="L436" s="219"/>
      <c r="M436" s="218"/>
      <c r="N436" s="220" t="str">
        <f>IFERROR(VLOOKUP(M436,Data!$C$4:$D$395,2,0),"")</f>
        <v/>
      </c>
      <c r="O436" s="220"/>
      <c r="P436" s="229"/>
      <c r="Q436" s="221"/>
      <c r="R436" s="222" t="str">
        <f t="shared" si="66"/>
        <v>-</v>
      </c>
      <c r="S436" s="223"/>
      <c r="T436" s="224"/>
      <c r="U436" s="225">
        <f t="shared" si="67"/>
        <v>0</v>
      </c>
      <c r="V436" s="226">
        <v>0</v>
      </c>
      <c r="W436" s="227"/>
      <c r="X436" s="228">
        <f t="shared" si="68"/>
        <v>0</v>
      </c>
      <c r="Y436" s="229"/>
      <c r="Z436" s="229"/>
      <c r="AA436" s="229"/>
      <c r="AB436" s="222">
        <f t="shared" si="69"/>
        <v>0</v>
      </c>
      <c r="AC436" s="230">
        <f t="shared" si="70"/>
        <v>0</v>
      </c>
      <c r="AD436" s="222" t="str">
        <f t="shared" si="71"/>
        <v/>
      </c>
      <c r="AE436" s="201"/>
      <c r="AF436" s="231" t="str">
        <f>+IFERROR(VLOOKUP(L436,Data!$F$4:$G$97,2,0),"")</f>
        <v/>
      </c>
    </row>
    <row r="437" spans="9:32" ht="15" customHeight="1" x14ac:dyDescent="0.3">
      <c r="I437" s="201" t="str">
        <f t="shared" si="64"/>
        <v/>
      </c>
      <c r="J437" s="218">
        <f t="shared" si="65"/>
        <v>434</v>
      </c>
      <c r="K437" s="250"/>
      <c r="L437" s="219"/>
      <c r="M437" s="218"/>
      <c r="N437" s="220" t="str">
        <f>IFERROR(VLOOKUP(M437,Data!$C$4:$D$395,2,0),"")</f>
        <v/>
      </c>
      <c r="O437" s="220"/>
      <c r="P437" s="229"/>
      <c r="Q437" s="221"/>
      <c r="R437" s="222" t="str">
        <f t="shared" si="66"/>
        <v>-</v>
      </c>
      <c r="S437" s="223"/>
      <c r="T437" s="224"/>
      <c r="U437" s="225">
        <f t="shared" si="67"/>
        <v>0</v>
      </c>
      <c r="V437" s="226">
        <v>0</v>
      </c>
      <c r="W437" s="227"/>
      <c r="X437" s="228">
        <f t="shared" si="68"/>
        <v>0</v>
      </c>
      <c r="Y437" s="229"/>
      <c r="Z437" s="229"/>
      <c r="AA437" s="229"/>
      <c r="AB437" s="222">
        <f t="shared" si="69"/>
        <v>0</v>
      </c>
      <c r="AC437" s="230">
        <f t="shared" si="70"/>
        <v>0</v>
      </c>
      <c r="AD437" s="222" t="str">
        <f t="shared" si="71"/>
        <v/>
      </c>
      <c r="AE437" s="201"/>
      <c r="AF437" s="231" t="str">
        <f>+IFERROR(VLOOKUP(L437,Data!$F$4:$G$97,2,0),"")</f>
        <v/>
      </c>
    </row>
    <row r="438" spans="9:32" ht="15" customHeight="1" x14ac:dyDescent="0.3">
      <c r="I438" s="201" t="str">
        <f t="shared" si="64"/>
        <v/>
      </c>
      <c r="J438" s="218">
        <f t="shared" si="65"/>
        <v>435</v>
      </c>
      <c r="K438" s="250"/>
      <c r="L438" s="219"/>
      <c r="M438" s="218"/>
      <c r="N438" s="220" t="str">
        <f>IFERROR(VLOOKUP(M438,Data!$C$4:$D$395,2,0),"")</f>
        <v/>
      </c>
      <c r="O438" s="220"/>
      <c r="P438" s="229"/>
      <c r="Q438" s="221"/>
      <c r="R438" s="222" t="str">
        <f t="shared" si="66"/>
        <v>-</v>
      </c>
      <c r="S438" s="223"/>
      <c r="T438" s="224"/>
      <c r="U438" s="225">
        <f t="shared" si="67"/>
        <v>0</v>
      </c>
      <c r="V438" s="226">
        <v>0</v>
      </c>
      <c r="W438" s="227"/>
      <c r="X438" s="228">
        <f t="shared" si="68"/>
        <v>0</v>
      </c>
      <c r="Y438" s="229"/>
      <c r="Z438" s="229"/>
      <c r="AA438" s="229"/>
      <c r="AB438" s="222">
        <f t="shared" si="69"/>
        <v>0</v>
      </c>
      <c r="AC438" s="230">
        <f t="shared" si="70"/>
        <v>0</v>
      </c>
      <c r="AD438" s="222" t="str">
        <f t="shared" si="71"/>
        <v/>
      </c>
      <c r="AE438" s="201"/>
      <c r="AF438" s="231" t="str">
        <f>+IFERROR(VLOOKUP(L438,Data!$F$4:$G$97,2,0),"")</f>
        <v/>
      </c>
    </row>
    <row r="439" spans="9:32" ht="15" customHeight="1" x14ac:dyDescent="0.3">
      <c r="I439" s="201" t="str">
        <f t="shared" si="64"/>
        <v/>
      </c>
      <c r="J439" s="218">
        <f t="shared" si="65"/>
        <v>436</v>
      </c>
      <c r="K439" s="250"/>
      <c r="L439" s="219"/>
      <c r="M439" s="218"/>
      <c r="N439" s="220" t="str">
        <f>IFERROR(VLOOKUP(M439,Data!$C$4:$D$395,2,0),"")</f>
        <v/>
      </c>
      <c r="O439" s="220"/>
      <c r="P439" s="229"/>
      <c r="Q439" s="221"/>
      <c r="R439" s="222" t="str">
        <f t="shared" si="66"/>
        <v>-</v>
      </c>
      <c r="S439" s="223"/>
      <c r="T439" s="224"/>
      <c r="U439" s="225">
        <f t="shared" si="67"/>
        <v>0</v>
      </c>
      <c r="V439" s="226">
        <v>0</v>
      </c>
      <c r="W439" s="227"/>
      <c r="X439" s="228">
        <f t="shared" si="68"/>
        <v>0</v>
      </c>
      <c r="Y439" s="229"/>
      <c r="Z439" s="229"/>
      <c r="AA439" s="229"/>
      <c r="AB439" s="222">
        <f t="shared" si="69"/>
        <v>0</v>
      </c>
      <c r="AC439" s="230">
        <f t="shared" si="70"/>
        <v>0</v>
      </c>
      <c r="AD439" s="222" t="str">
        <f t="shared" si="71"/>
        <v/>
      </c>
      <c r="AE439" s="201"/>
      <c r="AF439" s="231" t="str">
        <f>+IFERROR(VLOOKUP(L439,Data!$F$4:$G$97,2,0),"")</f>
        <v/>
      </c>
    </row>
    <row r="440" spans="9:32" ht="15" customHeight="1" x14ac:dyDescent="0.3">
      <c r="I440" s="201" t="str">
        <f t="shared" si="64"/>
        <v/>
      </c>
      <c r="J440" s="218">
        <f t="shared" si="65"/>
        <v>437</v>
      </c>
      <c r="K440" s="250"/>
      <c r="L440" s="219"/>
      <c r="M440" s="218"/>
      <c r="N440" s="220" t="str">
        <f>IFERROR(VLOOKUP(M440,Data!$C$4:$D$395,2,0),"")</f>
        <v/>
      </c>
      <c r="O440" s="220"/>
      <c r="P440" s="229"/>
      <c r="Q440" s="221"/>
      <c r="R440" s="222" t="str">
        <f t="shared" si="66"/>
        <v>-</v>
      </c>
      <c r="S440" s="223"/>
      <c r="T440" s="224"/>
      <c r="U440" s="225">
        <f t="shared" si="67"/>
        <v>0</v>
      </c>
      <c r="V440" s="226">
        <v>0</v>
      </c>
      <c r="W440" s="227"/>
      <c r="X440" s="228">
        <f t="shared" si="68"/>
        <v>0</v>
      </c>
      <c r="Y440" s="229"/>
      <c r="Z440" s="229"/>
      <c r="AA440" s="229"/>
      <c r="AB440" s="222">
        <f t="shared" si="69"/>
        <v>0</v>
      </c>
      <c r="AC440" s="230">
        <f t="shared" si="70"/>
        <v>0</v>
      </c>
      <c r="AD440" s="222" t="str">
        <f t="shared" si="71"/>
        <v/>
      </c>
      <c r="AE440" s="201"/>
      <c r="AF440" s="231" t="str">
        <f>+IFERROR(VLOOKUP(L440,Data!$F$4:$G$97,2,0),"")</f>
        <v/>
      </c>
    </row>
    <row r="441" spans="9:32" ht="15" customHeight="1" x14ac:dyDescent="0.3">
      <c r="I441" s="201" t="str">
        <f t="shared" si="64"/>
        <v/>
      </c>
      <c r="J441" s="218">
        <f t="shared" si="65"/>
        <v>438</v>
      </c>
      <c r="K441" s="250"/>
      <c r="L441" s="219"/>
      <c r="M441" s="218"/>
      <c r="N441" s="220" t="str">
        <f>IFERROR(VLOOKUP(M441,Data!$C$4:$D$395,2,0),"")</f>
        <v/>
      </c>
      <c r="O441" s="220"/>
      <c r="P441" s="229"/>
      <c r="Q441" s="221"/>
      <c r="R441" s="222" t="str">
        <f t="shared" si="66"/>
        <v>-</v>
      </c>
      <c r="S441" s="223"/>
      <c r="T441" s="224"/>
      <c r="U441" s="225">
        <f t="shared" si="67"/>
        <v>0</v>
      </c>
      <c r="V441" s="226">
        <v>0</v>
      </c>
      <c r="W441" s="227"/>
      <c r="X441" s="228">
        <f t="shared" si="68"/>
        <v>0</v>
      </c>
      <c r="Y441" s="229"/>
      <c r="Z441" s="229"/>
      <c r="AA441" s="229"/>
      <c r="AB441" s="222">
        <f t="shared" si="69"/>
        <v>0</v>
      </c>
      <c r="AC441" s="230">
        <f t="shared" si="70"/>
        <v>0</v>
      </c>
      <c r="AD441" s="222" t="str">
        <f t="shared" si="71"/>
        <v/>
      </c>
      <c r="AE441" s="201"/>
      <c r="AF441" s="231" t="str">
        <f>+IFERROR(VLOOKUP(L441,Data!$F$4:$G$97,2,0),"")</f>
        <v/>
      </c>
    </row>
    <row r="442" spans="9:32" ht="15" customHeight="1" x14ac:dyDescent="0.3">
      <c r="I442" s="201" t="str">
        <f t="shared" si="64"/>
        <v/>
      </c>
      <c r="J442" s="218">
        <f t="shared" si="65"/>
        <v>439</v>
      </c>
      <c r="K442" s="250"/>
      <c r="L442" s="219"/>
      <c r="M442" s="218"/>
      <c r="N442" s="220" t="str">
        <f>IFERROR(VLOOKUP(M442,Data!$C$4:$D$395,2,0),"")</f>
        <v/>
      </c>
      <c r="O442" s="220"/>
      <c r="P442" s="229"/>
      <c r="Q442" s="221"/>
      <c r="R442" s="222" t="str">
        <f t="shared" si="66"/>
        <v>-</v>
      </c>
      <c r="S442" s="223"/>
      <c r="T442" s="224"/>
      <c r="U442" s="225">
        <f t="shared" si="67"/>
        <v>0</v>
      </c>
      <c r="V442" s="226">
        <v>0</v>
      </c>
      <c r="W442" s="227"/>
      <c r="X442" s="228">
        <f t="shared" si="68"/>
        <v>0</v>
      </c>
      <c r="Y442" s="229"/>
      <c r="Z442" s="229"/>
      <c r="AA442" s="229"/>
      <c r="AB442" s="222">
        <f t="shared" si="69"/>
        <v>0</v>
      </c>
      <c r="AC442" s="230">
        <f t="shared" si="70"/>
        <v>0</v>
      </c>
      <c r="AD442" s="222" t="str">
        <f t="shared" si="71"/>
        <v/>
      </c>
      <c r="AE442" s="201"/>
      <c r="AF442" s="231" t="str">
        <f>+IFERROR(VLOOKUP(L442,Data!$F$4:$G$97,2,0),"")</f>
        <v/>
      </c>
    </row>
    <row r="443" spans="9:32" ht="15" customHeight="1" x14ac:dyDescent="0.3">
      <c r="I443" s="201" t="str">
        <f t="shared" si="64"/>
        <v/>
      </c>
      <c r="J443" s="218">
        <f t="shared" si="65"/>
        <v>440</v>
      </c>
      <c r="K443" s="250"/>
      <c r="L443" s="219"/>
      <c r="M443" s="218"/>
      <c r="N443" s="220" t="str">
        <f>IFERROR(VLOOKUP(M443,Data!$C$4:$D$395,2,0),"")</f>
        <v/>
      </c>
      <c r="O443" s="220"/>
      <c r="P443" s="229"/>
      <c r="Q443" s="221"/>
      <c r="R443" s="222" t="str">
        <f t="shared" si="66"/>
        <v>-</v>
      </c>
      <c r="S443" s="223"/>
      <c r="T443" s="224"/>
      <c r="U443" s="225">
        <f t="shared" si="67"/>
        <v>0</v>
      </c>
      <c r="V443" s="226">
        <v>0</v>
      </c>
      <c r="W443" s="227"/>
      <c r="X443" s="228">
        <f t="shared" si="68"/>
        <v>0</v>
      </c>
      <c r="Y443" s="229"/>
      <c r="Z443" s="229"/>
      <c r="AA443" s="229"/>
      <c r="AB443" s="222">
        <f t="shared" si="69"/>
        <v>0</v>
      </c>
      <c r="AC443" s="230">
        <f t="shared" si="70"/>
        <v>0</v>
      </c>
      <c r="AD443" s="222" t="str">
        <f t="shared" si="71"/>
        <v/>
      </c>
      <c r="AE443" s="201"/>
      <c r="AF443" s="231" t="str">
        <f>+IFERROR(VLOOKUP(L443,Data!$F$4:$G$97,2,0),"")</f>
        <v/>
      </c>
    </row>
    <row r="444" spans="9:32" ht="15" customHeight="1" x14ac:dyDescent="0.3">
      <c r="I444" s="201" t="str">
        <f t="shared" si="64"/>
        <v/>
      </c>
      <c r="J444" s="218">
        <f t="shared" si="65"/>
        <v>441</v>
      </c>
      <c r="K444" s="250"/>
      <c r="L444" s="219"/>
      <c r="M444" s="218"/>
      <c r="N444" s="220" t="str">
        <f>IFERROR(VLOOKUP(M444,Data!$C$4:$D$395,2,0),"")</f>
        <v/>
      </c>
      <c r="O444" s="220"/>
      <c r="P444" s="229"/>
      <c r="Q444" s="221"/>
      <c r="R444" s="222" t="str">
        <f t="shared" si="66"/>
        <v>-</v>
      </c>
      <c r="S444" s="223"/>
      <c r="T444" s="224"/>
      <c r="U444" s="225">
        <f t="shared" si="67"/>
        <v>0</v>
      </c>
      <c r="V444" s="226">
        <v>0</v>
      </c>
      <c r="W444" s="227"/>
      <c r="X444" s="228">
        <f t="shared" si="68"/>
        <v>0</v>
      </c>
      <c r="Y444" s="229"/>
      <c r="Z444" s="229"/>
      <c r="AA444" s="229"/>
      <c r="AB444" s="222">
        <f t="shared" si="69"/>
        <v>0</v>
      </c>
      <c r="AC444" s="230">
        <f t="shared" si="70"/>
        <v>0</v>
      </c>
      <c r="AD444" s="222" t="str">
        <f t="shared" si="71"/>
        <v/>
      </c>
      <c r="AE444" s="201"/>
      <c r="AF444" s="231" t="str">
        <f>+IFERROR(VLOOKUP(L444,Data!$F$4:$G$97,2,0),"")</f>
        <v/>
      </c>
    </row>
    <row r="445" spans="9:32" ht="15" customHeight="1" x14ac:dyDescent="0.3">
      <c r="I445" s="201" t="str">
        <f t="shared" ref="I445:I508" si="72">+AF445</f>
        <v/>
      </c>
      <c r="J445" s="218">
        <f t="shared" si="65"/>
        <v>442</v>
      </c>
      <c r="K445" s="250"/>
      <c r="L445" s="219"/>
      <c r="M445" s="218"/>
      <c r="N445" s="220" t="str">
        <f>IFERROR(VLOOKUP(M445,Data!$C$4:$D$395,2,0),"")</f>
        <v/>
      </c>
      <c r="O445" s="220"/>
      <c r="P445" s="229"/>
      <c r="Q445" s="221"/>
      <c r="R445" s="222" t="str">
        <f t="shared" si="66"/>
        <v>-</v>
      </c>
      <c r="S445" s="223"/>
      <c r="T445" s="224"/>
      <c r="U445" s="225">
        <f t="shared" si="67"/>
        <v>0</v>
      </c>
      <c r="V445" s="226">
        <v>0</v>
      </c>
      <c r="W445" s="227"/>
      <c r="X445" s="228">
        <f t="shared" si="68"/>
        <v>0</v>
      </c>
      <c r="Y445" s="229"/>
      <c r="Z445" s="229"/>
      <c r="AA445" s="229"/>
      <c r="AB445" s="222">
        <f t="shared" si="69"/>
        <v>0</v>
      </c>
      <c r="AC445" s="230">
        <f t="shared" si="70"/>
        <v>0</v>
      </c>
      <c r="AD445" s="222" t="str">
        <f t="shared" si="71"/>
        <v/>
      </c>
      <c r="AE445" s="201"/>
      <c r="AF445" s="231" t="str">
        <f>+IFERROR(VLOOKUP(L445,Data!$F$4:$G$97,2,0),"")</f>
        <v/>
      </c>
    </row>
    <row r="446" spans="9:32" ht="15" customHeight="1" x14ac:dyDescent="0.3">
      <c r="I446" s="201" t="str">
        <f t="shared" si="72"/>
        <v/>
      </c>
      <c r="J446" s="218">
        <f t="shared" ref="J446:J509" si="73">J445+1</f>
        <v>443</v>
      </c>
      <c r="K446" s="250"/>
      <c r="L446" s="219"/>
      <c r="M446" s="218"/>
      <c r="N446" s="220" t="str">
        <f>IFERROR(VLOOKUP(M446,Data!$C$4:$D$395,2,0),"")</f>
        <v/>
      </c>
      <c r="O446" s="220"/>
      <c r="P446" s="229"/>
      <c r="Q446" s="221"/>
      <c r="R446" s="222" t="str">
        <f t="shared" si="66"/>
        <v>-</v>
      </c>
      <c r="S446" s="223"/>
      <c r="T446" s="224"/>
      <c r="U446" s="225">
        <f t="shared" si="67"/>
        <v>0</v>
      </c>
      <c r="V446" s="226">
        <v>0</v>
      </c>
      <c r="W446" s="227"/>
      <c r="X446" s="228">
        <f t="shared" si="68"/>
        <v>0</v>
      </c>
      <c r="Y446" s="229"/>
      <c r="Z446" s="229"/>
      <c r="AA446" s="229"/>
      <c r="AB446" s="222">
        <f t="shared" si="69"/>
        <v>0</v>
      </c>
      <c r="AC446" s="230">
        <f t="shared" si="70"/>
        <v>0</v>
      </c>
      <c r="AD446" s="222" t="str">
        <f t="shared" si="71"/>
        <v/>
      </c>
      <c r="AE446" s="201"/>
      <c r="AF446" s="231" t="str">
        <f>+IFERROR(VLOOKUP(L446,Data!$F$4:$G$97,2,0),"")</f>
        <v/>
      </c>
    </row>
    <row r="447" spans="9:32" ht="15" customHeight="1" x14ac:dyDescent="0.3">
      <c r="I447" s="201" t="str">
        <f t="shared" si="72"/>
        <v/>
      </c>
      <c r="J447" s="218">
        <f t="shared" si="73"/>
        <v>444</v>
      </c>
      <c r="K447" s="250"/>
      <c r="L447" s="219"/>
      <c r="M447" s="218"/>
      <c r="N447" s="220" t="str">
        <f>IFERROR(VLOOKUP(M447,Data!$C$4:$D$395,2,0),"")</f>
        <v/>
      </c>
      <c r="O447" s="220"/>
      <c r="P447" s="229"/>
      <c r="Q447" s="221"/>
      <c r="R447" s="222" t="str">
        <f t="shared" si="66"/>
        <v>-</v>
      </c>
      <c r="S447" s="223"/>
      <c r="T447" s="224"/>
      <c r="U447" s="225">
        <f t="shared" si="67"/>
        <v>0</v>
      </c>
      <c r="V447" s="226">
        <v>0</v>
      </c>
      <c r="W447" s="227"/>
      <c r="X447" s="228">
        <f t="shared" si="68"/>
        <v>0</v>
      </c>
      <c r="Y447" s="229"/>
      <c r="Z447" s="229"/>
      <c r="AA447" s="229"/>
      <c r="AB447" s="222">
        <f t="shared" si="69"/>
        <v>0</v>
      </c>
      <c r="AC447" s="230">
        <f t="shared" si="70"/>
        <v>0</v>
      </c>
      <c r="AD447" s="222" t="str">
        <f t="shared" si="71"/>
        <v/>
      </c>
      <c r="AE447" s="201"/>
      <c r="AF447" s="231" t="str">
        <f>+IFERROR(VLOOKUP(L447,Data!$F$4:$G$97,2,0),"")</f>
        <v/>
      </c>
    </row>
    <row r="448" spans="9:32" ht="15" customHeight="1" x14ac:dyDescent="0.3">
      <c r="I448" s="201" t="str">
        <f t="shared" si="72"/>
        <v/>
      </c>
      <c r="J448" s="218">
        <f t="shared" si="73"/>
        <v>445</v>
      </c>
      <c r="K448" s="250"/>
      <c r="L448" s="219"/>
      <c r="M448" s="218"/>
      <c r="N448" s="220" t="str">
        <f>IFERROR(VLOOKUP(M448,Data!$C$4:$D$395,2,0),"")</f>
        <v/>
      </c>
      <c r="O448" s="220"/>
      <c r="P448" s="229"/>
      <c r="Q448" s="221"/>
      <c r="R448" s="222" t="str">
        <f t="shared" ref="R448:R511" si="74">IFERROR(Q448/P448, "-")</f>
        <v>-</v>
      </c>
      <c r="S448" s="223"/>
      <c r="T448" s="224"/>
      <c r="U448" s="225">
        <f t="shared" ref="U448:U511" si="75">+Q448*S448+P448*T448</f>
        <v>0</v>
      </c>
      <c r="V448" s="226">
        <v>0</v>
      </c>
      <c r="W448" s="227"/>
      <c r="X448" s="228">
        <f t="shared" ref="X448:X511" si="76">+Q448*V448+P448*W448</f>
        <v>0</v>
      </c>
      <c r="Y448" s="229"/>
      <c r="Z448" s="229"/>
      <c r="AA448" s="229"/>
      <c r="AB448" s="222">
        <f t="shared" ref="AB448:AB511" si="77">+Y448+Z448+AA448</f>
        <v>0</v>
      </c>
      <c r="AC448" s="230">
        <f t="shared" ref="AC448:AC511" si="78">IF((U448-Y448-Z448-AA448)&lt;0,"",(U448-Y448-Z448-AA448))</f>
        <v>0</v>
      </c>
      <c r="AD448" s="222" t="str">
        <f t="shared" ref="AD448:AD511" si="79">IF((U448-Y448-Z448-AA448)&lt;0,(Y448+Z448+AA448-U448),"")</f>
        <v/>
      </c>
      <c r="AE448" s="201"/>
      <c r="AF448" s="231" t="str">
        <f>+IFERROR(VLOOKUP(L448,Data!$F$4:$G$97,2,0),"")</f>
        <v/>
      </c>
    </row>
    <row r="449" spans="9:32" ht="15" customHeight="1" x14ac:dyDescent="0.3">
      <c r="I449" s="201" t="str">
        <f t="shared" si="72"/>
        <v/>
      </c>
      <c r="J449" s="218">
        <f t="shared" si="73"/>
        <v>446</v>
      </c>
      <c r="K449" s="250"/>
      <c r="L449" s="219"/>
      <c r="M449" s="218"/>
      <c r="N449" s="220" t="str">
        <f>IFERROR(VLOOKUP(M449,Data!$C$4:$D$395,2,0),"")</f>
        <v/>
      </c>
      <c r="O449" s="220"/>
      <c r="P449" s="229"/>
      <c r="Q449" s="221"/>
      <c r="R449" s="222" t="str">
        <f t="shared" si="74"/>
        <v>-</v>
      </c>
      <c r="S449" s="223"/>
      <c r="T449" s="224"/>
      <c r="U449" s="225">
        <f t="shared" si="75"/>
        <v>0</v>
      </c>
      <c r="V449" s="226">
        <v>0</v>
      </c>
      <c r="W449" s="227"/>
      <c r="X449" s="228">
        <f t="shared" si="76"/>
        <v>0</v>
      </c>
      <c r="Y449" s="229"/>
      <c r="Z449" s="229"/>
      <c r="AA449" s="229"/>
      <c r="AB449" s="222">
        <f t="shared" si="77"/>
        <v>0</v>
      </c>
      <c r="AC449" s="230">
        <f t="shared" si="78"/>
        <v>0</v>
      </c>
      <c r="AD449" s="222" t="str">
        <f t="shared" si="79"/>
        <v/>
      </c>
      <c r="AE449" s="201"/>
      <c r="AF449" s="231" t="str">
        <f>+IFERROR(VLOOKUP(L449,Data!$F$4:$G$97,2,0),"")</f>
        <v/>
      </c>
    </row>
    <row r="450" spans="9:32" ht="15" customHeight="1" x14ac:dyDescent="0.3">
      <c r="I450" s="201" t="str">
        <f t="shared" si="72"/>
        <v/>
      </c>
      <c r="J450" s="218">
        <f t="shared" si="73"/>
        <v>447</v>
      </c>
      <c r="K450" s="250"/>
      <c r="L450" s="219"/>
      <c r="M450" s="218"/>
      <c r="N450" s="220" t="str">
        <f>IFERROR(VLOOKUP(M450,Data!$C$4:$D$395,2,0),"")</f>
        <v/>
      </c>
      <c r="O450" s="220"/>
      <c r="P450" s="229"/>
      <c r="Q450" s="221"/>
      <c r="R450" s="222" t="str">
        <f t="shared" si="74"/>
        <v>-</v>
      </c>
      <c r="S450" s="223"/>
      <c r="T450" s="224"/>
      <c r="U450" s="225">
        <f t="shared" si="75"/>
        <v>0</v>
      </c>
      <c r="V450" s="226">
        <v>0</v>
      </c>
      <c r="W450" s="227"/>
      <c r="X450" s="228">
        <f t="shared" si="76"/>
        <v>0</v>
      </c>
      <c r="Y450" s="229"/>
      <c r="Z450" s="229"/>
      <c r="AA450" s="229"/>
      <c r="AB450" s="222">
        <f t="shared" si="77"/>
        <v>0</v>
      </c>
      <c r="AC450" s="230">
        <f t="shared" si="78"/>
        <v>0</v>
      </c>
      <c r="AD450" s="222" t="str">
        <f t="shared" si="79"/>
        <v/>
      </c>
      <c r="AE450" s="201"/>
      <c r="AF450" s="231" t="str">
        <f>+IFERROR(VLOOKUP(L450,Data!$F$4:$G$97,2,0),"")</f>
        <v/>
      </c>
    </row>
    <row r="451" spans="9:32" ht="15" customHeight="1" x14ac:dyDescent="0.3">
      <c r="I451" s="201" t="str">
        <f t="shared" si="72"/>
        <v/>
      </c>
      <c r="J451" s="218">
        <f t="shared" si="73"/>
        <v>448</v>
      </c>
      <c r="K451" s="250"/>
      <c r="L451" s="219"/>
      <c r="M451" s="218"/>
      <c r="N451" s="220" t="str">
        <f>IFERROR(VLOOKUP(M451,Data!$C$4:$D$395,2,0),"")</f>
        <v/>
      </c>
      <c r="O451" s="220"/>
      <c r="P451" s="229"/>
      <c r="Q451" s="221"/>
      <c r="R451" s="222" t="str">
        <f t="shared" si="74"/>
        <v>-</v>
      </c>
      <c r="S451" s="223"/>
      <c r="T451" s="224"/>
      <c r="U451" s="225">
        <f t="shared" si="75"/>
        <v>0</v>
      </c>
      <c r="V451" s="226">
        <v>0</v>
      </c>
      <c r="W451" s="227"/>
      <c r="X451" s="228">
        <f t="shared" si="76"/>
        <v>0</v>
      </c>
      <c r="Y451" s="229"/>
      <c r="Z451" s="229"/>
      <c r="AA451" s="229"/>
      <c r="AB451" s="222">
        <f t="shared" si="77"/>
        <v>0</v>
      </c>
      <c r="AC451" s="230">
        <f t="shared" si="78"/>
        <v>0</v>
      </c>
      <c r="AD451" s="222" t="str">
        <f t="shared" si="79"/>
        <v/>
      </c>
      <c r="AE451" s="201"/>
      <c r="AF451" s="231" t="str">
        <f>+IFERROR(VLOOKUP(L451,Data!$F$4:$G$97,2,0),"")</f>
        <v/>
      </c>
    </row>
    <row r="452" spans="9:32" ht="15" customHeight="1" x14ac:dyDescent="0.3">
      <c r="I452" s="201" t="str">
        <f t="shared" si="72"/>
        <v/>
      </c>
      <c r="J452" s="218">
        <f t="shared" si="73"/>
        <v>449</v>
      </c>
      <c r="K452" s="250"/>
      <c r="L452" s="219"/>
      <c r="M452" s="218"/>
      <c r="N452" s="220" t="str">
        <f>IFERROR(VLOOKUP(M452,Data!$C$4:$D$395,2,0),"")</f>
        <v/>
      </c>
      <c r="O452" s="220"/>
      <c r="P452" s="229"/>
      <c r="Q452" s="221"/>
      <c r="R452" s="222" t="str">
        <f t="shared" si="74"/>
        <v>-</v>
      </c>
      <c r="S452" s="223"/>
      <c r="T452" s="224"/>
      <c r="U452" s="225">
        <f t="shared" si="75"/>
        <v>0</v>
      </c>
      <c r="V452" s="226">
        <v>0</v>
      </c>
      <c r="W452" s="227"/>
      <c r="X452" s="228">
        <f t="shared" si="76"/>
        <v>0</v>
      </c>
      <c r="Y452" s="229"/>
      <c r="Z452" s="229"/>
      <c r="AA452" s="229"/>
      <c r="AB452" s="222">
        <f t="shared" si="77"/>
        <v>0</v>
      </c>
      <c r="AC452" s="230">
        <f t="shared" si="78"/>
        <v>0</v>
      </c>
      <c r="AD452" s="222" t="str">
        <f t="shared" si="79"/>
        <v/>
      </c>
      <c r="AE452" s="201"/>
      <c r="AF452" s="231" t="str">
        <f>+IFERROR(VLOOKUP(L452,Data!$F$4:$G$97,2,0),"")</f>
        <v/>
      </c>
    </row>
    <row r="453" spans="9:32" ht="15" customHeight="1" x14ac:dyDescent="0.3">
      <c r="I453" s="201" t="str">
        <f t="shared" si="72"/>
        <v/>
      </c>
      <c r="J453" s="218">
        <f t="shared" si="73"/>
        <v>450</v>
      </c>
      <c r="K453" s="250"/>
      <c r="L453" s="219"/>
      <c r="M453" s="218"/>
      <c r="N453" s="220" t="str">
        <f>IFERROR(VLOOKUP(M453,Data!$C$4:$D$395,2,0),"")</f>
        <v/>
      </c>
      <c r="O453" s="220"/>
      <c r="P453" s="229"/>
      <c r="Q453" s="221"/>
      <c r="R453" s="222" t="str">
        <f t="shared" si="74"/>
        <v>-</v>
      </c>
      <c r="S453" s="223"/>
      <c r="T453" s="224"/>
      <c r="U453" s="225">
        <f t="shared" si="75"/>
        <v>0</v>
      </c>
      <c r="V453" s="226">
        <v>0</v>
      </c>
      <c r="W453" s="227"/>
      <c r="X453" s="228">
        <f t="shared" si="76"/>
        <v>0</v>
      </c>
      <c r="Y453" s="229"/>
      <c r="Z453" s="229"/>
      <c r="AA453" s="229"/>
      <c r="AB453" s="222">
        <f t="shared" si="77"/>
        <v>0</v>
      </c>
      <c r="AC453" s="230">
        <f t="shared" si="78"/>
        <v>0</v>
      </c>
      <c r="AD453" s="222" t="str">
        <f t="shared" si="79"/>
        <v/>
      </c>
      <c r="AE453" s="201"/>
      <c r="AF453" s="231" t="str">
        <f>+IFERROR(VLOOKUP(L453,Data!$F$4:$G$97,2,0),"")</f>
        <v/>
      </c>
    </row>
    <row r="454" spans="9:32" ht="15" customHeight="1" x14ac:dyDescent="0.3">
      <c r="I454" s="201" t="str">
        <f t="shared" si="72"/>
        <v/>
      </c>
      <c r="J454" s="218">
        <f t="shared" si="73"/>
        <v>451</v>
      </c>
      <c r="K454" s="250"/>
      <c r="L454" s="219"/>
      <c r="M454" s="218"/>
      <c r="N454" s="220" t="str">
        <f>IFERROR(VLOOKUP(M454,Data!$C$4:$D$395,2,0),"")</f>
        <v/>
      </c>
      <c r="O454" s="220"/>
      <c r="P454" s="229"/>
      <c r="Q454" s="221"/>
      <c r="R454" s="222" t="str">
        <f t="shared" si="74"/>
        <v>-</v>
      </c>
      <c r="S454" s="223"/>
      <c r="T454" s="224"/>
      <c r="U454" s="225">
        <f t="shared" si="75"/>
        <v>0</v>
      </c>
      <c r="V454" s="226">
        <v>0</v>
      </c>
      <c r="W454" s="227"/>
      <c r="X454" s="228">
        <f t="shared" si="76"/>
        <v>0</v>
      </c>
      <c r="Y454" s="229"/>
      <c r="Z454" s="229"/>
      <c r="AA454" s="229"/>
      <c r="AB454" s="222">
        <f t="shared" si="77"/>
        <v>0</v>
      </c>
      <c r="AC454" s="230">
        <f t="shared" si="78"/>
        <v>0</v>
      </c>
      <c r="AD454" s="222" t="str">
        <f t="shared" si="79"/>
        <v/>
      </c>
      <c r="AE454" s="201"/>
      <c r="AF454" s="231" t="str">
        <f>+IFERROR(VLOOKUP(L454,Data!$F$4:$G$97,2,0),"")</f>
        <v/>
      </c>
    </row>
    <row r="455" spans="9:32" ht="15" customHeight="1" x14ac:dyDescent="0.3">
      <c r="I455" s="201" t="str">
        <f t="shared" si="72"/>
        <v/>
      </c>
      <c r="J455" s="218">
        <f t="shared" si="73"/>
        <v>452</v>
      </c>
      <c r="K455" s="250"/>
      <c r="L455" s="219"/>
      <c r="M455" s="218"/>
      <c r="N455" s="220" t="str">
        <f>IFERROR(VLOOKUP(M455,Data!$C$4:$D$395,2,0),"")</f>
        <v/>
      </c>
      <c r="O455" s="220"/>
      <c r="P455" s="229"/>
      <c r="Q455" s="221"/>
      <c r="R455" s="222" t="str">
        <f t="shared" si="74"/>
        <v>-</v>
      </c>
      <c r="S455" s="223"/>
      <c r="T455" s="224"/>
      <c r="U455" s="225">
        <f t="shared" si="75"/>
        <v>0</v>
      </c>
      <c r="V455" s="226">
        <v>0</v>
      </c>
      <c r="W455" s="227"/>
      <c r="X455" s="228">
        <f t="shared" si="76"/>
        <v>0</v>
      </c>
      <c r="Y455" s="229"/>
      <c r="Z455" s="229"/>
      <c r="AA455" s="229"/>
      <c r="AB455" s="222">
        <f t="shared" si="77"/>
        <v>0</v>
      </c>
      <c r="AC455" s="230">
        <f t="shared" si="78"/>
        <v>0</v>
      </c>
      <c r="AD455" s="222" t="str">
        <f t="shared" si="79"/>
        <v/>
      </c>
      <c r="AE455" s="201"/>
      <c r="AF455" s="231" t="str">
        <f>+IFERROR(VLOOKUP(L455,Data!$F$4:$G$97,2,0),"")</f>
        <v/>
      </c>
    </row>
    <row r="456" spans="9:32" ht="15" customHeight="1" x14ac:dyDescent="0.3">
      <c r="I456" s="201" t="str">
        <f t="shared" si="72"/>
        <v/>
      </c>
      <c r="J456" s="218">
        <f t="shared" si="73"/>
        <v>453</v>
      </c>
      <c r="K456" s="250"/>
      <c r="L456" s="219"/>
      <c r="M456" s="218"/>
      <c r="N456" s="220" t="str">
        <f>IFERROR(VLOOKUP(M456,Data!$C$4:$D$395,2,0),"")</f>
        <v/>
      </c>
      <c r="O456" s="220"/>
      <c r="P456" s="229"/>
      <c r="Q456" s="221"/>
      <c r="R456" s="222" t="str">
        <f t="shared" si="74"/>
        <v>-</v>
      </c>
      <c r="S456" s="223"/>
      <c r="T456" s="224"/>
      <c r="U456" s="225">
        <f t="shared" si="75"/>
        <v>0</v>
      </c>
      <c r="V456" s="226">
        <v>0</v>
      </c>
      <c r="W456" s="227"/>
      <c r="X456" s="228">
        <f t="shared" si="76"/>
        <v>0</v>
      </c>
      <c r="Y456" s="229"/>
      <c r="Z456" s="229"/>
      <c r="AA456" s="229"/>
      <c r="AB456" s="222">
        <f t="shared" si="77"/>
        <v>0</v>
      </c>
      <c r="AC456" s="230">
        <f t="shared" si="78"/>
        <v>0</v>
      </c>
      <c r="AD456" s="222" t="str">
        <f t="shared" si="79"/>
        <v/>
      </c>
      <c r="AE456" s="201"/>
      <c r="AF456" s="231" t="str">
        <f>+IFERROR(VLOOKUP(L456,Data!$F$4:$G$97,2,0),"")</f>
        <v/>
      </c>
    </row>
    <row r="457" spans="9:32" ht="15" customHeight="1" x14ac:dyDescent="0.3">
      <c r="I457" s="201" t="str">
        <f t="shared" si="72"/>
        <v/>
      </c>
      <c r="J457" s="218">
        <f t="shared" si="73"/>
        <v>454</v>
      </c>
      <c r="K457" s="250"/>
      <c r="L457" s="219"/>
      <c r="M457" s="218"/>
      <c r="N457" s="220" t="str">
        <f>IFERROR(VLOOKUP(M457,Data!$C$4:$D$395,2,0),"")</f>
        <v/>
      </c>
      <c r="O457" s="220"/>
      <c r="P457" s="229"/>
      <c r="Q457" s="221"/>
      <c r="R457" s="222" t="str">
        <f t="shared" si="74"/>
        <v>-</v>
      </c>
      <c r="S457" s="223"/>
      <c r="T457" s="224"/>
      <c r="U457" s="225">
        <f t="shared" si="75"/>
        <v>0</v>
      </c>
      <c r="V457" s="226">
        <v>0</v>
      </c>
      <c r="W457" s="227"/>
      <c r="X457" s="228">
        <f t="shared" si="76"/>
        <v>0</v>
      </c>
      <c r="Y457" s="229"/>
      <c r="Z457" s="229"/>
      <c r="AA457" s="229"/>
      <c r="AB457" s="222">
        <f t="shared" si="77"/>
        <v>0</v>
      </c>
      <c r="AC457" s="230">
        <f t="shared" si="78"/>
        <v>0</v>
      </c>
      <c r="AD457" s="222" t="str">
        <f t="shared" si="79"/>
        <v/>
      </c>
      <c r="AE457" s="201"/>
      <c r="AF457" s="231" t="str">
        <f>+IFERROR(VLOOKUP(L457,Data!$F$4:$G$97,2,0),"")</f>
        <v/>
      </c>
    </row>
    <row r="458" spans="9:32" ht="15" customHeight="1" x14ac:dyDescent="0.3">
      <c r="I458" s="201" t="str">
        <f t="shared" si="72"/>
        <v/>
      </c>
      <c r="J458" s="218">
        <f t="shared" si="73"/>
        <v>455</v>
      </c>
      <c r="K458" s="250"/>
      <c r="L458" s="219"/>
      <c r="M458" s="218"/>
      <c r="N458" s="220" t="str">
        <f>IFERROR(VLOOKUP(M458,Data!$C$4:$D$395,2,0),"")</f>
        <v/>
      </c>
      <c r="O458" s="220"/>
      <c r="P458" s="229"/>
      <c r="Q458" s="221"/>
      <c r="R458" s="222" t="str">
        <f t="shared" si="74"/>
        <v>-</v>
      </c>
      <c r="S458" s="223"/>
      <c r="T458" s="224"/>
      <c r="U458" s="225">
        <f t="shared" si="75"/>
        <v>0</v>
      </c>
      <c r="V458" s="226">
        <v>0</v>
      </c>
      <c r="W458" s="227"/>
      <c r="X458" s="228">
        <f t="shared" si="76"/>
        <v>0</v>
      </c>
      <c r="Y458" s="229"/>
      <c r="Z458" s="229"/>
      <c r="AA458" s="229"/>
      <c r="AB458" s="222">
        <f t="shared" si="77"/>
        <v>0</v>
      </c>
      <c r="AC458" s="230">
        <f t="shared" si="78"/>
        <v>0</v>
      </c>
      <c r="AD458" s="222" t="str">
        <f t="shared" si="79"/>
        <v/>
      </c>
      <c r="AE458" s="201"/>
      <c r="AF458" s="231" t="str">
        <f>+IFERROR(VLOOKUP(L458,Data!$F$4:$G$97,2,0),"")</f>
        <v/>
      </c>
    </row>
    <row r="459" spans="9:32" ht="15" customHeight="1" x14ac:dyDescent="0.3">
      <c r="I459" s="201" t="str">
        <f t="shared" si="72"/>
        <v/>
      </c>
      <c r="J459" s="218">
        <f t="shared" si="73"/>
        <v>456</v>
      </c>
      <c r="K459" s="250"/>
      <c r="L459" s="219"/>
      <c r="M459" s="218"/>
      <c r="N459" s="220" t="str">
        <f>IFERROR(VLOOKUP(M459,Data!$C$4:$D$395,2,0),"")</f>
        <v/>
      </c>
      <c r="O459" s="220"/>
      <c r="P459" s="229"/>
      <c r="Q459" s="221"/>
      <c r="R459" s="222" t="str">
        <f t="shared" si="74"/>
        <v>-</v>
      </c>
      <c r="S459" s="223"/>
      <c r="T459" s="224"/>
      <c r="U459" s="225">
        <f t="shared" si="75"/>
        <v>0</v>
      </c>
      <c r="V459" s="226">
        <v>0</v>
      </c>
      <c r="W459" s="227"/>
      <c r="X459" s="228">
        <f t="shared" si="76"/>
        <v>0</v>
      </c>
      <c r="Y459" s="229"/>
      <c r="Z459" s="229"/>
      <c r="AA459" s="229"/>
      <c r="AB459" s="222">
        <f t="shared" si="77"/>
        <v>0</v>
      </c>
      <c r="AC459" s="230">
        <f t="shared" si="78"/>
        <v>0</v>
      </c>
      <c r="AD459" s="222" t="str">
        <f t="shared" si="79"/>
        <v/>
      </c>
      <c r="AE459" s="201"/>
      <c r="AF459" s="231" t="str">
        <f>+IFERROR(VLOOKUP(L459,Data!$F$4:$G$97,2,0),"")</f>
        <v/>
      </c>
    </row>
    <row r="460" spans="9:32" ht="15" customHeight="1" x14ac:dyDescent="0.3">
      <c r="I460" s="201" t="str">
        <f t="shared" si="72"/>
        <v/>
      </c>
      <c r="J460" s="218">
        <f t="shared" si="73"/>
        <v>457</v>
      </c>
      <c r="K460" s="250"/>
      <c r="L460" s="219"/>
      <c r="M460" s="218"/>
      <c r="N460" s="220" t="str">
        <f>IFERROR(VLOOKUP(M460,Data!$C$4:$D$395,2,0),"")</f>
        <v/>
      </c>
      <c r="O460" s="220"/>
      <c r="P460" s="229"/>
      <c r="Q460" s="221"/>
      <c r="R460" s="222" t="str">
        <f t="shared" si="74"/>
        <v>-</v>
      </c>
      <c r="S460" s="223"/>
      <c r="T460" s="224"/>
      <c r="U460" s="225">
        <f t="shared" si="75"/>
        <v>0</v>
      </c>
      <c r="V460" s="226">
        <v>0</v>
      </c>
      <c r="W460" s="227"/>
      <c r="X460" s="228">
        <f t="shared" si="76"/>
        <v>0</v>
      </c>
      <c r="Y460" s="229"/>
      <c r="Z460" s="229"/>
      <c r="AA460" s="229"/>
      <c r="AB460" s="222">
        <f t="shared" si="77"/>
        <v>0</v>
      </c>
      <c r="AC460" s="230">
        <f t="shared" si="78"/>
        <v>0</v>
      </c>
      <c r="AD460" s="222" t="str">
        <f t="shared" si="79"/>
        <v/>
      </c>
      <c r="AE460" s="201"/>
      <c r="AF460" s="231" t="str">
        <f>+IFERROR(VLOOKUP(L460,Data!$F$4:$G$97,2,0),"")</f>
        <v/>
      </c>
    </row>
    <row r="461" spans="9:32" ht="15" customHeight="1" x14ac:dyDescent="0.3">
      <c r="I461" s="201" t="str">
        <f t="shared" si="72"/>
        <v/>
      </c>
      <c r="J461" s="218">
        <f t="shared" si="73"/>
        <v>458</v>
      </c>
      <c r="K461" s="250"/>
      <c r="L461" s="219"/>
      <c r="M461" s="218"/>
      <c r="N461" s="220" t="str">
        <f>IFERROR(VLOOKUP(M461,Data!$C$4:$D$395,2,0),"")</f>
        <v/>
      </c>
      <c r="O461" s="220"/>
      <c r="P461" s="229"/>
      <c r="Q461" s="221"/>
      <c r="R461" s="222" t="str">
        <f t="shared" si="74"/>
        <v>-</v>
      </c>
      <c r="S461" s="223"/>
      <c r="T461" s="224"/>
      <c r="U461" s="225">
        <f t="shared" si="75"/>
        <v>0</v>
      </c>
      <c r="V461" s="226">
        <v>0</v>
      </c>
      <c r="W461" s="227"/>
      <c r="X461" s="228">
        <f t="shared" si="76"/>
        <v>0</v>
      </c>
      <c r="Y461" s="229"/>
      <c r="Z461" s="229"/>
      <c r="AA461" s="229"/>
      <c r="AB461" s="222">
        <f t="shared" si="77"/>
        <v>0</v>
      </c>
      <c r="AC461" s="230">
        <f t="shared" si="78"/>
        <v>0</v>
      </c>
      <c r="AD461" s="222" t="str">
        <f t="shared" si="79"/>
        <v/>
      </c>
      <c r="AE461" s="201"/>
      <c r="AF461" s="231" t="str">
        <f>+IFERROR(VLOOKUP(L461,Data!$F$4:$G$97,2,0),"")</f>
        <v/>
      </c>
    </row>
    <row r="462" spans="9:32" ht="15" customHeight="1" x14ac:dyDescent="0.3">
      <c r="I462" s="201" t="str">
        <f t="shared" si="72"/>
        <v/>
      </c>
      <c r="J462" s="218">
        <f t="shared" si="73"/>
        <v>459</v>
      </c>
      <c r="K462" s="250"/>
      <c r="L462" s="219"/>
      <c r="M462" s="218"/>
      <c r="N462" s="220" t="str">
        <f>IFERROR(VLOOKUP(M462,Data!$C$4:$D$395,2,0),"")</f>
        <v/>
      </c>
      <c r="O462" s="220"/>
      <c r="P462" s="229"/>
      <c r="Q462" s="221"/>
      <c r="R462" s="222" t="str">
        <f t="shared" si="74"/>
        <v>-</v>
      </c>
      <c r="S462" s="223"/>
      <c r="T462" s="224"/>
      <c r="U462" s="225">
        <f t="shared" si="75"/>
        <v>0</v>
      </c>
      <c r="V462" s="226">
        <v>0</v>
      </c>
      <c r="W462" s="227"/>
      <c r="X462" s="228">
        <f t="shared" si="76"/>
        <v>0</v>
      </c>
      <c r="Y462" s="229"/>
      <c r="Z462" s="229"/>
      <c r="AA462" s="229"/>
      <c r="AB462" s="222">
        <f t="shared" si="77"/>
        <v>0</v>
      </c>
      <c r="AC462" s="230">
        <f t="shared" si="78"/>
        <v>0</v>
      </c>
      <c r="AD462" s="222" t="str">
        <f t="shared" si="79"/>
        <v/>
      </c>
      <c r="AE462" s="201"/>
      <c r="AF462" s="231" t="str">
        <f>+IFERROR(VLOOKUP(L462,Data!$F$4:$G$97,2,0),"")</f>
        <v/>
      </c>
    </row>
    <row r="463" spans="9:32" ht="15" customHeight="1" x14ac:dyDescent="0.3">
      <c r="I463" s="201" t="str">
        <f t="shared" si="72"/>
        <v/>
      </c>
      <c r="J463" s="218">
        <f t="shared" si="73"/>
        <v>460</v>
      </c>
      <c r="K463" s="250"/>
      <c r="L463" s="219"/>
      <c r="M463" s="218"/>
      <c r="N463" s="220" t="str">
        <f>IFERROR(VLOOKUP(M463,Data!$C$4:$D$395,2,0),"")</f>
        <v/>
      </c>
      <c r="O463" s="220"/>
      <c r="P463" s="229"/>
      <c r="Q463" s="221"/>
      <c r="R463" s="222" t="str">
        <f t="shared" si="74"/>
        <v>-</v>
      </c>
      <c r="S463" s="223"/>
      <c r="T463" s="224"/>
      <c r="U463" s="225">
        <f t="shared" si="75"/>
        <v>0</v>
      </c>
      <c r="V463" s="226">
        <v>0</v>
      </c>
      <c r="W463" s="227"/>
      <c r="X463" s="228">
        <f t="shared" si="76"/>
        <v>0</v>
      </c>
      <c r="Y463" s="229"/>
      <c r="Z463" s="229"/>
      <c r="AA463" s="229"/>
      <c r="AB463" s="222">
        <f t="shared" si="77"/>
        <v>0</v>
      </c>
      <c r="AC463" s="230">
        <f t="shared" si="78"/>
        <v>0</v>
      </c>
      <c r="AD463" s="222" t="str">
        <f t="shared" si="79"/>
        <v/>
      </c>
      <c r="AE463" s="201"/>
      <c r="AF463" s="231" t="str">
        <f>+IFERROR(VLOOKUP(L463,Data!$F$4:$G$97,2,0),"")</f>
        <v/>
      </c>
    </row>
    <row r="464" spans="9:32" ht="15" customHeight="1" x14ac:dyDescent="0.3">
      <c r="I464" s="201" t="str">
        <f t="shared" si="72"/>
        <v/>
      </c>
      <c r="J464" s="218">
        <f t="shared" si="73"/>
        <v>461</v>
      </c>
      <c r="K464" s="250"/>
      <c r="L464" s="219"/>
      <c r="M464" s="218"/>
      <c r="N464" s="220" t="str">
        <f>IFERROR(VLOOKUP(M464,Data!$C$4:$D$395,2,0),"")</f>
        <v/>
      </c>
      <c r="O464" s="220"/>
      <c r="P464" s="229"/>
      <c r="Q464" s="221"/>
      <c r="R464" s="222" t="str">
        <f t="shared" si="74"/>
        <v>-</v>
      </c>
      <c r="S464" s="223"/>
      <c r="T464" s="224"/>
      <c r="U464" s="225">
        <f t="shared" si="75"/>
        <v>0</v>
      </c>
      <c r="V464" s="226">
        <v>0</v>
      </c>
      <c r="W464" s="227"/>
      <c r="X464" s="228">
        <f t="shared" si="76"/>
        <v>0</v>
      </c>
      <c r="Y464" s="229"/>
      <c r="Z464" s="229"/>
      <c r="AA464" s="229"/>
      <c r="AB464" s="222">
        <f t="shared" si="77"/>
        <v>0</v>
      </c>
      <c r="AC464" s="230">
        <f t="shared" si="78"/>
        <v>0</v>
      </c>
      <c r="AD464" s="222" t="str">
        <f t="shared" si="79"/>
        <v/>
      </c>
      <c r="AE464" s="201"/>
      <c r="AF464" s="231" t="str">
        <f>+IFERROR(VLOOKUP(L464,Data!$F$4:$G$97,2,0),"")</f>
        <v/>
      </c>
    </row>
    <row r="465" spans="9:32" ht="15" customHeight="1" x14ac:dyDescent="0.3">
      <c r="I465" s="201" t="str">
        <f t="shared" si="72"/>
        <v/>
      </c>
      <c r="J465" s="218">
        <f t="shared" si="73"/>
        <v>462</v>
      </c>
      <c r="K465" s="250"/>
      <c r="L465" s="219"/>
      <c r="M465" s="218"/>
      <c r="N465" s="220" t="str">
        <f>IFERROR(VLOOKUP(M465,Data!$C$4:$D$395,2,0),"")</f>
        <v/>
      </c>
      <c r="O465" s="220"/>
      <c r="P465" s="229"/>
      <c r="Q465" s="221"/>
      <c r="R465" s="222" t="str">
        <f t="shared" si="74"/>
        <v>-</v>
      </c>
      <c r="S465" s="223"/>
      <c r="T465" s="224"/>
      <c r="U465" s="225">
        <f t="shared" si="75"/>
        <v>0</v>
      </c>
      <c r="V465" s="226">
        <v>0</v>
      </c>
      <c r="W465" s="227"/>
      <c r="X465" s="228">
        <f t="shared" si="76"/>
        <v>0</v>
      </c>
      <c r="Y465" s="229"/>
      <c r="Z465" s="229"/>
      <c r="AA465" s="229"/>
      <c r="AB465" s="222">
        <f t="shared" si="77"/>
        <v>0</v>
      </c>
      <c r="AC465" s="230">
        <f t="shared" si="78"/>
        <v>0</v>
      </c>
      <c r="AD465" s="222" t="str">
        <f t="shared" si="79"/>
        <v/>
      </c>
      <c r="AE465" s="201"/>
      <c r="AF465" s="231" t="str">
        <f>+IFERROR(VLOOKUP(L465,Data!$F$4:$G$97,2,0),"")</f>
        <v/>
      </c>
    </row>
    <row r="466" spans="9:32" ht="15" customHeight="1" x14ac:dyDescent="0.3">
      <c r="I466" s="201" t="str">
        <f t="shared" si="72"/>
        <v/>
      </c>
      <c r="J466" s="218">
        <f t="shared" si="73"/>
        <v>463</v>
      </c>
      <c r="K466" s="250"/>
      <c r="L466" s="219"/>
      <c r="M466" s="218"/>
      <c r="N466" s="220" t="str">
        <f>IFERROR(VLOOKUP(M466,Data!$C$4:$D$395,2,0),"")</f>
        <v/>
      </c>
      <c r="O466" s="220"/>
      <c r="P466" s="229"/>
      <c r="Q466" s="221"/>
      <c r="R466" s="222" t="str">
        <f t="shared" si="74"/>
        <v>-</v>
      </c>
      <c r="S466" s="223"/>
      <c r="T466" s="224"/>
      <c r="U466" s="225">
        <f t="shared" si="75"/>
        <v>0</v>
      </c>
      <c r="V466" s="226">
        <v>0</v>
      </c>
      <c r="W466" s="227"/>
      <c r="X466" s="228">
        <f t="shared" si="76"/>
        <v>0</v>
      </c>
      <c r="Y466" s="229"/>
      <c r="Z466" s="229"/>
      <c r="AA466" s="229"/>
      <c r="AB466" s="222">
        <f t="shared" si="77"/>
        <v>0</v>
      </c>
      <c r="AC466" s="230">
        <f t="shared" si="78"/>
        <v>0</v>
      </c>
      <c r="AD466" s="222" t="str">
        <f t="shared" si="79"/>
        <v/>
      </c>
      <c r="AE466" s="201"/>
      <c r="AF466" s="231" t="str">
        <f>+IFERROR(VLOOKUP(L466,Data!$F$4:$G$97,2,0),"")</f>
        <v/>
      </c>
    </row>
    <row r="467" spans="9:32" ht="15" customHeight="1" x14ac:dyDescent="0.3">
      <c r="I467" s="201" t="str">
        <f t="shared" si="72"/>
        <v/>
      </c>
      <c r="J467" s="218">
        <f t="shared" si="73"/>
        <v>464</v>
      </c>
      <c r="K467" s="250"/>
      <c r="L467" s="219"/>
      <c r="M467" s="218"/>
      <c r="N467" s="220" t="str">
        <f>IFERROR(VLOOKUP(M467,Data!$C$4:$D$395,2,0),"")</f>
        <v/>
      </c>
      <c r="O467" s="220"/>
      <c r="P467" s="229"/>
      <c r="Q467" s="221"/>
      <c r="R467" s="222" t="str">
        <f t="shared" si="74"/>
        <v>-</v>
      </c>
      <c r="S467" s="223"/>
      <c r="T467" s="224"/>
      <c r="U467" s="225">
        <f t="shared" si="75"/>
        <v>0</v>
      </c>
      <c r="V467" s="226">
        <v>0</v>
      </c>
      <c r="W467" s="227"/>
      <c r="X467" s="228">
        <f t="shared" si="76"/>
        <v>0</v>
      </c>
      <c r="Y467" s="229"/>
      <c r="Z467" s="229"/>
      <c r="AA467" s="229"/>
      <c r="AB467" s="222">
        <f t="shared" si="77"/>
        <v>0</v>
      </c>
      <c r="AC467" s="230">
        <f t="shared" si="78"/>
        <v>0</v>
      </c>
      <c r="AD467" s="222" t="str">
        <f t="shared" si="79"/>
        <v/>
      </c>
      <c r="AE467" s="201"/>
      <c r="AF467" s="231" t="str">
        <f>+IFERROR(VLOOKUP(L467,Data!$F$4:$G$97,2,0),"")</f>
        <v/>
      </c>
    </row>
    <row r="468" spans="9:32" ht="15" customHeight="1" x14ac:dyDescent="0.3">
      <c r="I468" s="201" t="str">
        <f t="shared" si="72"/>
        <v/>
      </c>
      <c r="J468" s="218">
        <f t="shared" si="73"/>
        <v>465</v>
      </c>
      <c r="K468" s="250"/>
      <c r="L468" s="219"/>
      <c r="M468" s="218"/>
      <c r="N468" s="220" t="str">
        <f>IFERROR(VLOOKUP(M468,Data!$C$4:$D$395,2,0),"")</f>
        <v/>
      </c>
      <c r="O468" s="220"/>
      <c r="P468" s="229"/>
      <c r="Q468" s="221"/>
      <c r="R468" s="222" t="str">
        <f t="shared" si="74"/>
        <v>-</v>
      </c>
      <c r="S468" s="223"/>
      <c r="T468" s="224"/>
      <c r="U468" s="225">
        <f t="shared" si="75"/>
        <v>0</v>
      </c>
      <c r="V468" s="226">
        <v>0</v>
      </c>
      <c r="W468" s="227"/>
      <c r="X468" s="228">
        <f t="shared" si="76"/>
        <v>0</v>
      </c>
      <c r="Y468" s="229"/>
      <c r="Z468" s="229"/>
      <c r="AA468" s="229"/>
      <c r="AB468" s="222">
        <f t="shared" si="77"/>
        <v>0</v>
      </c>
      <c r="AC468" s="230">
        <f t="shared" si="78"/>
        <v>0</v>
      </c>
      <c r="AD468" s="222" t="str">
        <f t="shared" si="79"/>
        <v/>
      </c>
      <c r="AE468" s="201"/>
      <c r="AF468" s="231" t="str">
        <f>+IFERROR(VLOOKUP(L468,Data!$F$4:$G$97,2,0),"")</f>
        <v/>
      </c>
    </row>
    <row r="469" spans="9:32" ht="15" customHeight="1" x14ac:dyDescent="0.3">
      <c r="I469" s="201" t="str">
        <f t="shared" si="72"/>
        <v/>
      </c>
      <c r="J469" s="218">
        <f t="shared" si="73"/>
        <v>466</v>
      </c>
      <c r="K469" s="250"/>
      <c r="L469" s="219"/>
      <c r="M469" s="218"/>
      <c r="N469" s="220" t="str">
        <f>IFERROR(VLOOKUP(M469,Data!$C$4:$D$395,2,0),"")</f>
        <v/>
      </c>
      <c r="O469" s="220"/>
      <c r="P469" s="229"/>
      <c r="Q469" s="221"/>
      <c r="R469" s="222" t="str">
        <f t="shared" si="74"/>
        <v>-</v>
      </c>
      <c r="S469" s="223"/>
      <c r="T469" s="224"/>
      <c r="U469" s="225">
        <f t="shared" si="75"/>
        <v>0</v>
      </c>
      <c r="V469" s="226">
        <v>0</v>
      </c>
      <c r="W469" s="227"/>
      <c r="X469" s="228">
        <f t="shared" si="76"/>
        <v>0</v>
      </c>
      <c r="Y469" s="229"/>
      <c r="Z469" s="229"/>
      <c r="AA469" s="229"/>
      <c r="AB469" s="222">
        <f t="shared" si="77"/>
        <v>0</v>
      </c>
      <c r="AC469" s="230">
        <f t="shared" si="78"/>
        <v>0</v>
      </c>
      <c r="AD469" s="222" t="str">
        <f t="shared" si="79"/>
        <v/>
      </c>
      <c r="AE469" s="201"/>
      <c r="AF469" s="231" t="str">
        <f>+IFERROR(VLOOKUP(L469,Data!$F$4:$G$97,2,0),"")</f>
        <v/>
      </c>
    </row>
    <row r="470" spans="9:32" ht="15" customHeight="1" x14ac:dyDescent="0.3">
      <c r="I470" s="201" t="str">
        <f t="shared" si="72"/>
        <v/>
      </c>
      <c r="J470" s="218">
        <f t="shared" si="73"/>
        <v>467</v>
      </c>
      <c r="K470" s="250"/>
      <c r="L470" s="219"/>
      <c r="M470" s="218"/>
      <c r="N470" s="220" t="str">
        <f>IFERROR(VLOOKUP(M470,Data!$C$4:$D$395,2,0),"")</f>
        <v/>
      </c>
      <c r="O470" s="220"/>
      <c r="P470" s="229"/>
      <c r="Q470" s="221"/>
      <c r="R470" s="222" t="str">
        <f t="shared" si="74"/>
        <v>-</v>
      </c>
      <c r="S470" s="223"/>
      <c r="T470" s="224"/>
      <c r="U470" s="225">
        <f t="shared" si="75"/>
        <v>0</v>
      </c>
      <c r="V470" s="226">
        <v>0</v>
      </c>
      <c r="W470" s="227"/>
      <c r="X470" s="228">
        <f t="shared" si="76"/>
        <v>0</v>
      </c>
      <c r="Y470" s="229"/>
      <c r="Z470" s="229"/>
      <c r="AA470" s="229"/>
      <c r="AB470" s="222">
        <f t="shared" si="77"/>
        <v>0</v>
      </c>
      <c r="AC470" s="230">
        <f t="shared" si="78"/>
        <v>0</v>
      </c>
      <c r="AD470" s="222" t="str">
        <f t="shared" si="79"/>
        <v/>
      </c>
      <c r="AE470" s="201"/>
      <c r="AF470" s="231" t="str">
        <f>+IFERROR(VLOOKUP(L470,Data!$F$4:$G$97,2,0),"")</f>
        <v/>
      </c>
    </row>
    <row r="471" spans="9:32" ht="15" customHeight="1" x14ac:dyDescent="0.3">
      <c r="I471" s="201" t="str">
        <f t="shared" si="72"/>
        <v/>
      </c>
      <c r="J471" s="218">
        <f t="shared" si="73"/>
        <v>468</v>
      </c>
      <c r="K471" s="250"/>
      <c r="L471" s="219"/>
      <c r="M471" s="218"/>
      <c r="N471" s="220" t="str">
        <f>IFERROR(VLOOKUP(M471,Data!$C$4:$D$395,2,0),"")</f>
        <v/>
      </c>
      <c r="O471" s="220"/>
      <c r="P471" s="229"/>
      <c r="Q471" s="221"/>
      <c r="R471" s="222" t="str">
        <f t="shared" si="74"/>
        <v>-</v>
      </c>
      <c r="S471" s="223"/>
      <c r="T471" s="224"/>
      <c r="U471" s="225">
        <f t="shared" si="75"/>
        <v>0</v>
      </c>
      <c r="V471" s="226">
        <v>0</v>
      </c>
      <c r="W471" s="227"/>
      <c r="X471" s="228">
        <f t="shared" si="76"/>
        <v>0</v>
      </c>
      <c r="Y471" s="229"/>
      <c r="Z471" s="229"/>
      <c r="AA471" s="229"/>
      <c r="AB471" s="222">
        <f t="shared" si="77"/>
        <v>0</v>
      </c>
      <c r="AC471" s="230">
        <f t="shared" si="78"/>
        <v>0</v>
      </c>
      <c r="AD471" s="222" t="str">
        <f t="shared" si="79"/>
        <v/>
      </c>
      <c r="AE471" s="201"/>
      <c r="AF471" s="231" t="str">
        <f>+IFERROR(VLOOKUP(L471,Data!$F$4:$G$97,2,0),"")</f>
        <v/>
      </c>
    </row>
    <row r="472" spans="9:32" ht="15" customHeight="1" x14ac:dyDescent="0.3">
      <c r="I472" s="201" t="str">
        <f t="shared" si="72"/>
        <v/>
      </c>
      <c r="J472" s="218">
        <f t="shared" si="73"/>
        <v>469</v>
      </c>
      <c r="K472" s="250"/>
      <c r="L472" s="219"/>
      <c r="M472" s="218"/>
      <c r="N472" s="220" t="str">
        <f>IFERROR(VLOOKUP(M472,Data!$C$4:$D$395,2,0),"")</f>
        <v/>
      </c>
      <c r="O472" s="220"/>
      <c r="P472" s="229"/>
      <c r="Q472" s="221"/>
      <c r="R472" s="222" t="str">
        <f t="shared" si="74"/>
        <v>-</v>
      </c>
      <c r="S472" s="223"/>
      <c r="T472" s="224"/>
      <c r="U472" s="225">
        <f t="shared" si="75"/>
        <v>0</v>
      </c>
      <c r="V472" s="226">
        <v>0</v>
      </c>
      <c r="W472" s="227"/>
      <c r="X472" s="228">
        <f t="shared" si="76"/>
        <v>0</v>
      </c>
      <c r="Y472" s="229"/>
      <c r="Z472" s="229"/>
      <c r="AA472" s="229"/>
      <c r="AB472" s="222">
        <f t="shared" si="77"/>
        <v>0</v>
      </c>
      <c r="AC472" s="230">
        <f t="shared" si="78"/>
        <v>0</v>
      </c>
      <c r="AD472" s="222" t="str">
        <f t="shared" si="79"/>
        <v/>
      </c>
      <c r="AE472" s="201"/>
      <c r="AF472" s="231" t="str">
        <f>+IFERROR(VLOOKUP(L472,Data!$F$4:$G$97,2,0),"")</f>
        <v/>
      </c>
    </row>
    <row r="473" spans="9:32" ht="15" customHeight="1" x14ac:dyDescent="0.3">
      <c r="I473" s="201" t="str">
        <f t="shared" si="72"/>
        <v/>
      </c>
      <c r="J473" s="218">
        <f t="shared" si="73"/>
        <v>470</v>
      </c>
      <c r="K473" s="250"/>
      <c r="L473" s="219"/>
      <c r="M473" s="218"/>
      <c r="N473" s="220" t="str">
        <f>IFERROR(VLOOKUP(M473,Data!$C$4:$D$395,2,0),"")</f>
        <v/>
      </c>
      <c r="O473" s="220"/>
      <c r="P473" s="229"/>
      <c r="Q473" s="221"/>
      <c r="R473" s="222" t="str">
        <f t="shared" si="74"/>
        <v>-</v>
      </c>
      <c r="S473" s="223"/>
      <c r="T473" s="224"/>
      <c r="U473" s="225">
        <f t="shared" si="75"/>
        <v>0</v>
      </c>
      <c r="V473" s="226">
        <v>0</v>
      </c>
      <c r="W473" s="227"/>
      <c r="X473" s="228">
        <f t="shared" si="76"/>
        <v>0</v>
      </c>
      <c r="Y473" s="229"/>
      <c r="Z473" s="229"/>
      <c r="AA473" s="229"/>
      <c r="AB473" s="222">
        <f t="shared" si="77"/>
        <v>0</v>
      </c>
      <c r="AC473" s="230">
        <f t="shared" si="78"/>
        <v>0</v>
      </c>
      <c r="AD473" s="222" t="str">
        <f t="shared" si="79"/>
        <v/>
      </c>
      <c r="AE473" s="201"/>
      <c r="AF473" s="231" t="str">
        <f>+IFERROR(VLOOKUP(L473,Data!$F$4:$G$97,2,0),"")</f>
        <v/>
      </c>
    </row>
    <row r="474" spans="9:32" ht="15" customHeight="1" x14ac:dyDescent="0.3">
      <c r="I474" s="201" t="str">
        <f t="shared" si="72"/>
        <v/>
      </c>
      <c r="J474" s="218">
        <f t="shared" si="73"/>
        <v>471</v>
      </c>
      <c r="K474" s="250"/>
      <c r="L474" s="219"/>
      <c r="M474" s="218"/>
      <c r="N474" s="220" t="str">
        <f>IFERROR(VLOOKUP(M474,Data!$C$4:$D$395,2,0),"")</f>
        <v/>
      </c>
      <c r="O474" s="220"/>
      <c r="P474" s="229"/>
      <c r="Q474" s="221"/>
      <c r="R474" s="222" t="str">
        <f t="shared" si="74"/>
        <v>-</v>
      </c>
      <c r="S474" s="223"/>
      <c r="T474" s="224"/>
      <c r="U474" s="225">
        <f t="shared" si="75"/>
        <v>0</v>
      </c>
      <c r="V474" s="226">
        <v>0</v>
      </c>
      <c r="W474" s="227"/>
      <c r="X474" s="228">
        <f t="shared" si="76"/>
        <v>0</v>
      </c>
      <c r="Y474" s="229"/>
      <c r="Z474" s="229"/>
      <c r="AA474" s="229"/>
      <c r="AB474" s="222">
        <f t="shared" si="77"/>
        <v>0</v>
      </c>
      <c r="AC474" s="230">
        <f t="shared" si="78"/>
        <v>0</v>
      </c>
      <c r="AD474" s="222" t="str">
        <f t="shared" si="79"/>
        <v/>
      </c>
      <c r="AE474" s="201"/>
      <c r="AF474" s="231" t="str">
        <f>+IFERROR(VLOOKUP(L474,Data!$F$4:$G$97,2,0),"")</f>
        <v/>
      </c>
    </row>
    <row r="475" spans="9:32" ht="15" customHeight="1" x14ac:dyDescent="0.3">
      <c r="I475" s="201" t="str">
        <f t="shared" si="72"/>
        <v/>
      </c>
      <c r="J475" s="218">
        <f t="shared" si="73"/>
        <v>472</v>
      </c>
      <c r="K475" s="250"/>
      <c r="L475" s="219"/>
      <c r="M475" s="218"/>
      <c r="N475" s="220" t="str">
        <f>IFERROR(VLOOKUP(M475,Data!$C$4:$D$395,2,0),"")</f>
        <v/>
      </c>
      <c r="O475" s="220"/>
      <c r="P475" s="229"/>
      <c r="Q475" s="221"/>
      <c r="R475" s="222" t="str">
        <f t="shared" si="74"/>
        <v>-</v>
      </c>
      <c r="S475" s="223"/>
      <c r="T475" s="224"/>
      <c r="U475" s="225">
        <f t="shared" si="75"/>
        <v>0</v>
      </c>
      <c r="V475" s="226">
        <v>0</v>
      </c>
      <c r="W475" s="227"/>
      <c r="X475" s="228">
        <f t="shared" si="76"/>
        <v>0</v>
      </c>
      <c r="Y475" s="229"/>
      <c r="Z475" s="229"/>
      <c r="AA475" s="229"/>
      <c r="AB475" s="222">
        <f t="shared" si="77"/>
        <v>0</v>
      </c>
      <c r="AC475" s="230">
        <f t="shared" si="78"/>
        <v>0</v>
      </c>
      <c r="AD475" s="222" t="str">
        <f t="shared" si="79"/>
        <v/>
      </c>
      <c r="AE475" s="201"/>
      <c r="AF475" s="231" t="str">
        <f>+IFERROR(VLOOKUP(L475,Data!$F$4:$G$97,2,0),"")</f>
        <v/>
      </c>
    </row>
    <row r="476" spans="9:32" ht="15" customHeight="1" x14ac:dyDescent="0.3">
      <c r="I476" s="201" t="str">
        <f t="shared" si="72"/>
        <v/>
      </c>
      <c r="J476" s="218">
        <f t="shared" si="73"/>
        <v>473</v>
      </c>
      <c r="K476" s="250"/>
      <c r="L476" s="219"/>
      <c r="M476" s="218"/>
      <c r="N476" s="220" t="str">
        <f>IFERROR(VLOOKUP(M476,Data!$C$4:$D$395,2,0),"")</f>
        <v/>
      </c>
      <c r="O476" s="220"/>
      <c r="P476" s="229"/>
      <c r="Q476" s="221"/>
      <c r="R476" s="222" t="str">
        <f t="shared" si="74"/>
        <v>-</v>
      </c>
      <c r="S476" s="223"/>
      <c r="T476" s="224"/>
      <c r="U476" s="225">
        <f t="shared" si="75"/>
        <v>0</v>
      </c>
      <c r="V476" s="226">
        <v>0</v>
      </c>
      <c r="W476" s="227"/>
      <c r="X476" s="228">
        <f t="shared" si="76"/>
        <v>0</v>
      </c>
      <c r="Y476" s="229"/>
      <c r="Z476" s="229"/>
      <c r="AA476" s="229"/>
      <c r="AB476" s="222">
        <f t="shared" si="77"/>
        <v>0</v>
      </c>
      <c r="AC476" s="230">
        <f t="shared" si="78"/>
        <v>0</v>
      </c>
      <c r="AD476" s="222" t="str">
        <f t="shared" si="79"/>
        <v/>
      </c>
      <c r="AE476" s="201"/>
      <c r="AF476" s="231" t="str">
        <f>+IFERROR(VLOOKUP(L476,Data!$F$4:$G$97,2,0),"")</f>
        <v/>
      </c>
    </row>
    <row r="477" spans="9:32" ht="15" customHeight="1" x14ac:dyDescent="0.3">
      <c r="I477" s="201" t="str">
        <f t="shared" si="72"/>
        <v/>
      </c>
      <c r="J477" s="218">
        <f t="shared" si="73"/>
        <v>474</v>
      </c>
      <c r="K477" s="250"/>
      <c r="L477" s="219"/>
      <c r="M477" s="218"/>
      <c r="N477" s="220" t="str">
        <f>IFERROR(VLOOKUP(M477,Data!$C$4:$D$395,2,0),"")</f>
        <v/>
      </c>
      <c r="O477" s="220"/>
      <c r="P477" s="229"/>
      <c r="Q477" s="221"/>
      <c r="R477" s="222" t="str">
        <f t="shared" si="74"/>
        <v>-</v>
      </c>
      <c r="S477" s="223"/>
      <c r="T477" s="224"/>
      <c r="U477" s="225">
        <f t="shared" si="75"/>
        <v>0</v>
      </c>
      <c r="V477" s="226">
        <v>0</v>
      </c>
      <c r="W477" s="227"/>
      <c r="X477" s="228">
        <f t="shared" si="76"/>
        <v>0</v>
      </c>
      <c r="Y477" s="229"/>
      <c r="Z477" s="229"/>
      <c r="AA477" s="229"/>
      <c r="AB477" s="222">
        <f t="shared" si="77"/>
        <v>0</v>
      </c>
      <c r="AC477" s="230">
        <f t="shared" si="78"/>
        <v>0</v>
      </c>
      <c r="AD477" s="222" t="str">
        <f t="shared" si="79"/>
        <v/>
      </c>
      <c r="AE477" s="201"/>
      <c r="AF477" s="231" t="str">
        <f>+IFERROR(VLOOKUP(L477,Data!$F$4:$G$97,2,0),"")</f>
        <v/>
      </c>
    </row>
    <row r="478" spans="9:32" ht="15" customHeight="1" x14ac:dyDescent="0.3">
      <c r="I478" s="201" t="str">
        <f t="shared" si="72"/>
        <v/>
      </c>
      <c r="J478" s="218">
        <f t="shared" si="73"/>
        <v>475</v>
      </c>
      <c r="K478" s="250"/>
      <c r="L478" s="219"/>
      <c r="M478" s="218"/>
      <c r="N478" s="220" t="str">
        <f>IFERROR(VLOOKUP(M478,Data!$C$4:$D$395,2,0),"")</f>
        <v/>
      </c>
      <c r="O478" s="220"/>
      <c r="P478" s="229"/>
      <c r="Q478" s="221"/>
      <c r="R478" s="222" t="str">
        <f t="shared" si="74"/>
        <v>-</v>
      </c>
      <c r="S478" s="223"/>
      <c r="T478" s="224"/>
      <c r="U478" s="225">
        <f t="shared" si="75"/>
        <v>0</v>
      </c>
      <c r="V478" s="226">
        <v>0</v>
      </c>
      <c r="W478" s="227"/>
      <c r="X478" s="228">
        <f t="shared" si="76"/>
        <v>0</v>
      </c>
      <c r="Y478" s="229"/>
      <c r="Z478" s="229"/>
      <c r="AA478" s="229"/>
      <c r="AB478" s="222">
        <f t="shared" si="77"/>
        <v>0</v>
      </c>
      <c r="AC478" s="230">
        <f t="shared" si="78"/>
        <v>0</v>
      </c>
      <c r="AD478" s="222" t="str">
        <f t="shared" si="79"/>
        <v/>
      </c>
      <c r="AE478" s="201"/>
      <c r="AF478" s="231" t="str">
        <f>+IFERROR(VLOOKUP(L478,Data!$F$4:$G$97,2,0),"")</f>
        <v/>
      </c>
    </row>
    <row r="479" spans="9:32" ht="15" customHeight="1" x14ac:dyDescent="0.3">
      <c r="I479" s="201" t="str">
        <f t="shared" si="72"/>
        <v/>
      </c>
      <c r="J479" s="218">
        <f t="shared" si="73"/>
        <v>476</v>
      </c>
      <c r="K479" s="250"/>
      <c r="L479" s="219"/>
      <c r="M479" s="218"/>
      <c r="N479" s="220" t="str">
        <f>IFERROR(VLOOKUP(M479,Data!$C$4:$D$395,2,0),"")</f>
        <v/>
      </c>
      <c r="O479" s="220"/>
      <c r="P479" s="229"/>
      <c r="Q479" s="221"/>
      <c r="R479" s="222" t="str">
        <f t="shared" si="74"/>
        <v>-</v>
      </c>
      <c r="S479" s="223"/>
      <c r="T479" s="224"/>
      <c r="U479" s="225">
        <f t="shared" si="75"/>
        <v>0</v>
      </c>
      <c r="V479" s="226">
        <v>0</v>
      </c>
      <c r="W479" s="227"/>
      <c r="X479" s="228">
        <f t="shared" si="76"/>
        <v>0</v>
      </c>
      <c r="Y479" s="229"/>
      <c r="Z479" s="229"/>
      <c r="AA479" s="229"/>
      <c r="AB479" s="222">
        <f t="shared" si="77"/>
        <v>0</v>
      </c>
      <c r="AC479" s="230">
        <f t="shared" si="78"/>
        <v>0</v>
      </c>
      <c r="AD479" s="222" t="str">
        <f t="shared" si="79"/>
        <v/>
      </c>
      <c r="AE479" s="201"/>
      <c r="AF479" s="231" t="str">
        <f>+IFERROR(VLOOKUP(L479,Data!$F$4:$G$97,2,0),"")</f>
        <v/>
      </c>
    </row>
    <row r="480" spans="9:32" ht="15" customHeight="1" x14ac:dyDescent="0.3">
      <c r="I480" s="201" t="str">
        <f t="shared" si="72"/>
        <v/>
      </c>
      <c r="J480" s="218">
        <f t="shared" si="73"/>
        <v>477</v>
      </c>
      <c r="K480" s="250"/>
      <c r="L480" s="219"/>
      <c r="M480" s="218"/>
      <c r="N480" s="220" t="str">
        <f>IFERROR(VLOOKUP(M480,Data!$C$4:$D$395,2,0),"")</f>
        <v/>
      </c>
      <c r="O480" s="220"/>
      <c r="P480" s="229"/>
      <c r="Q480" s="221"/>
      <c r="R480" s="222" t="str">
        <f t="shared" si="74"/>
        <v>-</v>
      </c>
      <c r="S480" s="223"/>
      <c r="T480" s="224"/>
      <c r="U480" s="225">
        <f t="shared" si="75"/>
        <v>0</v>
      </c>
      <c r="V480" s="226">
        <v>0</v>
      </c>
      <c r="W480" s="227"/>
      <c r="X480" s="228">
        <f t="shared" si="76"/>
        <v>0</v>
      </c>
      <c r="Y480" s="229"/>
      <c r="Z480" s="229"/>
      <c r="AA480" s="229"/>
      <c r="AB480" s="222">
        <f t="shared" si="77"/>
        <v>0</v>
      </c>
      <c r="AC480" s="230">
        <f t="shared" si="78"/>
        <v>0</v>
      </c>
      <c r="AD480" s="222" t="str">
        <f t="shared" si="79"/>
        <v/>
      </c>
      <c r="AE480" s="201"/>
      <c r="AF480" s="231" t="str">
        <f>+IFERROR(VLOOKUP(L480,Data!$F$4:$G$97,2,0),"")</f>
        <v/>
      </c>
    </row>
    <row r="481" spans="9:32" ht="15" customHeight="1" x14ac:dyDescent="0.3">
      <c r="I481" s="201" t="str">
        <f t="shared" si="72"/>
        <v/>
      </c>
      <c r="J481" s="218">
        <f t="shared" si="73"/>
        <v>478</v>
      </c>
      <c r="K481" s="250"/>
      <c r="L481" s="219"/>
      <c r="M481" s="218"/>
      <c r="N481" s="220" t="str">
        <f>IFERROR(VLOOKUP(M481,Data!$C$4:$D$395,2,0),"")</f>
        <v/>
      </c>
      <c r="O481" s="220"/>
      <c r="P481" s="229"/>
      <c r="Q481" s="221"/>
      <c r="R481" s="222" t="str">
        <f t="shared" si="74"/>
        <v>-</v>
      </c>
      <c r="S481" s="223"/>
      <c r="T481" s="224"/>
      <c r="U481" s="225">
        <f t="shared" si="75"/>
        <v>0</v>
      </c>
      <c r="V481" s="226">
        <v>0</v>
      </c>
      <c r="W481" s="227"/>
      <c r="X481" s="228">
        <f t="shared" si="76"/>
        <v>0</v>
      </c>
      <c r="Y481" s="229"/>
      <c r="Z481" s="229"/>
      <c r="AA481" s="229"/>
      <c r="AB481" s="222">
        <f t="shared" si="77"/>
        <v>0</v>
      </c>
      <c r="AC481" s="230">
        <f t="shared" si="78"/>
        <v>0</v>
      </c>
      <c r="AD481" s="222" t="str">
        <f t="shared" si="79"/>
        <v/>
      </c>
      <c r="AE481" s="201"/>
      <c r="AF481" s="231" t="str">
        <f>+IFERROR(VLOOKUP(L481,Data!$F$4:$G$97,2,0),"")</f>
        <v/>
      </c>
    </row>
    <row r="482" spans="9:32" ht="15" customHeight="1" x14ac:dyDescent="0.3">
      <c r="I482" s="201" t="str">
        <f t="shared" si="72"/>
        <v/>
      </c>
      <c r="J482" s="218">
        <f t="shared" si="73"/>
        <v>479</v>
      </c>
      <c r="K482" s="250"/>
      <c r="L482" s="219"/>
      <c r="M482" s="218"/>
      <c r="N482" s="220" t="str">
        <f>IFERROR(VLOOKUP(M482,Data!$C$4:$D$395,2,0),"")</f>
        <v/>
      </c>
      <c r="O482" s="220"/>
      <c r="P482" s="229"/>
      <c r="Q482" s="221"/>
      <c r="R482" s="222" t="str">
        <f t="shared" si="74"/>
        <v>-</v>
      </c>
      <c r="S482" s="223"/>
      <c r="T482" s="224"/>
      <c r="U482" s="225">
        <f t="shared" si="75"/>
        <v>0</v>
      </c>
      <c r="V482" s="226">
        <v>0</v>
      </c>
      <c r="W482" s="227"/>
      <c r="X482" s="228">
        <f t="shared" si="76"/>
        <v>0</v>
      </c>
      <c r="Y482" s="229"/>
      <c r="Z482" s="229"/>
      <c r="AA482" s="229"/>
      <c r="AB482" s="222">
        <f t="shared" si="77"/>
        <v>0</v>
      </c>
      <c r="AC482" s="230">
        <f t="shared" si="78"/>
        <v>0</v>
      </c>
      <c r="AD482" s="222" t="str">
        <f t="shared" si="79"/>
        <v/>
      </c>
      <c r="AE482" s="201"/>
      <c r="AF482" s="231" t="str">
        <f>+IFERROR(VLOOKUP(L482,Data!$F$4:$G$97,2,0),"")</f>
        <v/>
      </c>
    </row>
    <row r="483" spans="9:32" ht="15" customHeight="1" x14ac:dyDescent="0.3">
      <c r="I483" s="201" t="str">
        <f t="shared" si="72"/>
        <v/>
      </c>
      <c r="J483" s="218">
        <f t="shared" si="73"/>
        <v>480</v>
      </c>
      <c r="K483" s="250"/>
      <c r="L483" s="219"/>
      <c r="M483" s="218"/>
      <c r="N483" s="220" t="str">
        <f>IFERROR(VLOOKUP(M483,Data!$C$4:$D$395,2,0),"")</f>
        <v/>
      </c>
      <c r="O483" s="220"/>
      <c r="P483" s="229"/>
      <c r="Q483" s="221"/>
      <c r="R483" s="222" t="str">
        <f t="shared" si="74"/>
        <v>-</v>
      </c>
      <c r="S483" s="223"/>
      <c r="T483" s="224"/>
      <c r="U483" s="225">
        <f t="shared" si="75"/>
        <v>0</v>
      </c>
      <c r="V483" s="226">
        <v>0</v>
      </c>
      <c r="W483" s="227"/>
      <c r="X483" s="228">
        <f t="shared" si="76"/>
        <v>0</v>
      </c>
      <c r="Y483" s="229"/>
      <c r="Z483" s="229"/>
      <c r="AA483" s="229"/>
      <c r="AB483" s="222">
        <f t="shared" si="77"/>
        <v>0</v>
      </c>
      <c r="AC483" s="230">
        <f t="shared" si="78"/>
        <v>0</v>
      </c>
      <c r="AD483" s="222" t="str">
        <f t="shared" si="79"/>
        <v/>
      </c>
      <c r="AE483" s="201"/>
      <c r="AF483" s="231" t="str">
        <f>+IFERROR(VLOOKUP(L483,Data!$F$4:$G$97,2,0),"")</f>
        <v/>
      </c>
    </row>
    <row r="484" spans="9:32" ht="15" customHeight="1" x14ac:dyDescent="0.3">
      <c r="I484" s="201" t="str">
        <f t="shared" si="72"/>
        <v/>
      </c>
      <c r="J484" s="218">
        <f t="shared" si="73"/>
        <v>481</v>
      </c>
      <c r="K484" s="250"/>
      <c r="L484" s="219"/>
      <c r="M484" s="218"/>
      <c r="N484" s="220" t="str">
        <f>IFERROR(VLOOKUP(M484,Data!$C$4:$D$395,2,0),"")</f>
        <v/>
      </c>
      <c r="O484" s="220"/>
      <c r="P484" s="229"/>
      <c r="Q484" s="221"/>
      <c r="R484" s="222" t="str">
        <f t="shared" si="74"/>
        <v>-</v>
      </c>
      <c r="S484" s="223"/>
      <c r="T484" s="224"/>
      <c r="U484" s="225">
        <f t="shared" si="75"/>
        <v>0</v>
      </c>
      <c r="V484" s="226">
        <v>0</v>
      </c>
      <c r="W484" s="227"/>
      <c r="X484" s="228">
        <f t="shared" si="76"/>
        <v>0</v>
      </c>
      <c r="Y484" s="229"/>
      <c r="Z484" s="229"/>
      <c r="AA484" s="229"/>
      <c r="AB484" s="222">
        <f t="shared" si="77"/>
        <v>0</v>
      </c>
      <c r="AC484" s="230">
        <f t="shared" si="78"/>
        <v>0</v>
      </c>
      <c r="AD484" s="222" t="str">
        <f t="shared" si="79"/>
        <v/>
      </c>
      <c r="AE484" s="201"/>
      <c r="AF484" s="231" t="str">
        <f>+IFERROR(VLOOKUP(L484,Data!$F$4:$G$97,2,0),"")</f>
        <v/>
      </c>
    </row>
    <row r="485" spans="9:32" ht="15" customHeight="1" x14ac:dyDescent="0.3">
      <c r="I485" s="201" t="str">
        <f t="shared" si="72"/>
        <v/>
      </c>
      <c r="J485" s="218">
        <f t="shared" si="73"/>
        <v>482</v>
      </c>
      <c r="K485" s="250"/>
      <c r="L485" s="219"/>
      <c r="M485" s="218"/>
      <c r="N485" s="220" t="str">
        <f>IFERROR(VLOOKUP(M485,Data!$C$4:$D$395,2,0),"")</f>
        <v/>
      </c>
      <c r="O485" s="220"/>
      <c r="P485" s="229"/>
      <c r="Q485" s="221"/>
      <c r="R485" s="222" t="str">
        <f t="shared" si="74"/>
        <v>-</v>
      </c>
      <c r="S485" s="223"/>
      <c r="T485" s="224"/>
      <c r="U485" s="225">
        <f t="shared" si="75"/>
        <v>0</v>
      </c>
      <c r="V485" s="226">
        <v>0</v>
      </c>
      <c r="W485" s="227"/>
      <c r="X485" s="228">
        <f t="shared" si="76"/>
        <v>0</v>
      </c>
      <c r="Y485" s="229"/>
      <c r="Z485" s="229"/>
      <c r="AA485" s="229"/>
      <c r="AB485" s="222">
        <f t="shared" si="77"/>
        <v>0</v>
      </c>
      <c r="AC485" s="230">
        <f t="shared" si="78"/>
        <v>0</v>
      </c>
      <c r="AD485" s="222" t="str">
        <f t="shared" si="79"/>
        <v/>
      </c>
      <c r="AE485" s="201"/>
      <c r="AF485" s="231" t="str">
        <f>+IFERROR(VLOOKUP(L485,Data!$F$4:$G$97,2,0),"")</f>
        <v/>
      </c>
    </row>
    <row r="486" spans="9:32" ht="15" customHeight="1" x14ac:dyDescent="0.3">
      <c r="I486" s="201" t="str">
        <f t="shared" si="72"/>
        <v/>
      </c>
      <c r="J486" s="218">
        <f t="shared" si="73"/>
        <v>483</v>
      </c>
      <c r="K486" s="250"/>
      <c r="L486" s="219"/>
      <c r="M486" s="218"/>
      <c r="N486" s="220" t="str">
        <f>IFERROR(VLOOKUP(M486,Data!$C$4:$D$395,2,0),"")</f>
        <v/>
      </c>
      <c r="O486" s="220"/>
      <c r="P486" s="229"/>
      <c r="Q486" s="221"/>
      <c r="R486" s="222" t="str">
        <f t="shared" si="74"/>
        <v>-</v>
      </c>
      <c r="S486" s="223"/>
      <c r="T486" s="224"/>
      <c r="U486" s="225">
        <f t="shared" si="75"/>
        <v>0</v>
      </c>
      <c r="V486" s="226">
        <v>0</v>
      </c>
      <c r="W486" s="227"/>
      <c r="X486" s="228">
        <f t="shared" si="76"/>
        <v>0</v>
      </c>
      <c r="Y486" s="229"/>
      <c r="Z486" s="229"/>
      <c r="AA486" s="229"/>
      <c r="AB486" s="222">
        <f t="shared" si="77"/>
        <v>0</v>
      </c>
      <c r="AC486" s="230">
        <f t="shared" si="78"/>
        <v>0</v>
      </c>
      <c r="AD486" s="222" t="str">
        <f t="shared" si="79"/>
        <v/>
      </c>
      <c r="AE486" s="201"/>
      <c r="AF486" s="231" t="str">
        <f>+IFERROR(VLOOKUP(L486,Data!$F$4:$G$97,2,0),"")</f>
        <v/>
      </c>
    </row>
    <row r="487" spans="9:32" ht="15" customHeight="1" x14ac:dyDescent="0.3">
      <c r="I487" s="201" t="str">
        <f t="shared" si="72"/>
        <v/>
      </c>
      <c r="J487" s="218">
        <f t="shared" si="73"/>
        <v>484</v>
      </c>
      <c r="K487" s="250"/>
      <c r="L487" s="219"/>
      <c r="M487" s="218"/>
      <c r="N487" s="220" t="str">
        <f>IFERROR(VLOOKUP(M487,Data!$C$4:$D$395,2,0),"")</f>
        <v/>
      </c>
      <c r="O487" s="220"/>
      <c r="P487" s="229"/>
      <c r="Q487" s="221"/>
      <c r="R487" s="222" t="str">
        <f t="shared" si="74"/>
        <v>-</v>
      </c>
      <c r="S487" s="223"/>
      <c r="T487" s="224"/>
      <c r="U487" s="225">
        <f t="shared" si="75"/>
        <v>0</v>
      </c>
      <c r="V487" s="226">
        <v>0</v>
      </c>
      <c r="W487" s="227"/>
      <c r="X487" s="228">
        <f t="shared" si="76"/>
        <v>0</v>
      </c>
      <c r="Y487" s="229"/>
      <c r="Z487" s="229"/>
      <c r="AA487" s="229"/>
      <c r="AB487" s="222">
        <f t="shared" si="77"/>
        <v>0</v>
      </c>
      <c r="AC487" s="230">
        <f t="shared" si="78"/>
        <v>0</v>
      </c>
      <c r="AD487" s="222" t="str">
        <f t="shared" si="79"/>
        <v/>
      </c>
      <c r="AE487" s="201"/>
      <c r="AF487" s="231" t="str">
        <f>+IFERROR(VLOOKUP(L487,Data!$F$4:$G$97,2,0),"")</f>
        <v/>
      </c>
    </row>
    <row r="488" spans="9:32" ht="15" customHeight="1" x14ac:dyDescent="0.3">
      <c r="I488" s="201" t="str">
        <f t="shared" si="72"/>
        <v/>
      </c>
      <c r="J488" s="218">
        <f t="shared" si="73"/>
        <v>485</v>
      </c>
      <c r="K488" s="250"/>
      <c r="L488" s="219"/>
      <c r="M488" s="218"/>
      <c r="N488" s="220" t="str">
        <f>IFERROR(VLOOKUP(M488,Data!$C$4:$D$395,2,0),"")</f>
        <v/>
      </c>
      <c r="O488" s="220"/>
      <c r="P488" s="229"/>
      <c r="Q488" s="221"/>
      <c r="R488" s="222" t="str">
        <f t="shared" si="74"/>
        <v>-</v>
      </c>
      <c r="S488" s="223"/>
      <c r="T488" s="224"/>
      <c r="U488" s="225">
        <f t="shared" si="75"/>
        <v>0</v>
      </c>
      <c r="V488" s="226">
        <v>0</v>
      </c>
      <c r="W488" s="227"/>
      <c r="X488" s="228">
        <f t="shared" si="76"/>
        <v>0</v>
      </c>
      <c r="Y488" s="229"/>
      <c r="Z488" s="229"/>
      <c r="AA488" s="229"/>
      <c r="AB488" s="222">
        <f t="shared" si="77"/>
        <v>0</v>
      </c>
      <c r="AC488" s="230">
        <f t="shared" si="78"/>
        <v>0</v>
      </c>
      <c r="AD488" s="222" t="str">
        <f t="shared" si="79"/>
        <v/>
      </c>
      <c r="AE488" s="201"/>
      <c r="AF488" s="231" t="str">
        <f>+IFERROR(VLOOKUP(L488,Data!$F$4:$G$97,2,0),"")</f>
        <v/>
      </c>
    </row>
    <row r="489" spans="9:32" ht="15" customHeight="1" x14ac:dyDescent="0.3">
      <c r="I489" s="201" t="str">
        <f t="shared" si="72"/>
        <v/>
      </c>
      <c r="J489" s="218">
        <f t="shared" si="73"/>
        <v>486</v>
      </c>
      <c r="K489" s="250"/>
      <c r="L489" s="219"/>
      <c r="M489" s="218"/>
      <c r="N489" s="220" t="str">
        <f>IFERROR(VLOOKUP(M489,Data!$C$4:$D$395,2,0),"")</f>
        <v/>
      </c>
      <c r="O489" s="220"/>
      <c r="P489" s="229"/>
      <c r="Q489" s="221"/>
      <c r="R489" s="222" t="str">
        <f t="shared" si="74"/>
        <v>-</v>
      </c>
      <c r="S489" s="223"/>
      <c r="T489" s="224"/>
      <c r="U489" s="225">
        <f t="shared" si="75"/>
        <v>0</v>
      </c>
      <c r="V489" s="226">
        <v>0</v>
      </c>
      <c r="W489" s="227"/>
      <c r="X489" s="228">
        <f t="shared" si="76"/>
        <v>0</v>
      </c>
      <c r="Y489" s="229"/>
      <c r="Z489" s="229"/>
      <c r="AA489" s="229"/>
      <c r="AB489" s="222">
        <f t="shared" si="77"/>
        <v>0</v>
      </c>
      <c r="AC489" s="230">
        <f t="shared" si="78"/>
        <v>0</v>
      </c>
      <c r="AD489" s="222" t="str">
        <f t="shared" si="79"/>
        <v/>
      </c>
      <c r="AE489" s="201"/>
      <c r="AF489" s="231" t="str">
        <f>+IFERROR(VLOOKUP(L489,Data!$F$4:$G$97,2,0),"")</f>
        <v/>
      </c>
    </row>
    <row r="490" spans="9:32" ht="15" customHeight="1" x14ac:dyDescent="0.3">
      <c r="I490" s="201" t="str">
        <f t="shared" si="72"/>
        <v/>
      </c>
      <c r="J490" s="218">
        <f t="shared" si="73"/>
        <v>487</v>
      </c>
      <c r="K490" s="250"/>
      <c r="L490" s="219"/>
      <c r="M490" s="218"/>
      <c r="N490" s="220" t="str">
        <f>IFERROR(VLOOKUP(M490,Data!$C$4:$D$395,2,0),"")</f>
        <v/>
      </c>
      <c r="O490" s="220"/>
      <c r="P490" s="229"/>
      <c r="Q490" s="221"/>
      <c r="R490" s="222" t="str">
        <f t="shared" si="74"/>
        <v>-</v>
      </c>
      <c r="S490" s="223"/>
      <c r="T490" s="224"/>
      <c r="U490" s="225">
        <f t="shared" si="75"/>
        <v>0</v>
      </c>
      <c r="V490" s="226">
        <v>0</v>
      </c>
      <c r="W490" s="227"/>
      <c r="X490" s="228">
        <f t="shared" si="76"/>
        <v>0</v>
      </c>
      <c r="Y490" s="229"/>
      <c r="Z490" s="229"/>
      <c r="AA490" s="229"/>
      <c r="AB490" s="222">
        <f t="shared" si="77"/>
        <v>0</v>
      </c>
      <c r="AC490" s="230">
        <f t="shared" si="78"/>
        <v>0</v>
      </c>
      <c r="AD490" s="222" t="str">
        <f t="shared" si="79"/>
        <v/>
      </c>
      <c r="AE490" s="201"/>
      <c r="AF490" s="231" t="str">
        <f>+IFERROR(VLOOKUP(L490,Data!$F$4:$G$97,2,0),"")</f>
        <v/>
      </c>
    </row>
    <row r="491" spans="9:32" ht="15" customHeight="1" x14ac:dyDescent="0.3">
      <c r="I491" s="201" t="str">
        <f t="shared" si="72"/>
        <v/>
      </c>
      <c r="J491" s="218">
        <f t="shared" si="73"/>
        <v>488</v>
      </c>
      <c r="K491" s="250"/>
      <c r="L491" s="219"/>
      <c r="M491" s="218"/>
      <c r="N491" s="220" t="str">
        <f>IFERROR(VLOOKUP(M491,Data!$C$4:$D$395,2,0),"")</f>
        <v/>
      </c>
      <c r="O491" s="220"/>
      <c r="P491" s="229"/>
      <c r="Q491" s="221"/>
      <c r="R491" s="222" t="str">
        <f t="shared" si="74"/>
        <v>-</v>
      </c>
      <c r="S491" s="223"/>
      <c r="T491" s="224"/>
      <c r="U491" s="225">
        <f t="shared" si="75"/>
        <v>0</v>
      </c>
      <c r="V491" s="226">
        <v>0</v>
      </c>
      <c r="W491" s="227"/>
      <c r="X491" s="228">
        <f t="shared" si="76"/>
        <v>0</v>
      </c>
      <c r="Y491" s="229"/>
      <c r="Z491" s="229"/>
      <c r="AA491" s="229"/>
      <c r="AB491" s="222">
        <f t="shared" si="77"/>
        <v>0</v>
      </c>
      <c r="AC491" s="230">
        <f t="shared" si="78"/>
        <v>0</v>
      </c>
      <c r="AD491" s="222" t="str">
        <f t="shared" si="79"/>
        <v/>
      </c>
      <c r="AE491" s="201"/>
      <c r="AF491" s="231" t="str">
        <f>+IFERROR(VLOOKUP(L491,Data!$F$4:$G$97,2,0),"")</f>
        <v/>
      </c>
    </row>
    <row r="492" spans="9:32" ht="15" customHeight="1" x14ac:dyDescent="0.3">
      <c r="I492" s="201" t="str">
        <f t="shared" si="72"/>
        <v/>
      </c>
      <c r="J492" s="218">
        <f t="shared" si="73"/>
        <v>489</v>
      </c>
      <c r="K492" s="250"/>
      <c r="L492" s="219"/>
      <c r="M492" s="218"/>
      <c r="N492" s="220" t="str">
        <f>IFERROR(VLOOKUP(M492,Data!$C$4:$D$395,2,0),"")</f>
        <v/>
      </c>
      <c r="O492" s="220"/>
      <c r="P492" s="229"/>
      <c r="Q492" s="221"/>
      <c r="R492" s="222" t="str">
        <f t="shared" si="74"/>
        <v>-</v>
      </c>
      <c r="S492" s="223"/>
      <c r="T492" s="224"/>
      <c r="U492" s="225">
        <f t="shared" si="75"/>
        <v>0</v>
      </c>
      <c r="V492" s="226">
        <v>0</v>
      </c>
      <c r="W492" s="227"/>
      <c r="X492" s="228">
        <f t="shared" si="76"/>
        <v>0</v>
      </c>
      <c r="Y492" s="229"/>
      <c r="Z492" s="229"/>
      <c r="AA492" s="229"/>
      <c r="AB492" s="222">
        <f t="shared" si="77"/>
        <v>0</v>
      </c>
      <c r="AC492" s="230">
        <f t="shared" si="78"/>
        <v>0</v>
      </c>
      <c r="AD492" s="222" t="str">
        <f t="shared" si="79"/>
        <v/>
      </c>
      <c r="AE492" s="201"/>
      <c r="AF492" s="231" t="str">
        <f>+IFERROR(VLOOKUP(L492,Data!$F$4:$G$97,2,0),"")</f>
        <v/>
      </c>
    </row>
    <row r="493" spans="9:32" ht="15" customHeight="1" x14ac:dyDescent="0.3">
      <c r="I493" s="201" t="str">
        <f t="shared" si="72"/>
        <v/>
      </c>
      <c r="J493" s="218">
        <f t="shared" si="73"/>
        <v>490</v>
      </c>
      <c r="K493" s="250"/>
      <c r="L493" s="219"/>
      <c r="M493" s="218"/>
      <c r="N493" s="220" t="str">
        <f>IFERROR(VLOOKUP(M493,Data!$C$4:$D$395,2,0),"")</f>
        <v/>
      </c>
      <c r="O493" s="220"/>
      <c r="P493" s="229"/>
      <c r="Q493" s="221"/>
      <c r="R493" s="222" t="str">
        <f t="shared" si="74"/>
        <v>-</v>
      </c>
      <c r="S493" s="223"/>
      <c r="T493" s="224"/>
      <c r="U493" s="225">
        <f t="shared" si="75"/>
        <v>0</v>
      </c>
      <c r="V493" s="226">
        <v>0</v>
      </c>
      <c r="W493" s="227"/>
      <c r="X493" s="228">
        <f t="shared" si="76"/>
        <v>0</v>
      </c>
      <c r="Y493" s="229"/>
      <c r="Z493" s="229"/>
      <c r="AA493" s="229"/>
      <c r="AB493" s="222">
        <f t="shared" si="77"/>
        <v>0</v>
      </c>
      <c r="AC493" s="230">
        <f t="shared" si="78"/>
        <v>0</v>
      </c>
      <c r="AD493" s="222" t="str">
        <f t="shared" si="79"/>
        <v/>
      </c>
      <c r="AE493" s="201"/>
      <c r="AF493" s="231" t="str">
        <f>+IFERROR(VLOOKUP(L493,Data!$F$4:$G$97,2,0),"")</f>
        <v/>
      </c>
    </row>
    <row r="494" spans="9:32" ht="15" customHeight="1" x14ac:dyDescent="0.3">
      <c r="I494" s="201" t="str">
        <f t="shared" si="72"/>
        <v/>
      </c>
      <c r="J494" s="218">
        <f t="shared" si="73"/>
        <v>491</v>
      </c>
      <c r="K494" s="250"/>
      <c r="L494" s="219"/>
      <c r="M494" s="218"/>
      <c r="N494" s="220" t="str">
        <f>IFERROR(VLOOKUP(M494,Data!$C$4:$D$395,2,0),"")</f>
        <v/>
      </c>
      <c r="O494" s="220"/>
      <c r="P494" s="229"/>
      <c r="Q494" s="221"/>
      <c r="R494" s="222" t="str">
        <f t="shared" si="74"/>
        <v>-</v>
      </c>
      <c r="S494" s="223"/>
      <c r="T494" s="224"/>
      <c r="U494" s="225">
        <f t="shared" si="75"/>
        <v>0</v>
      </c>
      <c r="V494" s="226">
        <v>0</v>
      </c>
      <c r="W494" s="227"/>
      <c r="X494" s="228">
        <f t="shared" si="76"/>
        <v>0</v>
      </c>
      <c r="Y494" s="229"/>
      <c r="Z494" s="229"/>
      <c r="AA494" s="229"/>
      <c r="AB494" s="222">
        <f t="shared" si="77"/>
        <v>0</v>
      </c>
      <c r="AC494" s="230">
        <f t="shared" si="78"/>
        <v>0</v>
      </c>
      <c r="AD494" s="222" t="str">
        <f t="shared" si="79"/>
        <v/>
      </c>
      <c r="AE494" s="201"/>
      <c r="AF494" s="231" t="str">
        <f>+IFERROR(VLOOKUP(L494,Data!$F$4:$G$97,2,0),"")</f>
        <v/>
      </c>
    </row>
    <row r="495" spans="9:32" ht="15" customHeight="1" x14ac:dyDescent="0.3">
      <c r="I495" s="201" t="str">
        <f t="shared" si="72"/>
        <v/>
      </c>
      <c r="J495" s="218">
        <f t="shared" si="73"/>
        <v>492</v>
      </c>
      <c r="K495" s="250"/>
      <c r="L495" s="219"/>
      <c r="M495" s="218"/>
      <c r="N495" s="220" t="str">
        <f>IFERROR(VLOOKUP(M495,Data!$C$4:$D$395,2,0),"")</f>
        <v/>
      </c>
      <c r="O495" s="220"/>
      <c r="P495" s="229"/>
      <c r="Q495" s="221"/>
      <c r="R495" s="222" t="str">
        <f t="shared" si="74"/>
        <v>-</v>
      </c>
      <c r="S495" s="223"/>
      <c r="T495" s="224"/>
      <c r="U495" s="225">
        <f t="shared" si="75"/>
        <v>0</v>
      </c>
      <c r="V495" s="226">
        <v>0</v>
      </c>
      <c r="W495" s="227"/>
      <c r="X495" s="228">
        <f t="shared" si="76"/>
        <v>0</v>
      </c>
      <c r="Y495" s="229"/>
      <c r="Z495" s="229"/>
      <c r="AA495" s="229"/>
      <c r="AB495" s="222">
        <f t="shared" si="77"/>
        <v>0</v>
      </c>
      <c r="AC495" s="230">
        <f t="shared" si="78"/>
        <v>0</v>
      </c>
      <c r="AD495" s="222" t="str">
        <f t="shared" si="79"/>
        <v/>
      </c>
      <c r="AE495" s="201"/>
      <c r="AF495" s="231" t="str">
        <f>+IFERROR(VLOOKUP(L495,Data!$F$4:$G$97,2,0),"")</f>
        <v/>
      </c>
    </row>
    <row r="496" spans="9:32" ht="15" customHeight="1" x14ac:dyDescent="0.3">
      <c r="I496" s="201" t="str">
        <f t="shared" si="72"/>
        <v/>
      </c>
      <c r="J496" s="218">
        <f t="shared" si="73"/>
        <v>493</v>
      </c>
      <c r="K496" s="250"/>
      <c r="L496" s="219"/>
      <c r="M496" s="218"/>
      <c r="N496" s="220" t="str">
        <f>IFERROR(VLOOKUP(M496,Data!$C$4:$D$395,2,0),"")</f>
        <v/>
      </c>
      <c r="O496" s="220"/>
      <c r="P496" s="229"/>
      <c r="Q496" s="221"/>
      <c r="R496" s="222" t="str">
        <f t="shared" si="74"/>
        <v>-</v>
      </c>
      <c r="S496" s="223"/>
      <c r="T496" s="224"/>
      <c r="U496" s="225">
        <f t="shared" si="75"/>
        <v>0</v>
      </c>
      <c r="V496" s="226">
        <v>0</v>
      </c>
      <c r="W496" s="227"/>
      <c r="X496" s="228">
        <f t="shared" si="76"/>
        <v>0</v>
      </c>
      <c r="Y496" s="229"/>
      <c r="Z496" s="229"/>
      <c r="AA496" s="229"/>
      <c r="AB496" s="222">
        <f t="shared" si="77"/>
        <v>0</v>
      </c>
      <c r="AC496" s="230">
        <f t="shared" si="78"/>
        <v>0</v>
      </c>
      <c r="AD496" s="222" t="str">
        <f t="shared" si="79"/>
        <v/>
      </c>
      <c r="AE496" s="201"/>
      <c r="AF496" s="231" t="str">
        <f>+IFERROR(VLOOKUP(L496,Data!$F$4:$G$97,2,0),"")</f>
        <v/>
      </c>
    </row>
    <row r="497" spans="9:32" ht="15" customHeight="1" x14ac:dyDescent="0.3">
      <c r="I497" s="201" t="str">
        <f t="shared" si="72"/>
        <v/>
      </c>
      <c r="J497" s="218">
        <f t="shared" si="73"/>
        <v>494</v>
      </c>
      <c r="K497" s="250"/>
      <c r="L497" s="219"/>
      <c r="M497" s="218"/>
      <c r="N497" s="220" t="str">
        <f>IFERROR(VLOOKUP(M497,Data!$C$4:$D$395,2,0),"")</f>
        <v/>
      </c>
      <c r="O497" s="220"/>
      <c r="P497" s="229"/>
      <c r="Q497" s="221"/>
      <c r="R497" s="222" t="str">
        <f t="shared" si="74"/>
        <v>-</v>
      </c>
      <c r="S497" s="223"/>
      <c r="T497" s="224"/>
      <c r="U497" s="225">
        <f t="shared" si="75"/>
        <v>0</v>
      </c>
      <c r="V497" s="226">
        <v>0</v>
      </c>
      <c r="W497" s="227"/>
      <c r="X497" s="228">
        <f t="shared" si="76"/>
        <v>0</v>
      </c>
      <c r="Y497" s="229"/>
      <c r="Z497" s="229"/>
      <c r="AA497" s="229"/>
      <c r="AB497" s="222">
        <f t="shared" si="77"/>
        <v>0</v>
      </c>
      <c r="AC497" s="230">
        <f t="shared" si="78"/>
        <v>0</v>
      </c>
      <c r="AD497" s="222" t="str">
        <f t="shared" si="79"/>
        <v/>
      </c>
      <c r="AE497" s="201"/>
      <c r="AF497" s="231" t="str">
        <f>+IFERROR(VLOOKUP(L497,Data!$F$4:$G$97,2,0),"")</f>
        <v/>
      </c>
    </row>
    <row r="498" spans="9:32" ht="15" customHeight="1" x14ac:dyDescent="0.3">
      <c r="I498" s="201" t="str">
        <f t="shared" si="72"/>
        <v/>
      </c>
      <c r="J498" s="218">
        <f t="shared" si="73"/>
        <v>495</v>
      </c>
      <c r="K498" s="250"/>
      <c r="L498" s="219"/>
      <c r="M498" s="218"/>
      <c r="N498" s="220" t="str">
        <f>IFERROR(VLOOKUP(M498,Data!$C$4:$D$395,2,0),"")</f>
        <v/>
      </c>
      <c r="O498" s="220"/>
      <c r="P498" s="229"/>
      <c r="Q498" s="221"/>
      <c r="R498" s="222" t="str">
        <f t="shared" si="74"/>
        <v>-</v>
      </c>
      <c r="S498" s="223"/>
      <c r="T498" s="224"/>
      <c r="U498" s="225">
        <f t="shared" si="75"/>
        <v>0</v>
      </c>
      <c r="V498" s="226">
        <v>0</v>
      </c>
      <c r="W498" s="227"/>
      <c r="X498" s="228">
        <f t="shared" si="76"/>
        <v>0</v>
      </c>
      <c r="Y498" s="229"/>
      <c r="Z498" s="229"/>
      <c r="AA498" s="229"/>
      <c r="AB498" s="222">
        <f t="shared" si="77"/>
        <v>0</v>
      </c>
      <c r="AC498" s="230">
        <f t="shared" si="78"/>
        <v>0</v>
      </c>
      <c r="AD498" s="222" t="str">
        <f t="shared" si="79"/>
        <v/>
      </c>
      <c r="AE498" s="201"/>
      <c r="AF498" s="231" t="str">
        <f>+IFERROR(VLOOKUP(L498,Data!$F$4:$G$97,2,0),"")</f>
        <v/>
      </c>
    </row>
    <row r="499" spans="9:32" ht="15" customHeight="1" x14ac:dyDescent="0.3">
      <c r="I499" s="201" t="str">
        <f t="shared" si="72"/>
        <v/>
      </c>
      <c r="J499" s="218">
        <f t="shared" si="73"/>
        <v>496</v>
      </c>
      <c r="K499" s="250"/>
      <c r="L499" s="219"/>
      <c r="M499" s="218"/>
      <c r="N499" s="220" t="str">
        <f>IFERROR(VLOOKUP(M499,Data!$C$4:$D$395,2,0),"")</f>
        <v/>
      </c>
      <c r="O499" s="220"/>
      <c r="P499" s="229"/>
      <c r="Q499" s="221"/>
      <c r="R499" s="222" t="str">
        <f t="shared" si="74"/>
        <v>-</v>
      </c>
      <c r="S499" s="223"/>
      <c r="T499" s="224"/>
      <c r="U499" s="225">
        <f t="shared" si="75"/>
        <v>0</v>
      </c>
      <c r="V499" s="226">
        <v>0</v>
      </c>
      <c r="W499" s="227"/>
      <c r="X499" s="228">
        <f t="shared" si="76"/>
        <v>0</v>
      </c>
      <c r="Y499" s="229"/>
      <c r="Z499" s="229"/>
      <c r="AA499" s="229"/>
      <c r="AB499" s="222">
        <f t="shared" si="77"/>
        <v>0</v>
      </c>
      <c r="AC499" s="230">
        <f t="shared" si="78"/>
        <v>0</v>
      </c>
      <c r="AD499" s="222" t="str">
        <f t="shared" si="79"/>
        <v/>
      </c>
      <c r="AE499" s="201"/>
      <c r="AF499" s="231" t="str">
        <f>+IFERROR(VLOOKUP(L499,Data!$F$4:$G$97,2,0),"")</f>
        <v/>
      </c>
    </row>
    <row r="500" spans="9:32" ht="15" customHeight="1" x14ac:dyDescent="0.3">
      <c r="I500" s="201" t="str">
        <f t="shared" si="72"/>
        <v/>
      </c>
      <c r="J500" s="218">
        <f t="shared" si="73"/>
        <v>497</v>
      </c>
      <c r="K500" s="250"/>
      <c r="L500" s="219"/>
      <c r="M500" s="218"/>
      <c r="N500" s="220" t="str">
        <f>IFERROR(VLOOKUP(M500,Data!$C$4:$D$395,2,0),"")</f>
        <v/>
      </c>
      <c r="O500" s="220"/>
      <c r="P500" s="229"/>
      <c r="Q500" s="221"/>
      <c r="R500" s="222" t="str">
        <f t="shared" si="74"/>
        <v>-</v>
      </c>
      <c r="S500" s="223"/>
      <c r="T500" s="224"/>
      <c r="U500" s="225">
        <f t="shared" si="75"/>
        <v>0</v>
      </c>
      <c r="V500" s="226">
        <v>0</v>
      </c>
      <c r="W500" s="227"/>
      <c r="X500" s="228">
        <f t="shared" si="76"/>
        <v>0</v>
      </c>
      <c r="Y500" s="229"/>
      <c r="Z500" s="229"/>
      <c r="AA500" s="229"/>
      <c r="AB500" s="222">
        <f t="shared" si="77"/>
        <v>0</v>
      </c>
      <c r="AC500" s="230">
        <f t="shared" si="78"/>
        <v>0</v>
      </c>
      <c r="AD500" s="222" t="str">
        <f t="shared" si="79"/>
        <v/>
      </c>
      <c r="AE500" s="201"/>
      <c r="AF500" s="231" t="str">
        <f>+IFERROR(VLOOKUP(L500,Data!$F$4:$G$97,2,0),"")</f>
        <v/>
      </c>
    </row>
    <row r="501" spans="9:32" ht="15" customHeight="1" x14ac:dyDescent="0.3">
      <c r="I501" s="201" t="str">
        <f t="shared" si="72"/>
        <v/>
      </c>
      <c r="J501" s="218">
        <f t="shared" si="73"/>
        <v>498</v>
      </c>
      <c r="K501" s="250"/>
      <c r="L501" s="219"/>
      <c r="M501" s="218"/>
      <c r="N501" s="220" t="str">
        <f>IFERROR(VLOOKUP(M501,Data!$C$4:$D$395,2,0),"")</f>
        <v/>
      </c>
      <c r="O501" s="220"/>
      <c r="P501" s="229"/>
      <c r="Q501" s="221"/>
      <c r="R501" s="222" t="str">
        <f t="shared" si="74"/>
        <v>-</v>
      </c>
      <c r="S501" s="223"/>
      <c r="T501" s="224"/>
      <c r="U501" s="225">
        <f t="shared" si="75"/>
        <v>0</v>
      </c>
      <c r="V501" s="226">
        <v>0</v>
      </c>
      <c r="W501" s="227"/>
      <c r="X501" s="228">
        <f t="shared" si="76"/>
        <v>0</v>
      </c>
      <c r="Y501" s="229"/>
      <c r="Z501" s="229"/>
      <c r="AA501" s="229"/>
      <c r="AB501" s="222">
        <f t="shared" si="77"/>
        <v>0</v>
      </c>
      <c r="AC501" s="230">
        <f t="shared" si="78"/>
        <v>0</v>
      </c>
      <c r="AD501" s="222" t="str">
        <f t="shared" si="79"/>
        <v/>
      </c>
      <c r="AE501" s="201"/>
      <c r="AF501" s="231" t="str">
        <f>+IFERROR(VLOOKUP(L501,Data!$F$4:$G$97,2,0),"")</f>
        <v/>
      </c>
    </row>
    <row r="502" spans="9:32" ht="15" customHeight="1" x14ac:dyDescent="0.3">
      <c r="I502" s="201" t="str">
        <f t="shared" si="72"/>
        <v/>
      </c>
      <c r="J502" s="218">
        <f t="shared" si="73"/>
        <v>499</v>
      </c>
      <c r="K502" s="250"/>
      <c r="L502" s="219"/>
      <c r="M502" s="218"/>
      <c r="N502" s="220" t="str">
        <f>IFERROR(VLOOKUP(M502,Data!$C$4:$D$395,2,0),"")</f>
        <v/>
      </c>
      <c r="O502" s="220"/>
      <c r="P502" s="229"/>
      <c r="Q502" s="221"/>
      <c r="R502" s="222" t="str">
        <f t="shared" si="74"/>
        <v>-</v>
      </c>
      <c r="S502" s="223"/>
      <c r="T502" s="224"/>
      <c r="U502" s="225">
        <f t="shared" si="75"/>
        <v>0</v>
      </c>
      <c r="V502" s="226">
        <v>0</v>
      </c>
      <c r="W502" s="227"/>
      <c r="X502" s="228">
        <f t="shared" si="76"/>
        <v>0</v>
      </c>
      <c r="Y502" s="229"/>
      <c r="Z502" s="229"/>
      <c r="AA502" s="229"/>
      <c r="AB502" s="222">
        <f t="shared" si="77"/>
        <v>0</v>
      </c>
      <c r="AC502" s="230">
        <f t="shared" si="78"/>
        <v>0</v>
      </c>
      <c r="AD502" s="222" t="str">
        <f t="shared" si="79"/>
        <v/>
      </c>
      <c r="AE502" s="201"/>
      <c r="AF502" s="231" t="str">
        <f>+IFERROR(VLOOKUP(L502,Data!$F$4:$G$97,2,0),"")</f>
        <v/>
      </c>
    </row>
    <row r="503" spans="9:32" ht="15" customHeight="1" x14ac:dyDescent="0.3">
      <c r="I503" s="201" t="str">
        <f t="shared" si="72"/>
        <v/>
      </c>
      <c r="J503" s="218">
        <f t="shared" si="73"/>
        <v>500</v>
      </c>
      <c r="K503" s="250"/>
      <c r="L503" s="219"/>
      <c r="M503" s="218"/>
      <c r="N503" s="220" t="str">
        <f>IFERROR(VLOOKUP(M503,Data!$C$4:$D$395,2,0),"")</f>
        <v/>
      </c>
      <c r="O503" s="220"/>
      <c r="P503" s="229"/>
      <c r="Q503" s="221"/>
      <c r="R503" s="222" t="str">
        <f t="shared" si="74"/>
        <v>-</v>
      </c>
      <c r="S503" s="223"/>
      <c r="T503" s="224"/>
      <c r="U503" s="225">
        <f t="shared" si="75"/>
        <v>0</v>
      </c>
      <c r="V503" s="226">
        <v>0</v>
      </c>
      <c r="W503" s="227"/>
      <c r="X503" s="228">
        <f t="shared" si="76"/>
        <v>0</v>
      </c>
      <c r="Y503" s="229"/>
      <c r="Z503" s="229"/>
      <c r="AA503" s="229"/>
      <c r="AB503" s="222">
        <f t="shared" si="77"/>
        <v>0</v>
      </c>
      <c r="AC503" s="230">
        <f t="shared" si="78"/>
        <v>0</v>
      </c>
      <c r="AD503" s="222" t="str">
        <f t="shared" si="79"/>
        <v/>
      </c>
      <c r="AE503" s="201"/>
      <c r="AF503" s="231" t="str">
        <f>+IFERROR(VLOOKUP(L503,Data!$F$4:$G$97,2,0),"")</f>
        <v/>
      </c>
    </row>
    <row r="504" spans="9:32" ht="15" customHeight="1" x14ac:dyDescent="0.3">
      <c r="I504" s="201" t="str">
        <f t="shared" si="72"/>
        <v/>
      </c>
      <c r="J504" s="218">
        <f t="shared" si="73"/>
        <v>501</v>
      </c>
      <c r="K504" s="250"/>
      <c r="L504" s="219"/>
      <c r="M504" s="218"/>
      <c r="N504" s="220" t="str">
        <f>IFERROR(VLOOKUP(M504,Data!$C$4:$D$395,2,0),"")</f>
        <v/>
      </c>
      <c r="O504" s="220"/>
      <c r="P504" s="229"/>
      <c r="Q504" s="221"/>
      <c r="R504" s="222" t="str">
        <f t="shared" si="74"/>
        <v>-</v>
      </c>
      <c r="S504" s="223"/>
      <c r="T504" s="224"/>
      <c r="U504" s="225">
        <f t="shared" si="75"/>
        <v>0</v>
      </c>
      <c r="V504" s="226">
        <v>0</v>
      </c>
      <c r="W504" s="227"/>
      <c r="X504" s="228">
        <f t="shared" si="76"/>
        <v>0</v>
      </c>
      <c r="Y504" s="229"/>
      <c r="Z504" s="229"/>
      <c r="AA504" s="229"/>
      <c r="AB504" s="222">
        <f t="shared" si="77"/>
        <v>0</v>
      </c>
      <c r="AC504" s="230">
        <f t="shared" si="78"/>
        <v>0</v>
      </c>
      <c r="AD504" s="222" t="str">
        <f t="shared" si="79"/>
        <v/>
      </c>
      <c r="AE504" s="201"/>
      <c r="AF504" s="231" t="str">
        <f>+IFERROR(VLOOKUP(L504,Data!$F$4:$G$97,2,0),"")</f>
        <v/>
      </c>
    </row>
    <row r="505" spans="9:32" ht="15" customHeight="1" x14ac:dyDescent="0.3">
      <c r="I505" s="201" t="str">
        <f t="shared" si="72"/>
        <v/>
      </c>
      <c r="J505" s="218">
        <f t="shared" si="73"/>
        <v>502</v>
      </c>
      <c r="K505" s="250"/>
      <c r="L505" s="219"/>
      <c r="M505" s="218"/>
      <c r="N505" s="220" t="str">
        <f>IFERROR(VLOOKUP(M505,Data!$C$4:$D$395,2,0),"")</f>
        <v/>
      </c>
      <c r="O505" s="220"/>
      <c r="P505" s="229"/>
      <c r="Q505" s="221"/>
      <c r="R505" s="222" t="str">
        <f t="shared" si="74"/>
        <v>-</v>
      </c>
      <c r="S505" s="223"/>
      <c r="T505" s="224"/>
      <c r="U505" s="225">
        <f t="shared" si="75"/>
        <v>0</v>
      </c>
      <c r="V505" s="226">
        <v>0</v>
      </c>
      <c r="W505" s="227"/>
      <c r="X505" s="228">
        <f t="shared" si="76"/>
        <v>0</v>
      </c>
      <c r="Y505" s="229"/>
      <c r="Z505" s="229"/>
      <c r="AA505" s="229"/>
      <c r="AB505" s="222">
        <f t="shared" si="77"/>
        <v>0</v>
      </c>
      <c r="AC505" s="230">
        <f t="shared" si="78"/>
        <v>0</v>
      </c>
      <c r="AD505" s="222" t="str">
        <f t="shared" si="79"/>
        <v/>
      </c>
      <c r="AE505" s="201"/>
      <c r="AF505" s="231" t="str">
        <f>+IFERROR(VLOOKUP(L505,Data!$F$4:$G$97,2,0),"")</f>
        <v/>
      </c>
    </row>
    <row r="506" spans="9:32" ht="15" customHeight="1" x14ac:dyDescent="0.3">
      <c r="I506" s="201" t="str">
        <f t="shared" si="72"/>
        <v/>
      </c>
      <c r="J506" s="218">
        <f t="shared" si="73"/>
        <v>503</v>
      </c>
      <c r="K506" s="250"/>
      <c r="L506" s="219"/>
      <c r="M506" s="218"/>
      <c r="N506" s="220" t="str">
        <f>IFERROR(VLOOKUP(M506,Data!$C$4:$D$395,2,0),"")</f>
        <v/>
      </c>
      <c r="O506" s="220"/>
      <c r="P506" s="229"/>
      <c r="Q506" s="221"/>
      <c r="R506" s="222" t="str">
        <f t="shared" si="74"/>
        <v>-</v>
      </c>
      <c r="S506" s="223"/>
      <c r="T506" s="224"/>
      <c r="U506" s="225">
        <f t="shared" si="75"/>
        <v>0</v>
      </c>
      <c r="V506" s="226">
        <v>0</v>
      </c>
      <c r="W506" s="227"/>
      <c r="X506" s="228">
        <f t="shared" si="76"/>
        <v>0</v>
      </c>
      <c r="Y506" s="229"/>
      <c r="Z506" s="229"/>
      <c r="AA506" s="229"/>
      <c r="AB506" s="222">
        <f t="shared" si="77"/>
        <v>0</v>
      </c>
      <c r="AC506" s="230">
        <f t="shared" si="78"/>
        <v>0</v>
      </c>
      <c r="AD506" s="222" t="str">
        <f t="shared" si="79"/>
        <v/>
      </c>
      <c r="AE506" s="201"/>
      <c r="AF506" s="231" t="str">
        <f>+IFERROR(VLOOKUP(L506,Data!$F$4:$G$97,2,0),"")</f>
        <v/>
      </c>
    </row>
    <row r="507" spans="9:32" ht="15" customHeight="1" x14ac:dyDescent="0.3">
      <c r="I507" s="201" t="str">
        <f t="shared" si="72"/>
        <v/>
      </c>
      <c r="J507" s="218">
        <f t="shared" si="73"/>
        <v>504</v>
      </c>
      <c r="K507" s="250"/>
      <c r="L507" s="219"/>
      <c r="M507" s="218"/>
      <c r="N507" s="220" t="str">
        <f>IFERROR(VLOOKUP(M507,Data!$C$4:$D$395,2,0),"")</f>
        <v/>
      </c>
      <c r="O507" s="220"/>
      <c r="P507" s="229"/>
      <c r="Q507" s="221"/>
      <c r="R507" s="222" t="str">
        <f t="shared" si="74"/>
        <v>-</v>
      </c>
      <c r="S507" s="223"/>
      <c r="T507" s="224"/>
      <c r="U507" s="225">
        <f t="shared" si="75"/>
        <v>0</v>
      </c>
      <c r="V507" s="226">
        <v>0</v>
      </c>
      <c r="W507" s="227"/>
      <c r="X507" s="228">
        <f t="shared" si="76"/>
        <v>0</v>
      </c>
      <c r="Y507" s="229"/>
      <c r="Z507" s="229"/>
      <c r="AA507" s="229"/>
      <c r="AB507" s="222">
        <f t="shared" si="77"/>
        <v>0</v>
      </c>
      <c r="AC507" s="230">
        <f t="shared" si="78"/>
        <v>0</v>
      </c>
      <c r="AD507" s="222" t="str">
        <f t="shared" si="79"/>
        <v/>
      </c>
      <c r="AE507" s="201"/>
      <c r="AF507" s="231" t="str">
        <f>+IFERROR(VLOOKUP(L507,Data!$F$4:$G$97,2,0),"")</f>
        <v/>
      </c>
    </row>
    <row r="508" spans="9:32" ht="15" customHeight="1" x14ac:dyDescent="0.3">
      <c r="I508" s="201" t="str">
        <f t="shared" si="72"/>
        <v/>
      </c>
      <c r="J508" s="218">
        <f t="shared" si="73"/>
        <v>505</v>
      </c>
      <c r="K508" s="250"/>
      <c r="L508" s="219"/>
      <c r="M508" s="218"/>
      <c r="N508" s="220" t="str">
        <f>IFERROR(VLOOKUP(M508,Data!$C$4:$D$395,2,0),"")</f>
        <v/>
      </c>
      <c r="O508" s="220"/>
      <c r="P508" s="229"/>
      <c r="Q508" s="221"/>
      <c r="R508" s="222" t="str">
        <f t="shared" si="74"/>
        <v>-</v>
      </c>
      <c r="S508" s="223"/>
      <c r="T508" s="224"/>
      <c r="U508" s="225">
        <f t="shared" si="75"/>
        <v>0</v>
      </c>
      <c r="V508" s="226">
        <v>0</v>
      </c>
      <c r="W508" s="227"/>
      <c r="X508" s="228">
        <f t="shared" si="76"/>
        <v>0</v>
      </c>
      <c r="Y508" s="229"/>
      <c r="Z508" s="229"/>
      <c r="AA508" s="229"/>
      <c r="AB508" s="222">
        <f t="shared" si="77"/>
        <v>0</v>
      </c>
      <c r="AC508" s="230">
        <f t="shared" si="78"/>
        <v>0</v>
      </c>
      <c r="AD508" s="222" t="str">
        <f t="shared" si="79"/>
        <v/>
      </c>
      <c r="AE508" s="201"/>
      <c r="AF508" s="231" t="str">
        <f>+IFERROR(VLOOKUP(L508,Data!$F$4:$G$97,2,0),"")</f>
        <v/>
      </c>
    </row>
    <row r="509" spans="9:32" ht="15" customHeight="1" x14ac:dyDescent="0.3">
      <c r="I509" s="201" t="str">
        <f t="shared" ref="I509:I572" si="80">+AF509</f>
        <v/>
      </c>
      <c r="J509" s="218">
        <f t="shared" si="73"/>
        <v>506</v>
      </c>
      <c r="K509" s="250"/>
      <c r="L509" s="219"/>
      <c r="M509" s="218"/>
      <c r="N509" s="220" t="str">
        <f>IFERROR(VLOOKUP(M509,Data!$C$4:$D$395,2,0),"")</f>
        <v/>
      </c>
      <c r="O509" s="220"/>
      <c r="P509" s="229"/>
      <c r="Q509" s="221"/>
      <c r="R509" s="222" t="str">
        <f t="shared" si="74"/>
        <v>-</v>
      </c>
      <c r="S509" s="223"/>
      <c r="T509" s="224"/>
      <c r="U509" s="225">
        <f t="shared" si="75"/>
        <v>0</v>
      </c>
      <c r="V509" s="226">
        <v>0</v>
      </c>
      <c r="W509" s="227"/>
      <c r="X509" s="228">
        <f t="shared" si="76"/>
        <v>0</v>
      </c>
      <c r="Y509" s="229"/>
      <c r="Z509" s="229"/>
      <c r="AA509" s="229"/>
      <c r="AB509" s="222">
        <f t="shared" si="77"/>
        <v>0</v>
      </c>
      <c r="AC509" s="230">
        <f t="shared" si="78"/>
        <v>0</v>
      </c>
      <c r="AD509" s="222" t="str">
        <f t="shared" si="79"/>
        <v/>
      </c>
      <c r="AE509" s="201"/>
      <c r="AF509" s="231" t="str">
        <f>+IFERROR(VLOOKUP(L509,Data!$F$4:$G$97,2,0),"")</f>
        <v/>
      </c>
    </row>
    <row r="510" spans="9:32" ht="15" customHeight="1" x14ac:dyDescent="0.3">
      <c r="I510" s="201" t="str">
        <f t="shared" si="80"/>
        <v/>
      </c>
      <c r="J510" s="218">
        <f t="shared" ref="J510:J573" si="81">J509+1</f>
        <v>507</v>
      </c>
      <c r="K510" s="250"/>
      <c r="L510" s="219"/>
      <c r="M510" s="218"/>
      <c r="N510" s="220" t="str">
        <f>IFERROR(VLOOKUP(M510,Data!$C$4:$D$395,2,0),"")</f>
        <v/>
      </c>
      <c r="O510" s="220"/>
      <c r="P510" s="229"/>
      <c r="Q510" s="221"/>
      <c r="R510" s="222" t="str">
        <f t="shared" si="74"/>
        <v>-</v>
      </c>
      <c r="S510" s="223"/>
      <c r="T510" s="224"/>
      <c r="U510" s="225">
        <f t="shared" si="75"/>
        <v>0</v>
      </c>
      <c r="V510" s="226">
        <v>0</v>
      </c>
      <c r="W510" s="227"/>
      <c r="X510" s="228">
        <f t="shared" si="76"/>
        <v>0</v>
      </c>
      <c r="Y510" s="229"/>
      <c r="Z510" s="229"/>
      <c r="AA510" s="229"/>
      <c r="AB510" s="222">
        <f t="shared" si="77"/>
        <v>0</v>
      </c>
      <c r="AC510" s="230">
        <f t="shared" si="78"/>
        <v>0</v>
      </c>
      <c r="AD510" s="222" t="str">
        <f t="shared" si="79"/>
        <v/>
      </c>
      <c r="AE510" s="201"/>
      <c r="AF510" s="231" t="str">
        <f>+IFERROR(VLOOKUP(L510,Data!$F$4:$G$97,2,0),"")</f>
        <v/>
      </c>
    </row>
    <row r="511" spans="9:32" ht="15" customHeight="1" x14ac:dyDescent="0.3">
      <c r="I511" s="201" t="str">
        <f t="shared" si="80"/>
        <v/>
      </c>
      <c r="J511" s="218">
        <f t="shared" si="81"/>
        <v>508</v>
      </c>
      <c r="K511" s="250"/>
      <c r="L511" s="219"/>
      <c r="M511" s="218"/>
      <c r="N511" s="220" t="str">
        <f>IFERROR(VLOOKUP(M511,Data!$C$4:$D$395,2,0),"")</f>
        <v/>
      </c>
      <c r="O511" s="220"/>
      <c r="P511" s="229"/>
      <c r="Q511" s="221"/>
      <c r="R511" s="222" t="str">
        <f t="shared" si="74"/>
        <v>-</v>
      </c>
      <c r="S511" s="223"/>
      <c r="T511" s="224"/>
      <c r="U511" s="225">
        <f t="shared" si="75"/>
        <v>0</v>
      </c>
      <c r="V511" s="226">
        <v>0</v>
      </c>
      <c r="W511" s="227"/>
      <c r="X511" s="228">
        <f t="shared" si="76"/>
        <v>0</v>
      </c>
      <c r="Y511" s="229"/>
      <c r="Z511" s="229"/>
      <c r="AA511" s="229"/>
      <c r="AB511" s="222">
        <f t="shared" si="77"/>
        <v>0</v>
      </c>
      <c r="AC511" s="230">
        <f t="shared" si="78"/>
        <v>0</v>
      </c>
      <c r="AD511" s="222" t="str">
        <f t="shared" si="79"/>
        <v/>
      </c>
      <c r="AE511" s="201"/>
      <c r="AF511" s="231" t="str">
        <f>+IFERROR(VLOOKUP(L511,Data!$F$4:$G$97,2,0),"")</f>
        <v/>
      </c>
    </row>
    <row r="512" spans="9:32" ht="15" customHeight="1" x14ac:dyDescent="0.3">
      <c r="I512" s="201" t="str">
        <f t="shared" si="80"/>
        <v/>
      </c>
      <c r="J512" s="218">
        <f t="shared" si="81"/>
        <v>509</v>
      </c>
      <c r="K512" s="250"/>
      <c r="L512" s="219"/>
      <c r="M512" s="218"/>
      <c r="N512" s="220" t="str">
        <f>IFERROR(VLOOKUP(M512,Data!$C$4:$D$395,2,0),"")</f>
        <v/>
      </c>
      <c r="O512" s="220"/>
      <c r="P512" s="229"/>
      <c r="Q512" s="221"/>
      <c r="R512" s="222" t="str">
        <f t="shared" ref="R512:R575" si="82">IFERROR(Q512/P512, "-")</f>
        <v>-</v>
      </c>
      <c r="S512" s="223"/>
      <c r="T512" s="224"/>
      <c r="U512" s="225">
        <f t="shared" ref="U512:U575" si="83">+Q512*S512+P512*T512</f>
        <v>0</v>
      </c>
      <c r="V512" s="226">
        <v>0</v>
      </c>
      <c r="W512" s="227"/>
      <c r="X512" s="228">
        <f t="shared" ref="X512:X575" si="84">+Q512*V512+P512*W512</f>
        <v>0</v>
      </c>
      <c r="Y512" s="229"/>
      <c r="Z512" s="229"/>
      <c r="AA512" s="229"/>
      <c r="AB512" s="222">
        <f t="shared" ref="AB512:AB575" si="85">+Y512+Z512+AA512</f>
        <v>0</v>
      </c>
      <c r="AC512" s="230">
        <f t="shared" ref="AC512:AC575" si="86">IF((U512-Y512-Z512-AA512)&lt;0,"",(U512-Y512-Z512-AA512))</f>
        <v>0</v>
      </c>
      <c r="AD512" s="222" t="str">
        <f t="shared" ref="AD512:AD575" si="87">IF((U512-Y512-Z512-AA512)&lt;0,(Y512+Z512+AA512-U512),"")</f>
        <v/>
      </c>
      <c r="AE512" s="201"/>
      <c r="AF512" s="231" t="str">
        <f>+IFERROR(VLOOKUP(L512,Data!$F$4:$G$97,2,0),"")</f>
        <v/>
      </c>
    </row>
    <row r="513" spans="9:32" ht="15" customHeight="1" x14ac:dyDescent="0.3">
      <c r="I513" s="201" t="str">
        <f t="shared" si="80"/>
        <v/>
      </c>
      <c r="J513" s="218">
        <f t="shared" si="81"/>
        <v>510</v>
      </c>
      <c r="K513" s="250"/>
      <c r="L513" s="219"/>
      <c r="M513" s="218"/>
      <c r="N513" s="220" t="str">
        <f>IFERROR(VLOOKUP(M513,Data!$C$4:$D$395,2,0),"")</f>
        <v/>
      </c>
      <c r="O513" s="220"/>
      <c r="P513" s="229"/>
      <c r="Q513" s="221"/>
      <c r="R513" s="222" t="str">
        <f t="shared" si="82"/>
        <v>-</v>
      </c>
      <c r="S513" s="223"/>
      <c r="T513" s="224"/>
      <c r="U513" s="225">
        <f t="shared" si="83"/>
        <v>0</v>
      </c>
      <c r="V513" s="226">
        <v>0</v>
      </c>
      <c r="W513" s="227"/>
      <c r="X513" s="228">
        <f t="shared" si="84"/>
        <v>0</v>
      </c>
      <c r="Y513" s="229"/>
      <c r="Z513" s="229"/>
      <c r="AA513" s="229"/>
      <c r="AB513" s="222">
        <f t="shared" si="85"/>
        <v>0</v>
      </c>
      <c r="AC513" s="230">
        <f t="shared" si="86"/>
        <v>0</v>
      </c>
      <c r="AD513" s="222" t="str">
        <f t="shared" si="87"/>
        <v/>
      </c>
      <c r="AE513" s="201"/>
      <c r="AF513" s="231" t="str">
        <f>+IFERROR(VLOOKUP(L513,Data!$F$4:$G$97,2,0),"")</f>
        <v/>
      </c>
    </row>
    <row r="514" spans="9:32" ht="15" customHeight="1" x14ac:dyDescent="0.3">
      <c r="I514" s="201" t="str">
        <f t="shared" si="80"/>
        <v/>
      </c>
      <c r="J514" s="218">
        <f t="shared" si="81"/>
        <v>511</v>
      </c>
      <c r="K514" s="250"/>
      <c r="L514" s="219"/>
      <c r="M514" s="218"/>
      <c r="N514" s="220" t="str">
        <f>IFERROR(VLOOKUP(M514,Data!$C$4:$D$395,2,0),"")</f>
        <v/>
      </c>
      <c r="O514" s="220"/>
      <c r="P514" s="229"/>
      <c r="Q514" s="221"/>
      <c r="R514" s="222" t="str">
        <f t="shared" si="82"/>
        <v>-</v>
      </c>
      <c r="S514" s="223"/>
      <c r="T514" s="224"/>
      <c r="U514" s="225">
        <f t="shared" si="83"/>
        <v>0</v>
      </c>
      <c r="V514" s="226">
        <v>0</v>
      </c>
      <c r="W514" s="227"/>
      <c r="X514" s="228">
        <f t="shared" si="84"/>
        <v>0</v>
      </c>
      <c r="Y514" s="229"/>
      <c r="Z514" s="229"/>
      <c r="AA514" s="229"/>
      <c r="AB514" s="222">
        <f t="shared" si="85"/>
        <v>0</v>
      </c>
      <c r="AC514" s="230">
        <f t="shared" si="86"/>
        <v>0</v>
      </c>
      <c r="AD514" s="222" t="str">
        <f t="shared" si="87"/>
        <v/>
      </c>
      <c r="AE514" s="201"/>
      <c r="AF514" s="231" t="str">
        <f>+IFERROR(VLOOKUP(L514,Data!$F$4:$G$97,2,0),"")</f>
        <v/>
      </c>
    </row>
    <row r="515" spans="9:32" ht="15" customHeight="1" x14ac:dyDescent="0.3">
      <c r="I515" s="201" t="str">
        <f t="shared" si="80"/>
        <v/>
      </c>
      <c r="J515" s="218">
        <f t="shared" si="81"/>
        <v>512</v>
      </c>
      <c r="K515" s="250"/>
      <c r="L515" s="219"/>
      <c r="M515" s="218"/>
      <c r="N515" s="220" t="str">
        <f>IFERROR(VLOOKUP(M515,Data!$C$4:$D$395,2,0),"")</f>
        <v/>
      </c>
      <c r="O515" s="220"/>
      <c r="P515" s="229"/>
      <c r="Q515" s="221"/>
      <c r="R515" s="222" t="str">
        <f t="shared" si="82"/>
        <v>-</v>
      </c>
      <c r="S515" s="223"/>
      <c r="T515" s="224"/>
      <c r="U515" s="225">
        <f t="shared" si="83"/>
        <v>0</v>
      </c>
      <c r="V515" s="226">
        <v>0</v>
      </c>
      <c r="W515" s="227"/>
      <c r="X515" s="228">
        <f t="shared" si="84"/>
        <v>0</v>
      </c>
      <c r="Y515" s="229"/>
      <c r="Z515" s="229"/>
      <c r="AA515" s="229"/>
      <c r="AB515" s="222">
        <f t="shared" si="85"/>
        <v>0</v>
      </c>
      <c r="AC515" s="230">
        <f t="shared" si="86"/>
        <v>0</v>
      </c>
      <c r="AD515" s="222" t="str">
        <f t="shared" si="87"/>
        <v/>
      </c>
      <c r="AE515" s="201"/>
      <c r="AF515" s="231" t="str">
        <f>+IFERROR(VLOOKUP(L515,Data!$F$4:$G$97,2,0),"")</f>
        <v/>
      </c>
    </row>
    <row r="516" spans="9:32" ht="15" customHeight="1" x14ac:dyDescent="0.3">
      <c r="I516" s="201" t="str">
        <f t="shared" si="80"/>
        <v/>
      </c>
      <c r="J516" s="218">
        <f t="shared" si="81"/>
        <v>513</v>
      </c>
      <c r="K516" s="250"/>
      <c r="L516" s="219"/>
      <c r="M516" s="218"/>
      <c r="N516" s="220" t="str">
        <f>IFERROR(VLOOKUP(M516,Data!$C$4:$D$395,2,0),"")</f>
        <v/>
      </c>
      <c r="O516" s="220"/>
      <c r="P516" s="229"/>
      <c r="Q516" s="221"/>
      <c r="R516" s="222" t="str">
        <f t="shared" si="82"/>
        <v>-</v>
      </c>
      <c r="S516" s="223"/>
      <c r="T516" s="224"/>
      <c r="U516" s="225">
        <f t="shared" si="83"/>
        <v>0</v>
      </c>
      <c r="V516" s="226">
        <v>0</v>
      </c>
      <c r="W516" s="227"/>
      <c r="X516" s="228">
        <f t="shared" si="84"/>
        <v>0</v>
      </c>
      <c r="Y516" s="229"/>
      <c r="Z516" s="229"/>
      <c r="AA516" s="229"/>
      <c r="AB516" s="222">
        <f t="shared" si="85"/>
        <v>0</v>
      </c>
      <c r="AC516" s="230">
        <f t="shared" si="86"/>
        <v>0</v>
      </c>
      <c r="AD516" s="222" t="str">
        <f t="shared" si="87"/>
        <v/>
      </c>
      <c r="AE516" s="201"/>
      <c r="AF516" s="231" t="str">
        <f>+IFERROR(VLOOKUP(L516,Data!$F$4:$G$97,2,0),"")</f>
        <v/>
      </c>
    </row>
    <row r="517" spans="9:32" ht="15" customHeight="1" x14ac:dyDescent="0.3">
      <c r="I517" s="201" t="str">
        <f t="shared" si="80"/>
        <v/>
      </c>
      <c r="J517" s="218">
        <f t="shared" si="81"/>
        <v>514</v>
      </c>
      <c r="K517" s="250"/>
      <c r="L517" s="219"/>
      <c r="M517" s="218"/>
      <c r="N517" s="220" t="str">
        <f>IFERROR(VLOOKUP(M517,Data!$C$4:$D$395,2,0),"")</f>
        <v/>
      </c>
      <c r="O517" s="220"/>
      <c r="P517" s="229"/>
      <c r="Q517" s="221"/>
      <c r="R517" s="222" t="str">
        <f t="shared" si="82"/>
        <v>-</v>
      </c>
      <c r="S517" s="223"/>
      <c r="T517" s="224"/>
      <c r="U517" s="225">
        <f t="shared" si="83"/>
        <v>0</v>
      </c>
      <c r="V517" s="226">
        <v>0</v>
      </c>
      <c r="W517" s="227"/>
      <c r="X517" s="228">
        <f t="shared" si="84"/>
        <v>0</v>
      </c>
      <c r="Y517" s="229"/>
      <c r="Z517" s="229"/>
      <c r="AA517" s="229"/>
      <c r="AB517" s="222">
        <f t="shared" si="85"/>
        <v>0</v>
      </c>
      <c r="AC517" s="230">
        <f t="shared" si="86"/>
        <v>0</v>
      </c>
      <c r="AD517" s="222" t="str">
        <f t="shared" si="87"/>
        <v/>
      </c>
      <c r="AE517" s="201"/>
      <c r="AF517" s="231" t="str">
        <f>+IFERROR(VLOOKUP(L517,Data!$F$4:$G$97,2,0),"")</f>
        <v/>
      </c>
    </row>
    <row r="518" spans="9:32" ht="15" customHeight="1" x14ac:dyDescent="0.3">
      <c r="I518" s="201" t="str">
        <f t="shared" si="80"/>
        <v/>
      </c>
      <c r="J518" s="218">
        <f t="shared" si="81"/>
        <v>515</v>
      </c>
      <c r="K518" s="250"/>
      <c r="L518" s="219"/>
      <c r="M518" s="218"/>
      <c r="N518" s="220" t="str">
        <f>IFERROR(VLOOKUP(M518,Data!$C$4:$D$395,2,0),"")</f>
        <v/>
      </c>
      <c r="O518" s="220"/>
      <c r="P518" s="229"/>
      <c r="Q518" s="221"/>
      <c r="R518" s="222" t="str">
        <f t="shared" si="82"/>
        <v>-</v>
      </c>
      <c r="S518" s="223"/>
      <c r="T518" s="224"/>
      <c r="U518" s="225">
        <f t="shared" si="83"/>
        <v>0</v>
      </c>
      <c r="V518" s="226">
        <v>0</v>
      </c>
      <c r="W518" s="227"/>
      <c r="X518" s="228">
        <f t="shared" si="84"/>
        <v>0</v>
      </c>
      <c r="Y518" s="229"/>
      <c r="Z518" s="229"/>
      <c r="AA518" s="229"/>
      <c r="AB518" s="222">
        <f t="shared" si="85"/>
        <v>0</v>
      </c>
      <c r="AC518" s="230">
        <f t="shared" si="86"/>
        <v>0</v>
      </c>
      <c r="AD518" s="222" t="str">
        <f t="shared" si="87"/>
        <v/>
      </c>
      <c r="AE518" s="201"/>
      <c r="AF518" s="231" t="str">
        <f>+IFERROR(VLOOKUP(L518,Data!$F$4:$G$97,2,0),"")</f>
        <v/>
      </c>
    </row>
    <row r="519" spans="9:32" ht="15" customHeight="1" x14ac:dyDescent="0.3">
      <c r="I519" s="201" t="str">
        <f t="shared" si="80"/>
        <v/>
      </c>
      <c r="J519" s="218">
        <f t="shared" si="81"/>
        <v>516</v>
      </c>
      <c r="K519" s="250"/>
      <c r="L519" s="219"/>
      <c r="M519" s="218"/>
      <c r="N519" s="220" t="str">
        <f>IFERROR(VLOOKUP(M519,Data!$C$4:$D$395,2,0),"")</f>
        <v/>
      </c>
      <c r="O519" s="220"/>
      <c r="P519" s="229"/>
      <c r="Q519" s="221"/>
      <c r="R519" s="222" t="str">
        <f t="shared" si="82"/>
        <v>-</v>
      </c>
      <c r="S519" s="223"/>
      <c r="T519" s="224"/>
      <c r="U519" s="225">
        <f t="shared" si="83"/>
        <v>0</v>
      </c>
      <c r="V519" s="226">
        <v>0</v>
      </c>
      <c r="W519" s="227"/>
      <c r="X519" s="228">
        <f t="shared" si="84"/>
        <v>0</v>
      </c>
      <c r="Y519" s="229"/>
      <c r="Z519" s="229"/>
      <c r="AA519" s="229"/>
      <c r="AB519" s="222">
        <f t="shared" si="85"/>
        <v>0</v>
      </c>
      <c r="AC519" s="230">
        <f t="shared" si="86"/>
        <v>0</v>
      </c>
      <c r="AD519" s="222" t="str">
        <f t="shared" si="87"/>
        <v/>
      </c>
      <c r="AE519" s="201"/>
      <c r="AF519" s="231" t="str">
        <f>+IFERROR(VLOOKUP(L519,Data!$F$4:$G$97,2,0),"")</f>
        <v/>
      </c>
    </row>
    <row r="520" spans="9:32" ht="15" customHeight="1" x14ac:dyDescent="0.3">
      <c r="I520" s="201" t="str">
        <f t="shared" si="80"/>
        <v/>
      </c>
      <c r="J520" s="218">
        <f t="shared" si="81"/>
        <v>517</v>
      </c>
      <c r="K520" s="250"/>
      <c r="L520" s="219"/>
      <c r="M520" s="218"/>
      <c r="N520" s="220" t="str">
        <f>IFERROR(VLOOKUP(M520,Data!$C$4:$D$395,2,0),"")</f>
        <v/>
      </c>
      <c r="O520" s="220"/>
      <c r="P520" s="229"/>
      <c r="Q520" s="221"/>
      <c r="R520" s="222" t="str">
        <f t="shared" si="82"/>
        <v>-</v>
      </c>
      <c r="S520" s="223"/>
      <c r="T520" s="224"/>
      <c r="U520" s="225">
        <f t="shared" si="83"/>
        <v>0</v>
      </c>
      <c r="V520" s="226">
        <v>0</v>
      </c>
      <c r="W520" s="227"/>
      <c r="X520" s="228">
        <f t="shared" si="84"/>
        <v>0</v>
      </c>
      <c r="Y520" s="229"/>
      <c r="Z520" s="229"/>
      <c r="AA520" s="229"/>
      <c r="AB520" s="222">
        <f t="shared" si="85"/>
        <v>0</v>
      </c>
      <c r="AC520" s="230">
        <f t="shared" si="86"/>
        <v>0</v>
      </c>
      <c r="AD520" s="222" t="str">
        <f t="shared" si="87"/>
        <v/>
      </c>
      <c r="AE520" s="201"/>
      <c r="AF520" s="231" t="str">
        <f>+IFERROR(VLOOKUP(L520,Data!$F$4:$G$97,2,0),"")</f>
        <v/>
      </c>
    </row>
    <row r="521" spans="9:32" ht="15" customHeight="1" x14ac:dyDescent="0.3">
      <c r="I521" s="201" t="str">
        <f t="shared" si="80"/>
        <v/>
      </c>
      <c r="J521" s="218">
        <f t="shared" si="81"/>
        <v>518</v>
      </c>
      <c r="K521" s="250"/>
      <c r="L521" s="219"/>
      <c r="M521" s="218"/>
      <c r="N521" s="220" t="str">
        <f>IFERROR(VLOOKUP(M521,Data!$C$4:$D$395,2,0),"")</f>
        <v/>
      </c>
      <c r="O521" s="220"/>
      <c r="P521" s="229"/>
      <c r="Q521" s="221"/>
      <c r="R521" s="222" t="str">
        <f t="shared" si="82"/>
        <v>-</v>
      </c>
      <c r="S521" s="223"/>
      <c r="T521" s="224"/>
      <c r="U521" s="225">
        <f t="shared" si="83"/>
        <v>0</v>
      </c>
      <c r="V521" s="226">
        <v>0</v>
      </c>
      <c r="W521" s="227"/>
      <c r="X521" s="228">
        <f t="shared" si="84"/>
        <v>0</v>
      </c>
      <c r="Y521" s="229"/>
      <c r="Z521" s="229"/>
      <c r="AA521" s="229"/>
      <c r="AB521" s="222">
        <f t="shared" si="85"/>
        <v>0</v>
      </c>
      <c r="AC521" s="230">
        <f t="shared" si="86"/>
        <v>0</v>
      </c>
      <c r="AD521" s="222" t="str">
        <f t="shared" si="87"/>
        <v/>
      </c>
      <c r="AE521" s="201"/>
      <c r="AF521" s="231" t="str">
        <f>+IFERROR(VLOOKUP(L521,Data!$F$4:$G$97,2,0),"")</f>
        <v/>
      </c>
    </row>
    <row r="522" spans="9:32" ht="15" customHeight="1" x14ac:dyDescent="0.3">
      <c r="I522" s="201" t="str">
        <f t="shared" si="80"/>
        <v/>
      </c>
      <c r="J522" s="218">
        <f t="shared" si="81"/>
        <v>519</v>
      </c>
      <c r="K522" s="250"/>
      <c r="L522" s="219"/>
      <c r="M522" s="218"/>
      <c r="N522" s="220" t="str">
        <f>IFERROR(VLOOKUP(M522,Data!$C$4:$D$395,2,0),"")</f>
        <v/>
      </c>
      <c r="O522" s="220"/>
      <c r="P522" s="229"/>
      <c r="Q522" s="221"/>
      <c r="R522" s="222" t="str">
        <f t="shared" si="82"/>
        <v>-</v>
      </c>
      <c r="S522" s="223"/>
      <c r="T522" s="224"/>
      <c r="U522" s="225">
        <f t="shared" si="83"/>
        <v>0</v>
      </c>
      <c r="V522" s="226">
        <v>0</v>
      </c>
      <c r="W522" s="227"/>
      <c r="X522" s="228">
        <f t="shared" si="84"/>
        <v>0</v>
      </c>
      <c r="Y522" s="229"/>
      <c r="Z522" s="229"/>
      <c r="AA522" s="229"/>
      <c r="AB522" s="222">
        <f t="shared" si="85"/>
        <v>0</v>
      </c>
      <c r="AC522" s="230">
        <f t="shared" si="86"/>
        <v>0</v>
      </c>
      <c r="AD522" s="222" t="str">
        <f t="shared" si="87"/>
        <v/>
      </c>
      <c r="AE522" s="201"/>
      <c r="AF522" s="231" t="str">
        <f>+IFERROR(VLOOKUP(L522,Data!$F$4:$G$97,2,0),"")</f>
        <v/>
      </c>
    </row>
    <row r="523" spans="9:32" ht="15" customHeight="1" x14ac:dyDescent="0.3">
      <c r="I523" s="201" t="str">
        <f t="shared" si="80"/>
        <v/>
      </c>
      <c r="J523" s="218">
        <f t="shared" si="81"/>
        <v>520</v>
      </c>
      <c r="K523" s="250"/>
      <c r="L523" s="219"/>
      <c r="M523" s="218"/>
      <c r="N523" s="220" t="str">
        <f>IFERROR(VLOOKUP(M523,Data!$C$4:$D$395,2,0),"")</f>
        <v/>
      </c>
      <c r="O523" s="220"/>
      <c r="P523" s="229"/>
      <c r="Q523" s="221"/>
      <c r="R523" s="222" t="str">
        <f t="shared" si="82"/>
        <v>-</v>
      </c>
      <c r="S523" s="223"/>
      <c r="T523" s="224"/>
      <c r="U523" s="225">
        <f t="shared" si="83"/>
        <v>0</v>
      </c>
      <c r="V523" s="226">
        <v>0</v>
      </c>
      <c r="W523" s="227"/>
      <c r="X523" s="228">
        <f t="shared" si="84"/>
        <v>0</v>
      </c>
      <c r="Y523" s="229"/>
      <c r="Z523" s="229"/>
      <c r="AA523" s="229"/>
      <c r="AB523" s="222">
        <f t="shared" si="85"/>
        <v>0</v>
      </c>
      <c r="AC523" s="230">
        <f t="shared" si="86"/>
        <v>0</v>
      </c>
      <c r="AD523" s="222" t="str">
        <f t="shared" si="87"/>
        <v/>
      </c>
      <c r="AE523" s="201"/>
      <c r="AF523" s="231" t="str">
        <f>+IFERROR(VLOOKUP(L523,Data!$F$4:$G$97,2,0),"")</f>
        <v/>
      </c>
    </row>
    <row r="524" spans="9:32" ht="15" customHeight="1" x14ac:dyDescent="0.3">
      <c r="I524" s="201" t="str">
        <f t="shared" si="80"/>
        <v/>
      </c>
      <c r="J524" s="218">
        <f t="shared" si="81"/>
        <v>521</v>
      </c>
      <c r="K524" s="250"/>
      <c r="L524" s="219"/>
      <c r="M524" s="218"/>
      <c r="N524" s="220" t="str">
        <f>IFERROR(VLOOKUP(M524,Data!$C$4:$D$395,2,0),"")</f>
        <v/>
      </c>
      <c r="O524" s="220"/>
      <c r="P524" s="229"/>
      <c r="Q524" s="221"/>
      <c r="R524" s="222" t="str">
        <f t="shared" si="82"/>
        <v>-</v>
      </c>
      <c r="S524" s="223"/>
      <c r="T524" s="224"/>
      <c r="U524" s="225">
        <f t="shared" si="83"/>
        <v>0</v>
      </c>
      <c r="V524" s="226">
        <v>0</v>
      </c>
      <c r="W524" s="227"/>
      <c r="X524" s="228">
        <f t="shared" si="84"/>
        <v>0</v>
      </c>
      <c r="Y524" s="229"/>
      <c r="Z524" s="229"/>
      <c r="AA524" s="229"/>
      <c r="AB524" s="222">
        <f t="shared" si="85"/>
        <v>0</v>
      </c>
      <c r="AC524" s="230">
        <f t="shared" si="86"/>
        <v>0</v>
      </c>
      <c r="AD524" s="222" t="str">
        <f t="shared" si="87"/>
        <v/>
      </c>
      <c r="AE524" s="201"/>
      <c r="AF524" s="231" t="str">
        <f>+IFERROR(VLOOKUP(L524,Data!$F$4:$G$97,2,0),"")</f>
        <v/>
      </c>
    </row>
    <row r="525" spans="9:32" ht="15" customHeight="1" x14ac:dyDescent="0.3">
      <c r="I525" s="201" t="str">
        <f t="shared" si="80"/>
        <v/>
      </c>
      <c r="J525" s="218">
        <f t="shared" si="81"/>
        <v>522</v>
      </c>
      <c r="K525" s="250"/>
      <c r="L525" s="219"/>
      <c r="M525" s="218"/>
      <c r="N525" s="220" t="str">
        <f>IFERROR(VLOOKUP(M525,Data!$C$4:$D$395,2,0),"")</f>
        <v/>
      </c>
      <c r="O525" s="220"/>
      <c r="P525" s="229"/>
      <c r="Q525" s="221"/>
      <c r="R525" s="222" t="str">
        <f t="shared" si="82"/>
        <v>-</v>
      </c>
      <c r="S525" s="223"/>
      <c r="T525" s="224"/>
      <c r="U525" s="225">
        <f t="shared" si="83"/>
        <v>0</v>
      </c>
      <c r="V525" s="226">
        <v>0</v>
      </c>
      <c r="W525" s="227"/>
      <c r="X525" s="228">
        <f t="shared" si="84"/>
        <v>0</v>
      </c>
      <c r="Y525" s="229"/>
      <c r="Z525" s="229"/>
      <c r="AA525" s="229"/>
      <c r="AB525" s="222">
        <f t="shared" si="85"/>
        <v>0</v>
      </c>
      <c r="AC525" s="230">
        <f t="shared" si="86"/>
        <v>0</v>
      </c>
      <c r="AD525" s="222" t="str">
        <f t="shared" si="87"/>
        <v/>
      </c>
      <c r="AE525" s="201"/>
      <c r="AF525" s="231" t="str">
        <f>+IFERROR(VLOOKUP(L525,Data!$F$4:$G$97,2,0),"")</f>
        <v/>
      </c>
    </row>
    <row r="526" spans="9:32" ht="15" customHeight="1" x14ac:dyDescent="0.3">
      <c r="I526" s="201" t="str">
        <f t="shared" si="80"/>
        <v/>
      </c>
      <c r="J526" s="218">
        <f t="shared" si="81"/>
        <v>523</v>
      </c>
      <c r="K526" s="250"/>
      <c r="L526" s="219"/>
      <c r="M526" s="218"/>
      <c r="N526" s="220" t="str">
        <f>IFERROR(VLOOKUP(M526,Data!$C$4:$D$395,2,0),"")</f>
        <v/>
      </c>
      <c r="O526" s="220"/>
      <c r="P526" s="229"/>
      <c r="Q526" s="221"/>
      <c r="R526" s="222" t="str">
        <f t="shared" si="82"/>
        <v>-</v>
      </c>
      <c r="S526" s="223"/>
      <c r="T526" s="224"/>
      <c r="U526" s="225">
        <f t="shared" si="83"/>
        <v>0</v>
      </c>
      <c r="V526" s="226">
        <v>0</v>
      </c>
      <c r="W526" s="227"/>
      <c r="X526" s="228">
        <f t="shared" si="84"/>
        <v>0</v>
      </c>
      <c r="Y526" s="229"/>
      <c r="Z526" s="229"/>
      <c r="AA526" s="229"/>
      <c r="AB526" s="222">
        <f t="shared" si="85"/>
        <v>0</v>
      </c>
      <c r="AC526" s="230">
        <f t="shared" si="86"/>
        <v>0</v>
      </c>
      <c r="AD526" s="222" t="str">
        <f t="shared" si="87"/>
        <v/>
      </c>
      <c r="AE526" s="201"/>
      <c r="AF526" s="231" t="str">
        <f>+IFERROR(VLOOKUP(L526,Data!$F$4:$G$97,2,0),"")</f>
        <v/>
      </c>
    </row>
    <row r="527" spans="9:32" ht="15" customHeight="1" x14ac:dyDescent="0.3">
      <c r="I527" s="201" t="str">
        <f t="shared" si="80"/>
        <v/>
      </c>
      <c r="J527" s="218">
        <f t="shared" si="81"/>
        <v>524</v>
      </c>
      <c r="K527" s="250"/>
      <c r="L527" s="219"/>
      <c r="M527" s="218"/>
      <c r="N527" s="220" t="str">
        <f>IFERROR(VLOOKUP(M527,Data!$C$4:$D$395,2,0),"")</f>
        <v/>
      </c>
      <c r="O527" s="220"/>
      <c r="P527" s="229"/>
      <c r="Q527" s="221"/>
      <c r="R527" s="222" t="str">
        <f t="shared" si="82"/>
        <v>-</v>
      </c>
      <c r="S527" s="223"/>
      <c r="T527" s="224"/>
      <c r="U527" s="225">
        <f t="shared" si="83"/>
        <v>0</v>
      </c>
      <c r="V527" s="226">
        <v>0</v>
      </c>
      <c r="W527" s="227"/>
      <c r="X527" s="228">
        <f t="shared" si="84"/>
        <v>0</v>
      </c>
      <c r="Y527" s="229"/>
      <c r="Z527" s="229"/>
      <c r="AA527" s="229"/>
      <c r="AB527" s="222">
        <f t="shared" si="85"/>
        <v>0</v>
      </c>
      <c r="AC527" s="230">
        <f t="shared" si="86"/>
        <v>0</v>
      </c>
      <c r="AD527" s="222" t="str">
        <f t="shared" si="87"/>
        <v/>
      </c>
      <c r="AE527" s="201"/>
      <c r="AF527" s="231" t="str">
        <f>+IFERROR(VLOOKUP(L527,Data!$F$4:$G$97,2,0),"")</f>
        <v/>
      </c>
    </row>
    <row r="528" spans="9:32" ht="15" customHeight="1" x14ac:dyDescent="0.3">
      <c r="I528" s="201" t="str">
        <f t="shared" si="80"/>
        <v/>
      </c>
      <c r="J528" s="218">
        <f t="shared" si="81"/>
        <v>525</v>
      </c>
      <c r="K528" s="250"/>
      <c r="L528" s="219"/>
      <c r="M528" s="218"/>
      <c r="N528" s="220" t="str">
        <f>IFERROR(VLOOKUP(M528,Data!$C$4:$D$395,2,0),"")</f>
        <v/>
      </c>
      <c r="O528" s="220"/>
      <c r="P528" s="229"/>
      <c r="Q528" s="221"/>
      <c r="R528" s="222" t="str">
        <f t="shared" si="82"/>
        <v>-</v>
      </c>
      <c r="S528" s="223"/>
      <c r="T528" s="224"/>
      <c r="U528" s="225">
        <f t="shared" si="83"/>
        <v>0</v>
      </c>
      <c r="V528" s="226">
        <v>0</v>
      </c>
      <c r="W528" s="227"/>
      <c r="X528" s="228">
        <f t="shared" si="84"/>
        <v>0</v>
      </c>
      <c r="Y528" s="229"/>
      <c r="Z528" s="229"/>
      <c r="AA528" s="229"/>
      <c r="AB528" s="222">
        <f t="shared" si="85"/>
        <v>0</v>
      </c>
      <c r="AC528" s="230">
        <f t="shared" si="86"/>
        <v>0</v>
      </c>
      <c r="AD528" s="222" t="str">
        <f t="shared" si="87"/>
        <v/>
      </c>
      <c r="AE528" s="201"/>
      <c r="AF528" s="231" t="str">
        <f>+IFERROR(VLOOKUP(L528,Data!$F$4:$G$97,2,0),"")</f>
        <v/>
      </c>
    </row>
    <row r="529" spans="9:32" ht="15" customHeight="1" x14ac:dyDescent="0.3">
      <c r="I529" s="201" t="str">
        <f t="shared" si="80"/>
        <v/>
      </c>
      <c r="J529" s="218">
        <f t="shared" si="81"/>
        <v>526</v>
      </c>
      <c r="K529" s="250"/>
      <c r="L529" s="219"/>
      <c r="M529" s="218"/>
      <c r="N529" s="220" t="str">
        <f>IFERROR(VLOOKUP(M529,Data!$C$4:$D$395,2,0),"")</f>
        <v/>
      </c>
      <c r="O529" s="220"/>
      <c r="P529" s="229"/>
      <c r="Q529" s="221"/>
      <c r="R529" s="222" t="str">
        <f t="shared" si="82"/>
        <v>-</v>
      </c>
      <c r="S529" s="223"/>
      <c r="T529" s="224"/>
      <c r="U529" s="225">
        <f t="shared" si="83"/>
        <v>0</v>
      </c>
      <c r="V529" s="226">
        <v>0</v>
      </c>
      <c r="W529" s="227"/>
      <c r="X529" s="228">
        <f t="shared" si="84"/>
        <v>0</v>
      </c>
      <c r="Y529" s="229"/>
      <c r="Z529" s="229"/>
      <c r="AA529" s="229"/>
      <c r="AB529" s="222">
        <f t="shared" si="85"/>
        <v>0</v>
      </c>
      <c r="AC529" s="230">
        <f t="shared" si="86"/>
        <v>0</v>
      </c>
      <c r="AD529" s="222" t="str">
        <f t="shared" si="87"/>
        <v/>
      </c>
      <c r="AE529" s="201"/>
      <c r="AF529" s="231" t="str">
        <f>+IFERROR(VLOOKUP(L529,Data!$F$4:$G$97,2,0),"")</f>
        <v/>
      </c>
    </row>
    <row r="530" spans="9:32" ht="15" customHeight="1" x14ac:dyDescent="0.3">
      <c r="I530" s="201" t="str">
        <f t="shared" si="80"/>
        <v/>
      </c>
      <c r="J530" s="218">
        <f t="shared" si="81"/>
        <v>527</v>
      </c>
      <c r="K530" s="250"/>
      <c r="L530" s="219"/>
      <c r="M530" s="218"/>
      <c r="N530" s="220" t="str">
        <f>IFERROR(VLOOKUP(M530,Data!$C$4:$D$395,2,0),"")</f>
        <v/>
      </c>
      <c r="O530" s="220"/>
      <c r="P530" s="229"/>
      <c r="Q530" s="221"/>
      <c r="R530" s="222" t="str">
        <f t="shared" si="82"/>
        <v>-</v>
      </c>
      <c r="S530" s="223"/>
      <c r="T530" s="224"/>
      <c r="U530" s="225">
        <f t="shared" si="83"/>
        <v>0</v>
      </c>
      <c r="V530" s="226">
        <v>0</v>
      </c>
      <c r="W530" s="227"/>
      <c r="X530" s="228">
        <f t="shared" si="84"/>
        <v>0</v>
      </c>
      <c r="Y530" s="229"/>
      <c r="Z530" s="229"/>
      <c r="AA530" s="229"/>
      <c r="AB530" s="222">
        <f t="shared" si="85"/>
        <v>0</v>
      </c>
      <c r="AC530" s="230">
        <f t="shared" si="86"/>
        <v>0</v>
      </c>
      <c r="AD530" s="222" t="str">
        <f t="shared" si="87"/>
        <v/>
      </c>
      <c r="AE530" s="201"/>
      <c r="AF530" s="231" t="str">
        <f>+IFERROR(VLOOKUP(L530,Data!$F$4:$G$97,2,0),"")</f>
        <v/>
      </c>
    </row>
    <row r="531" spans="9:32" ht="15" customHeight="1" x14ac:dyDescent="0.3">
      <c r="I531" s="201" t="str">
        <f t="shared" si="80"/>
        <v/>
      </c>
      <c r="J531" s="218">
        <f t="shared" si="81"/>
        <v>528</v>
      </c>
      <c r="K531" s="250"/>
      <c r="L531" s="219"/>
      <c r="M531" s="218"/>
      <c r="N531" s="220" t="str">
        <f>IFERROR(VLOOKUP(M531,Data!$C$4:$D$395,2,0),"")</f>
        <v/>
      </c>
      <c r="O531" s="220"/>
      <c r="P531" s="229"/>
      <c r="Q531" s="221"/>
      <c r="R531" s="222" t="str">
        <f t="shared" si="82"/>
        <v>-</v>
      </c>
      <c r="S531" s="223"/>
      <c r="T531" s="224"/>
      <c r="U531" s="225">
        <f t="shared" si="83"/>
        <v>0</v>
      </c>
      <c r="V531" s="226">
        <v>0</v>
      </c>
      <c r="W531" s="227"/>
      <c r="X531" s="228">
        <f t="shared" si="84"/>
        <v>0</v>
      </c>
      <c r="Y531" s="229"/>
      <c r="Z531" s="229"/>
      <c r="AA531" s="229"/>
      <c r="AB531" s="222">
        <f t="shared" si="85"/>
        <v>0</v>
      </c>
      <c r="AC531" s="230">
        <f t="shared" si="86"/>
        <v>0</v>
      </c>
      <c r="AD531" s="222" t="str">
        <f t="shared" si="87"/>
        <v/>
      </c>
      <c r="AE531" s="201"/>
      <c r="AF531" s="231" t="str">
        <f>+IFERROR(VLOOKUP(L531,Data!$F$4:$G$97,2,0),"")</f>
        <v/>
      </c>
    </row>
    <row r="532" spans="9:32" ht="15" customHeight="1" x14ac:dyDescent="0.3">
      <c r="I532" s="201" t="str">
        <f t="shared" si="80"/>
        <v/>
      </c>
      <c r="J532" s="218">
        <f t="shared" si="81"/>
        <v>529</v>
      </c>
      <c r="K532" s="250"/>
      <c r="L532" s="219"/>
      <c r="M532" s="218"/>
      <c r="N532" s="220" t="str">
        <f>IFERROR(VLOOKUP(M532,Data!$C$4:$D$395,2,0),"")</f>
        <v/>
      </c>
      <c r="O532" s="220"/>
      <c r="P532" s="229"/>
      <c r="Q532" s="221"/>
      <c r="R532" s="222" t="str">
        <f t="shared" si="82"/>
        <v>-</v>
      </c>
      <c r="S532" s="223"/>
      <c r="T532" s="224"/>
      <c r="U532" s="225">
        <f t="shared" si="83"/>
        <v>0</v>
      </c>
      <c r="V532" s="226">
        <v>0</v>
      </c>
      <c r="W532" s="227"/>
      <c r="X532" s="228">
        <f t="shared" si="84"/>
        <v>0</v>
      </c>
      <c r="Y532" s="229"/>
      <c r="Z532" s="229"/>
      <c r="AA532" s="229"/>
      <c r="AB532" s="222">
        <f t="shared" si="85"/>
        <v>0</v>
      </c>
      <c r="AC532" s="230">
        <f t="shared" si="86"/>
        <v>0</v>
      </c>
      <c r="AD532" s="222" t="str">
        <f t="shared" si="87"/>
        <v/>
      </c>
      <c r="AE532" s="201"/>
      <c r="AF532" s="231" t="str">
        <f>+IFERROR(VLOOKUP(L532,Data!$F$4:$G$97,2,0),"")</f>
        <v/>
      </c>
    </row>
    <row r="533" spans="9:32" ht="15" customHeight="1" x14ac:dyDescent="0.3">
      <c r="I533" s="201" t="str">
        <f t="shared" si="80"/>
        <v/>
      </c>
      <c r="J533" s="218">
        <f t="shared" si="81"/>
        <v>530</v>
      </c>
      <c r="K533" s="250"/>
      <c r="L533" s="219"/>
      <c r="M533" s="218"/>
      <c r="N533" s="220" t="str">
        <f>IFERROR(VLOOKUP(M533,Data!$C$4:$D$395,2,0),"")</f>
        <v/>
      </c>
      <c r="O533" s="220"/>
      <c r="P533" s="229"/>
      <c r="Q533" s="221"/>
      <c r="R533" s="222" t="str">
        <f t="shared" si="82"/>
        <v>-</v>
      </c>
      <c r="S533" s="223"/>
      <c r="T533" s="224"/>
      <c r="U533" s="225">
        <f t="shared" si="83"/>
        <v>0</v>
      </c>
      <c r="V533" s="226">
        <v>0</v>
      </c>
      <c r="W533" s="227"/>
      <c r="X533" s="228">
        <f t="shared" si="84"/>
        <v>0</v>
      </c>
      <c r="Y533" s="229"/>
      <c r="Z533" s="229"/>
      <c r="AA533" s="229"/>
      <c r="AB533" s="222">
        <f t="shared" si="85"/>
        <v>0</v>
      </c>
      <c r="AC533" s="230">
        <f t="shared" si="86"/>
        <v>0</v>
      </c>
      <c r="AD533" s="222" t="str">
        <f t="shared" si="87"/>
        <v/>
      </c>
      <c r="AE533" s="201"/>
      <c r="AF533" s="231" t="str">
        <f>+IFERROR(VLOOKUP(L533,Data!$F$4:$G$97,2,0),"")</f>
        <v/>
      </c>
    </row>
    <row r="534" spans="9:32" ht="15" customHeight="1" x14ac:dyDescent="0.3">
      <c r="I534" s="201" t="str">
        <f t="shared" si="80"/>
        <v/>
      </c>
      <c r="J534" s="218">
        <f t="shared" si="81"/>
        <v>531</v>
      </c>
      <c r="K534" s="250"/>
      <c r="L534" s="219"/>
      <c r="M534" s="218"/>
      <c r="N534" s="220" t="str">
        <f>IFERROR(VLOOKUP(M534,Data!$C$4:$D$395,2,0),"")</f>
        <v/>
      </c>
      <c r="O534" s="220"/>
      <c r="P534" s="229"/>
      <c r="Q534" s="221"/>
      <c r="R534" s="222" t="str">
        <f t="shared" si="82"/>
        <v>-</v>
      </c>
      <c r="S534" s="223"/>
      <c r="T534" s="224"/>
      <c r="U534" s="225">
        <f t="shared" si="83"/>
        <v>0</v>
      </c>
      <c r="V534" s="226">
        <v>0</v>
      </c>
      <c r="W534" s="227"/>
      <c r="X534" s="228">
        <f t="shared" si="84"/>
        <v>0</v>
      </c>
      <c r="Y534" s="229"/>
      <c r="Z534" s="229"/>
      <c r="AA534" s="229"/>
      <c r="AB534" s="222">
        <f t="shared" si="85"/>
        <v>0</v>
      </c>
      <c r="AC534" s="230">
        <f t="shared" si="86"/>
        <v>0</v>
      </c>
      <c r="AD534" s="222" t="str">
        <f t="shared" si="87"/>
        <v/>
      </c>
      <c r="AE534" s="201"/>
      <c r="AF534" s="231" t="str">
        <f>+IFERROR(VLOOKUP(L534,Data!$F$4:$G$97,2,0),"")</f>
        <v/>
      </c>
    </row>
    <row r="535" spans="9:32" ht="15" customHeight="1" x14ac:dyDescent="0.3">
      <c r="I535" s="201" t="str">
        <f t="shared" si="80"/>
        <v/>
      </c>
      <c r="J535" s="218">
        <f t="shared" si="81"/>
        <v>532</v>
      </c>
      <c r="K535" s="250"/>
      <c r="L535" s="219"/>
      <c r="M535" s="218"/>
      <c r="N535" s="220" t="str">
        <f>IFERROR(VLOOKUP(M535,Data!$C$4:$D$395,2,0),"")</f>
        <v/>
      </c>
      <c r="O535" s="220"/>
      <c r="P535" s="229"/>
      <c r="Q535" s="221"/>
      <c r="R535" s="222" t="str">
        <f t="shared" si="82"/>
        <v>-</v>
      </c>
      <c r="S535" s="223"/>
      <c r="T535" s="224"/>
      <c r="U535" s="225">
        <f t="shared" si="83"/>
        <v>0</v>
      </c>
      <c r="V535" s="226">
        <v>0</v>
      </c>
      <c r="W535" s="227"/>
      <c r="X535" s="228">
        <f t="shared" si="84"/>
        <v>0</v>
      </c>
      <c r="Y535" s="229"/>
      <c r="Z535" s="229"/>
      <c r="AA535" s="229"/>
      <c r="AB535" s="222">
        <f t="shared" si="85"/>
        <v>0</v>
      </c>
      <c r="AC535" s="230">
        <f t="shared" si="86"/>
        <v>0</v>
      </c>
      <c r="AD535" s="222" t="str">
        <f t="shared" si="87"/>
        <v/>
      </c>
      <c r="AE535" s="201"/>
      <c r="AF535" s="231" t="str">
        <f>+IFERROR(VLOOKUP(L535,Data!$F$4:$G$97,2,0),"")</f>
        <v/>
      </c>
    </row>
    <row r="536" spans="9:32" ht="15" customHeight="1" x14ac:dyDescent="0.3">
      <c r="I536" s="201" t="str">
        <f t="shared" si="80"/>
        <v/>
      </c>
      <c r="J536" s="218">
        <f t="shared" si="81"/>
        <v>533</v>
      </c>
      <c r="K536" s="250"/>
      <c r="L536" s="219"/>
      <c r="M536" s="218"/>
      <c r="N536" s="220" t="str">
        <f>IFERROR(VLOOKUP(M536,Data!$C$4:$D$395,2,0),"")</f>
        <v/>
      </c>
      <c r="O536" s="220"/>
      <c r="P536" s="229"/>
      <c r="Q536" s="221"/>
      <c r="R536" s="222" t="str">
        <f t="shared" si="82"/>
        <v>-</v>
      </c>
      <c r="S536" s="223"/>
      <c r="T536" s="224"/>
      <c r="U536" s="225">
        <f t="shared" si="83"/>
        <v>0</v>
      </c>
      <c r="V536" s="226">
        <v>0</v>
      </c>
      <c r="W536" s="227"/>
      <c r="X536" s="228">
        <f t="shared" si="84"/>
        <v>0</v>
      </c>
      <c r="Y536" s="229"/>
      <c r="Z536" s="229"/>
      <c r="AA536" s="229"/>
      <c r="AB536" s="222">
        <f t="shared" si="85"/>
        <v>0</v>
      </c>
      <c r="AC536" s="230">
        <f t="shared" si="86"/>
        <v>0</v>
      </c>
      <c r="AD536" s="222" t="str">
        <f t="shared" si="87"/>
        <v/>
      </c>
      <c r="AE536" s="201"/>
      <c r="AF536" s="231" t="str">
        <f>+IFERROR(VLOOKUP(L536,Data!$F$4:$G$97,2,0),"")</f>
        <v/>
      </c>
    </row>
    <row r="537" spans="9:32" ht="15" customHeight="1" x14ac:dyDescent="0.3">
      <c r="I537" s="201" t="str">
        <f t="shared" si="80"/>
        <v/>
      </c>
      <c r="J537" s="218">
        <f t="shared" si="81"/>
        <v>534</v>
      </c>
      <c r="K537" s="250"/>
      <c r="L537" s="219"/>
      <c r="M537" s="218"/>
      <c r="N537" s="220" t="str">
        <f>IFERROR(VLOOKUP(M537,Data!$C$4:$D$395,2,0),"")</f>
        <v/>
      </c>
      <c r="O537" s="220"/>
      <c r="P537" s="229"/>
      <c r="Q537" s="221"/>
      <c r="R537" s="222" t="str">
        <f t="shared" si="82"/>
        <v>-</v>
      </c>
      <c r="S537" s="223"/>
      <c r="T537" s="224"/>
      <c r="U537" s="225">
        <f t="shared" si="83"/>
        <v>0</v>
      </c>
      <c r="V537" s="226">
        <v>0</v>
      </c>
      <c r="W537" s="227"/>
      <c r="X537" s="228">
        <f t="shared" si="84"/>
        <v>0</v>
      </c>
      <c r="Y537" s="229"/>
      <c r="Z537" s="229"/>
      <c r="AA537" s="229"/>
      <c r="AB537" s="222">
        <f t="shared" si="85"/>
        <v>0</v>
      </c>
      <c r="AC537" s="230">
        <f t="shared" si="86"/>
        <v>0</v>
      </c>
      <c r="AD537" s="222" t="str">
        <f t="shared" si="87"/>
        <v/>
      </c>
      <c r="AE537" s="201"/>
      <c r="AF537" s="231" t="str">
        <f>+IFERROR(VLOOKUP(L537,Data!$F$4:$G$97,2,0),"")</f>
        <v/>
      </c>
    </row>
    <row r="538" spans="9:32" ht="15" customHeight="1" x14ac:dyDescent="0.3">
      <c r="I538" s="201" t="str">
        <f t="shared" si="80"/>
        <v/>
      </c>
      <c r="J538" s="218">
        <f t="shared" si="81"/>
        <v>535</v>
      </c>
      <c r="K538" s="250"/>
      <c r="L538" s="219"/>
      <c r="M538" s="218"/>
      <c r="N538" s="220" t="str">
        <f>IFERROR(VLOOKUP(M538,Data!$C$4:$D$395,2,0),"")</f>
        <v/>
      </c>
      <c r="O538" s="220"/>
      <c r="P538" s="229"/>
      <c r="Q538" s="221"/>
      <c r="R538" s="222" t="str">
        <f t="shared" si="82"/>
        <v>-</v>
      </c>
      <c r="S538" s="223"/>
      <c r="T538" s="224"/>
      <c r="U538" s="225">
        <f t="shared" si="83"/>
        <v>0</v>
      </c>
      <c r="V538" s="226">
        <v>0</v>
      </c>
      <c r="W538" s="227"/>
      <c r="X538" s="228">
        <f t="shared" si="84"/>
        <v>0</v>
      </c>
      <c r="Y538" s="229"/>
      <c r="Z538" s="229"/>
      <c r="AA538" s="229"/>
      <c r="AB538" s="222">
        <f t="shared" si="85"/>
        <v>0</v>
      </c>
      <c r="AC538" s="230">
        <f t="shared" si="86"/>
        <v>0</v>
      </c>
      <c r="AD538" s="222" t="str">
        <f t="shared" si="87"/>
        <v/>
      </c>
      <c r="AE538" s="201"/>
      <c r="AF538" s="231" t="str">
        <f>+IFERROR(VLOOKUP(L538,Data!$F$4:$G$97,2,0),"")</f>
        <v/>
      </c>
    </row>
    <row r="539" spans="9:32" ht="15" customHeight="1" x14ac:dyDescent="0.3">
      <c r="I539" s="201" t="str">
        <f t="shared" si="80"/>
        <v/>
      </c>
      <c r="J539" s="218">
        <f t="shared" si="81"/>
        <v>536</v>
      </c>
      <c r="K539" s="250"/>
      <c r="L539" s="219"/>
      <c r="M539" s="218"/>
      <c r="N539" s="220" t="str">
        <f>IFERROR(VLOOKUP(M539,Data!$C$4:$D$395,2,0),"")</f>
        <v/>
      </c>
      <c r="O539" s="220"/>
      <c r="P539" s="229"/>
      <c r="Q539" s="221"/>
      <c r="R539" s="222" t="str">
        <f t="shared" si="82"/>
        <v>-</v>
      </c>
      <c r="S539" s="223"/>
      <c r="T539" s="224"/>
      <c r="U539" s="225">
        <f t="shared" si="83"/>
        <v>0</v>
      </c>
      <c r="V539" s="226">
        <v>0</v>
      </c>
      <c r="W539" s="227"/>
      <c r="X539" s="228">
        <f t="shared" si="84"/>
        <v>0</v>
      </c>
      <c r="Y539" s="229"/>
      <c r="Z539" s="229"/>
      <c r="AA539" s="229"/>
      <c r="AB539" s="222">
        <f t="shared" si="85"/>
        <v>0</v>
      </c>
      <c r="AC539" s="230">
        <f t="shared" si="86"/>
        <v>0</v>
      </c>
      <c r="AD539" s="222" t="str">
        <f t="shared" si="87"/>
        <v/>
      </c>
      <c r="AE539" s="201"/>
      <c r="AF539" s="231" t="str">
        <f>+IFERROR(VLOOKUP(L539,Data!$F$4:$G$97,2,0),"")</f>
        <v/>
      </c>
    </row>
    <row r="540" spans="9:32" ht="15" customHeight="1" x14ac:dyDescent="0.3">
      <c r="I540" s="201" t="str">
        <f t="shared" si="80"/>
        <v/>
      </c>
      <c r="J540" s="218">
        <f t="shared" si="81"/>
        <v>537</v>
      </c>
      <c r="K540" s="250"/>
      <c r="L540" s="219"/>
      <c r="M540" s="218"/>
      <c r="N540" s="220" t="str">
        <f>IFERROR(VLOOKUP(M540,Data!$C$4:$D$395,2,0),"")</f>
        <v/>
      </c>
      <c r="O540" s="220"/>
      <c r="P540" s="229"/>
      <c r="Q540" s="221"/>
      <c r="R540" s="222" t="str">
        <f t="shared" si="82"/>
        <v>-</v>
      </c>
      <c r="S540" s="223"/>
      <c r="T540" s="224"/>
      <c r="U540" s="225">
        <f t="shared" si="83"/>
        <v>0</v>
      </c>
      <c r="V540" s="226">
        <v>0</v>
      </c>
      <c r="W540" s="227"/>
      <c r="X540" s="228">
        <f t="shared" si="84"/>
        <v>0</v>
      </c>
      <c r="Y540" s="229"/>
      <c r="Z540" s="229"/>
      <c r="AA540" s="229"/>
      <c r="AB540" s="222">
        <f t="shared" si="85"/>
        <v>0</v>
      </c>
      <c r="AC540" s="230">
        <f t="shared" si="86"/>
        <v>0</v>
      </c>
      <c r="AD540" s="222" t="str">
        <f t="shared" si="87"/>
        <v/>
      </c>
      <c r="AE540" s="201"/>
      <c r="AF540" s="231" t="str">
        <f>+IFERROR(VLOOKUP(L540,Data!$F$4:$G$97,2,0),"")</f>
        <v/>
      </c>
    </row>
    <row r="541" spans="9:32" ht="15" customHeight="1" x14ac:dyDescent="0.3">
      <c r="I541" s="201" t="str">
        <f t="shared" si="80"/>
        <v/>
      </c>
      <c r="J541" s="218">
        <f t="shared" si="81"/>
        <v>538</v>
      </c>
      <c r="K541" s="250"/>
      <c r="L541" s="219"/>
      <c r="M541" s="218"/>
      <c r="N541" s="220" t="str">
        <f>IFERROR(VLOOKUP(M541,Data!$C$4:$D$395,2,0),"")</f>
        <v/>
      </c>
      <c r="O541" s="220"/>
      <c r="P541" s="229"/>
      <c r="Q541" s="221"/>
      <c r="R541" s="222" t="str">
        <f t="shared" si="82"/>
        <v>-</v>
      </c>
      <c r="S541" s="223"/>
      <c r="T541" s="224"/>
      <c r="U541" s="225">
        <f t="shared" si="83"/>
        <v>0</v>
      </c>
      <c r="V541" s="226">
        <v>0</v>
      </c>
      <c r="W541" s="227"/>
      <c r="X541" s="228">
        <f t="shared" si="84"/>
        <v>0</v>
      </c>
      <c r="Y541" s="229"/>
      <c r="Z541" s="229"/>
      <c r="AA541" s="229"/>
      <c r="AB541" s="222">
        <f t="shared" si="85"/>
        <v>0</v>
      </c>
      <c r="AC541" s="230">
        <f t="shared" si="86"/>
        <v>0</v>
      </c>
      <c r="AD541" s="222" t="str">
        <f t="shared" si="87"/>
        <v/>
      </c>
      <c r="AE541" s="201"/>
      <c r="AF541" s="231" t="str">
        <f>+IFERROR(VLOOKUP(L541,Data!$F$4:$G$97,2,0),"")</f>
        <v/>
      </c>
    </row>
    <row r="542" spans="9:32" ht="15" customHeight="1" x14ac:dyDescent="0.3">
      <c r="I542" s="201" t="str">
        <f t="shared" si="80"/>
        <v/>
      </c>
      <c r="J542" s="218">
        <f t="shared" si="81"/>
        <v>539</v>
      </c>
      <c r="K542" s="250"/>
      <c r="L542" s="219"/>
      <c r="M542" s="218"/>
      <c r="N542" s="220" t="str">
        <f>IFERROR(VLOOKUP(M542,Data!$C$4:$D$395,2,0),"")</f>
        <v/>
      </c>
      <c r="O542" s="220"/>
      <c r="P542" s="229"/>
      <c r="Q542" s="221"/>
      <c r="R542" s="222" t="str">
        <f t="shared" si="82"/>
        <v>-</v>
      </c>
      <c r="S542" s="223"/>
      <c r="T542" s="224"/>
      <c r="U542" s="225">
        <f t="shared" si="83"/>
        <v>0</v>
      </c>
      <c r="V542" s="226">
        <v>0</v>
      </c>
      <c r="W542" s="227"/>
      <c r="X542" s="228">
        <f t="shared" si="84"/>
        <v>0</v>
      </c>
      <c r="Y542" s="229"/>
      <c r="Z542" s="229"/>
      <c r="AA542" s="229"/>
      <c r="AB542" s="222">
        <f t="shared" si="85"/>
        <v>0</v>
      </c>
      <c r="AC542" s="230">
        <f t="shared" si="86"/>
        <v>0</v>
      </c>
      <c r="AD542" s="222" t="str">
        <f t="shared" si="87"/>
        <v/>
      </c>
      <c r="AE542" s="201"/>
      <c r="AF542" s="231" t="str">
        <f>+IFERROR(VLOOKUP(L542,Data!$F$4:$G$97,2,0),"")</f>
        <v/>
      </c>
    </row>
    <row r="543" spans="9:32" ht="15" customHeight="1" x14ac:dyDescent="0.3">
      <c r="I543" s="201" t="str">
        <f t="shared" si="80"/>
        <v/>
      </c>
      <c r="J543" s="218">
        <f t="shared" si="81"/>
        <v>540</v>
      </c>
      <c r="K543" s="250"/>
      <c r="L543" s="219"/>
      <c r="M543" s="218"/>
      <c r="N543" s="220" t="str">
        <f>IFERROR(VLOOKUP(M543,Data!$C$4:$D$395,2,0),"")</f>
        <v/>
      </c>
      <c r="O543" s="220"/>
      <c r="P543" s="229"/>
      <c r="Q543" s="221"/>
      <c r="R543" s="222" t="str">
        <f t="shared" si="82"/>
        <v>-</v>
      </c>
      <c r="S543" s="223"/>
      <c r="T543" s="224"/>
      <c r="U543" s="225">
        <f t="shared" si="83"/>
        <v>0</v>
      </c>
      <c r="V543" s="226">
        <v>0</v>
      </c>
      <c r="W543" s="227"/>
      <c r="X543" s="228">
        <f t="shared" si="84"/>
        <v>0</v>
      </c>
      <c r="Y543" s="229"/>
      <c r="Z543" s="229"/>
      <c r="AA543" s="229"/>
      <c r="AB543" s="222">
        <f t="shared" si="85"/>
        <v>0</v>
      </c>
      <c r="AC543" s="230">
        <f t="shared" si="86"/>
        <v>0</v>
      </c>
      <c r="AD543" s="222" t="str">
        <f t="shared" si="87"/>
        <v/>
      </c>
      <c r="AE543" s="201"/>
      <c r="AF543" s="231" t="str">
        <f>+IFERROR(VLOOKUP(L543,Data!$F$4:$G$97,2,0),"")</f>
        <v/>
      </c>
    </row>
    <row r="544" spans="9:32" ht="15" customHeight="1" x14ac:dyDescent="0.3">
      <c r="I544" s="201" t="str">
        <f t="shared" si="80"/>
        <v/>
      </c>
      <c r="J544" s="218">
        <f t="shared" si="81"/>
        <v>541</v>
      </c>
      <c r="K544" s="250"/>
      <c r="L544" s="219"/>
      <c r="M544" s="218"/>
      <c r="N544" s="220" t="str">
        <f>IFERROR(VLOOKUP(M544,Data!$C$4:$D$395,2,0),"")</f>
        <v/>
      </c>
      <c r="O544" s="220"/>
      <c r="P544" s="229"/>
      <c r="Q544" s="221"/>
      <c r="R544" s="222" t="str">
        <f t="shared" si="82"/>
        <v>-</v>
      </c>
      <c r="S544" s="223"/>
      <c r="T544" s="224"/>
      <c r="U544" s="225">
        <f t="shared" si="83"/>
        <v>0</v>
      </c>
      <c r="V544" s="226">
        <v>0</v>
      </c>
      <c r="W544" s="227"/>
      <c r="X544" s="228">
        <f t="shared" si="84"/>
        <v>0</v>
      </c>
      <c r="Y544" s="229"/>
      <c r="Z544" s="229"/>
      <c r="AA544" s="229"/>
      <c r="AB544" s="222">
        <f t="shared" si="85"/>
        <v>0</v>
      </c>
      <c r="AC544" s="230">
        <f t="shared" si="86"/>
        <v>0</v>
      </c>
      <c r="AD544" s="222" t="str">
        <f t="shared" si="87"/>
        <v/>
      </c>
      <c r="AE544" s="201"/>
      <c r="AF544" s="231" t="str">
        <f>+IFERROR(VLOOKUP(L544,Data!$F$4:$G$97,2,0),"")</f>
        <v/>
      </c>
    </row>
    <row r="545" spans="9:32" ht="15" customHeight="1" x14ac:dyDescent="0.3">
      <c r="I545" s="201" t="str">
        <f t="shared" si="80"/>
        <v/>
      </c>
      <c r="J545" s="218">
        <f t="shared" si="81"/>
        <v>542</v>
      </c>
      <c r="K545" s="250"/>
      <c r="L545" s="219"/>
      <c r="M545" s="218"/>
      <c r="N545" s="220" t="str">
        <f>IFERROR(VLOOKUP(M545,Data!$C$4:$D$395,2,0),"")</f>
        <v/>
      </c>
      <c r="O545" s="220"/>
      <c r="P545" s="229"/>
      <c r="Q545" s="221"/>
      <c r="R545" s="222" t="str">
        <f t="shared" si="82"/>
        <v>-</v>
      </c>
      <c r="S545" s="223"/>
      <c r="T545" s="224"/>
      <c r="U545" s="225">
        <f t="shared" si="83"/>
        <v>0</v>
      </c>
      <c r="V545" s="226">
        <v>0</v>
      </c>
      <c r="W545" s="227"/>
      <c r="X545" s="228">
        <f t="shared" si="84"/>
        <v>0</v>
      </c>
      <c r="Y545" s="229"/>
      <c r="Z545" s="229"/>
      <c r="AA545" s="229"/>
      <c r="AB545" s="222">
        <f t="shared" si="85"/>
        <v>0</v>
      </c>
      <c r="AC545" s="230">
        <f t="shared" si="86"/>
        <v>0</v>
      </c>
      <c r="AD545" s="222" t="str">
        <f t="shared" si="87"/>
        <v/>
      </c>
      <c r="AE545" s="201"/>
      <c r="AF545" s="231" t="str">
        <f>+IFERROR(VLOOKUP(L545,Data!$F$4:$G$97,2,0),"")</f>
        <v/>
      </c>
    </row>
    <row r="546" spans="9:32" ht="15" customHeight="1" x14ac:dyDescent="0.3">
      <c r="I546" s="201" t="str">
        <f t="shared" si="80"/>
        <v/>
      </c>
      <c r="J546" s="218">
        <f t="shared" si="81"/>
        <v>543</v>
      </c>
      <c r="K546" s="250"/>
      <c r="L546" s="219"/>
      <c r="M546" s="218"/>
      <c r="N546" s="220" t="str">
        <f>IFERROR(VLOOKUP(M546,Data!$C$4:$D$395,2,0),"")</f>
        <v/>
      </c>
      <c r="O546" s="220"/>
      <c r="P546" s="229"/>
      <c r="Q546" s="221"/>
      <c r="R546" s="222" t="str">
        <f t="shared" si="82"/>
        <v>-</v>
      </c>
      <c r="S546" s="223"/>
      <c r="T546" s="224"/>
      <c r="U546" s="225">
        <f t="shared" si="83"/>
        <v>0</v>
      </c>
      <c r="V546" s="226">
        <v>0</v>
      </c>
      <c r="W546" s="227"/>
      <c r="X546" s="228">
        <f t="shared" si="84"/>
        <v>0</v>
      </c>
      <c r="Y546" s="229"/>
      <c r="Z546" s="229"/>
      <c r="AA546" s="229"/>
      <c r="AB546" s="222">
        <f t="shared" si="85"/>
        <v>0</v>
      </c>
      <c r="AC546" s="230">
        <f t="shared" si="86"/>
        <v>0</v>
      </c>
      <c r="AD546" s="222" t="str">
        <f t="shared" si="87"/>
        <v/>
      </c>
      <c r="AE546" s="201"/>
      <c r="AF546" s="231" t="str">
        <f>+IFERROR(VLOOKUP(L546,Data!$F$4:$G$97,2,0),"")</f>
        <v/>
      </c>
    </row>
    <row r="547" spans="9:32" ht="15" customHeight="1" x14ac:dyDescent="0.3">
      <c r="I547" s="201" t="str">
        <f t="shared" si="80"/>
        <v/>
      </c>
      <c r="J547" s="218">
        <f t="shared" si="81"/>
        <v>544</v>
      </c>
      <c r="K547" s="250"/>
      <c r="L547" s="219"/>
      <c r="M547" s="218"/>
      <c r="N547" s="220" t="str">
        <f>IFERROR(VLOOKUP(M547,Data!$C$4:$D$395,2,0),"")</f>
        <v/>
      </c>
      <c r="O547" s="220"/>
      <c r="P547" s="229"/>
      <c r="Q547" s="221"/>
      <c r="R547" s="222" t="str">
        <f t="shared" si="82"/>
        <v>-</v>
      </c>
      <c r="S547" s="223"/>
      <c r="T547" s="224"/>
      <c r="U547" s="225">
        <f t="shared" si="83"/>
        <v>0</v>
      </c>
      <c r="V547" s="226">
        <v>0</v>
      </c>
      <c r="W547" s="227"/>
      <c r="X547" s="228">
        <f t="shared" si="84"/>
        <v>0</v>
      </c>
      <c r="Y547" s="229"/>
      <c r="Z547" s="229"/>
      <c r="AA547" s="229"/>
      <c r="AB547" s="222">
        <f t="shared" si="85"/>
        <v>0</v>
      </c>
      <c r="AC547" s="230">
        <f t="shared" si="86"/>
        <v>0</v>
      </c>
      <c r="AD547" s="222" t="str">
        <f t="shared" si="87"/>
        <v/>
      </c>
      <c r="AE547" s="201"/>
      <c r="AF547" s="231" t="str">
        <f>+IFERROR(VLOOKUP(L547,Data!$F$4:$G$97,2,0),"")</f>
        <v/>
      </c>
    </row>
    <row r="548" spans="9:32" ht="15" customHeight="1" x14ac:dyDescent="0.3">
      <c r="I548" s="201" t="str">
        <f t="shared" si="80"/>
        <v/>
      </c>
      <c r="J548" s="218">
        <f t="shared" si="81"/>
        <v>545</v>
      </c>
      <c r="K548" s="250"/>
      <c r="L548" s="219"/>
      <c r="M548" s="218"/>
      <c r="N548" s="220" t="str">
        <f>IFERROR(VLOOKUP(M548,Data!$C$4:$D$395,2,0),"")</f>
        <v/>
      </c>
      <c r="O548" s="220"/>
      <c r="P548" s="229"/>
      <c r="Q548" s="221"/>
      <c r="R548" s="222" t="str">
        <f t="shared" si="82"/>
        <v>-</v>
      </c>
      <c r="S548" s="223"/>
      <c r="T548" s="224"/>
      <c r="U548" s="225">
        <f t="shared" si="83"/>
        <v>0</v>
      </c>
      <c r="V548" s="226">
        <v>0</v>
      </c>
      <c r="W548" s="227"/>
      <c r="X548" s="228">
        <f t="shared" si="84"/>
        <v>0</v>
      </c>
      <c r="Y548" s="229"/>
      <c r="Z548" s="229"/>
      <c r="AA548" s="229"/>
      <c r="AB548" s="222">
        <f t="shared" si="85"/>
        <v>0</v>
      </c>
      <c r="AC548" s="230">
        <f t="shared" si="86"/>
        <v>0</v>
      </c>
      <c r="AD548" s="222" t="str">
        <f t="shared" si="87"/>
        <v/>
      </c>
      <c r="AE548" s="201"/>
      <c r="AF548" s="231" t="str">
        <f>+IFERROR(VLOOKUP(L548,Data!$F$4:$G$97,2,0),"")</f>
        <v/>
      </c>
    </row>
    <row r="549" spans="9:32" ht="15" customHeight="1" x14ac:dyDescent="0.3">
      <c r="I549" s="201" t="str">
        <f t="shared" si="80"/>
        <v/>
      </c>
      <c r="J549" s="218">
        <f t="shared" si="81"/>
        <v>546</v>
      </c>
      <c r="K549" s="250"/>
      <c r="L549" s="219"/>
      <c r="M549" s="218"/>
      <c r="N549" s="220" t="str">
        <f>IFERROR(VLOOKUP(M549,Data!$C$4:$D$395,2,0),"")</f>
        <v/>
      </c>
      <c r="O549" s="220"/>
      <c r="P549" s="229"/>
      <c r="Q549" s="221"/>
      <c r="R549" s="222" t="str">
        <f t="shared" si="82"/>
        <v>-</v>
      </c>
      <c r="S549" s="223"/>
      <c r="T549" s="224"/>
      <c r="U549" s="225">
        <f t="shared" si="83"/>
        <v>0</v>
      </c>
      <c r="V549" s="226">
        <v>0</v>
      </c>
      <c r="W549" s="227"/>
      <c r="X549" s="228">
        <f t="shared" si="84"/>
        <v>0</v>
      </c>
      <c r="Y549" s="229"/>
      <c r="Z549" s="229"/>
      <c r="AA549" s="229"/>
      <c r="AB549" s="222">
        <f t="shared" si="85"/>
        <v>0</v>
      </c>
      <c r="AC549" s="230">
        <f t="shared" si="86"/>
        <v>0</v>
      </c>
      <c r="AD549" s="222" t="str">
        <f t="shared" si="87"/>
        <v/>
      </c>
      <c r="AE549" s="201"/>
      <c r="AF549" s="231" t="str">
        <f>+IFERROR(VLOOKUP(L549,Data!$F$4:$G$97,2,0),"")</f>
        <v/>
      </c>
    </row>
    <row r="550" spans="9:32" ht="15" customHeight="1" x14ac:dyDescent="0.3">
      <c r="I550" s="201" t="str">
        <f t="shared" si="80"/>
        <v/>
      </c>
      <c r="J550" s="218">
        <f t="shared" si="81"/>
        <v>547</v>
      </c>
      <c r="K550" s="250"/>
      <c r="L550" s="219"/>
      <c r="M550" s="218"/>
      <c r="N550" s="220" t="str">
        <f>IFERROR(VLOOKUP(M550,Data!$C$4:$D$395,2,0),"")</f>
        <v/>
      </c>
      <c r="O550" s="220"/>
      <c r="P550" s="229"/>
      <c r="Q550" s="221"/>
      <c r="R550" s="222" t="str">
        <f t="shared" si="82"/>
        <v>-</v>
      </c>
      <c r="S550" s="223"/>
      <c r="T550" s="224"/>
      <c r="U550" s="225">
        <f t="shared" si="83"/>
        <v>0</v>
      </c>
      <c r="V550" s="226">
        <v>0</v>
      </c>
      <c r="W550" s="227"/>
      <c r="X550" s="228">
        <f t="shared" si="84"/>
        <v>0</v>
      </c>
      <c r="Y550" s="229"/>
      <c r="Z550" s="229"/>
      <c r="AA550" s="229"/>
      <c r="AB550" s="222">
        <f t="shared" si="85"/>
        <v>0</v>
      </c>
      <c r="AC550" s="230">
        <f t="shared" si="86"/>
        <v>0</v>
      </c>
      <c r="AD550" s="222" t="str">
        <f t="shared" si="87"/>
        <v/>
      </c>
      <c r="AE550" s="201"/>
      <c r="AF550" s="231" t="str">
        <f>+IFERROR(VLOOKUP(L550,Data!$F$4:$G$97,2,0),"")</f>
        <v/>
      </c>
    </row>
    <row r="551" spans="9:32" ht="15" customHeight="1" x14ac:dyDescent="0.3">
      <c r="I551" s="201" t="str">
        <f t="shared" si="80"/>
        <v/>
      </c>
      <c r="J551" s="218">
        <f t="shared" si="81"/>
        <v>548</v>
      </c>
      <c r="K551" s="250"/>
      <c r="L551" s="219"/>
      <c r="M551" s="218"/>
      <c r="N551" s="220" t="str">
        <f>IFERROR(VLOOKUP(M551,Data!$C$4:$D$395,2,0),"")</f>
        <v/>
      </c>
      <c r="O551" s="220"/>
      <c r="P551" s="229"/>
      <c r="Q551" s="221"/>
      <c r="R551" s="222" t="str">
        <f t="shared" si="82"/>
        <v>-</v>
      </c>
      <c r="S551" s="223"/>
      <c r="T551" s="224"/>
      <c r="U551" s="225">
        <f t="shared" si="83"/>
        <v>0</v>
      </c>
      <c r="V551" s="226">
        <v>0</v>
      </c>
      <c r="W551" s="227"/>
      <c r="X551" s="228">
        <f t="shared" si="84"/>
        <v>0</v>
      </c>
      <c r="Y551" s="229"/>
      <c r="Z551" s="229"/>
      <c r="AA551" s="229"/>
      <c r="AB551" s="222">
        <f t="shared" si="85"/>
        <v>0</v>
      </c>
      <c r="AC551" s="230">
        <f t="shared" si="86"/>
        <v>0</v>
      </c>
      <c r="AD551" s="222" t="str">
        <f t="shared" si="87"/>
        <v/>
      </c>
      <c r="AE551" s="201"/>
      <c r="AF551" s="231" t="str">
        <f>+IFERROR(VLOOKUP(L551,Data!$F$4:$G$97,2,0),"")</f>
        <v/>
      </c>
    </row>
    <row r="552" spans="9:32" ht="15" customHeight="1" x14ac:dyDescent="0.3">
      <c r="I552" s="201" t="str">
        <f t="shared" si="80"/>
        <v/>
      </c>
      <c r="J552" s="218">
        <f t="shared" si="81"/>
        <v>549</v>
      </c>
      <c r="K552" s="250"/>
      <c r="L552" s="219"/>
      <c r="M552" s="218"/>
      <c r="N552" s="220" t="str">
        <f>IFERROR(VLOOKUP(M552,Data!$C$4:$D$395,2,0),"")</f>
        <v/>
      </c>
      <c r="O552" s="220"/>
      <c r="P552" s="229"/>
      <c r="Q552" s="221"/>
      <c r="R552" s="222" t="str">
        <f t="shared" si="82"/>
        <v>-</v>
      </c>
      <c r="S552" s="223"/>
      <c r="T552" s="224"/>
      <c r="U552" s="225">
        <f t="shared" si="83"/>
        <v>0</v>
      </c>
      <c r="V552" s="226">
        <v>0</v>
      </c>
      <c r="W552" s="227"/>
      <c r="X552" s="228">
        <f t="shared" si="84"/>
        <v>0</v>
      </c>
      <c r="Y552" s="229"/>
      <c r="Z552" s="229"/>
      <c r="AA552" s="229"/>
      <c r="AB552" s="222">
        <f t="shared" si="85"/>
        <v>0</v>
      </c>
      <c r="AC552" s="230">
        <f t="shared" si="86"/>
        <v>0</v>
      </c>
      <c r="AD552" s="222" t="str">
        <f t="shared" si="87"/>
        <v/>
      </c>
      <c r="AE552" s="201"/>
      <c r="AF552" s="231" t="str">
        <f>+IFERROR(VLOOKUP(L552,Data!$F$4:$G$97,2,0),"")</f>
        <v/>
      </c>
    </row>
    <row r="553" spans="9:32" ht="15" customHeight="1" x14ac:dyDescent="0.3">
      <c r="I553" s="201" t="str">
        <f t="shared" si="80"/>
        <v/>
      </c>
      <c r="J553" s="218">
        <f t="shared" si="81"/>
        <v>550</v>
      </c>
      <c r="K553" s="250"/>
      <c r="L553" s="219"/>
      <c r="M553" s="218"/>
      <c r="N553" s="220" t="str">
        <f>IFERROR(VLOOKUP(M553,Data!$C$4:$D$395,2,0),"")</f>
        <v/>
      </c>
      <c r="O553" s="220"/>
      <c r="P553" s="229"/>
      <c r="Q553" s="221"/>
      <c r="R553" s="222" t="str">
        <f t="shared" si="82"/>
        <v>-</v>
      </c>
      <c r="S553" s="223"/>
      <c r="T553" s="224"/>
      <c r="U553" s="225">
        <f t="shared" si="83"/>
        <v>0</v>
      </c>
      <c r="V553" s="226">
        <v>0</v>
      </c>
      <c r="W553" s="227"/>
      <c r="X553" s="228">
        <f t="shared" si="84"/>
        <v>0</v>
      </c>
      <c r="Y553" s="229"/>
      <c r="Z553" s="229"/>
      <c r="AA553" s="229"/>
      <c r="AB553" s="222">
        <f t="shared" si="85"/>
        <v>0</v>
      </c>
      <c r="AC553" s="230">
        <f t="shared" si="86"/>
        <v>0</v>
      </c>
      <c r="AD553" s="222" t="str">
        <f t="shared" si="87"/>
        <v/>
      </c>
      <c r="AE553" s="201"/>
      <c r="AF553" s="231" t="str">
        <f>+IFERROR(VLOOKUP(L553,Data!$F$4:$G$97,2,0),"")</f>
        <v/>
      </c>
    </row>
    <row r="554" spans="9:32" ht="15" customHeight="1" x14ac:dyDescent="0.3">
      <c r="I554" s="201" t="str">
        <f t="shared" si="80"/>
        <v/>
      </c>
      <c r="J554" s="218">
        <f t="shared" si="81"/>
        <v>551</v>
      </c>
      <c r="K554" s="250"/>
      <c r="L554" s="219"/>
      <c r="M554" s="218"/>
      <c r="N554" s="220" t="str">
        <f>IFERROR(VLOOKUP(M554,Data!$C$4:$D$395,2,0),"")</f>
        <v/>
      </c>
      <c r="O554" s="220"/>
      <c r="P554" s="229"/>
      <c r="Q554" s="221"/>
      <c r="R554" s="222" t="str">
        <f t="shared" si="82"/>
        <v>-</v>
      </c>
      <c r="S554" s="223"/>
      <c r="T554" s="224"/>
      <c r="U554" s="225">
        <f t="shared" si="83"/>
        <v>0</v>
      </c>
      <c r="V554" s="226">
        <v>0</v>
      </c>
      <c r="W554" s="227"/>
      <c r="X554" s="228">
        <f t="shared" si="84"/>
        <v>0</v>
      </c>
      <c r="Y554" s="229"/>
      <c r="Z554" s="229"/>
      <c r="AA554" s="229"/>
      <c r="AB554" s="222">
        <f t="shared" si="85"/>
        <v>0</v>
      </c>
      <c r="AC554" s="230">
        <f t="shared" si="86"/>
        <v>0</v>
      </c>
      <c r="AD554" s="222" t="str">
        <f t="shared" si="87"/>
        <v/>
      </c>
      <c r="AE554" s="201"/>
      <c r="AF554" s="231" t="str">
        <f>+IFERROR(VLOOKUP(L554,Data!$F$4:$G$97,2,0),"")</f>
        <v/>
      </c>
    </row>
    <row r="555" spans="9:32" ht="15" customHeight="1" x14ac:dyDescent="0.3">
      <c r="I555" s="201" t="str">
        <f t="shared" si="80"/>
        <v/>
      </c>
      <c r="J555" s="218">
        <f t="shared" si="81"/>
        <v>552</v>
      </c>
      <c r="K555" s="250"/>
      <c r="L555" s="219"/>
      <c r="M555" s="218"/>
      <c r="N555" s="220" t="str">
        <f>IFERROR(VLOOKUP(M555,Data!$C$4:$D$395,2,0),"")</f>
        <v/>
      </c>
      <c r="O555" s="220"/>
      <c r="P555" s="229"/>
      <c r="Q555" s="221"/>
      <c r="R555" s="222" t="str">
        <f t="shared" si="82"/>
        <v>-</v>
      </c>
      <c r="S555" s="223"/>
      <c r="T555" s="224"/>
      <c r="U555" s="225">
        <f t="shared" si="83"/>
        <v>0</v>
      </c>
      <c r="V555" s="226">
        <v>0</v>
      </c>
      <c r="W555" s="227"/>
      <c r="X555" s="228">
        <f t="shared" si="84"/>
        <v>0</v>
      </c>
      <c r="Y555" s="229"/>
      <c r="Z555" s="229"/>
      <c r="AA555" s="229"/>
      <c r="AB555" s="222">
        <f t="shared" si="85"/>
        <v>0</v>
      </c>
      <c r="AC555" s="230">
        <f t="shared" si="86"/>
        <v>0</v>
      </c>
      <c r="AD555" s="222" t="str">
        <f t="shared" si="87"/>
        <v/>
      </c>
      <c r="AE555" s="201"/>
      <c r="AF555" s="231" t="str">
        <f>+IFERROR(VLOOKUP(L555,Data!$F$4:$G$97,2,0),"")</f>
        <v/>
      </c>
    </row>
    <row r="556" spans="9:32" ht="15" customHeight="1" x14ac:dyDescent="0.3">
      <c r="I556" s="201" t="str">
        <f t="shared" si="80"/>
        <v/>
      </c>
      <c r="J556" s="218">
        <f t="shared" si="81"/>
        <v>553</v>
      </c>
      <c r="K556" s="250"/>
      <c r="L556" s="219"/>
      <c r="M556" s="218"/>
      <c r="N556" s="220" t="str">
        <f>IFERROR(VLOOKUP(M556,Data!$C$4:$D$395,2,0),"")</f>
        <v/>
      </c>
      <c r="O556" s="220"/>
      <c r="P556" s="229"/>
      <c r="Q556" s="221"/>
      <c r="R556" s="222" t="str">
        <f t="shared" si="82"/>
        <v>-</v>
      </c>
      <c r="S556" s="223"/>
      <c r="T556" s="224"/>
      <c r="U556" s="225">
        <f t="shared" si="83"/>
        <v>0</v>
      </c>
      <c r="V556" s="226">
        <v>0</v>
      </c>
      <c r="W556" s="227"/>
      <c r="X556" s="228">
        <f t="shared" si="84"/>
        <v>0</v>
      </c>
      <c r="Y556" s="229"/>
      <c r="Z556" s="229"/>
      <c r="AA556" s="229"/>
      <c r="AB556" s="222">
        <f t="shared" si="85"/>
        <v>0</v>
      </c>
      <c r="AC556" s="230">
        <f t="shared" si="86"/>
        <v>0</v>
      </c>
      <c r="AD556" s="222" t="str">
        <f t="shared" si="87"/>
        <v/>
      </c>
      <c r="AE556" s="201"/>
      <c r="AF556" s="231" t="str">
        <f>+IFERROR(VLOOKUP(L556,Data!$F$4:$G$97,2,0),"")</f>
        <v/>
      </c>
    </row>
    <row r="557" spans="9:32" ht="15" customHeight="1" x14ac:dyDescent="0.3">
      <c r="I557" s="201" t="str">
        <f t="shared" si="80"/>
        <v/>
      </c>
      <c r="J557" s="218">
        <f t="shared" si="81"/>
        <v>554</v>
      </c>
      <c r="K557" s="250"/>
      <c r="L557" s="219"/>
      <c r="M557" s="218"/>
      <c r="N557" s="220" t="str">
        <f>IFERROR(VLOOKUP(M557,Data!$C$4:$D$395,2,0),"")</f>
        <v/>
      </c>
      <c r="O557" s="220"/>
      <c r="P557" s="229"/>
      <c r="Q557" s="221"/>
      <c r="R557" s="222" t="str">
        <f t="shared" si="82"/>
        <v>-</v>
      </c>
      <c r="S557" s="223"/>
      <c r="T557" s="224"/>
      <c r="U557" s="225">
        <f t="shared" si="83"/>
        <v>0</v>
      </c>
      <c r="V557" s="226">
        <v>0</v>
      </c>
      <c r="W557" s="227"/>
      <c r="X557" s="228">
        <f t="shared" si="84"/>
        <v>0</v>
      </c>
      <c r="Y557" s="229"/>
      <c r="Z557" s="229"/>
      <c r="AA557" s="229"/>
      <c r="AB557" s="222">
        <f t="shared" si="85"/>
        <v>0</v>
      </c>
      <c r="AC557" s="230">
        <f t="shared" si="86"/>
        <v>0</v>
      </c>
      <c r="AD557" s="222" t="str">
        <f t="shared" si="87"/>
        <v/>
      </c>
      <c r="AE557" s="201"/>
      <c r="AF557" s="231" t="str">
        <f>+IFERROR(VLOOKUP(L557,Data!$F$4:$G$97,2,0),"")</f>
        <v/>
      </c>
    </row>
    <row r="558" spans="9:32" ht="15" customHeight="1" x14ac:dyDescent="0.3">
      <c r="I558" s="201" t="str">
        <f t="shared" si="80"/>
        <v/>
      </c>
      <c r="J558" s="218">
        <f t="shared" si="81"/>
        <v>555</v>
      </c>
      <c r="K558" s="250"/>
      <c r="L558" s="219"/>
      <c r="M558" s="218"/>
      <c r="N558" s="220" t="str">
        <f>IFERROR(VLOOKUP(M558,Data!$C$4:$D$395,2,0),"")</f>
        <v/>
      </c>
      <c r="O558" s="220"/>
      <c r="P558" s="229"/>
      <c r="Q558" s="221"/>
      <c r="R558" s="222" t="str">
        <f t="shared" si="82"/>
        <v>-</v>
      </c>
      <c r="S558" s="223"/>
      <c r="T558" s="224"/>
      <c r="U558" s="225">
        <f t="shared" si="83"/>
        <v>0</v>
      </c>
      <c r="V558" s="226">
        <v>0</v>
      </c>
      <c r="W558" s="227"/>
      <c r="X558" s="228">
        <f t="shared" si="84"/>
        <v>0</v>
      </c>
      <c r="Y558" s="229"/>
      <c r="Z558" s="229"/>
      <c r="AA558" s="229"/>
      <c r="AB558" s="222">
        <f t="shared" si="85"/>
        <v>0</v>
      </c>
      <c r="AC558" s="230">
        <f t="shared" si="86"/>
        <v>0</v>
      </c>
      <c r="AD558" s="222" t="str">
        <f t="shared" si="87"/>
        <v/>
      </c>
      <c r="AE558" s="201"/>
      <c r="AF558" s="231" t="str">
        <f>+IFERROR(VLOOKUP(L558,Data!$F$4:$G$97,2,0),"")</f>
        <v/>
      </c>
    </row>
    <row r="559" spans="9:32" ht="15" customHeight="1" x14ac:dyDescent="0.3">
      <c r="I559" s="201" t="str">
        <f t="shared" si="80"/>
        <v/>
      </c>
      <c r="J559" s="218">
        <f t="shared" si="81"/>
        <v>556</v>
      </c>
      <c r="K559" s="250"/>
      <c r="L559" s="219"/>
      <c r="M559" s="218"/>
      <c r="N559" s="220" t="str">
        <f>IFERROR(VLOOKUP(M559,Data!$C$4:$D$395,2,0),"")</f>
        <v/>
      </c>
      <c r="O559" s="220"/>
      <c r="P559" s="229"/>
      <c r="Q559" s="221"/>
      <c r="R559" s="222" t="str">
        <f t="shared" si="82"/>
        <v>-</v>
      </c>
      <c r="S559" s="223"/>
      <c r="T559" s="224"/>
      <c r="U559" s="225">
        <f t="shared" si="83"/>
        <v>0</v>
      </c>
      <c r="V559" s="226">
        <v>0</v>
      </c>
      <c r="W559" s="227"/>
      <c r="X559" s="228">
        <f t="shared" si="84"/>
        <v>0</v>
      </c>
      <c r="Y559" s="229"/>
      <c r="Z559" s="229"/>
      <c r="AA559" s="229"/>
      <c r="AB559" s="222">
        <f t="shared" si="85"/>
        <v>0</v>
      </c>
      <c r="AC559" s="230">
        <f t="shared" si="86"/>
        <v>0</v>
      </c>
      <c r="AD559" s="222" t="str">
        <f t="shared" si="87"/>
        <v/>
      </c>
      <c r="AE559" s="201"/>
      <c r="AF559" s="231" t="str">
        <f>+IFERROR(VLOOKUP(L559,Data!$F$4:$G$97,2,0),"")</f>
        <v/>
      </c>
    </row>
    <row r="560" spans="9:32" ht="15" customHeight="1" x14ac:dyDescent="0.3">
      <c r="I560" s="201" t="str">
        <f t="shared" si="80"/>
        <v/>
      </c>
      <c r="J560" s="218">
        <f t="shared" si="81"/>
        <v>557</v>
      </c>
      <c r="K560" s="250"/>
      <c r="L560" s="219"/>
      <c r="M560" s="218"/>
      <c r="N560" s="220" t="str">
        <f>IFERROR(VLOOKUP(M560,Data!$C$4:$D$395,2,0),"")</f>
        <v/>
      </c>
      <c r="O560" s="220"/>
      <c r="P560" s="229"/>
      <c r="Q560" s="221"/>
      <c r="R560" s="222" t="str">
        <f t="shared" si="82"/>
        <v>-</v>
      </c>
      <c r="S560" s="223"/>
      <c r="T560" s="224"/>
      <c r="U560" s="225">
        <f t="shared" si="83"/>
        <v>0</v>
      </c>
      <c r="V560" s="226">
        <v>0</v>
      </c>
      <c r="W560" s="227"/>
      <c r="X560" s="228">
        <f t="shared" si="84"/>
        <v>0</v>
      </c>
      <c r="Y560" s="229"/>
      <c r="Z560" s="229"/>
      <c r="AA560" s="229"/>
      <c r="AB560" s="222">
        <f t="shared" si="85"/>
        <v>0</v>
      </c>
      <c r="AC560" s="230">
        <f t="shared" si="86"/>
        <v>0</v>
      </c>
      <c r="AD560" s="222" t="str">
        <f t="shared" si="87"/>
        <v/>
      </c>
      <c r="AE560" s="201"/>
      <c r="AF560" s="231" t="str">
        <f>+IFERROR(VLOOKUP(L560,Data!$F$4:$G$97,2,0),"")</f>
        <v/>
      </c>
    </row>
    <row r="561" spans="9:32" ht="15" customHeight="1" x14ac:dyDescent="0.3">
      <c r="I561" s="201" t="str">
        <f t="shared" si="80"/>
        <v/>
      </c>
      <c r="J561" s="218">
        <f t="shared" si="81"/>
        <v>558</v>
      </c>
      <c r="K561" s="250"/>
      <c r="L561" s="219"/>
      <c r="M561" s="218"/>
      <c r="N561" s="220" t="str">
        <f>IFERROR(VLOOKUP(M561,Data!$C$4:$D$395,2,0),"")</f>
        <v/>
      </c>
      <c r="O561" s="220"/>
      <c r="P561" s="229"/>
      <c r="Q561" s="221"/>
      <c r="R561" s="222" t="str">
        <f t="shared" si="82"/>
        <v>-</v>
      </c>
      <c r="S561" s="223"/>
      <c r="T561" s="224"/>
      <c r="U561" s="225">
        <f t="shared" si="83"/>
        <v>0</v>
      </c>
      <c r="V561" s="226">
        <v>0</v>
      </c>
      <c r="W561" s="227"/>
      <c r="X561" s="228">
        <f t="shared" si="84"/>
        <v>0</v>
      </c>
      <c r="Y561" s="229"/>
      <c r="Z561" s="229"/>
      <c r="AA561" s="229"/>
      <c r="AB561" s="222">
        <f t="shared" si="85"/>
        <v>0</v>
      </c>
      <c r="AC561" s="230">
        <f t="shared" si="86"/>
        <v>0</v>
      </c>
      <c r="AD561" s="222" t="str">
        <f t="shared" si="87"/>
        <v/>
      </c>
      <c r="AE561" s="201"/>
      <c r="AF561" s="231" t="str">
        <f>+IFERROR(VLOOKUP(L561,Data!$F$4:$G$97,2,0),"")</f>
        <v/>
      </c>
    </row>
    <row r="562" spans="9:32" ht="15" customHeight="1" x14ac:dyDescent="0.3">
      <c r="I562" s="201" t="str">
        <f t="shared" si="80"/>
        <v/>
      </c>
      <c r="J562" s="218">
        <f t="shared" si="81"/>
        <v>559</v>
      </c>
      <c r="K562" s="250"/>
      <c r="L562" s="219"/>
      <c r="M562" s="218"/>
      <c r="N562" s="220" t="str">
        <f>IFERROR(VLOOKUP(M562,Data!$C$4:$D$395,2,0),"")</f>
        <v/>
      </c>
      <c r="O562" s="220"/>
      <c r="P562" s="229"/>
      <c r="Q562" s="221"/>
      <c r="R562" s="222" t="str">
        <f t="shared" si="82"/>
        <v>-</v>
      </c>
      <c r="S562" s="223"/>
      <c r="T562" s="224"/>
      <c r="U562" s="225">
        <f t="shared" si="83"/>
        <v>0</v>
      </c>
      <c r="V562" s="226">
        <v>0</v>
      </c>
      <c r="W562" s="227"/>
      <c r="X562" s="228">
        <f t="shared" si="84"/>
        <v>0</v>
      </c>
      <c r="Y562" s="229"/>
      <c r="Z562" s="229"/>
      <c r="AA562" s="229"/>
      <c r="AB562" s="222">
        <f t="shared" si="85"/>
        <v>0</v>
      </c>
      <c r="AC562" s="230">
        <f t="shared" si="86"/>
        <v>0</v>
      </c>
      <c r="AD562" s="222" t="str">
        <f t="shared" si="87"/>
        <v/>
      </c>
      <c r="AE562" s="201"/>
      <c r="AF562" s="231" t="str">
        <f>+IFERROR(VLOOKUP(L562,Data!$F$4:$G$97,2,0),"")</f>
        <v/>
      </c>
    </row>
    <row r="563" spans="9:32" ht="15" customHeight="1" x14ac:dyDescent="0.3">
      <c r="I563" s="201" t="str">
        <f t="shared" si="80"/>
        <v/>
      </c>
      <c r="J563" s="218">
        <f t="shared" si="81"/>
        <v>560</v>
      </c>
      <c r="K563" s="250"/>
      <c r="L563" s="219"/>
      <c r="M563" s="218"/>
      <c r="N563" s="220" t="str">
        <f>IFERROR(VLOOKUP(M563,Data!$C$4:$D$395,2,0),"")</f>
        <v/>
      </c>
      <c r="O563" s="220"/>
      <c r="P563" s="229"/>
      <c r="Q563" s="221"/>
      <c r="R563" s="222" t="str">
        <f t="shared" si="82"/>
        <v>-</v>
      </c>
      <c r="S563" s="223"/>
      <c r="T563" s="224"/>
      <c r="U563" s="225">
        <f t="shared" si="83"/>
        <v>0</v>
      </c>
      <c r="V563" s="226">
        <v>0</v>
      </c>
      <c r="W563" s="227"/>
      <c r="X563" s="228">
        <f t="shared" si="84"/>
        <v>0</v>
      </c>
      <c r="Y563" s="229"/>
      <c r="Z563" s="229"/>
      <c r="AA563" s="229"/>
      <c r="AB563" s="222">
        <f t="shared" si="85"/>
        <v>0</v>
      </c>
      <c r="AC563" s="230">
        <f t="shared" si="86"/>
        <v>0</v>
      </c>
      <c r="AD563" s="222" t="str">
        <f t="shared" si="87"/>
        <v/>
      </c>
      <c r="AE563" s="201"/>
      <c r="AF563" s="231" t="str">
        <f>+IFERROR(VLOOKUP(L563,Data!$F$4:$G$97,2,0),"")</f>
        <v/>
      </c>
    </row>
    <row r="564" spans="9:32" ht="15" customHeight="1" x14ac:dyDescent="0.3">
      <c r="I564" s="201" t="str">
        <f t="shared" si="80"/>
        <v/>
      </c>
      <c r="J564" s="218">
        <f t="shared" si="81"/>
        <v>561</v>
      </c>
      <c r="K564" s="250"/>
      <c r="L564" s="219"/>
      <c r="M564" s="218"/>
      <c r="N564" s="220" t="str">
        <f>IFERROR(VLOOKUP(M564,Data!$C$4:$D$395,2,0),"")</f>
        <v/>
      </c>
      <c r="O564" s="220"/>
      <c r="P564" s="229"/>
      <c r="Q564" s="221"/>
      <c r="R564" s="222" t="str">
        <f t="shared" si="82"/>
        <v>-</v>
      </c>
      <c r="S564" s="223"/>
      <c r="T564" s="224"/>
      <c r="U564" s="225">
        <f t="shared" si="83"/>
        <v>0</v>
      </c>
      <c r="V564" s="226">
        <v>0</v>
      </c>
      <c r="W564" s="227"/>
      <c r="X564" s="228">
        <f t="shared" si="84"/>
        <v>0</v>
      </c>
      <c r="Y564" s="229"/>
      <c r="Z564" s="229"/>
      <c r="AA564" s="229"/>
      <c r="AB564" s="222">
        <f t="shared" si="85"/>
        <v>0</v>
      </c>
      <c r="AC564" s="230">
        <f t="shared" si="86"/>
        <v>0</v>
      </c>
      <c r="AD564" s="222" t="str">
        <f t="shared" si="87"/>
        <v/>
      </c>
      <c r="AE564" s="201"/>
      <c r="AF564" s="231" t="str">
        <f>+IFERROR(VLOOKUP(L564,Data!$F$4:$G$97,2,0),"")</f>
        <v/>
      </c>
    </row>
    <row r="565" spans="9:32" ht="15" customHeight="1" x14ac:dyDescent="0.3">
      <c r="I565" s="201" t="str">
        <f t="shared" si="80"/>
        <v/>
      </c>
      <c r="J565" s="218">
        <f t="shared" si="81"/>
        <v>562</v>
      </c>
      <c r="K565" s="250"/>
      <c r="L565" s="219"/>
      <c r="M565" s="218"/>
      <c r="N565" s="220" t="str">
        <f>IFERROR(VLOOKUP(M565,Data!$C$4:$D$395,2,0),"")</f>
        <v/>
      </c>
      <c r="O565" s="220"/>
      <c r="P565" s="229"/>
      <c r="Q565" s="221"/>
      <c r="R565" s="222" t="str">
        <f t="shared" si="82"/>
        <v>-</v>
      </c>
      <c r="S565" s="223"/>
      <c r="T565" s="224"/>
      <c r="U565" s="225">
        <f t="shared" si="83"/>
        <v>0</v>
      </c>
      <c r="V565" s="226">
        <v>0</v>
      </c>
      <c r="W565" s="227"/>
      <c r="X565" s="228">
        <f t="shared" si="84"/>
        <v>0</v>
      </c>
      <c r="Y565" s="229"/>
      <c r="Z565" s="229"/>
      <c r="AA565" s="229"/>
      <c r="AB565" s="222">
        <f t="shared" si="85"/>
        <v>0</v>
      </c>
      <c r="AC565" s="230">
        <f t="shared" si="86"/>
        <v>0</v>
      </c>
      <c r="AD565" s="222" t="str">
        <f t="shared" si="87"/>
        <v/>
      </c>
      <c r="AE565" s="201"/>
      <c r="AF565" s="231" t="str">
        <f>+IFERROR(VLOOKUP(L565,Data!$F$4:$G$97,2,0),"")</f>
        <v/>
      </c>
    </row>
    <row r="566" spans="9:32" ht="15" customHeight="1" x14ac:dyDescent="0.3">
      <c r="I566" s="201" t="str">
        <f t="shared" si="80"/>
        <v/>
      </c>
      <c r="J566" s="218">
        <f t="shared" si="81"/>
        <v>563</v>
      </c>
      <c r="K566" s="250"/>
      <c r="L566" s="219"/>
      <c r="M566" s="218"/>
      <c r="N566" s="220" t="str">
        <f>IFERROR(VLOOKUP(M566,Data!$C$4:$D$395,2,0),"")</f>
        <v/>
      </c>
      <c r="O566" s="220"/>
      <c r="P566" s="229"/>
      <c r="Q566" s="221"/>
      <c r="R566" s="222" t="str">
        <f t="shared" si="82"/>
        <v>-</v>
      </c>
      <c r="S566" s="223"/>
      <c r="T566" s="224"/>
      <c r="U566" s="225">
        <f t="shared" si="83"/>
        <v>0</v>
      </c>
      <c r="V566" s="226">
        <v>0</v>
      </c>
      <c r="W566" s="227"/>
      <c r="X566" s="228">
        <f t="shared" si="84"/>
        <v>0</v>
      </c>
      <c r="Y566" s="229"/>
      <c r="Z566" s="229"/>
      <c r="AA566" s="229"/>
      <c r="AB566" s="222">
        <f t="shared" si="85"/>
        <v>0</v>
      </c>
      <c r="AC566" s="230">
        <f t="shared" si="86"/>
        <v>0</v>
      </c>
      <c r="AD566" s="222" t="str">
        <f t="shared" si="87"/>
        <v/>
      </c>
      <c r="AE566" s="201"/>
      <c r="AF566" s="231" t="str">
        <f>+IFERROR(VLOOKUP(L566,Data!$F$4:$G$97,2,0),"")</f>
        <v/>
      </c>
    </row>
    <row r="567" spans="9:32" ht="15" customHeight="1" x14ac:dyDescent="0.3">
      <c r="I567" s="201" t="str">
        <f t="shared" si="80"/>
        <v/>
      </c>
      <c r="J567" s="218">
        <f t="shared" si="81"/>
        <v>564</v>
      </c>
      <c r="K567" s="250"/>
      <c r="L567" s="219"/>
      <c r="M567" s="218"/>
      <c r="N567" s="220" t="str">
        <f>IFERROR(VLOOKUP(M567,Data!$C$4:$D$395,2,0),"")</f>
        <v/>
      </c>
      <c r="O567" s="220"/>
      <c r="P567" s="229"/>
      <c r="Q567" s="221"/>
      <c r="R567" s="222" t="str">
        <f t="shared" si="82"/>
        <v>-</v>
      </c>
      <c r="S567" s="223"/>
      <c r="T567" s="224"/>
      <c r="U567" s="225">
        <f t="shared" si="83"/>
        <v>0</v>
      </c>
      <c r="V567" s="226">
        <v>0</v>
      </c>
      <c r="W567" s="227"/>
      <c r="X567" s="228">
        <f t="shared" si="84"/>
        <v>0</v>
      </c>
      <c r="Y567" s="229"/>
      <c r="Z567" s="229"/>
      <c r="AA567" s="229"/>
      <c r="AB567" s="222">
        <f t="shared" si="85"/>
        <v>0</v>
      </c>
      <c r="AC567" s="230">
        <f t="shared" si="86"/>
        <v>0</v>
      </c>
      <c r="AD567" s="222" t="str">
        <f t="shared" si="87"/>
        <v/>
      </c>
      <c r="AE567" s="201"/>
      <c r="AF567" s="231" t="str">
        <f>+IFERROR(VLOOKUP(L567,Data!$F$4:$G$97,2,0),"")</f>
        <v/>
      </c>
    </row>
    <row r="568" spans="9:32" ht="15" customHeight="1" x14ac:dyDescent="0.3">
      <c r="I568" s="201" t="str">
        <f t="shared" si="80"/>
        <v/>
      </c>
      <c r="J568" s="218">
        <f t="shared" si="81"/>
        <v>565</v>
      </c>
      <c r="K568" s="250"/>
      <c r="L568" s="219"/>
      <c r="M568" s="218"/>
      <c r="N568" s="220" t="str">
        <f>IFERROR(VLOOKUP(M568,Data!$C$4:$D$395,2,0),"")</f>
        <v/>
      </c>
      <c r="O568" s="220"/>
      <c r="P568" s="229"/>
      <c r="Q568" s="221"/>
      <c r="R568" s="222" t="str">
        <f t="shared" si="82"/>
        <v>-</v>
      </c>
      <c r="S568" s="223"/>
      <c r="T568" s="224"/>
      <c r="U568" s="225">
        <f t="shared" si="83"/>
        <v>0</v>
      </c>
      <c r="V568" s="226">
        <v>0</v>
      </c>
      <c r="W568" s="227"/>
      <c r="X568" s="228">
        <f t="shared" si="84"/>
        <v>0</v>
      </c>
      <c r="Y568" s="229"/>
      <c r="Z568" s="229"/>
      <c r="AA568" s="229"/>
      <c r="AB568" s="222">
        <f t="shared" si="85"/>
        <v>0</v>
      </c>
      <c r="AC568" s="230">
        <f t="shared" si="86"/>
        <v>0</v>
      </c>
      <c r="AD568" s="222" t="str">
        <f t="shared" si="87"/>
        <v/>
      </c>
      <c r="AE568" s="201"/>
      <c r="AF568" s="231" t="str">
        <f>+IFERROR(VLOOKUP(L568,Data!$F$4:$G$97,2,0),"")</f>
        <v/>
      </c>
    </row>
    <row r="569" spans="9:32" ht="15" customHeight="1" x14ac:dyDescent="0.3">
      <c r="I569" s="201" t="str">
        <f t="shared" si="80"/>
        <v/>
      </c>
      <c r="J569" s="218">
        <f t="shared" si="81"/>
        <v>566</v>
      </c>
      <c r="K569" s="250"/>
      <c r="L569" s="219"/>
      <c r="M569" s="218"/>
      <c r="N569" s="220" t="str">
        <f>IFERROR(VLOOKUP(M569,Data!$C$4:$D$395,2,0),"")</f>
        <v/>
      </c>
      <c r="O569" s="220"/>
      <c r="P569" s="229"/>
      <c r="Q569" s="221"/>
      <c r="R569" s="222" t="str">
        <f t="shared" si="82"/>
        <v>-</v>
      </c>
      <c r="S569" s="223"/>
      <c r="T569" s="224"/>
      <c r="U569" s="225">
        <f t="shared" si="83"/>
        <v>0</v>
      </c>
      <c r="V569" s="226">
        <v>0</v>
      </c>
      <c r="W569" s="227"/>
      <c r="X569" s="228">
        <f t="shared" si="84"/>
        <v>0</v>
      </c>
      <c r="Y569" s="229"/>
      <c r="Z569" s="229"/>
      <c r="AA569" s="229"/>
      <c r="AB569" s="222">
        <f t="shared" si="85"/>
        <v>0</v>
      </c>
      <c r="AC569" s="230">
        <f t="shared" si="86"/>
        <v>0</v>
      </c>
      <c r="AD569" s="222" t="str">
        <f t="shared" si="87"/>
        <v/>
      </c>
      <c r="AE569" s="201"/>
      <c r="AF569" s="231" t="str">
        <f>+IFERROR(VLOOKUP(L569,Data!$F$4:$G$97,2,0),"")</f>
        <v/>
      </c>
    </row>
    <row r="570" spans="9:32" ht="15" customHeight="1" x14ac:dyDescent="0.3">
      <c r="I570" s="201" t="str">
        <f t="shared" si="80"/>
        <v/>
      </c>
      <c r="J570" s="218">
        <f t="shared" si="81"/>
        <v>567</v>
      </c>
      <c r="K570" s="250"/>
      <c r="L570" s="219"/>
      <c r="M570" s="218"/>
      <c r="N570" s="220" t="str">
        <f>IFERROR(VLOOKUP(M570,Data!$C$4:$D$395,2,0),"")</f>
        <v/>
      </c>
      <c r="O570" s="220"/>
      <c r="P570" s="229"/>
      <c r="Q570" s="221"/>
      <c r="R570" s="222" t="str">
        <f t="shared" si="82"/>
        <v>-</v>
      </c>
      <c r="S570" s="223"/>
      <c r="T570" s="224"/>
      <c r="U570" s="225">
        <f t="shared" si="83"/>
        <v>0</v>
      </c>
      <c r="V570" s="226">
        <v>0</v>
      </c>
      <c r="W570" s="227"/>
      <c r="X570" s="228">
        <f t="shared" si="84"/>
        <v>0</v>
      </c>
      <c r="Y570" s="229"/>
      <c r="Z570" s="229"/>
      <c r="AA570" s="229"/>
      <c r="AB570" s="222">
        <f t="shared" si="85"/>
        <v>0</v>
      </c>
      <c r="AC570" s="230">
        <f t="shared" si="86"/>
        <v>0</v>
      </c>
      <c r="AD570" s="222" t="str">
        <f t="shared" si="87"/>
        <v/>
      </c>
      <c r="AE570" s="201"/>
      <c r="AF570" s="231" t="str">
        <f>+IFERROR(VLOOKUP(L570,Data!$F$4:$G$97,2,0),"")</f>
        <v/>
      </c>
    </row>
    <row r="571" spans="9:32" ht="15" customHeight="1" x14ac:dyDescent="0.3">
      <c r="I571" s="201" t="str">
        <f t="shared" si="80"/>
        <v/>
      </c>
      <c r="J571" s="218">
        <f t="shared" si="81"/>
        <v>568</v>
      </c>
      <c r="K571" s="250"/>
      <c r="L571" s="219"/>
      <c r="M571" s="218"/>
      <c r="N571" s="220" t="str">
        <f>IFERROR(VLOOKUP(M571,Data!$C$4:$D$395,2,0),"")</f>
        <v/>
      </c>
      <c r="O571" s="220"/>
      <c r="P571" s="229"/>
      <c r="Q571" s="221"/>
      <c r="R571" s="222" t="str">
        <f t="shared" si="82"/>
        <v>-</v>
      </c>
      <c r="S571" s="223"/>
      <c r="T571" s="224"/>
      <c r="U571" s="225">
        <f t="shared" si="83"/>
        <v>0</v>
      </c>
      <c r="V571" s="226">
        <v>0</v>
      </c>
      <c r="W571" s="227"/>
      <c r="X571" s="228">
        <f t="shared" si="84"/>
        <v>0</v>
      </c>
      <c r="Y571" s="229"/>
      <c r="Z571" s="229"/>
      <c r="AA571" s="229"/>
      <c r="AB571" s="222">
        <f t="shared" si="85"/>
        <v>0</v>
      </c>
      <c r="AC571" s="230">
        <f t="shared" si="86"/>
        <v>0</v>
      </c>
      <c r="AD571" s="222" t="str">
        <f t="shared" si="87"/>
        <v/>
      </c>
      <c r="AE571" s="201"/>
      <c r="AF571" s="231" t="str">
        <f>+IFERROR(VLOOKUP(L571,Data!$F$4:$G$97,2,0),"")</f>
        <v/>
      </c>
    </row>
    <row r="572" spans="9:32" ht="15" customHeight="1" x14ac:dyDescent="0.3">
      <c r="I572" s="201" t="str">
        <f t="shared" si="80"/>
        <v/>
      </c>
      <c r="J572" s="218">
        <f t="shared" si="81"/>
        <v>569</v>
      </c>
      <c r="K572" s="250"/>
      <c r="L572" s="219"/>
      <c r="M572" s="218"/>
      <c r="N572" s="220" t="str">
        <f>IFERROR(VLOOKUP(M572,Data!$C$4:$D$395,2,0),"")</f>
        <v/>
      </c>
      <c r="O572" s="220"/>
      <c r="P572" s="229"/>
      <c r="Q572" s="221"/>
      <c r="R572" s="222" t="str">
        <f t="shared" si="82"/>
        <v>-</v>
      </c>
      <c r="S572" s="223"/>
      <c r="T572" s="224"/>
      <c r="U572" s="225">
        <f t="shared" si="83"/>
        <v>0</v>
      </c>
      <c r="V572" s="226">
        <v>0</v>
      </c>
      <c r="W572" s="227"/>
      <c r="X572" s="228">
        <f t="shared" si="84"/>
        <v>0</v>
      </c>
      <c r="Y572" s="229"/>
      <c r="Z572" s="229"/>
      <c r="AA572" s="229"/>
      <c r="AB572" s="222">
        <f t="shared" si="85"/>
        <v>0</v>
      </c>
      <c r="AC572" s="230">
        <f t="shared" si="86"/>
        <v>0</v>
      </c>
      <c r="AD572" s="222" t="str">
        <f t="shared" si="87"/>
        <v/>
      </c>
      <c r="AE572" s="201"/>
      <c r="AF572" s="231" t="str">
        <f>+IFERROR(VLOOKUP(L572,Data!$F$4:$G$97,2,0),"")</f>
        <v/>
      </c>
    </row>
    <row r="573" spans="9:32" ht="15" customHeight="1" x14ac:dyDescent="0.3">
      <c r="I573" s="201" t="str">
        <f t="shared" ref="I573:I636" si="88">+AF573</f>
        <v/>
      </c>
      <c r="J573" s="218">
        <f t="shared" si="81"/>
        <v>570</v>
      </c>
      <c r="K573" s="250"/>
      <c r="L573" s="219"/>
      <c r="M573" s="218"/>
      <c r="N573" s="220" t="str">
        <f>IFERROR(VLOOKUP(M573,Data!$C$4:$D$395,2,0),"")</f>
        <v/>
      </c>
      <c r="O573" s="220"/>
      <c r="P573" s="229"/>
      <c r="Q573" s="221"/>
      <c r="R573" s="222" t="str">
        <f t="shared" si="82"/>
        <v>-</v>
      </c>
      <c r="S573" s="223"/>
      <c r="T573" s="224"/>
      <c r="U573" s="225">
        <f t="shared" si="83"/>
        <v>0</v>
      </c>
      <c r="V573" s="226">
        <v>0</v>
      </c>
      <c r="W573" s="227"/>
      <c r="X573" s="228">
        <f t="shared" si="84"/>
        <v>0</v>
      </c>
      <c r="Y573" s="229"/>
      <c r="Z573" s="229"/>
      <c r="AA573" s="229"/>
      <c r="AB573" s="222">
        <f t="shared" si="85"/>
        <v>0</v>
      </c>
      <c r="AC573" s="230">
        <f t="shared" si="86"/>
        <v>0</v>
      </c>
      <c r="AD573" s="222" t="str">
        <f t="shared" si="87"/>
        <v/>
      </c>
      <c r="AE573" s="201"/>
      <c r="AF573" s="231" t="str">
        <f>+IFERROR(VLOOKUP(L573,Data!$F$4:$G$97,2,0),"")</f>
        <v/>
      </c>
    </row>
    <row r="574" spans="9:32" ht="15" customHeight="1" x14ac:dyDescent="0.3">
      <c r="I574" s="201" t="str">
        <f t="shared" si="88"/>
        <v/>
      </c>
      <c r="J574" s="218">
        <f t="shared" ref="J574:J637" si="89">J573+1</f>
        <v>571</v>
      </c>
      <c r="K574" s="250"/>
      <c r="L574" s="219"/>
      <c r="M574" s="218"/>
      <c r="N574" s="220" t="str">
        <f>IFERROR(VLOOKUP(M574,Data!$C$4:$D$395,2,0),"")</f>
        <v/>
      </c>
      <c r="O574" s="220"/>
      <c r="P574" s="229"/>
      <c r="Q574" s="221"/>
      <c r="R574" s="222" t="str">
        <f t="shared" si="82"/>
        <v>-</v>
      </c>
      <c r="S574" s="223"/>
      <c r="T574" s="224"/>
      <c r="U574" s="225">
        <f t="shared" si="83"/>
        <v>0</v>
      </c>
      <c r="V574" s="226">
        <v>0</v>
      </c>
      <c r="W574" s="227"/>
      <c r="X574" s="228">
        <f t="shared" si="84"/>
        <v>0</v>
      </c>
      <c r="Y574" s="229"/>
      <c r="Z574" s="229"/>
      <c r="AA574" s="229"/>
      <c r="AB574" s="222">
        <f t="shared" si="85"/>
        <v>0</v>
      </c>
      <c r="AC574" s="230">
        <f t="shared" si="86"/>
        <v>0</v>
      </c>
      <c r="AD574" s="222" t="str">
        <f t="shared" si="87"/>
        <v/>
      </c>
      <c r="AE574" s="201"/>
      <c r="AF574" s="231" t="str">
        <f>+IFERROR(VLOOKUP(L574,Data!$F$4:$G$97,2,0),"")</f>
        <v/>
      </c>
    </row>
    <row r="575" spans="9:32" ht="15" customHeight="1" x14ac:dyDescent="0.3">
      <c r="I575" s="201" t="str">
        <f t="shared" si="88"/>
        <v/>
      </c>
      <c r="J575" s="218">
        <f t="shared" si="89"/>
        <v>572</v>
      </c>
      <c r="K575" s="250"/>
      <c r="L575" s="219"/>
      <c r="M575" s="218"/>
      <c r="N575" s="220" t="str">
        <f>IFERROR(VLOOKUP(M575,Data!$C$4:$D$395,2,0),"")</f>
        <v/>
      </c>
      <c r="O575" s="220"/>
      <c r="P575" s="229"/>
      <c r="Q575" s="221"/>
      <c r="R575" s="222" t="str">
        <f t="shared" si="82"/>
        <v>-</v>
      </c>
      <c r="S575" s="223"/>
      <c r="T575" s="224"/>
      <c r="U575" s="225">
        <f t="shared" si="83"/>
        <v>0</v>
      </c>
      <c r="V575" s="226">
        <v>0</v>
      </c>
      <c r="W575" s="227"/>
      <c r="X575" s="228">
        <f t="shared" si="84"/>
        <v>0</v>
      </c>
      <c r="Y575" s="229"/>
      <c r="Z575" s="229"/>
      <c r="AA575" s="229"/>
      <c r="AB575" s="222">
        <f t="shared" si="85"/>
        <v>0</v>
      </c>
      <c r="AC575" s="230">
        <f t="shared" si="86"/>
        <v>0</v>
      </c>
      <c r="AD575" s="222" t="str">
        <f t="shared" si="87"/>
        <v/>
      </c>
      <c r="AE575" s="201"/>
      <c r="AF575" s="231" t="str">
        <f>+IFERROR(VLOOKUP(L575,Data!$F$4:$G$97,2,0),"")</f>
        <v/>
      </c>
    </row>
    <row r="576" spans="9:32" ht="15" customHeight="1" x14ac:dyDescent="0.3">
      <c r="I576" s="201" t="str">
        <f t="shared" si="88"/>
        <v/>
      </c>
      <c r="J576" s="218">
        <f t="shared" si="89"/>
        <v>573</v>
      </c>
      <c r="K576" s="250"/>
      <c r="L576" s="219"/>
      <c r="M576" s="218"/>
      <c r="N576" s="220" t="str">
        <f>IFERROR(VLOOKUP(M576,Data!$C$4:$D$395,2,0),"")</f>
        <v/>
      </c>
      <c r="O576" s="220"/>
      <c r="P576" s="229"/>
      <c r="Q576" s="221"/>
      <c r="R576" s="222" t="str">
        <f t="shared" ref="R576:R639" si="90">IFERROR(Q576/P576, "-")</f>
        <v>-</v>
      </c>
      <c r="S576" s="223"/>
      <c r="T576" s="224"/>
      <c r="U576" s="225">
        <f t="shared" ref="U576:U639" si="91">+Q576*S576+P576*T576</f>
        <v>0</v>
      </c>
      <c r="V576" s="226">
        <v>0</v>
      </c>
      <c r="W576" s="227"/>
      <c r="X576" s="228">
        <f t="shared" ref="X576:X639" si="92">+Q576*V576+P576*W576</f>
        <v>0</v>
      </c>
      <c r="Y576" s="229"/>
      <c r="Z576" s="229"/>
      <c r="AA576" s="229"/>
      <c r="AB576" s="222">
        <f t="shared" ref="AB576:AB639" si="93">+Y576+Z576+AA576</f>
        <v>0</v>
      </c>
      <c r="AC576" s="230">
        <f t="shared" ref="AC576:AC639" si="94">IF((U576-Y576-Z576-AA576)&lt;0,"",(U576-Y576-Z576-AA576))</f>
        <v>0</v>
      </c>
      <c r="AD576" s="222" t="str">
        <f t="shared" ref="AD576:AD639" si="95">IF((U576-Y576-Z576-AA576)&lt;0,(Y576+Z576+AA576-U576),"")</f>
        <v/>
      </c>
      <c r="AE576" s="201"/>
      <c r="AF576" s="231" t="str">
        <f>+IFERROR(VLOOKUP(L576,Data!$F$4:$G$97,2,0),"")</f>
        <v/>
      </c>
    </row>
    <row r="577" spans="9:32" ht="15" customHeight="1" x14ac:dyDescent="0.3">
      <c r="I577" s="201" t="str">
        <f t="shared" si="88"/>
        <v/>
      </c>
      <c r="J577" s="218">
        <f t="shared" si="89"/>
        <v>574</v>
      </c>
      <c r="K577" s="250"/>
      <c r="L577" s="219"/>
      <c r="M577" s="218"/>
      <c r="N577" s="220" t="str">
        <f>IFERROR(VLOOKUP(M577,Data!$C$4:$D$395,2,0),"")</f>
        <v/>
      </c>
      <c r="O577" s="220"/>
      <c r="P577" s="229"/>
      <c r="Q577" s="221"/>
      <c r="R577" s="222" t="str">
        <f t="shared" si="90"/>
        <v>-</v>
      </c>
      <c r="S577" s="223"/>
      <c r="T577" s="224"/>
      <c r="U577" s="225">
        <f t="shared" si="91"/>
        <v>0</v>
      </c>
      <c r="V577" s="226">
        <v>0</v>
      </c>
      <c r="W577" s="227"/>
      <c r="X577" s="228">
        <f t="shared" si="92"/>
        <v>0</v>
      </c>
      <c r="Y577" s="229"/>
      <c r="Z577" s="229"/>
      <c r="AA577" s="229"/>
      <c r="AB577" s="222">
        <f t="shared" si="93"/>
        <v>0</v>
      </c>
      <c r="AC577" s="230">
        <f t="shared" si="94"/>
        <v>0</v>
      </c>
      <c r="AD577" s="222" t="str">
        <f t="shared" si="95"/>
        <v/>
      </c>
      <c r="AE577" s="201"/>
      <c r="AF577" s="231" t="str">
        <f>+IFERROR(VLOOKUP(L577,Data!$F$4:$G$97,2,0),"")</f>
        <v/>
      </c>
    </row>
    <row r="578" spans="9:32" ht="15" customHeight="1" x14ac:dyDescent="0.3">
      <c r="I578" s="201" t="str">
        <f t="shared" si="88"/>
        <v/>
      </c>
      <c r="J578" s="218">
        <f t="shared" si="89"/>
        <v>575</v>
      </c>
      <c r="K578" s="250"/>
      <c r="L578" s="219"/>
      <c r="M578" s="218"/>
      <c r="N578" s="220" t="str">
        <f>IFERROR(VLOOKUP(M578,Data!$C$4:$D$395,2,0),"")</f>
        <v/>
      </c>
      <c r="O578" s="220"/>
      <c r="P578" s="229"/>
      <c r="Q578" s="221"/>
      <c r="R578" s="222" t="str">
        <f t="shared" si="90"/>
        <v>-</v>
      </c>
      <c r="S578" s="223"/>
      <c r="T578" s="224"/>
      <c r="U578" s="225">
        <f t="shared" si="91"/>
        <v>0</v>
      </c>
      <c r="V578" s="226">
        <v>0</v>
      </c>
      <c r="W578" s="227"/>
      <c r="X578" s="228">
        <f t="shared" si="92"/>
        <v>0</v>
      </c>
      <c r="Y578" s="229"/>
      <c r="Z578" s="229"/>
      <c r="AA578" s="229"/>
      <c r="AB578" s="222">
        <f t="shared" si="93"/>
        <v>0</v>
      </c>
      <c r="AC578" s="230">
        <f t="shared" si="94"/>
        <v>0</v>
      </c>
      <c r="AD578" s="222" t="str">
        <f t="shared" si="95"/>
        <v/>
      </c>
      <c r="AE578" s="201"/>
      <c r="AF578" s="231" t="str">
        <f>+IFERROR(VLOOKUP(L578,Data!$F$4:$G$97,2,0),"")</f>
        <v/>
      </c>
    </row>
    <row r="579" spans="9:32" ht="15" customHeight="1" x14ac:dyDescent="0.3">
      <c r="I579" s="201" t="str">
        <f t="shared" si="88"/>
        <v/>
      </c>
      <c r="J579" s="218">
        <f t="shared" si="89"/>
        <v>576</v>
      </c>
      <c r="K579" s="250"/>
      <c r="L579" s="219"/>
      <c r="M579" s="218"/>
      <c r="N579" s="220" t="str">
        <f>IFERROR(VLOOKUP(M579,Data!$C$4:$D$395,2,0),"")</f>
        <v/>
      </c>
      <c r="O579" s="220"/>
      <c r="P579" s="229"/>
      <c r="Q579" s="221"/>
      <c r="R579" s="222" t="str">
        <f t="shared" si="90"/>
        <v>-</v>
      </c>
      <c r="S579" s="223"/>
      <c r="T579" s="224"/>
      <c r="U579" s="225">
        <f t="shared" si="91"/>
        <v>0</v>
      </c>
      <c r="V579" s="226">
        <v>0</v>
      </c>
      <c r="W579" s="227"/>
      <c r="X579" s="228">
        <f t="shared" si="92"/>
        <v>0</v>
      </c>
      <c r="Y579" s="229"/>
      <c r="Z579" s="229"/>
      <c r="AA579" s="229"/>
      <c r="AB579" s="222">
        <f t="shared" si="93"/>
        <v>0</v>
      </c>
      <c r="AC579" s="230">
        <f t="shared" si="94"/>
        <v>0</v>
      </c>
      <c r="AD579" s="222" t="str">
        <f t="shared" si="95"/>
        <v/>
      </c>
      <c r="AE579" s="201"/>
      <c r="AF579" s="231" t="str">
        <f>+IFERROR(VLOOKUP(L579,Data!$F$4:$G$97,2,0),"")</f>
        <v/>
      </c>
    </row>
    <row r="580" spans="9:32" ht="15" customHeight="1" x14ac:dyDescent="0.3">
      <c r="I580" s="201" t="str">
        <f t="shared" si="88"/>
        <v/>
      </c>
      <c r="J580" s="218">
        <f t="shared" si="89"/>
        <v>577</v>
      </c>
      <c r="K580" s="250"/>
      <c r="L580" s="219"/>
      <c r="M580" s="218"/>
      <c r="N580" s="220" t="str">
        <f>IFERROR(VLOOKUP(M580,Data!$C$4:$D$395,2,0),"")</f>
        <v/>
      </c>
      <c r="O580" s="220"/>
      <c r="P580" s="229"/>
      <c r="Q580" s="221"/>
      <c r="R580" s="222" t="str">
        <f t="shared" si="90"/>
        <v>-</v>
      </c>
      <c r="S580" s="223"/>
      <c r="T580" s="224"/>
      <c r="U580" s="225">
        <f t="shared" si="91"/>
        <v>0</v>
      </c>
      <c r="V580" s="226">
        <v>0</v>
      </c>
      <c r="W580" s="227"/>
      <c r="X580" s="228">
        <f t="shared" si="92"/>
        <v>0</v>
      </c>
      <c r="Y580" s="229"/>
      <c r="Z580" s="229"/>
      <c r="AA580" s="229"/>
      <c r="AB580" s="222">
        <f t="shared" si="93"/>
        <v>0</v>
      </c>
      <c r="AC580" s="230">
        <f t="shared" si="94"/>
        <v>0</v>
      </c>
      <c r="AD580" s="222" t="str">
        <f t="shared" si="95"/>
        <v/>
      </c>
      <c r="AE580" s="201"/>
      <c r="AF580" s="231" t="str">
        <f>+IFERROR(VLOOKUP(L580,Data!$F$4:$G$97,2,0),"")</f>
        <v/>
      </c>
    </row>
    <row r="581" spans="9:32" ht="15" customHeight="1" x14ac:dyDescent="0.3">
      <c r="I581" s="201" t="str">
        <f t="shared" si="88"/>
        <v/>
      </c>
      <c r="J581" s="218">
        <f t="shared" si="89"/>
        <v>578</v>
      </c>
      <c r="K581" s="250"/>
      <c r="L581" s="219"/>
      <c r="M581" s="218"/>
      <c r="N581" s="220" t="str">
        <f>IFERROR(VLOOKUP(M581,Data!$C$4:$D$395,2,0),"")</f>
        <v/>
      </c>
      <c r="O581" s="220"/>
      <c r="P581" s="229"/>
      <c r="Q581" s="221"/>
      <c r="R581" s="222" t="str">
        <f t="shared" si="90"/>
        <v>-</v>
      </c>
      <c r="S581" s="223"/>
      <c r="T581" s="224"/>
      <c r="U581" s="225">
        <f t="shared" si="91"/>
        <v>0</v>
      </c>
      <c r="V581" s="226">
        <v>0</v>
      </c>
      <c r="W581" s="227"/>
      <c r="X581" s="228">
        <f t="shared" si="92"/>
        <v>0</v>
      </c>
      <c r="Y581" s="229"/>
      <c r="Z581" s="229"/>
      <c r="AA581" s="229"/>
      <c r="AB581" s="222">
        <f t="shared" si="93"/>
        <v>0</v>
      </c>
      <c r="AC581" s="230">
        <f t="shared" si="94"/>
        <v>0</v>
      </c>
      <c r="AD581" s="222" t="str">
        <f t="shared" si="95"/>
        <v/>
      </c>
      <c r="AE581" s="201"/>
      <c r="AF581" s="231" t="str">
        <f>+IFERROR(VLOOKUP(L581,Data!$F$4:$G$97,2,0),"")</f>
        <v/>
      </c>
    </row>
    <row r="582" spans="9:32" ht="15" customHeight="1" x14ac:dyDescent="0.3">
      <c r="I582" s="201" t="str">
        <f t="shared" si="88"/>
        <v/>
      </c>
      <c r="J582" s="218">
        <f t="shared" si="89"/>
        <v>579</v>
      </c>
      <c r="K582" s="250"/>
      <c r="L582" s="219"/>
      <c r="M582" s="218"/>
      <c r="N582" s="220" t="str">
        <f>IFERROR(VLOOKUP(M582,Data!$C$4:$D$395,2,0),"")</f>
        <v/>
      </c>
      <c r="O582" s="220"/>
      <c r="P582" s="229"/>
      <c r="Q582" s="221"/>
      <c r="R582" s="222" t="str">
        <f t="shared" si="90"/>
        <v>-</v>
      </c>
      <c r="S582" s="223"/>
      <c r="T582" s="224"/>
      <c r="U582" s="225">
        <f t="shared" si="91"/>
        <v>0</v>
      </c>
      <c r="V582" s="226">
        <v>0</v>
      </c>
      <c r="W582" s="227"/>
      <c r="X582" s="228">
        <f t="shared" si="92"/>
        <v>0</v>
      </c>
      <c r="Y582" s="229"/>
      <c r="Z582" s="229"/>
      <c r="AA582" s="229"/>
      <c r="AB582" s="222">
        <f t="shared" si="93"/>
        <v>0</v>
      </c>
      <c r="AC582" s="230">
        <f t="shared" si="94"/>
        <v>0</v>
      </c>
      <c r="AD582" s="222" t="str">
        <f t="shared" si="95"/>
        <v/>
      </c>
      <c r="AE582" s="201"/>
      <c r="AF582" s="231" t="str">
        <f>+IFERROR(VLOOKUP(L582,Data!$F$4:$G$97,2,0),"")</f>
        <v/>
      </c>
    </row>
    <row r="583" spans="9:32" ht="15" customHeight="1" x14ac:dyDescent="0.3">
      <c r="I583" s="201" t="str">
        <f t="shared" si="88"/>
        <v/>
      </c>
      <c r="J583" s="218">
        <f t="shared" si="89"/>
        <v>580</v>
      </c>
      <c r="K583" s="250"/>
      <c r="L583" s="219"/>
      <c r="M583" s="218"/>
      <c r="N583" s="220" t="str">
        <f>IFERROR(VLOOKUP(M583,Data!$C$4:$D$395,2,0),"")</f>
        <v/>
      </c>
      <c r="O583" s="220"/>
      <c r="P583" s="229"/>
      <c r="Q583" s="221"/>
      <c r="R583" s="222" t="str">
        <f t="shared" si="90"/>
        <v>-</v>
      </c>
      <c r="S583" s="223"/>
      <c r="T583" s="224"/>
      <c r="U583" s="225">
        <f t="shared" si="91"/>
        <v>0</v>
      </c>
      <c r="V583" s="226">
        <v>0</v>
      </c>
      <c r="W583" s="227"/>
      <c r="X583" s="228">
        <f t="shared" si="92"/>
        <v>0</v>
      </c>
      <c r="Y583" s="229"/>
      <c r="Z583" s="229"/>
      <c r="AA583" s="229"/>
      <c r="AB583" s="222">
        <f t="shared" si="93"/>
        <v>0</v>
      </c>
      <c r="AC583" s="230">
        <f t="shared" si="94"/>
        <v>0</v>
      </c>
      <c r="AD583" s="222" t="str">
        <f t="shared" si="95"/>
        <v/>
      </c>
      <c r="AE583" s="201"/>
      <c r="AF583" s="231" t="str">
        <f>+IFERROR(VLOOKUP(L583,Data!$F$4:$G$97,2,0),"")</f>
        <v/>
      </c>
    </row>
    <row r="584" spans="9:32" ht="15" customHeight="1" x14ac:dyDescent="0.3">
      <c r="I584" s="201" t="str">
        <f t="shared" si="88"/>
        <v/>
      </c>
      <c r="J584" s="218">
        <f t="shared" si="89"/>
        <v>581</v>
      </c>
      <c r="K584" s="250"/>
      <c r="L584" s="219"/>
      <c r="M584" s="218"/>
      <c r="N584" s="220" t="str">
        <f>IFERROR(VLOOKUP(M584,Data!$C$4:$D$395,2,0),"")</f>
        <v/>
      </c>
      <c r="O584" s="220"/>
      <c r="P584" s="229"/>
      <c r="Q584" s="221"/>
      <c r="R584" s="222" t="str">
        <f t="shared" si="90"/>
        <v>-</v>
      </c>
      <c r="S584" s="223"/>
      <c r="T584" s="224"/>
      <c r="U584" s="225">
        <f t="shared" si="91"/>
        <v>0</v>
      </c>
      <c r="V584" s="226">
        <v>0</v>
      </c>
      <c r="W584" s="227"/>
      <c r="X584" s="228">
        <f t="shared" si="92"/>
        <v>0</v>
      </c>
      <c r="Y584" s="229"/>
      <c r="Z584" s="229"/>
      <c r="AA584" s="229"/>
      <c r="AB584" s="222">
        <f t="shared" si="93"/>
        <v>0</v>
      </c>
      <c r="AC584" s="230">
        <f t="shared" si="94"/>
        <v>0</v>
      </c>
      <c r="AD584" s="222" t="str">
        <f t="shared" si="95"/>
        <v/>
      </c>
      <c r="AE584" s="201"/>
      <c r="AF584" s="231" t="str">
        <f>+IFERROR(VLOOKUP(L584,Data!$F$4:$G$97,2,0),"")</f>
        <v/>
      </c>
    </row>
    <row r="585" spans="9:32" ht="15" customHeight="1" x14ac:dyDescent="0.3">
      <c r="I585" s="201" t="str">
        <f t="shared" si="88"/>
        <v/>
      </c>
      <c r="J585" s="218">
        <f t="shared" si="89"/>
        <v>582</v>
      </c>
      <c r="K585" s="250"/>
      <c r="L585" s="219"/>
      <c r="M585" s="218"/>
      <c r="N585" s="220" t="str">
        <f>IFERROR(VLOOKUP(M585,Data!$C$4:$D$395,2,0),"")</f>
        <v/>
      </c>
      <c r="O585" s="220"/>
      <c r="P585" s="229"/>
      <c r="Q585" s="221"/>
      <c r="R585" s="222" t="str">
        <f t="shared" si="90"/>
        <v>-</v>
      </c>
      <c r="S585" s="223"/>
      <c r="T585" s="224"/>
      <c r="U585" s="225">
        <f t="shared" si="91"/>
        <v>0</v>
      </c>
      <c r="V585" s="226">
        <v>0</v>
      </c>
      <c r="W585" s="227"/>
      <c r="X585" s="228">
        <f t="shared" si="92"/>
        <v>0</v>
      </c>
      <c r="Y585" s="229"/>
      <c r="Z585" s="229"/>
      <c r="AA585" s="229"/>
      <c r="AB585" s="222">
        <f t="shared" si="93"/>
        <v>0</v>
      </c>
      <c r="AC585" s="230">
        <f t="shared" si="94"/>
        <v>0</v>
      </c>
      <c r="AD585" s="222" t="str">
        <f t="shared" si="95"/>
        <v/>
      </c>
      <c r="AE585" s="201"/>
      <c r="AF585" s="231" t="str">
        <f>+IFERROR(VLOOKUP(L585,Data!$F$4:$G$97,2,0),"")</f>
        <v/>
      </c>
    </row>
    <row r="586" spans="9:32" ht="15" customHeight="1" x14ac:dyDescent="0.3">
      <c r="I586" s="201" t="str">
        <f t="shared" si="88"/>
        <v/>
      </c>
      <c r="J586" s="218">
        <f t="shared" si="89"/>
        <v>583</v>
      </c>
      <c r="K586" s="250"/>
      <c r="L586" s="219"/>
      <c r="M586" s="218"/>
      <c r="N586" s="220" t="str">
        <f>IFERROR(VLOOKUP(M586,Data!$C$4:$D$395,2,0),"")</f>
        <v/>
      </c>
      <c r="O586" s="220"/>
      <c r="P586" s="229"/>
      <c r="Q586" s="221"/>
      <c r="R586" s="222" t="str">
        <f t="shared" si="90"/>
        <v>-</v>
      </c>
      <c r="S586" s="223"/>
      <c r="T586" s="224"/>
      <c r="U586" s="225">
        <f t="shared" si="91"/>
        <v>0</v>
      </c>
      <c r="V586" s="226">
        <v>0</v>
      </c>
      <c r="W586" s="227"/>
      <c r="X586" s="228">
        <f t="shared" si="92"/>
        <v>0</v>
      </c>
      <c r="Y586" s="229"/>
      <c r="Z586" s="229"/>
      <c r="AA586" s="229"/>
      <c r="AB586" s="222">
        <f t="shared" si="93"/>
        <v>0</v>
      </c>
      <c r="AC586" s="230">
        <f t="shared" si="94"/>
        <v>0</v>
      </c>
      <c r="AD586" s="222" t="str">
        <f t="shared" si="95"/>
        <v/>
      </c>
      <c r="AE586" s="201"/>
      <c r="AF586" s="231" t="str">
        <f>+IFERROR(VLOOKUP(L586,Data!$F$4:$G$97,2,0),"")</f>
        <v/>
      </c>
    </row>
    <row r="587" spans="9:32" ht="15" customHeight="1" x14ac:dyDescent="0.3">
      <c r="I587" s="201" t="str">
        <f t="shared" si="88"/>
        <v/>
      </c>
      <c r="J587" s="218">
        <f t="shared" si="89"/>
        <v>584</v>
      </c>
      <c r="K587" s="250"/>
      <c r="L587" s="219"/>
      <c r="M587" s="218"/>
      <c r="N587" s="220" t="str">
        <f>IFERROR(VLOOKUP(M587,Data!$C$4:$D$395,2,0),"")</f>
        <v/>
      </c>
      <c r="O587" s="220"/>
      <c r="P587" s="229"/>
      <c r="Q587" s="221"/>
      <c r="R587" s="222" t="str">
        <f t="shared" si="90"/>
        <v>-</v>
      </c>
      <c r="S587" s="223"/>
      <c r="T587" s="224"/>
      <c r="U587" s="225">
        <f t="shared" si="91"/>
        <v>0</v>
      </c>
      <c r="V587" s="226">
        <v>0</v>
      </c>
      <c r="W587" s="227"/>
      <c r="X587" s="228">
        <f t="shared" si="92"/>
        <v>0</v>
      </c>
      <c r="Y587" s="229"/>
      <c r="Z587" s="229"/>
      <c r="AA587" s="229"/>
      <c r="AB587" s="222">
        <f t="shared" si="93"/>
        <v>0</v>
      </c>
      <c r="AC587" s="230">
        <f t="shared" si="94"/>
        <v>0</v>
      </c>
      <c r="AD587" s="222" t="str">
        <f t="shared" si="95"/>
        <v/>
      </c>
      <c r="AE587" s="201"/>
      <c r="AF587" s="231" t="str">
        <f>+IFERROR(VLOOKUP(L587,Data!$F$4:$G$97,2,0),"")</f>
        <v/>
      </c>
    </row>
    <row r="588" spans="9:32" ht="15" customHeight="1" x14ac:dyDescent="0.3">
      <c r="I588" s="201" t="str">
        <f t="shared" si="88"/>
        <v/>
      </c>
      <c r="J588" s="218">
        <f t="shared" si="89"/>
        <v>585</v>
      </c>
      <c r="K588" s="250"/>
      <c r="L588" s="219"/>
      <c r="M588" s="218"/>
      <c r="N588" s="220" t="str">
        <f>IFERROR(VLOOKUP(M588,Data!$C$4:$D$395,2,0),"")</f>
        <v/>
      </c>
      <c r="O588" s="220"/>
      <c r="P588" s="229"/>
      <c r="Q588" s="221"/>
      <c r="R588" s="222" t="str">
        <f t="shared" si="90"/>
        <v>-</v>
      </c>
      <c r="S588" s="223"/>
      <c r="T588" s="224"/>
      <c r="U588" s="225">
        <f t="shared" si="91"/>
        <v>0</v>
      </c>
      <c r="V588" s="226">
        <v>0</v>
      </c>
      <c r="W588" s="227"/>
      <c r="X588" s="228">
        <f t="shared" si="92"/>
        <v>0</v>
      </c>
      <c r="Y588" s="229"/>
      <c r="Z588" s="229"/>
      <c r="AA588" s="229"/>
      <c r="AB588" s="222">
        <f t="shared" si="93"/>
        <v>0</v>
      </c>
      <c r="AC588" s="230">
        <f t="shared" si="94"/>
        <v>0</v>
      </c>
      <c r="AD588" s="222" t="str">
        <f t="shared" si="95"/>
        <v/>
      </c>
      <c r="AE588" s="201"/>
      <c r="AF588" s="231" t="str">
        <f>+IFERROR(VLOOKUP(L588,Data!$F$4:$G$97,2,0),"")</f>
        <v/>
      </c>
    </row>
    <row r="589" spans="9:32" ht="15" customHeight="1" x14ac:dyDescent="0.3">
      <c r="I589" s="201" t="str">
        <f t="shared" si="88"/>
        <v/>
      </c>
      <c r="J589" s="218">
        <f t="shared" si="89"/>
        <v>586</v>
      </c>
      <c r="K589" s="250"/>
      <c r="L589" s="219"/>
      <c r="M589" s="218"/>
      <c r="N589" s="220" t="str">
        <f>IFERROR(VLOOKUP(M589,Data!$C$4:$D$395,2,0),"")</f>
        <v/>
      </c>
      <c r="O589" s="220"/>
      <c r="P589" s="229"/>
      <c r="Q589" s="221"/>
      <c r="R589" s="222" t="str">
        <f t="shared" si="90"/>
        <v>-</v>
      </c>
      <c r="S589" s="223"/>
      <c r="T589" s="224"/>
      <c r="U589" s="225">
        <f t="shared" si="91"/>
        <v>0</v>
      </c>
      <c r="V589" s="226">
        <v>0</v>
      </c>
      <c r="W589" s="227"/>
      <c r="X589" s="228">
        <f t="shared" si="92"/>
        <v>0</v>
      </c>
      <c r="Y589" s="229"/>
      <c r="Z589" s="229"/>
      <c r="AA589" s="229"/>
      <c r="AB589" s="222">
        <f t="shared" si="93"/>
        <v>0</v>
      </c>
      <c r="AC589" s="230">
        <f t="shared" si="94"/>
        <v>0</v>
      </c>
      <c r="AD589" s="222" t="str">
        <f t="shared" si="95"/>
        <v/>
      </c>
      <c r="AE589" s="201"/>
      <c r="AF589" s="231" t="str">
        <f>+IFERROR(VLOOKUP(L589,Data!$F$4:$G$97,2,0),"")</f>
        <v/>
      </c>
    </row>
    <row r="590" spans="9:32" ht="15" customHeight="1" x14ac:dyDescent="0.3">
      <c r="I590" s="201" t="str">
        <f t="shared" si="88"/>
        <v/>
      </c>
      <c r="J590" s="218">
        <f t="shared" si="89"/>
        <v>587</v>
      </c>
      <c r="K590" s="250"/>
      <c r="L590" s="219"/>
      <c r="M590" s="218"/>
      <c r="N590" s="220" t="str">
        <f>IFERROR(VLOOKUP(M590,Data!$C$4:$D$395,2,0),"")</f>
        <v/>
      </c>
      <c r="O590" s="220"/>
      <c r="P590" s="229"/>
      <c r="Q590" s="221"/>
      <c r="R590" s="222" t="str">
        <f t="shared" si="90"/>
        <v>-</v>
      </c>
      <c r="S590" s="223"/>
      <c r="T590" s="224"/>
      <c r="U590" s="225">
        <f t="shared" si="91"/>
        <v>0</v>
      </c>
      <c r="V590" s="226">
        <v>0</v>
      </c>
      <c r="W590" s="227"/>
      <c r="X590" s="228">
        <f t="shared" si="92"/>
        <v>0</v>
      </c>
      <c r="Y590" s="229"/>
      <c r="Z590" s="229"/>
      <c r="AA590" s="229"/>
      <c r="AB590" s="222">
        <f t="shared" si="93"/>
        <v>0</v>
      </c>
      <c r="AC590" s="230">
        <f t="shared" si="94"/>
        <v>0</v>
      </c>
      <c r="AD590" s="222" t="str">
        <f t="shared" si="95"/>
        <v/>
      </c>
      <c r="AE590" s="201"/>
      <c r="AF590" s="231" t="str">
        <f>+IFERROR(VLOOKUP(L590,Data!$F$4:$G$97,2,0),"")</f>
        <v/>
      </c>
    </row>
    <row r="591" spans="9:32" ht="15" customHeight="1" x14ac:dyDescent="0.3">
      <c r="I591" s="201" t="str">
        <f t="shared" si="88"/>
        <v/>
      </c>
      <c r="J591" s="218">
        <f t="shared" si="89"/>
        <v>588</v>
      </c>
      <c r="K591" s="250"/>
      <c r="L591" s="219"/>
      <c r="M591" s="218"/>
      <c r="N591" s="220" t="str">
        <f>IFERROR(VLOOKUP(M591,Data!$C$4:$D$395,2,0),"")</f>
        <v/>
      </c>
      <c r="O591" s="220"/>
      <c r="P591" s="229"/>
      <c r="Q591" s="221"/>
      <c r="R591" s="222" t="str">
        <f t="shared" si="90"/>
        <v>-</v>
      </c>
      <c r="S591" s="223"/>
      <c r="T591" s="224"/>
      <c r="U591" s="225">
        <f t="shared" si="91"/>
        <v>0</v>
      </c>
      <c r="V591" s="226">
        <v>0</v>
      </c>
      <c r="W591" s="227"/>
      <c r="X591" s="228">
        <f t="shared" si="92"/>
        <v>0</v>
      </c>
      <c r="Y591" s="229"/>
      <c r="Z591" s="229"/>
      <c r="AA591" s="229"/>
      <c r="AB591" s="222">
        <f t="shared" si="93"/>
        <v>0</v>
      </c>
      <c r="AC591" s="230">
        <f t="shared" si="94"/>
        <v>0</v>
      </c>
      <c r="AD591" s="222" t="str">
        <f t="shared" si="95"/>
        <v/>
      </c>
      <c r="AE591" s="201"/>
      <c r="AF591" s="231" t="str">
        <f>+IFERROR(VLOOKUP(L591,Data!$F$4:$G$97,2,0),"")</f>
        <v/>
      </c>
    </row>
    <row r="592" spans="9:32" ht="15" customHeight="1" x14ac:dyDescent="0.3">
      <c r="I592" s="201" t="str">
        <f t="shared" si="88"/>
        <v/>
      </c>
      <c r="J592" s="218">
        <f t="shared" si="89"/>
        <v>589</v>
      </c>
      <c r="K592" s="250"/>
      <c r="L592" s="219"/>
      <c r="M592" s="218"/>
      <c r="N592" s="220" t="str">
        <f>IFERROR(VLOOKUP(M592,Data!$C$4:$D$395,2,0),"")</f>
        <v/>
      </c>
      <c r="O592" s="220"/>
      <c r="P592" s="229"/>
      <c r="Q592" s="221"/>
      <c r="R592" s="222" t="str">
        <f t="shared" si="90"/>
        <v>-</v>
      </c>
      <c r="S592" s="223"/>
      <c r="T592" s="224"/>
      <c r="U592" s="225">
        <f t="shared" si="91"/>
        <v>0</v>
      </c>
      <c r="V592" s="226">
        <v>0</v>
      </c>
      <c r="W592" s="227"/>
      <c r="X592" s="228">
        <f t="shared" si="92"/>
        <v>0</v>
      </c>
      <c r="Y592" s="229"/>
      <c r="Z592" s="229"/>
      <c r="AA592" s="229"/>
      <c r="AB592" s="222">
        <f t="shared" si="93"/>
        <v>0</v>
      </c>
      <c r="AC592" s="230">
        <f t="shared" si="94"/>
        <v>0</v>
      </c>
      <c r="AD592" s="222" t="str">
        <f t="shared" si="95"/>
        <v/>
      </c>
      <c r="AE592" s="201"/>
      <c r="AF592" s="231" t="str">
        <f>+IFERROR(VLOOKUP(L592,Data!$F$4:$G$97,2,0),"")</f>
        <v/>
      </c>
    </row>
    <row r="593" spans="9:32" ht="15" customHeight="1" x14ac:dyDescent="0.3">
      <c r="I593" s="201" t="str">
        <f t="shared" si="88"/>
        <v/>
      </c>
      <c r="J593" s="218">
        <f t="shared" si="89"/>
        <v>590</v>
      </c>
      <c r="K593" s="250"/>
      <c r="L593" s="219"/>
      <c r="M593" s="218"/>
      <c r="N593" s="220" t="str">
        <f>IFERROR(VLOOKUP(M593,Data!$C$4:$D$395,2,0),"")</f>
        <v/>
      </c>
      <c r="O593" s="220"/>
      <c r="P593" s="229"/>
      <c r="Q593" s="221"/>
      <c r="R593" s="222" t="str">
        <f t="shared" si="90"/>
        <v>-</v>
      </c>
      <c r="S593" s="223"/>
      <c r="T593" s="224"/>
      <c r="U593" s="225">
        <f t="shared" si="91"/>
        <v>0</v>
      </c>
      <c r="V593" s="226">
        <v>0</v>
      </c>
      <c r="W593" s="227"/>
      <c r="X593" s="228">
        <f t="shared" si="92"/>
        <v>0</v>
      </c>
      <c r="Y593" s="229"/>
      <c r="Z593" s="229"/>
      <c r="AA593" s="229"/>
      <c r="AB593" s="222">
        <f t="shared" si="93"/>
        <v>0</v>
      </c>
      <c r="AC593" s="230">
        <f t="shared" si="94"/>
        <v>0</v>
      </c>
      <c r="AD593" s="222" t="str">
        <f t="shared" si="95"/>
        <v/>
      </c>
      <c r="AE593" s="201"/>
      <c r="AF593" s="231" t="str">
        <f>+IFERROR(VLOOKUP(L593,Data!$F$4:$G$97,2,0),"")</f>
        <v/>
      </c>
    </row>
    <row r="594" spans="9:32" ht="15" customHeight="1" x14ac:dyDescent="0.3">
      <c r="I594" s="201" t="str">
        <f t="shared" si="88"/>
        <v/>
      </c>
      <c r="J594" s="218">
        <f t="shared" si="89"/>
        <v>591</v>
      </c>
      <c r="K594" s="250"/>
      <c r="L594" s="219"/>
      <c r="M594" s="218"/>
      <c r="N594" s="220" t="str">
        <f>IFERROR(VLOOKUP(M594,Data!$C$4:$D$395,2,0),"")</f>
        <v/>
      </c>
      <c r="O594" s="220"/>
      <c r="P594" s="229"/>
      <c r="Q594" s="221"/>
      <c r="R594" s="222" t="str">
        <f t="shared" si="90"/>
        <v>-</v>
      </c>
      <c r="S594" s="223"/>
      <c r="T594" s="224"/>
      <c r="U594" s="225">
        <f t="shared" si="91"/>
        <v>0</v>
      </c>
      <c r="V594" s="226">
        <v>0</v>
      </c>
      <c r="W594" s="227"/>
      <c r="X594" s="228">
        <f t="shared" si="92"/>
        <v>0</v>
      </c>
      <c r="Y594" s="229"/>
      <c r="Z594" s="229"/>
      <c r="AA594" s="229"/>
      <c r="AB594" s="222">
        <f t="shared" si="93"/>
        <v>0</v>
      </c>
      <c r="AC594" s="230">
        <f t="shared" si="94"/>
        <v>0</v>
      </c>
      <c r="AD594" s="222" t="str">
        <f t="shared" si="95"/>
        <v/>
      </c>
      <c r="AE594" s="201"/>
      <c r="AF594" s="231" t="str">
        <f>+IFERROR(VLOOKUP(L594,Data!$F$4:$G$97,2,0),"")</f>
        <v/>
      </c>
    </row>
    <row r="595" spans="9:32" ht="15" customHeight="1" x14ac:dyDescent="0.3">
      <c r="I595" s="201" t="str">
        <f t="shared" si="88"/>
        <v/>
      </c>
      <c r="J595" s="218">
        <f t="shared" si="89"/>
        <v>592</v>
      </c>
      <c r="K595" s="250"/>
      <c r="L595" s="219"/>
      <c r="M595" s="218"/>
      <c r="N595" s="220" t="str">
        <f>IFERROR(VLOOKUP(M595,Data!$C$4:$D$395,2,0),"")</f>
        <v/>
      </c>
      <c r="O595" s="220"/>
      <c r="P595" s="229"/>
      <c r="Q595" s="221"/>
      <c r="R595" s="222" t="str">
        <f t="shared" si="90"/>
        <v>-</v>
      </c>
      <c r="S595" s="223"/>
      <c r="T595" s="224"/>
      <c r="U595" s="225">
        <f t="shared" si="91"/>
        <v>0</v>
      </c>
      <c r="V595" s="226">
        <v>0</v>
      </c>
      <c r="W595" s="227"/>
      <c r="X595" s="228">
        <f t="shared" si="92"/>
        <v>0</v>
      </c>
      <c r="Y595" s="229"/>
      <c r="Z595" s="229"/>
      <c r="AA595" s="229"/>
      <c r="AB595" s="222">
        <f t="shared" si="93"/>
        <v>0</v>
      </c>
      <c r="AC595" s="230">
        <f t="shared" si="94"/>
        <v>0</v>
      </c>
      <c r="AD595" s="222" t="str">
        <f t="shared" si="95"/>
        <v/>
      </c>
      <c r="AE595" s="201"/>
      <c r="AF595" s="231" t="str">
        <f>+IFERROR(VLOOKUP(L595,Data!$F$4:$G$97,2,0),"")</f>
        <v/>
      </c>
    </row>
    <row r="596" spans="9:32" ht="15" customHeight="1" x14ac:dyDescent="0.3">
      <c r="I596" s="201" t="str">
        <f t="shared" si="88"/>
        <v/>
      </c>
      <c r="J596" s="218">
        <f t="shared" si="89"/>
        <v>593</v>
      </c>
      <c r="K596" s="250"/>
      <c r="L596" s="219"/>
      <c r="M596" s="218"/>
      <c r="N596" s="220" t="str">
        <f>IFERROR(VLOOKUP(M596,Data!$C$4:$D$395,2,0),"")</f>
        <v/>
      </c>
      <c r="O596" s="220"/>
      <c r="P596" s="229"/>
      <c r="Q596" s="221"/>
      <c r="R596" s="222" t="str">
        <f t="shared" si="90"/>
        <v>-</v>
      </c>
      <c r="S596" s="223"/>
      <c r="T596" s="224"/>
      <c r="U596" s="225">
        <f t="shared" si="91"/>
        <v>0</v>
      </c>
      <c r="V596" s="226">
        <v>0</v>
      </c>
      <c r="W596" s="227"/>
      <c r="X596" s="228">
        <f t="shared" si="92"/>
        <v>0</v>
      </c>
      <c r="Y596" s="229"/>
      <c r="Z596" s="229"/>
      <c r="AA596" s="229"/>
      <c r="AB596" s="222">
        <f t="shared" si="93"/>
        <v>0</v>
      </c>
      <c r="AC596" s="230">
        <f t="shared" si="94"/>
        <v>0</v>
      </c>
      <c r="AD596" s="222" t="str">
        <f t="shared" si="95"/>
        <v/>
      </c>
      <c r="AE596" s="201"/>
      <c r="AF596" s="231" t="str">
        <f>+IFERROR(VLOOKUP(L596,Data!$F$4:$G$97,2,0),"")</f>
        <v/>
      </c>
    </row>
    <row r="597" spans="9:32" ht="15" customHeight="1" x14ac:dyDescent="0.3">
      <c r="I597" s="201" t="str">
        <f t="shared" si="88"/>
        <v/>
      </c>
      <c r="J597" s="218">
        <f t="shared" si="89"/>
        <v>594</v>
      </c>
      <c r="K597" s="250"/>
      <c r="L597" s="219"/>
      <c r="M597" s="218"/>
      <c r="N597" s="220" t="str">
        <f>IFERROR(VLOOKUP(M597,Data!$C$4:$D$395,2,0),"")</f>
        <v/>
      </c>
      <c r="O597" s="220"/>
      <c r="P597" s="229"/>
      <c r="Q597" s="221"/>
      <c r="R597" s="222" t="str">
        <f t="shared" si="90"/>
        <v>-</v>
      </c>
      <c r="S597" s="223"/>
      <c r="T597" s="224"/>
      <c r="U597" s="225">
        <f t="shared" si="91"/>
        <v>0</v>
      </c>
      <c r="V597" s="226">
        <v>0</v>
      </c>
      <c r="W597" s="227"/>
      <c r="X597" s="228">
        <f t="shared" si="92"/>
        <v>0</v>
      </c>
      <c r="Y597" s="229"/>
      <c r="Z597" s="229"/>
      <c r="AA597" s="229"/>
      <c r="AB597" s="222">
        <f t="shared" si="93"/>
        <v>0</v>
      </c>
      <c r="AC597" s="230">
        <f t="shared" si="94"/>
        <v>0</v>
      </c>
      <c r="AD597" s="222" t="str">
        <f t="shared" si="95"/>
        <v/>
      </c>
      <c r="AE597" s="201"/>
      <c r="AF597" s="231" t="str">
        <f>+IFERROR(VLOOKUP(L597,Data!$F$4:$G$97,2,0),"")</f>
        <v/>
      </c>
    </row>
    <row r="598" spans="9:32" ht="15" customHeight="1" x14ac:dyDescent="0.3">
      <c r="I598" s="201" t="str">
        <f t="shared" si="88"/>
        <v/>
      </c>
      <c r="J598" s="218">
        <f t="shared" si="89"/>
        <v>595</v>
      </c>
      <c r="K598" s="250"/>
      <c r="L598" s="219"/>
      <c r="M598" s="218"/>
      <c r="N598" s="220" t="str">
        <f>IFERROR(VLOOKUP(M598,Data!$C$4:$D$395,2,0),"")</f>
        <v/>
      </c>
      <c r="O598" s="220"/>
      <c r="P598" s="229"/>
      <c r="Q598" s="221"/>
      <c r="R598" s="222" t="str">
        <f t="shared" si="90"/>
        <v>-</v>
      </c>
      <c r="S598" s="223"/>
      <c r="T598" s="224"/>
      <c r="U598" s="225">
        <f t="shared" si="91"/>
        <v>0</v>
      </c>
      <c r="V598" s="226">
        <v>0</v>
      </c>
      <c r="W598" s="227"/>
      <c r="X598" s="228">
        <f t="shared" si="92"/>
        <v>0</v>
      </c>
      <c r="Y598" s="229"/>
      <c r="Z598" s="229"/>
      <c r="AA598" s="229"/>
      <c r="AB598" s="222">
        <f t="shared" si="93"/>
        <v>0</v>
      </c>
      <c r="AC598" s="230">
        <f t="shared" si="94"/>
        <v>0</v>
      </c>
      <c r="AD598" s="222" t="str">
        <f t="shared" si="95"/>
        <v/>
      </c>
      <c r="AE598" s="201"/>
      <c r="AF598" s="231" t="str">
        <f>+IFERROR(VLOOKUP(L598,Data!$F$4:$G$97,2,0),"")</f>
        <v/>
      </c>
    </row>
    <row r="599" spans="9:32" ht="15" customHeight="1" x14ac:dyDescent="0.3">
      <c r="I599" s="201" t="str">
        <f t="shared" si="88"/>
        <v/>
      </c>
      <c r="J599" s="218">
        <f t="shared" si="89"/>
        <v>596</v>
      </c>
      <c r="K599" s="250"/>
      <c r="L599" s="219"/>
      <c r="M599" s="218"/>
      <c r="N599" s="220" t="str">
        <f>IFERROR(VLOOKUP(M599,Data!$C$4:$D$395,2,0),"")</f>
        <v/>
      </c>
      <c r="O599" s="220"/>
      <c r="P599" s="229"/>
      <c r="Q599" s="221"/>
      <c r="R599" s="222" t="str">
        <f t="shared" si="90"/>
        <v>-</v>
      </c>
      <c r="S599" s="223"/>
      <c r="T599" s="224"/>
      <c r="U599" s="225">
        <f t="shared" si="91"/>
        <v>0</v>
      </c>
      <c r="V599" s="226">
        <v>0</v>
      </c>
      <c r="W599" s="227"/>
      <c r="X599" s="228">
        <f t="shared" si="92"/>
        <v>0</v>
      </c>
      <c r="Y599" s="229"/>
      <c r="Z599" s="229"/>
      <c r="AA599" s="229"/>
      <c r="AB599" s="222">
        <f t="shared" si="93"/>
        <v>0</v>
      </c>
      <c r="AC599" s="230">
        <f t="shared" si="94"/>
        <v>0</v>
      </c>
      <c r="AD599" s="222" t="str">
        <f t="shared" si="95"/>
        <v/>
      </c>
      <c r="AE599" s="201"/>
      <c r="AF599" s="231" t="str">
        <f>+IFERROR(VLOOKUP(L599,Data!$F$4:$G$97,2,0),"")</f>
        <v/>
      </c>
    </row>
    <row r="600" spans="9:32" ht="15" customHeight="1" x14ac:dyDescent="0.3">
      <c r="I600" s="201" t="str">
        <f t="shared" si="88"/>
        <v/>
      </c>
      <c r="J600" s="218">
        <f t="shared" si="89"/>
        <v>597</v>
      </c>
      <c r="K600" s="250"/>
      <c r="L600" s="219"/>
      <c r="M600" s="218"/>
      <c r="N600" s="220" t="str">
        <f>IFERROR(VLOOKUP(M600,Data!$C$4:$D$395,2,0),"")</f>
        <v/>
      </c>
      <c r="O600" s="220"/>
      <c r="P600" s="229"/>
      <c r="Q600" s="221"/>
      <c r="R600" s="222" t="str">
        <f t="shared" si="90"/>
        <v>-</v>
      </c>
      <c r="S600" s="223"/>
      <c r="T600" s="224"/>
      <c r="U600" s="225">
        <f t="shared" si="91"/>
        <v>0</v>
      </c>
      <c r="V600" s="226">
        <v>0</v>
      </c>
      <c r="W600" s="227"/>
      <c r="X600" s="228">
        <f t="shared" si="92"/>
        <v>0</v>
      </c>
      <c r="Y600" s="229"/>
      <c r="Z600" s="229"/>
      <c r="AA600" s="229"/>
      <c r="AB600" s="222">
        <f t="shared" si="93"/>
        <v>0</v>
      </c>
      <c r="AC600" s="230">
        <f t="shared" si="94"/>
        <v>0</v>
      </c>
      <c r="AD600" s="222" t="str">
        <f t="shared" si="95"/>
        <v/>
      </c>
      <c r="AE600" s="201"/>
      <c r="AF600" s="231" t="str">
        <f>+IFERROR(VLOOKUP(L600,Data!$F$4:$G$97,2,0),"")</f>
        <v/>
      </c>
    </row>
    <row r="601" spans="9:32" ht="15" customHeight="1" x14ac:dyDescent="0.3">
      <c r="I601" s="201" t="str">
        <f t="shared" si="88"/>
        <v/>
      </c>
      <c r="J601" s="218">
        <f t="shared" si="89"/>
        <v>598</v>
      </c>
      <c r="K601" s="250"/>
      <c r="L601" s="219"/>
      <c r="M601" s="218"/>
      <c r="N601" s="220" t="str">
        <f>IFERROR(VLOOKUP(M601,Data!$C$4:$D$395,2,0),"")</f>
        <v/>
      </c>
      <c r="O601" s="220"/>
      <c r="P601" s="229"/>
      <c r="Q601" s="221"/>
      <c r="R601" s="222" t="str">
        <f t="shared" si="90"/>
        <v>-</v>
      </c>
      <c r="S601" s="223"/>
      <c r="T601" s="224"/>
      <c r="U601" s="225">
        <f t="shared" si="91"/>
        <v>0</v>
      </c>
      <c r="V601" s="226">
        <v>0</v>
      </c>
      <c r="W601" s="227"/>
      <c r="X601" s="228">
        <f t="shared" si="92"/>
        <v>0</v>
      </c>
      <c r="Y601" s="229"/>
      <c r="Z601" s="229"/>
      <c r="AA601" s="229"/>
      <c r="AB601" s="222">
        <f t="shared" si="93"/>
        <v>0</v>
      </c>
      <c r="AC601" s="230">
        <f t="shared" si="94"/>
        <v>0</v>
      </c>
      <c r="AD601" s="222" t="str">
        <f t="shared" si="95"/>
        <v/>
      </c>
      <c r="AE601" s="201"/>
      <c r="AF601" s="231" t="str">
        <f>+IFERROR(VLOOKUP(L601,Data!$F$4:$G$97,2,0),"")</f>
        <v/>
      </c>
    </row>
    <row r="602" spans="9:32" ht="15" customHeight="1" x14ac:dyDescent="0.3">
      <c r="I602" s="201" t="str">
        <f t="shared" si="88"/>
        <v/>
      </c>
      <c r="J602" s="218">
        <f t="shared" si="89"/>
        <v>599</v>
      </c>
      <c r="K602" s="250"/>
      <c r="L602" s="219"/>
      <c r="M602" s="218"/>
      <c r="N602" s="220" t="str">
        <f>IFERROR(VLOOKUP(M602,Data!$C$4:$D$395,2,0),"")</f>
        <v/>
      </c>
      <c r="O602" s="220"/>
      <c r="P602" s="229"/>
      <c r="Q602" s="221"/>
      <c r="R602" s="222" t="str">
        <f t="shared" si="90"/>
        <v>-</v>
      </c>
      <c r="S602" s="223"/>
      <c r="T602" s="224"/>
      <c r="U602" s="225">
        <f t="shared" si="91"/>
        <v>0</v>
      </c>
      <c r="V602" s="226">
        <v>0</v>
      </c>
      <c r="W602" s="227"/>
      <c r="X602" s="228">
        <f t="shared" si="92"/>
        <v>0</v>
      </c>
      <c r="Y602" s="229"/>
      <c r="Z602" s="229"/>
      <c r="AA602" s="229"/>
      <c r="AB602" s="222">
        <f t="shared" si="93"/>
        <v>0</v>
      </c>
      <c r="AC602" s="230">
        <f t="shared" si="94"/>
        <v>0</v>
      </c>
      <c r="AD602" s="222" t="str">
        <f t="shared" si="95"/>
        <v/>
      </c>
      <c r="AE602" s="201"/>
      <c r="AF602" s="231" t="str">
        <f>+IFERROR(VLOOKUP(L602,Data!$F$4:$G$97,2,0),"")</f>
        <v/>
      </c>
    </row>
    <row r="603" spans="9:32" ht="15" customHeight="1" x14ac:dyDescent="0.3">
      <c r="I603" s="201" t="str">
        <f t="shared" si="88"/>
        <v/>
      </c>
      <c r="J603" s="218">
        <f t="shared" si="89"/>
        <v>600</v>
      </c>
      <c r="K603" s="250"/>
      <c r="L603" s="219"/>
      <c r="M603" s="218"/>
      <c r="N603" s="220" t="str">
        <f>IFERROR(VLOOKUP(M603,Data!$C$4:$D$395,2,0),"")</f>
        <v/>
      </c>
      <c r="O603" s="220"/>
      <c r="P603" s="229"/>
      <c r="Q603" s="221"/>
      <c r="R603" s="222" t="str">
        <f t="shared" si="90"/>
        <v>-</v>
      </c>
      <c r="S603" s="223"/>
      <c r="T603" s="224"/>
      <c r="U603" s="225">
        <f t="shared" si="91"/>
        <v>0</v>
      </c>
      <c r="V603" s="226">
        <v>0</v>
      </c>
      <c r="W603" s="227"/>
      <c r="X603" s="228">
        <f t="shared" si="92"/>
        <v>0</v>
      </c>
      <c r="Y603" s="229"/>
      <c r="Z603" s="229"/>
      <c r="AA603" s="229"/>
      <c r="AB603" s="222">
        <f t="shared" si="93"/>
        <v>0</v>
      </c>
      <c r="AC603" s="230">
        <f t="shared" si="94"/>
        <v>0</v>
      </c>
      <c r="AD603" s="222" t="str">
        <f t="shared" si="95"/>
        <v/>
      </c>
      <c r="AE603" s="201"/>
      <c r="AF603" s="231" t="str">
        <f>+IFERROR(VLOOKUP(L603,Data!$F$4:$G$97,2,0),"")</f>
        <v/>
      </c>
    </row>
    <row r="604" spans="9:32" ht="15" customHeight="1" x14ac:dyDescent="0.3">
      <c r="I604" s="201" t="str">
        <f t="shared" si="88"/>
        <v/>
      </c>
      <c r="J604" s="218">
        <f t="shared" si="89"/>
        <v>601</v>
      </c>
      <c r="K604" s="250"/>
      <c r="L604" s="219"/>
      <c r="M604" s="218"/>
      <c r="N604" s="220" t="str">
        <f>IFERROR(VLOOKUP(M604,Data!$C$4:$D$395,2,0),"")</f>
        <v/>
      </c>
      <c r="O604" s="220"/>
      <c r="P604" s="229"/>
      <c r="Q604" s="221"/>
      <c r="R604" s="222" t="str">
        <f t="shared" si="90"/>
        <v>-</v>
      </c>
      <c r="S604" s="223"/>
      <c r="T604" s="224"/>
      <c r="U604" s="225">
        <f t="shared" si="91"/>
        <v>0</v>
      </c>
      <c r="V604" s="226">
        <v>0</v>
      </c>
      <c r="W604" s="227"/>
      <c r="X604" s="228">
        <f t="shared" si="92"/>
        <v>0</v>
      </c>
      <c r="Y604" s="229"/>
      <c r="Z604" s="229"/>
      <c r="AA604" s="229"/>
      <c r="AB604" s="222">
        <f t="shared" si="93"/>
        <v>0</v>
      </c>
      <c r="AC604" s="230">
        <f t="shared" si="94"/>
        <v>0</v>
      </c>
      <c r="AD604" s="222" t="str">
        <f t="shared" si="95"/>
        <v/>
      </c>
      <c r="AE604" s="201"/>
      <c r="AF604" s="231" t="str">
        <f>+IFERROR(VLOOKUP(L604,Data!$F$4:$G$97,2,0),"")</f>
        <v/>
      </c>
    </row>
    <row r="605" spans="9:32" ht="15" customHeight="1" x14ac:dyDescent="0.3">
      <c r="I605" s="201" t="str">
        <f t="shared" si="88"/>
        <v/>
      </c>
      <c r="J605" s="218">
        <f t="shared" si="89"/>
        <v>602</v>
      </c>
      <c r="K605" s="250"/>
      <c r="L605" s="219"/>
      <c r="M605" s="218"/>
      <c r="N605" s="220" t="str">
        <f>IFERROR(VLOOKUP(M605,Data!$C$4:$D$395,2,0),"")</f>
        <v/>
      </c>
      <c r="O605" s="220"/>
      <c r="P605" s="229"/>
      <c r="Q605" s="221"/>
      <c r="R605" s="222" t="str">
        <f t="shared" si="90"/>
        <v>-</v>
      </c>
      <c r="S605" s="223"/>
      <c r="T605" s="224"/>
      <c r="U605" s="225">
        <f t="shared" si="91"/>
        <v>0</v>
      </c>
      <c r="V605" s="226">
        <v>0</v>
      </c>
      <c r="W605" s="227"/>
      <c r="X605" s="228">
        <f t="shared" si="92"/>
        <v>0</v>
      </c>
      <c r="Y605" s="229"/>
      <c r="Z605" s="229"/>
      <c r="AA605" s="229"/>
      <c r="AB605" s="222">
        <f t="shared" si="93"/>
        <v>0</v>
      </c>
      <c r="AC605" s="230">
        <f t="shared" si="94"/>
        <v>0</v>
      </c>
      <c r="AD605" s="222" t="str">
        <f t="shared" si="95"/>
        <v/>
      </c>
      <c r="AE605" s="201"/>
      <c r="AF605" s="231" t="str">
        <f>+IFERROR(VLOOKUP(L605,Data!$F$4:$G$97,2,0),"")</f>
        <v/>
      </c>
    </row>
    <row r="606" spans="9:32" ht="15" customHeight="1" x14ac:dyDescent="0.3">
      <c r="I606" s="201" t="str">
        <f t="shared" si="88"/>
        <v/>
      </c>
      <c r="J606" s="218">
        <f t="shared" si="89"/>
        <v>603</v>
      </c>
      <c r="K606" s="250"/>
      <c r="L606" s="219"/>
      <c r="M606" s="218"/>
      <c r="N606" s="220" t="str">
        <f>IFERROR(VLOOKUP(M606,Data!$C$4:$D$395,2,0),"")</f>
        <v/>
      </c>
      <c r="O606" s="220"/>
      <c r="P606" s="229"/>
      <c r="Q606" s="221"/>
      <c r="R606" s="222" t="str">
        <f t="shared" si="90"/>
        <v>-</v>
      </c>
      <c r="S606" s="223"/>
      <c r="T606" s="224"/>
      <c r="U606" s="225">
        <f t="shared" si="91"/>
        <v>0</v>
      </c>
      <c r="V606" s="226">
        <v>0</v>
      </c>
      <c r="W606" s="227"/>
      <c r="X606" s="228">
        <f t="shared" si="92"/>
        <v>0</v>
      </c>
      <c r="Y606" s="229"/>
      <c r="Z606" s="229"/>
      <c r="AA606" s="229"/>
      <c r="AB606" s="222">
        <f t="shared" si="93"/>
        <v>0</v>
      </c>
      <c r="AC606" s="230">
        <f t="shared" si="94"/>
        <v>0</v>
      </c>
      <c r="AD606" s="222" t="str">
        <f t="shared" si="95"/>
        <v/>
      </c>
      <c r="AE606" s="201"/>
      <c r="AF606" s="231" t="str">
        <f>+IFERROR(VLOOKUP(L606,Data!$F$4:$G$97,2,0),"")</f>
        <v/>
      </c>
    </row>
    <row r="607" spans="9:32" ht="15" customHeight="1" x14ac:dyDescent="0.3">
      <c r="I607" s="201" t="str">
        <f t="shared" si="88"/>
        <v/>
      </c>
      <c r="J607" s="218">
        <f t="shared" si="89"/>
        <v>604</v>
      </c>
      <c r="K607" s="250"/>
      <c r="L607" s="219"/>
      <c r="M607" s="218"/>
      <c r="N607" s="220" t="str">
        <f>IFERROR(VLOOKUP(M607,Data!$C$4:$D$395,2,0),"")</f>
        <v/>
      </c>
      <c r="O607" s="220"/>
      <c r="P607" s="229"/>
      <c r="Q607" s="221"/>
      <c r="R607" s="222" t="str">
        <f t="shared" si="90"/>
        <v>-</v>
      </c>
      <c r="S607" s="223"/>
      <c r="T607" s="224"/>
      <c r="U607" s="225">
        <f t="shared" si="91"/>
        <v>0</v>
      </c>
      <c r="V607" s="226">
        <v>0</v>
      </c>
      <c r="W607" s="227"/>
      <c r="X607" s="228">
        <f t="shared" si="92"/>
        <v>0</v>
      </c>
      <c r="Y607" s="229"/>
      <c r="Z607" s="229"/>
      <c r="AA607" s="229"/>
      <c r="AB607" s="222">
        <f t="shared" si="93"/>
        <v>0</v>
      </c>
      <c r="AC607" s="230">
        <f t="shared" si="94"/>
        <v>0</v>
      </c>
      <c r="AD607" s="222" t="str">
        <f t="shared" si="95"/>
        <v/>
      </c>
      <c r="AE607" s="201"/>
      <c r="AF607" s="231" t="str">
        <f>+IFERROR(VLOOKUP(L607,Data!$F$4:$G$97,2,0),"")</f>
        <v/>
      </c>
    </row>
    <row r="608" spans="9:32" ht="15" customHeight="1" x14ac:dyDescent="0.3">
      <c r="I608" s="201" t="str">
        <f t="shared" si="88"/>
        <v/>
      </c>
      <c r="J608" s="218">
        <f t="shared" si="89"/>
        <v>605</v>
      </c>
      <c r="K608" s="250"/>
      <c r="L608" s="219"/>
      <c r="M608" s="218"/>
      <c r="N608" s="220" t="str">
        <f>IFERROR(VLOOKUP(M608,Data!$C$4:$D$395,2,0),"")</f>
        <v/>
      </c>
      <c r="O608" s="220"/>
      <c r="P608" s="229"/>
      <c r="Q608" s="221"/>
      <c r="R608" s="222" t="str">
        <f t="shared" si="90"/>
        <v>-</v>
      </c>
      <c r="S608" s="223"/>
      <c r="T608" s="224"/>
      <c r="U608" s="225">
        <f t="shared" si="91"/>
        <v>0</v>
      </c>
      <c r="V608" s="226">
        <v>0</v>
      </c>
      <c r="W608" s="227"/>
      <c r="X608" s="228">
        <f t="shared" si="92"/>
        <v>0</v>
      </c>
      <c r="Y608" s="229"/>
      <c r="Z608" s="229"/>
      <c r="AA608" s="229"/>
      <c r="AB608" s="222">
        <f t="shared" si="93"/>
        <v>0</v>
      </c>
      <c r="AC608" s="230">
        <f t="shared" si="94"/>
        <v>0</v>
      </c>
      <c r="AD608" s="222" t="str">
        <f t="shared" si="95"/>
        <v/>
      </c>
      <c r="AE608" s="201"/>
      <c r="AF608" s="231" t="str">
        <f>+IFERROR(VLOOKUP(L608,Data!$F$4:$G$97,2,0),"")</f>
        <v/>
      </c>
    </row>
    <row r="609" spans="9:32" ht="15" customHeight="1" x14ac:dyDescent="0.3">
      <c r="I609" s="201" t="str">
        <f t="shared" si="88"/>
        <v/>
      </c>
      <c r="J609" s="218">
        <f t="shared" si="89"/>
        <v>606</v>
      </c>
      <c r="K609" s="250"/>
      <c r="L609" s="219"/>
      <c r="M609" s="218"/>
      <c r="N609" s="220" t="str">
        <f>IFERROR(VLOOKUP(M609,Data!$C$4:$D$395,2,0),"")</f>
        <v/>
      </c>
      <c r="O609" s="220"/>
      <c r="P609" s="229"/>
      <c r="Q609" s="221"/>
      <c r="R609" s="222" t="str">
        <f t="shared" si="90"/>
        <v>-</v>
      </c>
      <c r="S609" s="223"/>
      <c r="T609" s="224"/>
      <c r="U609" s="225">
        <f t="shared" si="91"/>
        <v>0</v>
      </c>
      <c r="V609" s="226">
        <v>0</v>
      </c>
      <c r="W609" s="227"/>
      <c r="X609" s="228">
        <f t="shared" si="92"/>
        <v>0</v>
      </c>
      <c r="Y609" s="229"/>
      <c r="Z609" s="229"/>
      <c r="AA609" s="229"/>
      <c r="AB609" s="222">
        <f t="shared" si="93"/>
        <v>0</v>
      </c>
      <c r="AC609" s="230">
        <f t="shared" si="94"/>
        <v>0</v>
      </c>
      <c r="AD609" s="222" t="str">
        <f t="shared" si="95"/>
        <v/>
      </c>
      <c r="AE609" s="201"/>
      <c r="AF609" s="231" t="str">
        <f>+IFERROR(VLOOKUP(L609,Data!$F$4:$G$97,2,0),"")</f>
        <v/>
      </c>
    </row>
    <row r="610" spans="9:32" ht="15" customHeight="1" x14ac:dyDescent="0.3">
      <c r="I610" s="201" t="str">
        <f t="shared" si="88"/>
        <v/>
      </c>
      <c r="J610" s="218">
        <f t="shared" si="89"/>
        <v>607</v>
      </c>
      <c r="K610" s="250"/>
      <c r="L610" s="219"/>
      <c r="M610" s="218"/>
      <c r="N610" s="220" t="str">
        <f>IFERROR(VLOOKUP(M610,Data!$C$4:$D$395,2,0),"")</f>
        <v/>
      </c>
      <c r="O610" s="220"/>
      <c r="P610" s="229"/>
      <c r="Q610" s="221"/>
      <c r="R610" s="222" t="str">
        <f t="shared" si="90"/>
        <v>-</v>
      </c>
      <c r="S610" s="223"/>
      <c r="T610" s="224"/>
      <c r="U610" s="225">
        <f t="shared" si="91"/>
        <v>0</v>
      </c>
      <c r="V610" s="226">
        <v>0</v>
      </c>
      <c r="W610" s="227"/>
      <c r="X610" s="228">
        <f t="shared" si="92"/>
        <v>0</v>
      </c>
      <c r="Y610" s="229"/>
      <c r="Z610" s="229"/>
      <c r="AA610" s="229"/>
      <c r="AB610" s="222">
        <f t="shared" si="93"/>
        <v>0</v>
      </c>
      <c r="AC610" s="230">
        <f t="shared" si="94"/>
        <v>0</v>
      </c>
      <c r="AD610" s="222" t="str">
        <f t="shared" si="95"/>
        <v/>
      </c>
      <c r="AE610" s="201"/>
      <c r="AF610" s="231" t="str">
        <f>+IFERROR(VLOOKUP(L610,Data!$F$4:$G$97,2,0),"")</f>
        <v/>
      </c>
    </row>
    <row r="611" spans="9:32" ht="15" customHeight="1" x14ac:dyDescent="0.3">
      <c r="I611" s="201" t="str">
        <f t="shared" si="88"/>
        <v/>
      </c>
      <c r="J611" s="218">
        <f t="shared" si="89"/>
        <v>608</v>
      </c>
      <c r="K611" s="250"/>
      <c r="L611" s="219"/>
      <c r="M611" s="218"/>
      <c r="N611" s="220" t="str">
        <f>IFERROR(VLOOKUP(M611,Data!$C$4:$D$395,2,0),"")</f>
        <v/>
      </c>
      <c r="O611" s="220"/>
      <c r="P611" s="229"/>
      <c r="Q611" s="221"/>
      <c r="R611" s="222" t="str">
        <f t="shared" si="90"/>
        <v>-</v>
      </c>
      <c r="S611" s="223"/>
      <c r="T611" s="224"/>
      <c r="U611" s="225">
        <f t="shared" si="91"/>
        <v>0</v>
      </c>
      <c r="V611" s="226">
        <v>0</v>
      </c>
      <c r="W611" s="227"/>
      <c r="X611" s="228">
        <f t="shared" si="92"/>
        <v>0</v>
      </c>
      <c r="Y611" s="229"/>
      <c r="Z611" s="229"/>
      <c r="AA611" s="229"/>
      <c r="AB611" s="222">
        <f t="shared" si="93"/>
        <v>0</v>
      </c>
      <c r="AC611" s="230">
        <f t="shared" si="94"/>
        <v>0</v>
      </c>
      <c r="AD611" s="222" t="str">
        <f t="shared" si="95"/>
        <v/>
      </c>
      <c r="AE611" s="201"/>
      <c r="AF611" s="231" t="str">
        <f>+IFERROR(VLOOKUP(L611,Data!$F$4:$G$97,2,0),"")</f>
        <v/>
      </c>
    </row>
    <row r="612" spans="9:32" ht="15" customHeight="1" x14ac:dyDescent="0.3">
      <c r="I612" s="201" t="str">
        <f t="shared" si="88"/>
        <v/>
      </c>
      <c r="J612" s="218">
        <f t="shared" si="89"/>
        <v>609</v>
      </c>
      <c r="K612" s="250"/>
      <c r="L612" s="219"/>
      <c r="M612" s="218"/>
      <c r="N612" s="220" t="str">
        <f>IFERROR(VLOOKUP(M612,Data!$C$4:$D$395,2,0),"")</f>
        <v/>
      </c>
      <c r="O612" s="220"/>
      <c r="P612" s="229"/>
      <c r="Q612" s="221"/>
      <c r="R612" s="222" t="str">
        <f t="shared" si="90"/>
        <v>-</v>
      </c>
      <c r="S612" s="223"/>
      <c r="T612" s="224"/>
      <c r="U612" s="225">
        <f t="shared" si="91"/>
        <v>0</v>
      </c>
      <c r="V612" s="226">
        <v>0</v>
      </c>
      <c r="W612" s="227"/>
      <c r="X612" s="228">
        <f t="shared" si="92"/>
        <v>0</v>
      </c>
      <c r="Y612" s="229"/>
      <c r="Z612" s="229"/>
      <c r="AA612" s="229"/>
      <c r="AB612" s="222">
        <f t="shared" si="93"/>
        <v>0</v>
      </c>
      <c r="AC612" s="230">
        <f t="shared" si="94"/>
        <v>0</v>
      </c>
      <c r="AD612" s="222" t="str">
        <f t="shared" si="95"/>
        <v/>
      </c>
      <c r="AE612" s="201"/>
      <c r="AF612" s="231" t="str">
        <f>+IFERROR(VLOOKUP(L612,Data!$F$4:$G$97,2,0),"")</f>
        <v/>
      </c>
    </row>
    <row r="613" spans="9:32" ht="15" customHeight="1" x14ac:dyDescent="0.3">
      <c r="I613" s="201" t="str">
        <f t="shared" si="88"/>
        <v/>
      </c>
      <c r="J613" s="218">
        <f t="shared" si="89"/>
        <v>610</v>
      </c>
      <c r="K613" s="250"/>
      <c r="L613" s="219"/>
      <c r="M613" s="218"/>
      <c r="N613" s="220" t="str">
        <f>IFERROR(VLOOKUP(M613,Data!$C$4:$D$395,2,0),"")</f>
        <v/>
      </c>
      <c r="O613" s="220"/>
      <c r="P613" s="229"/>
      <c r="Q613" s="221"/>
      <c r="R613" s="222" t="str">
        <f t="shared" si="90"/>
        <v>-</v>
      </c>
      <c r="S613" s="223"/>
      <c r="T613" s="224"/>
      <c r="U613" s="225">
        <f t="shared" si="91"/>
        <v>0</v>
      </c>
      <c r="V613" s="226">
        <v>0</v>
      </c>
      <c r="W613" s="227"/>
      <c r="X613" s="228">
        <f t="shared" si="92"/>
        <v>0</v>
      </c>
      <c r="Y613" s="229"/>
      <c r="Z613" s="229"/>
      <c r="AA613" s="229"/>
      <c r="AB613" s="222">
        <f t="shared" si="93"/>
        <v>0</v>
      </c>
      <c r="AC613" s="230">
        <f t="shared" si="94"/>
        <v>0</v>
      </c>
      <c r="AD613" s="222" t="str">
        <f t="shared" si="95"/>
        <v/>
      </c>
      <c r="AE613" s="201"/>
      <c r="AF613" s="231" t="str">
        <f>+IFERROR(VLOOKUP(L613,Data!$F$4:$G$97,2,0),"")</f>
        <v/>
      </c>
    </row>
    <row r="614" spans="9:32" ht="15" customHeight="1" x14ac:dyDescent="0.3">
      <c r="I614" s="201" t="str">
        <f t="shared" si="88"/>
        <v/>
      </c>
      <c r="J614" s="218">
        <f t="shared" si="89"/>
        <v>611</v>
      </c>
      <c r="K614" s="250"/>
      <c r="L614" s="219"/>
      <c r="M614" s="218"/>
      <c r="N614" s="220" t="str">
        <f>IFERROR(VLOOKUP(M614,Data!$C$4:$D$395,2,0),"")</f>
        <v/>
      </c>
      <c r="O614" s="220"/>
      <c r="P614" s="229"/>
      <c r="Q614" s="221"/>
      <c r="R614" s="222" t="str">
        <f t="shared" si="90"/>
        <v>-</v>
      </c>
      <c r="S614" s="223"/>
      <c r="T614" s="224"/>
      <c r="U614" s="225">
        <f t="shared" si="91"/>
        <v>0</v>
      </c>
      <c r="V614" s="226">
        <v>0</v>
      </c>
      <c r="W614" s="227"/>
      <c r="X614" s="228">
        <f t="shared" si="92"/>
        <v>0</v>
      </c>
      <c r="Y614" s="229"/>
      <c r="Z614" s="229"/>
      <c r="AA614" s="229"/>
      <c r="AB614" s="222">
        <f t="shared" si="93"/>
        <v>0</v>
      </c>
      <c r="AC614" s="230">
        <f t="shared" si="94"/>
        <v>0</v>
      </c>
      <c r="AD614" s="222" t="str">
        <f t="shared" si="95"/>
        <v/>
      </c>
      <c r="AE614" s="201"/>
      <c r="AF614" s="231" t="str">
        <f>+IFERROR(VLOOKUP(L614,Data!$F$4:$G$97,2,0),"")</f>
        <v/>
      </c>
    </row>
    <row r="615" spans="9:32" ht="15" customHeight="1" x14ac:dyDescent="0.3">
      <c r="I615" s="201" t="str">
        <f t="shared" si="88"/>
        <v/>
      </c>
      <c r="J615" s="218">
        <f t="shared" si="89"/>
        <v>612</v>
      </c>
      <c r="K615" s="250"/>
      <c r="L615" s="219"/>
      <c r="M615" s="218"/>
      <c r="N615" s="220" t="str">
        <f>IFERROR(VLOOKUP(M615,Data!$C$4:$D$395,2,0),"")</f>
        <v/>
      </c>
      <c r="O615" s="220"/>
      <c r="P615" s="229"/>
      <c r="Q615" s="221"/>
      <c r="R615" s="222" t="str">
        <f t="shared" si="90"/>
        <v>-</v>
      </c>
      <c r="S615" s="223"/>
      <c r="T615" s="224"/>
      <c r="U615" s="225">
        <f t="shared" si="91"/>
        <v>0</v>
      </c>
      <c r="V615" s="226">
        <v>0</v>
      </c>
      <c r="W615" s="227"/>
      <c r="X615" s="228">
        <f t="shared" si="92"/>
        <v>0</v>
      </c>
      <c r="Y615" s="229"/>
      <c r="Z615" s="229"/>
      <c r="AA615" s="229"/>
      <c r="AB615" s="222">
        <f t="shared" si="93"/>
        <v>0</v>
      </c>
      <c r="AC615" s="230">
        <f t="shared" si="94"/>
        <v>0</v>
      </c>
      <c r="AD615" s="222" t="str">
        <f t="shared" si="95"/>
        <v/>
      </c>
      <c r="AE615" s="201"/>
      <c r="AF615" s="231" t="str">
        <f>+IFERROR(VLOOKUP(L615,Data!$F$4:$G$97,2,0),"")</f>
        <v/>
      </c>
    </row>
    <row r="616" spans="9:32" ht="15" customHeight="1" x14ac:dyDescent="0.3">
      <c r="I616" s="201" t="str">
        <f t="shared" si="88"/>
        <v/>
      </c>
      <c r="J616" s="218">
        <f t="shared" si="89"/>
        <v>613</v>
      </c>
      <c r="K616" s="250"/>
      <c r="L616" s="219"/>
      <c r="M616" s="218"/>
      <c r="N616" s="220" t="str">
        <f>IFERROR(VLOOKUP(M616,Data!$C$4:$D$395,2,0),"")</f>
        <v/>
      </c>
      <c r="O616" s="220"/>
      <c r="P616" s="229"/>
      <c r="Q616" s="221"/>
      <c r="R616" s="222" t="str">
        <f t="shared" si="90"/>
        <v>-</v>
      </c>
      <c r="S616" s="223"/>
      <c r="T616" s="224"/>
      <c r="U616" s="225">
        <f t="shared" si="91"/>
        <v>0</v>
      </c>
      <c r="V616" s="226">
        <v>0</v>
      </c>
      <c r="W616" s="227"/>
      <c r="X616" s="228">
        <f t="shared" si="92"/>
        <v>0</v>
      </c>
      <c r="Y616" s="229"/>
      <c r="Z616" s="229"/>
      <c r="AA616" s="229"/>
      <c r="AB616" s="222">
        <f t="shared" si="93"/>
        <v>0</v>
      </c>
      <c r="AC616" s="230">
        <f t="shared" si="94"/>
        <v>0</v>
      </c>
      <c r="AD616" s="222" t="str">
        <f t="shared" si="95"/>
        <v/>
      </c>
      <c r="AE616" s="201"/>
      <c r="AF616" s="231" t="str">
        <f>+IFERROR(VLOOKUP(L616,Data!$F$4:$G$97,2,0),"")</f>
        <v/>
      </c>
    </row>
    <row r="617" spans="9:32" ht="15" customHeight="1" x14ac:dyDescent="0.3">
      <c r="I617" s="201" t="str">
        <f t="shared" si="88"/>
        <v/>
      </c>
      <c r="J617" s="218">
        <f t="shared" si="89"/>
        <v>614</v>
      </c>
      <c r="K617" s="250"/>
      <c r="L617" s="219"/>
      <c r="M617" s="218"/>
      <c r="N617" s="220" t="str">
        <f>IFERROR(VLOOKUP(M617,Data!$C$4:$D$395,2,0),"")</f>
        <v/>
      </c>
      <c r="O617" s="220"/>
      <c r="P617" s="229"/>
      <c r="Q617" s="221"/>
      <c r="R617" s="222" t="str">
        <f t="shared" si="90"/>
        <v>-</v>
      </c>
      <c r="S617" s="223"/>
      <c r="T617" s="224"/>
      <c r="U617" s="225">
        <f t="shared" si="91"/>
        <v>0</v>
      </c>
      <c r="V617" s="226">
        <v>0</v>
      </c>
      <c r="W617" s="227"/>
      <c r="X617" s="228">
        <f t="shared" si="92"/>
        <v>0</v>
      </c>
      <c r="Y617" s="229"/>
      <c r="Z617" s="229"/>
      <c r="AA617" s="229"/>
      <c r="AB617" s="222">
        <f t="shared" si="93"/>
        <v>0</v>
      </c>
      <c r="AC617" s="230">
        <f t="shared" si="94"/>
        <v>0</v>
      </c>
      <c r="AD617" s="222" t="str">
        <f t="shared" si="95"/>
        <v/>
      </c>
      <c r="AE617" s="201"/>
      <c r="AF617" s="231" t="str">
        <f>+IFERROR(VLOOKUP(L617,Data!$F$4:$G$97,2,0),"")</f>
        <v/>
      </c>
    </row>
    <row r="618" spans="9:32" ht="15" customHeight="1" x14ac:dyDescent="0.3">
      <c r="I618" s="201" t="str">
        <f t="shared" si="88"/>
        <v/>
      </c>
      <c r="J618" s="218">
        <f t="shared" si="89"/>
        <v>615</v>
      </c>
      <c r="K618" s="250"/>
      <c r="L618" s="219"/>
      <c r="M618" s="218"/>
      <c r="N618" s="220" t="str">
        <f>IFERROR(VLOOKUP(M618,Data!$C$4:$D$395,2,0),"")</f>
        <v/>
      </c>
      <c r="O618" s="220"/>
      <c r="P618" s="229"/>
      <c r="Q618" s="221"/>
      <c r="R618" s="222" t="str">
        <f t="shared" si="90"/>
        <v>-</v>
      </c>
      <c r="S618" s="223"/>
      <c r="T618" s="224"/>
      <c r="U618" s="225">
        <f t="shared" si="91"/>
        <v>0</v>
      </c>
      <c r="V618" s="226">
        <v>0</v>
      </c>
      <c r="W618" s="227"/>
      <c r="X618" s="228">
        <f t="shared" si="92"/>
        <v>0</v>
      </c>
      <c r="Y618" s="229"/>
      <c r="Z618" s="229"/>
      <c r="AA618" s="229"/>
      <c r="AB618" s="222">
        <f t="shared" si="93"/>
        <v>0</v>
      </c>
      <c r="AC618" s="230">
        <f t="shared" si="94"/>
        <v>0</v>
      </c>
      <c r="AD618" s="222" t="str">
        <f t="shared" si="95"/>
        <v/>
      </c>
      <c r="AE618" s="201"/>
      <c r="AF618" s="231" t="str">
        <f>+IFERROR(VLOOKUP(L618,Data!$F$4:$G$97,2,0),"")</f>
        <v/>
      </c>
    </row>
    <row r="619" spans="9:32" ht="15" customHeight="1" x14ac:dyDescent="0.3">
      <c r="I619" s="201" t="str">
        <f t="shared" si="88"/>
        <v/>
      </c>
      <c r="J619" s="218">
        <f t="shared" si="89"/>
        <v>616</v>
      </c>
      <c r="K619" s="250"/>
      <c r="L619" s="219"/>
      <c r="M619" s="218"/>
      <c r="N619" s="220" t="str">
        <f>IFERROR(VLOOKUP(M619,Data!$C$4:$D$395,2,0),"")</f>
        <v/>
      </c>
      <c r="O619" s="220"/>
      <c r="P619" s="229"/>
      <c r="Q619" s="221"/>
      <c r="R619" s="222" t="str">
        <f t="shared" si="90"/>
        <v>-</v>
      </c>
      <c r="S619" s="223"/>
      <c r="T619" s="224"/>
      <c r="U619" s="225">
        <f t="shared" si="91"/>
        <v>0</v>
      </c>
      <c r="V619" s="226">
        <v>0</v>
      </c>
      <c r="W619" s="227"/>
      <c r="X619" s="228">
        <f t="shared" si="92"/>
        <v>0</v>
      </c>
      <c r="Y619" s="229"/>
      <c r="Z619" s="229"/>
      <c r="AA619" s="229"/>
      <c r="AB619" s="222">
        <f t="shared" si="93"/>
        <v>0</v>
      </c>
      <c r="AC619" s="230">
        <f t="shared" si="94"/>
        <v>0</v>
      </c>
      <c r="AD619" s="222" t="str">
        <f t="shared" si="95"/>
        <v/>
      </c>
      <c r="AE619" s="201"/>
      <c r="AF619" s="231" t="str">
        <f>+IFERROR(VLOOKUP(L619,Data!$F$4:$G$97,2,0),"")</f>
        <v/>
      </c>
    </row>
    <row r="620" spans="9:32" ht="15" customHeight="1" x14ac:dyDescent="0.3">
      <c r="I620" s="201" t="str">
        <f t="shared" si="88"/>
        <v/>
      </c>
      <c r="J620" s="218">
        <f t="shared" si="89"/>
        <v>617</v>
      </c>
      <c r="K620" s="250"/>
      <c r="L620" s="219"/>
      <c r="M620" s="218"/>
      <c r="N620" s="220" t="str">
        <f>IFERROR(VLOOKUP(M620,Data!$C$4:$D$395,2,0),"")</f>
        <v/>
      </c>
      <c r="O620" s="220"/>
      <c r="P620" s="229"/>
      <c r="Q620" s="221"/>
      <c r="R620" s="222" t="str">
        <f t="shared" si="90"/>
        <v>-</v>
      </c>
      <c r="S620" s="223"/>
      <c r="T620" s="224"/>
      <c r="U620" s="225">
        <f t="shared" si="91"/>
        <v>0</v>
      </c>
      <c r="V620" s="226">
        <v>0</v>
      </c>
      <c r="W620" s="227"/>
      <c r="X620" s="228">
        <f t="shared" si="92"/>
        <v>0</v>
      </c>
      <c r="Y620" s="229"/>
      <c r="Z620" s="229"/>
      <c r="AA620" s="229"/>
      <c r="AB620" s="222">
        <f t="shared" si="93"/>
        <v>0</v>
      </c>
      <c r="AC620" s="230">
        <f t="shared" si="94"/>
        <v>0</v>
      </c>
      <c r="AD620" s="222" t="str">
        <f t="shared" si="95"/>
        <v/>
      </c>
      <c r="AE620" s="201"/>
      <c r="AF620" s="231" t="str">
        <f>+IFERROR(VLOOKUP(L620,Data!$F$4:$G$97,2,0),"")</f>
        <v/>
      </c>
    </row>
    <row r="621" spans="9:32" ht="15" customHeight="1" x14ac:dyDescent="0.3">
      <c r="I621" s="201" t="str">
        <f t="shared" si="88"/>
        <v/>
      </c>
      <c r="J621" s="218">
        <f t="shared" si="89"/>
        <v>618</v>
      </c>
      <c r="K621" s="250"/>
      <c r="L621" s="219"/>
      <c r="M621" s="218"/>
      <c r="N621" s="220" t="str">
        <f>IFERROR(VLOOKUP(M621,Data!$C$4:$D$395,2,0),"")</f>
        <v/>
      </c>
      <c r="O621" s="220"/>
      <c r="P621" s="229"/>
      <c r="Q621" s="221"/>
      <c r="R621" s="222" t="str">
        <f t="shared" si="90"/>
        <v>-</v>
      </c>
      <c r="S621" s="223"/>
      <c r="T621" s="224"/>
      <c r="U621" s="225">
        <f t="shared" si="91"/>
        <v>0</v>
      </c>
      <c r="V621" s="226">
        <v>0</v>
      </c>
      <c r="W621" s="227"/>
      <c r="X621" s="228">
        <f t="shared" si="92"/>
        <v>0</v>
      </c>
      <c r="Y621" s="229"/>
      <c r="Z621" s="229"/>
      <c r="AA621" s="229"/>
      <c r="AB621" s="222">
        <f t="shared" si="93"/>
        <v>0</v>
      </c>
      <c r="AC621" s="230">
        <f t="shared" si="94"/>
        <v>0</v>
      </c>
      <c r="AD621" s="222" t="str">
        <f t="shared" si="95"/>
        <v/>
      </c>
      <c r="AE621" s="201"/>
      <c r="AF621" s="231" t="str">
        <f>+IFERROR(VLOOKUP(L621,Data!$F$4:$G$97,2,0),"")</f>
        <v/>
      </c>
    </row>
    <row r="622" spans="9:32" ht="15" customHeight="1" x14ac:dyDescent="0.3">
      <c r="I622" s="201" t="str">
        <f t="shared" si="88"/>
        <v/>
      </c>
      <c r="J622" s="218">
        <f t="shared" si="89"/>
        <v>619</v>
      </c>
      <c r="K622" s="250"/>
      <c r="L622" s="219"/>
      <c r="M622" s="218"/>
      <c r="N622" s="220" t="str">
        <f>IFERROR(VLOOKUP(M622,Data!$C$4:$D$395,2,0),"")</f>
        <v/>
      </c>
      <c r="O622" s="220"/>
      <c r="P622" s="229"/>
      <c r="Q622" s="221"/>
      <c r="R622" s="222" t="str">
        <f t="shared" si="90"/>
        <v>-</v>
      </c>
      <c r="S622" s="223"/>
      <c r="T622" s="224"/>
      <c r="U622" s="225">
        <f t="shared" si="91"/>
        <v>0</v>
      </c>
      <c r="V622" s="226">
        <v>0</v>
      </c>
      <c r="W622" s="227"/>
      <c r="X622" s="228">
        <f t="shared" si="92"/>
        <v>0</v>
      </c>
      <c r="Y622" s="229"/>
      <c r="Z622" s="229"/>
      <c r="AA622" s="229"/>
      <c r="AB622" s="222">
        <f t="shared" si="93"/>
        <v>0</v>
      </c>
      <c r="AC622" s="230">
        <f t="shared" si="94"/>
        <v>0</v>
      </c>
      <c r="AD622" s="222" t="str">
        <f t="shared" si="95"/>
        <v/>
      </c>
      <c r="AE622" s="201"/>
      <c r="AF622" s="231" t="str">
        <f>+IFERROR(VLOOKUP(L622,Data!$F$4:$G$97,2,0),"")</f>
        <v/>
      </c>
    </row>
    <row r="623" spans="9:32" ht="15" customHeight="1" x14ac:dyDescent="0.3">
      <c r="I623" s="201" t="str">
        <f t="shared" si="88"/>
        <v/>
      </c>
      <c r="J623" s="218">
        <f t="shared" si="89"/>
        <v>620</v>
      </c>
      <c r="K623" s="250"/>
      <c r="L623" s="219"/>
      <c r="M623" s="218"/>
      <c r="N623" s="220" t="str">
        <f>IFERROR(VLOOKUP(M623,Data!$C$4:$D$395,2,0),"")</f>
        <v/>
      </c>
      <c r="O623" s="220"/>
      <c r="P623" s="229"/>
      <c r="Q623" s="221"/>
      <c r="R623" s="222" t="str">
        <f t="shared" si="90"/>
        <v>-</v>
      </c>
      <c r="S623" s="223"/>
      <c r="T623" s="224"/>
      <c r="U623" s="225">
        <f t="shared" si="91"/>
        <v>0</v>
      </c>
      <c r="V623" s="226">
        <v>0</v>
      </c>
      <c r="W623" s="227"/>
      <c r="X623" s="228">
        <f t="shared" si="92"/>
        <v>0</v>
      </c>
      <c r="Y623" s="229"/>
      <c r="Z623" s="229"/>
      <c r="AA623" s="229"/>
      <c r="AB623" s="222">
        <f t="shared" si="93"/>
        <v>0</v>
      </c>
      <c r="AC623" s="230">
        <f t="shared" si="94"/>
        <v>0</v>
      </c>
      <c r="AD623" s="222" t="str">
        <f t="shared" si="95"/>
        <v/>
      </c>
      <c r="AE623" s="201"/>
      <c r="AF623" s="231" t="str">
        <f>+IFERROR(VLOOKUP(L623,Data!$F$4:$G$97,2,0),"")</f>
        <v/>
      </c>
    </row>
    <row r="624" spans="9:32" ht="15" customHeight="1" x14ac:dyDescent="0.3">
      <c r="I624" s="201" t="str">
        <f t="shared" si="88"/>
        <v/>
      </c>
      <c r="J624" s="218">
        <f t="shared" si="89"/>
        <v>621</v>
      </c>
      <c r="K624" s="250"/>
      <c r="L624" s="219"/>
      <c r="M624" s="218"/>
      <c r="N624" s="220" t="str">
        <f>IFERROR(VLOOKUP(M624,Data!$C$4:$D$395,2,0),"")</f>
        <v/>
      </c>
      <c r="O624" s="220"/>
      <c r="P624" s="229"/>
      <c r="Q624" s="221"/>
      <c r="R624" s="222" t="str">
        <f t="shared" si="90"/>
        <v>-</v>
      </c>
      <c r="S624" s="223"/>
      <c r="T624" s="224"/>
      <c r="U624" s="225">
        <f t="shared" si="91"/>
        <v>0</v>
      </c>
      <c r="V624" s="226">
        <v>0</v>
      </c>
      <c r="W624" s="227"/>
      <c r="X624" s="228">
        <f t="shared" si="92"/>
        <v>0</v>
      </c>
      <c r="Y624" s="229"/>
      <c r="Z624" s="229"/>
      <c r="AA624" s="229"/>
      <c r="AB624" s="222">
        <f t="shared" si="93"/>
        <v>0</v>
      </c>
      <c r="AC624" s="230">
        <f t="shared" si="94"/>
        <v>0</v>
      </c>
      <c r="AD624" s="222" t="str">
        <f t="shared" si="95"/>
        <v/>
      </c>
      <c r="AE624" s="201"/>
      <c r="AF624" s="231" t="str">
        <f>+IFERROR(VLOOKUP(L624,Data!$F$4:$G$97,2,0),"")</f>
        <v/>
      </c>
    </row>
    <row r="625" spans="9:32" ht="15" customHeight="1" x14ac:dyDescent="0.3">
      <c r="I625" s="201" t="str">
        <f t="shared" si="88"/>
        <v/>
      </c>
      <c r="J625" s="218">
        <f t="shared" si="89"/>
        <v>622</v>
      </c>
      <c r="K625" s="250"/>
      <c r="L625" s="219"/>
      <c r="M625" s="218"/>
      <c r="N625" s="220" t="str">
        <f>IFERROR(VLOOKUP(M625,Data!$C$4:$D$395,2,0),"")</f>
        <v/>
      </c>
      <c r="O625" s="220"/>
      <c r="P625" s="229"/>
      <c r="Q625" s="221"/>
      <c r="R625" s="222" t="str">
        <f t="shared" si="90"/>
        <v>-</v>
      </c>
      <c r="S625" s="223"/>
      <c r="T625" s="224"/>
      <c r="U625" s="225">
        <f t="shared" si="91"/>
        <v>0</v>
      </c>
      <c r="V625" s="226">
        <v>0</v>
      </c>
      <c r="W625" s="227"/>
      <c r="X625" s="228">
        <f t="shared" si="92"/>
        <v>0</v>
      </c>
      <c r="Y625" s="229"/>
      <c r="Z625" s="229"/>
      <c r="AA625" s="229"/>
      <c r="AB625" s="222">
        <f t="shared" si="93"/>
        <v>0</v>
      </c>
      <c r="AC625" s="230">
        <f t="shared" si="94"/>
        <v>0</v>
      </c>
      <c r="AD625" s="222" t="str">
        <f t="shared" si="95"/>
        <v/>
      </c>
      <c r="AE625" s="201"/>
      <c r="AF625" s="231" t="str">
        <f>+IFERROR(VLOOKUP(L625,Data!$F$4:$G$97,2,0),"")</f>
        <v/>
      </c>
    </row>
    <row r="626" spans="9:32" ht="15" customHeight="1" x14ac:dyDescent="0.3">
      <c r="I626" s="201" t="str">
        <f t="shared" si="88"/>
        <v/>
      </c>
      <c r="J626" s="218">
        <f t="shared" si="89"/>
        <v>623</v>
      </c>
      <c r="K626" s="250"/>
      <c r="L626" s="219"/>
      <c r="M626" s="218"/>
      <c r="N626" s="220" t="str">
        <f>IFERROR(VLOOKUP(M626,Data!$C$4:$D$395,2,0),"")</f>
        <v/>
      </c>
      <c r="O626" s="220"/>
      <c r="P626" s="229"/>
      <c r="Q626" s="221"/>
      <c r="R626" s="222" t="str">
        <f t="shared" si="90"/>
        <v>-</v>
      </c>
      <c r="S626" s="223"/>
      <c r="T626" s="224"/>
      <c r="U626" s="225">
        <f t="shared" si="91"/>
        <v>0</v>
      </c>
      <c r="V626" s="226">
        <v>0</v>
      </c>
      <c r="W626" s="227"/>
      <c r="X626" s="228">
        <f t="shared" si="92"/>
        <v>0</v>
      </c>
      <c r="Y626" s="229"/>
      <c r="Z626" s="229"/>
      <c r="AA626" s="229"/>
      <c r="AB626" s="222">
        <f t="shared" si="93"/>
        <v>0</v>
      </c>
      <c r="AC626" s="230">
        <f t="shared" si="94"/>
        <v>0</v>
      </c>
      <c r="AD626" s="222" t="str">
        <f t="shared" si="95"/>
        <v/>
      </c>
      <c r="AE626" s="201"/>
      <c r="AF626" s="231" t="str">
        <f>+IFERROR(VLOOKUP(L626,Data!$F$4:$G$97,2,0),"")</f>
        <v/>
      </c>
    </row>
    <row r="627" spans="9:32" ht="15" customHeight="1" x14ac:dyDescent="0.3">
      <c r="I627" s="201" t="str">
        <f t="shared" si="88"/>
        <v/>
      </c>
      <c r="J627" s="218">
        <f t="shared" si="89"/>
        <v>624</v>
      </c>
      <c r="K627" s="250"/>
      <c r="L627" s="219"/>
      <c r="M627" s="218"/>
      <c r="N627" s="220" t="str">
        <f>IFERROR(VLOOKUP(M627,Data!$C$4:$D$395,2,0),"")</f>
        <v/>
      </c>
      <c r="O627" s="220"/>
      <c r="P627" s="229"/>
      <c r="Q627" s="221"/>
      <c r="R627" s="222" t="str">
        <f t="shared" si="90"/>
        <v>-</v>
      </c>
      <c r="S627" s="223"/>
      <c r="T627" s="224"/>
      <c r="U627" s="225">
        <f t="shared" si="91"/>
        <v>0</v>
      </c>
      <c r="V627" s="226">
        <v>0</v>
      </c>
      <c r="W627" s="227"/>
      <c r="X627" s="228">
        <f t="shared" si="92"/>
        <v>0</v>
      </c>
      <c r="Y627" s="229"/>
      <c r="Z627" s="229"/>
      <c r="AA627" s="229"/>
      <c r="AB627" s="222">
        <f t="shared" si="93"/>
        <v>0</v>
      </c>
      <c r="AC627" s="230">
        <f t="shared" si="94"/>
        <v>0</v>
      </c>
      <c r="AD627" s="222" t="str">
        <f t="shared" si="95"/>
        <v/>
      </c>
      <c r="AE627" s="201"/>
      <c r="AF627" s="231" t="str">
        <f>+IFERROR(VLOOKUP(L627,Data!$F$4:$G$97,2,0),"")</f>
        <v/>
      </c>
    </row>
    <row r="628" spans="9:32" ht="15" customHeight="1" x14ac:dyDescent="0.3">
      <c r="I628" s="201" t="str">
        <f t="shared" si="88"/>
        <v/>
      </c>
      <c r="J628" s="218">
        <f t="shared" si="89"/>
        <v>625</v>
      </c>
      <c r="K628" s="250"/>
      <c r="L628" s="219"/>
      <c r="M628" s="218"/>
      <c r="N628" s="220" t="str">
        <f>IFERROR(VLOOKUP(M628,Data!$C$4:$D$395,2,0),"")</f>
        <v/>
      </c>
      <c r="O628" s="220"/>
      <c r="P628" s="229"/>
      <c r="Q628" s="221"/>
      <c r="R628" s="222" t="str">
        <f t="shared" si="90"/>
        <v>-</v>
      </c>
      <c r="S628" s="223"/>
      <c r="T628" s="224"/>
      <c r="U628" s="225">
        <f t="shared" si="91"/>
        <v>0</v>
      </c>
      <c r="V628" s="226">
        <v>0</v>
      </c>
      <c r="W628" s="227"/>
      <c r="X628" s="228">
        <f t="shared" si="92"/>
        <v>0</v>
      </c>
      <c r="Y628" s="229"/>
      <c r="Z628" s="229"/>
      <c r="AA628" s="229"/>
      <c r="AB628" s="222">
        <f t="shared" si="93"/>
        <v>0</v>
      </c>
      <c r="AC628" s="230">
        <f t="shared" si="94"/>
        <v>0</v>
      </c>
      <c r="AD628" s="222" t="str">
        <f t="shared" si="95"/>
        <v/>
      </c>
      <c r="AE628" s="201"/>
      <c r="AF628" s="231" t="str">
        <f>+IFERROR(VLOOKUP(L628,Data!$F$4:$G$97,2,0),"")</f>
        <v/>
      </c>
    </row>
    <row r="629" spans="9:32" ht="15" customHeight="1" x14ac:dyDescent="0.3">
      <c r="I629" s="201" t="str">
        <f t="shared" si="88"/>
        <v/>
      </c>
      <c r="J629" s="218">
        <f t="shared" si="89"/>
        <v>626</v>
      </c>
      <c r="K629" s="250"/>
      <c r="L629" s="219"/>
      <c r="M629" s="218"/>
      <c r="N629" s="220" t="str">
        <f>IFERROR(VLOOKUP(M629,Data!$C$4:$D$395,2,0),"")</f>
        <v/>
      </c>
      <c r="O629" s="220"/>
      <c r="P629" s="229"/>
      <c r="Q629" s="221"/>
      <c r="R629" s="222" t="str">
        <f t="shared" si="90"/>
        <v>-</v>
      </c>
      <c r="S629" s="223"/>
      <c r="T629" s="224"/>
      <c r="U629" s="225">
        <f t="shared" si="91"/>
        <v>0</v>
      </c>
      <c r="V629" s="226">
        <v>0</v>
      </c>
      <c r="W629" s="227"/>
      <c r="X629" s="228">
        <f t="shared" si="92"/>
        <v>0</v>
      </c>
      <c r="Y629" s="229"/>
      <c r="Z629" s="229"/>
      <c r="AA629" s="229"/>
      <c r="AB629" s="222">
        <f t="shared" si="93"/>
        <v>0</v>
      </c>
      <c r="AC629" s="230">
        <f t="shared" si="94"/>
        <v>0</v>
      </c>
      <c r="AD629" s="222" t="str">
        <f t="shared" si="95"/>
        <v/>
      </c>
      <c r="AE629" s="201"/>
      <c r="AF629" s="231" t="str">
        <f>+IFERROR(VLOOKUP(L629,Data!$F$4:$G$97,2,0),"")</f>
        <v/>
      </c>
    </row>
    <row r="630" spans="9:32" ht="15" customHeight="1" x14ac:dyDescent="0.3">
      <c r="I630" s="201" t="str">
        <f t="shared" si="88"/>
        <v/>
      </c>
      <c r="J630" s="218">
        <f t="shared" si="89"/>
        <v>627</v>
      </c>
      <c r="K630" s="250"/>
      <c r="L630" s="219"/>
      <c r="M630" s="218"/>
      <c r="N630" s="220" t="str">
        <f>IFERROR(VLOOKUP(M630,Data!$C$4:$D$395,2,0),"")</f>
        <v/>
      </c>
      <c r="O630" s="220"/>
      <c r="P630" s="229"/>
      <c r="Q630" s="221"/>
      <c r="R630" s="222" t="str">
        <f t="shared" si="90"/>
        <v>-</v>
      </c>
      <c r="S630" s="223"/>
      <c r="T630" s="224"/>
      <c r="U630" s="225">
        <f t="shared" si="91"/>
        <v>0</v>
      </c>
      <c r="V630" s="226">
        <v>0</v>
      </c>
      <c r="W630" s="227"/>
      <c r="X630" s="228">
        <f t="shared" si="92"/>
        <v>0</v>
      </c>
      <c r="Y630" s="229"/>
      <c r="Z630" s="229"/>
      <c r="AA630" s="229"/>
      <c r="AB630" s="222">
        <f t="shared" si="93"/>
        <v>0</v>
      </c>
      <c r="AC630" s="230">
        <f t="shared" si="94"/>
        <v>0</v>
      </c>
      <c r="AD630" s="222" t="str">
        <f t="shared" si="95"/>
        <v/>
      </c>
      <c r="AE630" s="201"/>
      <c r="AF630" s="231" t="str">
        <f>+IFERROR(VLOOKUP(L630,Data!$F$4:$G$97,2,0),"")</f>
        <v/>
      </c>
    </row>
    <row r="631" spans="9:32" ht="15" customHeight="1" x14ac:dyDescent="0.3">
      <c r="I631" s="201" t="str">
        <f t="shared" si="88"/>
        <v/>
      </c>
      <c r="J631" s="218">
        <f t="shared" si="89"/>
        <v>628</v>
      </c>
      <c r="K631" s="250"/>
      <c r="L631" s="219"/>
      <c r="M631" s="218"/>
      <c r="N631" s="220" t="str">
        <f>IFERROR(VLOOKUP(M631,Data!$C$4:$D$395,2,0),"")</f>
        <v/>
      </c>
      <c r="O631" s="220"/>
      <c r="P631" s="229"/>
      <c r="Q631" s="221"/>
      <c r="R631" s="222" t="str">
        <f t="shared" si="90"/>
        <v>-</v>
      </c>
      <c r="S631" s="223"/>
      <c r="T631" s="224"/>
      <c r="U631" s="225">
        <f t="shared" si="91"/>
        <v>0</v>
      </c>
      <c r="V631" s="226">
        <v>0</v>
      </c>
      <c r="W631" s="227"/>
      <c r="X631" s="228">
        <f t="shared" si="92"/>
        <v>0</v>
      </c>
      <c r="Y631" s="229"/>
      <c r="Z631" s="229"/>
      <c r="AA631" s="229"/>
      <c r="AB631" s="222">
        <f t="shared" si="93"/>
        <v>0</v>
      </c>
      <c r="AC631" s="230">
        <f t="shared" si="94"/>
        <v>0</v>
      </c>
      <c r="AD631" s="222" t="str">
        <f t="shared" si="95"/>
        <v/>
      </c>
      <c r="AE631" s="201"/>
      <c r="AF631" s="231" t="str">
        <f>+IFERROR(VLOOKUP(L631,Data!$F$4:$G$97,2,0),"")</f>
        <v/>
      </c>
    </row>
    <row r="632" spans="9:32" ht="15" customHeight="1" x14ac:dyDescent="0.3">
      <c r="I632" s="201" t="str">
        <f t="shared" si="88"/>
        <v/>
      </c>
      <c r="J632" s="218">
        <f t="shared" si="89"/>
        <v>629</v>
      </c>
      <c r="K632" s="250"/>
      <c r="L632" s="219"/>
      <c r="M632" s="218"/>
      <c r="N632" s="220" t="str">
        <f>IFERROR(VLOOKUP(M632,Data!$C$4:$D$395,2,0),"")</f>
        <v/>
      </c>
      <c r="O632" s="220"/>
      <c r="P632" s="229"/>
      <c r="Q632" s="221"/>
      <c r="R632" s="222" t="str">
        <f t="shared" si="90"/>
        <v>-</v>
      </c>
      <c r="S632" s="223"/>
      <c r="T632" s="224"/>
      <c r="U632" s="225">
        <f t="shared" si="91"/>
        <v>0</v>
      </c>
      <c r="V632" s="226">
        <v>0</v>
      </c>
      <c r="W632" s="227"/>
      <c r="X632" s="228">
        <f t="shared" si="92"/>
        <v>0</v>
      </c>
      <c r="Y632" s="229"/>
      <c r="Z632" s="229"/>
      <c r="AA632" s="229"/>
      <c r="AB632" s="222">
        <f t="shared" si="93"/>
        <v>0</v>
      </c>
      <c r="AC632" s="230">
        <f t="shared" si="94"/>
        <v>0</v>
      </c>
      <c r="AD632" s="222" t="str">
        <f t="shared" si="95"/>
        <v/>
      </c>
      <c r="AE632" s="201"/>
      <c r="AF632" s="231" t="str">
        <f>+IFERROR(VLOOKUP(L632,Data!$F$4:$G$97,2,0),"")</f>
        <v/>
      </c>
    </row>
    <row r="633" spans="9:32" ht="15" customHeight="1" x14ac:dyDescent="0.3">
      <c r="I633" s="201" t="str">
        <f t="shared" si="88"/>
        <v/>
      </c>
      <c r="J633" s="218">
        <f t="shared" si="89"/>
        <v>630</v>
      </c>
      <c r="K633" s="250"/>
      <c r="L633" s="219"/>
      <c r="M633" s="218"/>
      <c r="N633" s="220" t="str">
        <f>IFERROR(VLOOKUP(M633,Data!$C$4:$D$395,2,0),"")</f>
        <v/>
      </c>
      <c r="O633" s="220"/>
      <c r="P633" s="229"/>
      <c r="Q633" s="221"/>
      <c r="R633" s="222" t="str">
        <f t="shared" si="90"/>
        <v>-</v>
      </c>
      <c r="S633" s="223"/>
      <c r="T633" s="224"/>
      <c r="U633" s="225">
        <f t="shared" si="91"/>
        <v>0</v>
      </c>
      <c r="V633" s="226">
        <v>0</v>
      </c>
      <c r="W633" s="227"/>
      <c r="X633" s="228">
        <f t="shared" si="92"/>
        <v>0</v>
      </c>
      <c r="Y633" s="229"/>
      <c r="Z633" s="229"/>
      <c r="AA633" s="229"/>
      <c r="AB633" s="222">
        <f t="shared" si="93"/>
        <v>0</v>
      </c>
      <c r="AC633" s="230">
        <f t="shared" si="94"/>
        <v>0</v>
      </c>
      <c r="AD633" s="222" t="str">
        <f t="shared" si="95"/>
        <v/>
      </c>
      <c r="AE633" s="201"/>
      <c r="AF633" s="231" t="str">
        <f>+IFERROR(VLOOKUP(L633,Data!$F$4:$G$97,2,0),"")</f>
        <v/>
      </c>
    </row>
    <row r="634" spans="9:32" ht="15" customHeight="1" x14ac:dyDescent="0.3">
      <c r="I634" s="201" t="str">
        <f t="shared" si="88"/>
        <v/>
      </c>
      <c r="J634" s="218">
        <f t="shared" si="89"/>
        <v>631</v>
      </c>
      <c r="K634" s="250"/>
      <c r="L634" s="219"/>
      <c r="M634" s="218"/>
      <c r="N634" s="220" t="str">
        <f>IFERROR(VLOOKUP(M634,Data!$C$4:$D$395,2,0),"")</f>
        <v/>
      </c>
      <c r="O634" s="220"/>
      <c r="P634" s="229"/>
      <c r="Q634" s="221"/>
      <c r="R634" s="222" t="str">
        <f t="shared" si="90"/>
        <v>-</v>
      </c>
      <c r="S634" s="223"/>
      <c r="T634" s="224"/>
      <c r="U634" s="225">
        <f t="shared" si="91"/>
        <v>0</v>
      </c>
      <c r="V634" s="226">
        <v>0</v>
      </c>
      <c r="W634" s="227"/>
      <c r="X634" s="228">
        <f t="shared" si="92"/>
        <v>0</v>
      </c>
      <c r="Y634" s="229"/>
      <c r="Z634" s="229"/>
      <c r="AA634" s="229"/>
      <c r="AB634" s="222">
        <f t="shared" si="93"/>
        <v>0</v>
      </c>
      <c r="AC634" s="230">
        <f t="shared" si="94"/>
        <v>0</v>
      </c>
      <c r="AD634" s="222" t="str">
        <f t="shared" si="95"/>
        <v/>
      </c>
      <c r="AE634" s="201"/>
      <c r="AF634" s="231" t="str">
        <f>+IFERROR(VLOOKUP(L634,Data!$F$4:$G$97,2,0),"")</f>
        <v/>
      </c>
    </row>
    <row r="635" spans="9:32" ht="15" customHeight="1" x14ac:dyDescent="0.3">
      <c r="I635" s="201" t="str">
        <f t="shared" si="88"/>
        <v/>
      </c>
      <c r="J635" s="218">
        <f t="shared" si="89"/>
        <v>632</v>
      </c>
      <c r="K635" s="250"/>
      <c r="L635" s="219"/>
      <c r="M635" s="218"/>
      <c r="N635" s="220" t="str">
        <f>IFERROR(VLOOKUP(M635,Data!$C$4:$D$395,2,0),"")</f>
        <v/>
      </c>
      <c r="O635" s="220"/>
      <c r="P635" s="229"/>
      <c r="Q635" s="221"/>
      <c r="R635" s="222" t="str">
        <f t="shared" si="90"/>
        <v>-</v>
      </c>
      <c r="S635" s="223"/>
      <c r="T635" s="224"/>
      <c r="U635" s="225">
        <f t="shared" si="91"/>
        <v>0</v>
      </c>
      <c r="V635" s="226">
        <v>0</v>
      </c>
      <c r="W635" s="227"/>
      <c r="X635" s="228">
        <f t="shared" si="92"/>
        <v>0</v>
      </c>
      <c r="Y635" s="229"/>
      <c r="Z635" s="229"/>
      <c r="AA635" s="229"/>
      <c r="AB635" s="222">
        <f t="shared" si="93"/>
        <v>0</v>
      </c>
      <c r="AC635" s="230">
        <f t="shared" si="94"/>
        <v>0</v>
      </c>
      <c r="AD635" s="222" t="str">
        <f t="shared" si="95"/>
        <v/>
      </c>
      <c r="AE635" s="201"/>
      <c r="AF635" s="231" t="str">
        <f>+IFERROR(VLOOKUP(L635,Data!$F$4:$G$97,2,0),"")</f>
        <v/>
      </c>
    </row>
    <row r="636" spans="9:32" ht="15" customHeight="1" x14ac:dyDescent="0.3">
      <c r="I636" s="201" t="str">
        <f t="shared" si="88"/>
        <v/>
      </c>
      <c r="J636" s="218">
        <f t="shared" si="89"/>
        <v>633</v>
      </c>
      <c r="K636" s="250"/>
      <c r="L636" s="219"/>
      <c r="M636" s="218"/>
      <c r="N636" s="220" t="str">
        <f>IFERROR(VLOOKUP(M636,Data!$C$4:$D$395,2,0),"")</f>
        <v/>
      </c>
      <c r="O636" s="220"/>
      <c r="P636" s="229"/>
      <c r="Q636" s="221"/>
      <c r="R636" s="222" t="str">
        <f t="shared" si="90"/>
        <v>-</v>
      </c>
      <c r="S636" s="223"/>
      <c r="T636" s="224"/>
      <c r="U636" s="225">
        <f t="shared" si="91"/>
        <v>0</v>
      </c>
      <c r="V636" s="226">
        <v>0</v>
      </c>
      <c r="W636" s="227"/>
      <c r="X636" s="228">
        <f t="shared" si="92"/>
        <v>0</v>
      </c>
      <c r="Y636" s="229"/>
      <c r="Z636" s="229"/>
      <c r="AA636" s="229"/>
      <c r="AB636" s="222">
        <f t="shared" si="93"/>
        <v>0</v>
      </c>
      <c r="AC636" s="230">
        <f t="shared" si="94"/>
        <v>0</v>
      </c>
      <c r="AD636" s="222" t="str">
        <f t="shared" si="95"/>
        <v/>
      </c>
      <c r="AE636" s="201"/>
      <c r="AF636" s="231" t="str">
        <f>+IFERROR(VLOOKUP(L636,Data!$F$4:$G$97,2,0),"")</f>
        <v/>
      </c>
    </row>
    <row r="637" spans="9:32" ht="15" customHeight="1" x14ac:dyDescent="0.3">
      <c r="I637" s="201" t="str">
        <f t="shared" ref="I637:I700" si="96">+AF637</f>
        <v/>
      </c>
      <c r="J637" s="218">
        <f t="shared" si="89"/>
        <v>634</v>
      </c>
      <c r="K637" s="250"/>
      <c r="L637" s="219"/>
      <c r="M637" s="218"/>
      <c r="N637" s="220" t="str">
        <f>IFERROR(VLOOKUP(M637,Data!$C$4:$D$395,2,0),"")</f>
        <v/>
      </c>
      <c r="O637" s="220"/>
      <c r="P637" s="229"/>
      <c r="Q637" s="221"/>
      <c r="R637" s="222" t="str">
        <f t="shared" si="90"/>
        <v>-</v>
      </c>
      <c r="S637" s="223"/>
      <c r="T637" s="224"/>
      <c r="U637" s="225">
        <f t="shared" si="91"/>
        <v>0</v>
      </c>
      <c r="V637" s="226">
        <v>0</v>
      </c>
      <c r="W637" s="227"/>
      <c r="X637" s="228">
        <f t="shared" si="92"/>
        <v>0</v>
      </c>
      <c r="Y637" s="229"/>
      <c r="Z637" s="229"/>
      <c r="AA637" s="229"/>
      <c r="AB637" s="222">
        <f t="shared" si="93"/>
        <v>0</v>
      </c>
      <c r="AC637" s="230">
        <f t="shared" si="94"/>
        <v>0</v>
      </c>
      <c r="AD637" s="222" t="str">
        <f t="shared" si="95"/>
        <v/>
      </c>
      <c r="AE637" s="201"/>
      <c r="AF637" s="231" t="str">
        <f>+IFERROR(VLOOKUP(L637,Data!$F$4:$G$97,2,0),"")</f>
        <v/>
      </c>
    </row>
    <row r="638" spans="9:32" ht="15" customHeight="1" x14ac:dyDescent="0.3">
      <c r="I638" s="201" t="str">
        <f t="shared" si="96"/>
        <v/>
      </c>
      <c r="J638" s="218">
        <f t="shared" ref="J638:J701" si="97">J637+1</f>
        <v>635</v>
      </c>
      <c r="K638" s="250"/>
      <c r="L638" s="219"/>
      <c r="M638" s="218"/>
      <c r="N638" s="220" t="str">
        <f>IFERROR(VLOOKUP(M638,Data!$C$4:$D$395,2,0),"")</f>
        <v/>
      </c>
      <c r="O638" s="220"/>
      <c r="P638" s="229"/>
      <c r="Q638" s="221"/>
      <c r="R638" s="222" t="str">
        <f t="shared" si="90"/>
        <v>-</v>
      </c>
      <c r="S638" s="223"/>
      <c r="T638" s="224"/>
      <c r="U638" s="225">
        <f t="shared" si="91"/>
        <v>0</v>
      </c>
      <c r="V638" s="226">
        <v>0</v>
      </c>
      <c r="W638" s="227"/>
      <c r="X638" s="228">
        <f t="shared" si="92"/>
        <v>0</v>
      </c>
      <c r="Y638" s="229"/>
      <c r="Z638" s="229"/>
      <c r="AA638" s="229"/>
      <c r="AB638" s="222">
        <f t="shared" si="93"/>
        <v>0</v>
      </c>
      <c r="AC638" s="230">
        <f t="shared" si="94"/>
        <v>0</v>
      </c>
      <c r="AD638" s="222" t="str">
        <f t="shared" si="95"/>
        <v/>
      </c>
      <c r="AE638" s="201"/>
      <c r="AF638" s="231" t="str">
        <f>+IFERROR(VLOOKUP(L638,Data!$F$4:$G$97,2,0),"")</f>
        <v/>
      </c>
    </row>
    <row r="639" spans="9:32" ht="15" customHeight="1" x14ac:dyDescent="0.3">
      <c r="I639" s="201" t="str">
        <f t="shared" si="96"/>
        <v/>
      </c>
      <c r="J639" s="218">
        <f t="shared" si="97"/>
        <v>636</v>
      </c>
      <c r="K639" s="250"/>
      <c r="L639" s="219"/>
      <c r="M639" s="218"/>
      <c r="N639" s="220" t="str">
        <f>IFERROR(VLOOKUP(M639,Data!$C$4:$D$395,2,0),"")</f>
        <v/>
      </c>
      <c r="O639" s="220"/>
      <c r="P639" s="229"/>
      <c r="Q639" s="221"/>
      <c r="R639" s="222" t="str">
        <f t="shared" si="90"/>
        <v>-</v>
      </c>
      <c r="S639" s="223"/>
      <c r="T639" s="224"/>
      <c r="U639" s="225">
        <f t="shared" si="91"/>
        <v>0</v>
      </c>
      <c r="V639" s="226">
        <v>0</v>
      </c>
      <c r="W639" s="227"/>
      <c r="X639" s="228">
        <f t="shared" si="92"/>
        <v>0</v>
      </c>
      <c r="Y639" s="229"/>
      <c r="Z639" s="229"/>
      <c r="AA639" s="229"/>
      <c r="AB639" s="222">
        <f t="shared" si="93"/>
        <v>0</v>
      </c>
      <c r="AC639" s="230">
        <f t="shared" si="94"/>
        <v>0</v>
      </c>
      <c r="AD639" s="222" t="str">
        <f t="shared" si="95"/>
        <v/>
      </c>
      <c r="AE639" s="201"/>
      <c r="AF639" s="231" t="str">
        <f>+IFERROR(VLOOKUP(L639,Data!$F$4:$G$97,2,0),"")</f>
        <v/>
      </c>
    </row>
    <row r="640" spans="9:32" ht="15" customHeight="1" x14ac:dyDescent="0.3">
      <c r="I640" s="201" t="str">
        <f t="shared" si="96"/>
        <v/>
      </c>
      <c r="J640" s="218">
        <f t="shared" si="97"/>
        <v>637</v>
      </c>
      <c r="K640" s="250"/>
      <c r="L640" s="219"/>
      <c r="M640" s="218"/>
      <c r="N640" s="220" t="str">
        <f>IFERROR(VLOOKUP(M640,Data!$C$4:$D$395,2,0),"")</f>
        <v/>
      </c>
      <c r="O640" s="220"/>
      <c r="P640" s="229"/>
      <c r="Q640" s="221"/>
      <c r="R640" s="222" t="str">
        <f t="shared" ref="R640:R703" si="98">IFERROR(Q640/P640, "-")</f>
        <v>-</v>
      </c>
      <c r="S640" s="223"/>
      <c r="T640" s="224"/>
      <c r="U640" s="225">
        <f t="shared" ref="U640:U703" si="99">+Q640*S640+P640*T640</f>
        <v>0</v>
      </c>
      <c r="V640" s="226">
        <v>0</v>
      </c>
      <c r="W640" s="227"/>
      <c r="X640" s="228">
        <f t="shared" ref="X640:X703" si="100">+Q640*V640+P640*W640</f>
        <v>0</v>
      </c>
      <c r="Y640" s="229"/>
      <c r="Z640" s="229"/>
      <c r="AA640" s="229"/>
      <c r="AB640" s="222">
        <f t="shared" ref="AB640:AB703" si="101">+Y640+Z640+AA640</f>
        <v>0</v>
      </c>
      <c r="AC640" s="230">
        <f t="shared" ref="AC640:AC703" si="102">IF((U640-Y640-Z640-AA640)&lt;0,"",(U640-Y640-Z640-AA640))</f>
        <v>0</v>
      </c>
      <c r="AD640" s="222" t="str">
        <f t="shared" ref="AD640:AD703" si="103">IF((U640-Y640-Z640-AA640)&lt;0,(Y640+Z640+AA640-U640),"")</f>
        <v/>
      </c>
      <c r="AE640" s="201"/>
      <c r="AF640" s="231" t="str">
        <f>+IFERROR(VLOOKUP(L640,Data!$F$4:$G$97,2,0),"")</f>
        <v/>
      </c>
    </row>
    <row r="641" spans="9:32" ht="15" customHeight="1" x14ac:dyDescent="0.3">
      <c r="I641" s="201" t="str">
        <f t="shared" si="96"/>
        <v/>
      </c>
      <c r="J641" s="218">
        <f t="shared" si="97"/>
        <v>638</v>
      </c>
      <c r="K641" s="250"/>
      <c r="L641" s="219"/>
      <c r="M641" s="218"/>
      <c r="N641" s="220" t="str">
        <f>IFERROR(VLOOKUP(M641,Data!$C$4:$D$395,2,0),"")</f>
        <v/>
      </c>
      <c r="O641" s="220"/>
      <c r="P641" s="229"/>
      <c r="Q641" s="221"/>
      <c r="R641" s="222" t="str">
        <f t="shared" si="98"/>
        <v>-</v>
      </c>
      <c r="S641" s="223"/>
      <c r="T641" s="224"/>
      <c r="U641" s="225">
        <f t="shared" si="99"/>
        <v>0</v>
      </c>
      <c r="V641" s="226">
        <v>0</v>
      </c>
      <c r="W641" s="227"/>
      <c r="X641" s="228">
        <f t="shared" si="100"/>
        <v>0</v>
      </c>
      <c r="Y641" s="229"/>
      <c r="Z641" s="229"/>
      <c r="AA641" s="229"/>
      <c r="AB641" s="222">
        <f t="shared" si="101"/>
        <v>0</v>
      </c>
      <c r="AC641" s="230">
        <f t="shared" si="102"/>
        <v>0</v>
      </c>
      <c r="AD641" s="222" t="str">
        <f t="shared" si="103"/>
        <v/>
      </c>
      <c r="AE641" s="201"/>
      <c r="AF641" s="231" t="str">
        <f>+IFERROR(VLOOKUP(L641,Data!$F$4:$G$97,2,0),"")</f>
        <v/>
      </c>
    </row>
    <row r="642" spans="9:32" ht="15" customHeight="1" x14ac:dyDescent="0.3">
      <c r="I642" s="201" t="str">
        <f t="shared" si="96"/>
        <v/>
      </c>
      <c r="J642" s="218">
        <f t="shared" si="97"/>
        <v>639</v>
      </c>
      <c r="K642" s="250"/>
      <c r="L642" s="219"/>
      <c r="M642" s="218"/>
      <c r="N642" s="220" t="str">
        <f>IFERROR(VLOOKUP(M642,Data!$C$4:$D$395,2,0),"")</f>
        <v/>
      </c>
      <c r="O642" s="220"/>
      <c r="P642" s="229"/>
      <c r="Q642" s="221"/>
      <c r="R642" s="222" t="str">
        <f t="shared" si="98"/>
        <v>-</v>
      </c>
      <c r="S642" s="223"/>
      <c r="T642" s="224"/>
      <c r="U642" s="225">
        <f t="shared" si="99"/>
        <v>0</v>
      </c>
      <c r="V642" s="226">
        <v>0</v>
      </c>
      <c r="W642" s="227"/>
      <c r="X642" s="228">
        <f t="shared" si="100"/>
        <v>0</v>
      </c>
      <c r="Y642" s="229"/>
      <c r="Z642" s="229"/>
      <c r="AA642" s="229"/>
      <c r="AB642" s="222">
        <f t="shared" si="101"/>
        <v>0</v>
      </c>
      <c r="AC642" s="230">
        <f t="shared" si="102"/>
        <v>0</v>
      </c>
      <c r="AD642" s="222" t="str">
        <f t="shared" si="103"/>
        <v/>
      </c>
      <c r="AE642" s="201"/>
      <c r="AF642" s="231" t="str">
        <f>+IFERROR(VLOOKUP(L642,Data!$F$4:$G$97,2,0),"")</f>
        <v/>
      </c>
    </row>
    <row r="643" spans="9:32" ht="15" customHeight="1" x14ac:dyDescent="0.3">
      <c r="I643" s="201" t="str">
        <f t="shared" si="96"/>
        <v/>
      </c>
      <c r="J643" s="218">
        <f t="shared" si="97"/>
        <v>640</v>
      </c>
      <c r="K643" s="250"/>
      <c r="L643" s="219"/>
      <c r="M643" s="218"/>
      <c r="N643" s="220" t="str">
        <f>IFERROR(VLOOKUP(M643,Data!$C$4:$D$395,2,0),"")</f>
        <v/>
      </c>
      <c r="O643" s="220"/>
      <c r="P643" s="229"/>
      <c r="Q643" s="221"/>
      <c r="R643" s="222" t="str">
        <f t="shared" si="98"/>
        <v>-</v>
      </c>
      <c r="S643" s="223"/>
      <c r="T643" s="224"/>
      <c r="U643" s="225">
        <f t="shared" si="99"/>
        <v>0</v>
      </c>
      <c r="V643" s="226">
        <v>0</v>
      </c>
      <c r="W643" s="227"/>
      <c r="X643" s="228">
        <f t="shared" si="100"/>
        <v>0</v>
      </c>
      <c r="Y643" s="229"/>
      <c r="Z643" s="229"/>
      <c r="AA643" s="229"/>
      <c r="AB643" s="222">
        <f t="shared" si="101"/>
        <v>0</v>
      </c>
      <c r="AC643" s="230">
        <f t="shared" si="102"/>
        <v>0</v>
      </c>
      <c r="AD643" s="222" t="str">
        <f t="shared" si="103"/>
        <v/>
      </c>
      <c r="AE643" s="201"/>
      <c r="AF643" s="231" t="str">
        <f>+IFERROR(VLOOKUP(L643,Data!$F$4:$G$97,2,0),"")</f>
        <v/>
      </c>
    </row>
    <row r="644" spans="9:32" ht="15" customHeight="1" x14ac:dyDescent="0.3">
      <c r="I644" s="201" t="str">
        <f t="shared" si="96"/>
        <v/>
      </c>
      <c r="J644" s="218">
        <f t="shared" si="97"/>
        <v>641</v>
      </c>
      <c r="K644" s="250"/>
      <c r="L644" s="219"/>
      <c r="M644" s="218"/>
      <c r="N644" s="220" t="str">
        <f>IFERROR(VLOOKUP(M644,Data!$C$4:$D$395,2,0),"")</f>
        <v/>
      </c>
      <c r="O644" s="220"/>
      <c r="P644" s="229"/>
      <c r="Q644" s="221"/>
      <c r="R644" s="222" t="str">
        <f t="shared" si="98"/>
        <v>-</v>
      </c>
      <c r="S644" s="223"/>
      <c r="T644" s="224"/>
      <c r="U644" s="225">
        <f t="shared" si="99"/>
        <v>0</v>
      </c>
      <c r="V644" s="226">
        <v>0</v>
      </c>
      <c r="W644" s="227"/>
      <c r="X644" s="228">
        <f t="shared" si="100"/>
        <v>0</v>
      </c>
      <c r="Y644" s="229"/>
      <c r="Z644" s="229"/>
      <c r="AA644" s="229"/>
      <c r="AB644" s="222">
        <f t="shared" si="101"/>
        <v>0</v>
      </c>
      <c r="AC644" s="230">
        <f t="shared" si="102"/>
        <v>0</v>
      </c>
      <c r="AD644" s="222" t="str">
        <f t="shared" si="103"/>
        <v/>
      </c>
      <c r="AE644" s="201"/>
      <c r="AF644" s="231" t="str">
        <f>+IFERROR(VLOOKUP(L644,Data!$F$4:$G$97,2,0),"")</f>
        <v/>
      </c>
    </row>
    <row r="645" spans="9:32" ht="15" customHeight="1" x14ac:dyDescent="0.3">
      <c r="I645" s="201" t="str">
        <f t="shared" si="96"/>
        <v/>
      </c>
      <c r="J645" s="218">
        <f t="shared" si="97"/>
        <v>642</v>
      </c>
      <c r="K645" s="250"/>
      <c r="L645" s="219"/>
      <c r="M645" s="218"/>
      <c r="N645" s="220" t="str">
        <f>IFERROR(VLOOKUP(M645,Data!$C$4:$D$395,2,0),"")</f>
        <v/>
      </c>
      <c r="O645" s="220"/>
      <c r="P645" s="229"/>
      <c r="Q645" s="221"/>
      <c r="R645" s="222" t="str">
        <f t="shared" si="98"/>
        <v>-</v>
      </c>
      <c r="S645" s="223"/>
      <c r="T645" s="224"/>
      <c r="U645" s="225">
        <f t="shared" si="99"/>
        <v>0</v>
      </c>
      <c r="V645" s="226">
        <v>0</v>
      </c>
      <c r="W645" s="227"/>
      <c r="X645" s="228">
        <f t="shared" si="100"/>
        <v>0</v>
      </c>
      <c r="Y645" s="229"/>
      <c r="Z645" s="229"/>
      <c r="AA645" s="229"/>
      <c r="AB645" s="222">
        <f t="shared" si="101"/>
        <v>0</v>
      </c>
      <c r="AC645" s="230">
        <f t="shared" si="102"/>
        <v>0</v>
      </c>
      <c r="AD645" s="222" t="str">
        <f t="shared" si="103"/>
        <v/>
      </c>
      <c r="AE645" s="201"/>
      <c r="AF645" s="231" t="str">
        <f>+IFERROR(VLOOKUP(L645,Data!$F$4:$G$97,2,0),"")</f>
        <v/>
      </c>
    </row>
    <row r="646" spans="9:32" ht="15" customHeight="1" x14ac:dyDescent="0.3">
      <c r="I646" s="201" t="str">
        <f t="shared" si="96"/>
        <v/>
      </c>
      <c r="J646" s="218">
        <f t="shared" si="97"/>
        <v>643</v>
      </c>
      <c r="K646" s="250"/>
      <c r="L646" s="219"/>
      <c r="M646" s="218"/>
      <c r="N646" s="220" t="str">
        <f>IFERROR(VLOOKUP(M646,Data!$C$4:$D$395,2,0),"")</f>
        <v/>
      </c>
      <c r="O646" s="220"/>
      <c r="P646" s="229"/>
      <c r="Q646" s="221"/>
      <c r="R646" s="222" t="str">
        <f t="shared" si="98"/>
        <v>-</v>
      </c>
      <c r="S646" s="223"/>
      <c r="T646" s="224"/>
      <c r="U646" s="225">
        <f t="shared" si="99"/>
        <v>0</v>
      </c>
      <c r="V646" s="226">
        <v>0</v>
      </c>
      <c r="W646" s="227"/>
      <c r="X646" s="228">
        <f t="shared" si="100"/>
        <v>0</v>
      </c>
      <c r="Y646" s="229"/>
      <c r="Z646" s="229"/>
      <c r="AA646" s="229"/>
      <c r="AB646" s="222">
        <f t="shared" si="101"/>
        <v>0</v>
      </c>
      <c r="AC646" s="230">
        <f t="shared" si="102"/>
        <v>0</v>
      </c>
      <c r="AD646" s="222" t="str">
        <f t="shared" si="103"/>
        <v/>
      </c>
      <c r="AE646" s="201"/>
      <c r="AF646" s="231" t="str">
        <f>+IFERROR(VLOOKUP(L646,Data!$F$4:$G$97,2,0),"")</f>
        <v/>
      </c>
    </row>
    <row r="647" spans="9:32" ht="15" customHeight="1" x14ac:dyDescent="0.3">
      <c r="I647" s="201" t="str">
        <f t="shared" si="96"/>
        <v/>
      </c>
      <c r="J647" s="218">
        <f t="shared" si="97"/>
        <v>644</v>
      </c>
      <c r="K647" s="250"/>
      <c r="L647" s="219"/>
      <c r="M647" s="218"/>
      <c r="N647" s="220" t="str">
        <f>IFERROR(VLOOKUP(M647,Data!$C$4:$D$395,2,0),"")</f>
        <v/>
      </c>
      <c r="O647" s="220"/>
      <c r="P647" s="229"/>
      <c r="Q647" s="221"/>
      <c r="R647" s="222" t="str">
        <f t="shared" si="98"/>
        <v>-</v>
      </c>
      <c r="S647" s="223"/>
      <c r="T647" s="224"/>
      <c r="U647" s="225">
        <f t="shared" si="99"/>
        <v>0</v>
      </c>
      <c r="V647" s="226">
        <v>0</v>
      </c>
      <c r="W647" s="227"/>
      <c r="X647" s="228">
        <f t="shared" si="100"/>
        <v>0</v>
      </c>
      <c r="Y647" s="229"/>
      <c r="Z647" s="229"/>
      <c r="AA647" s="229"/>
      <c r="AB647" s="222">
        <f t="shared" si="101"/>
        <v>0</v>
      </c>
      <c r="AC647" s="230">
        <f t="shared" si="102"/>
        <v>0</v>
      </c>
      <c r="AD647" s="222" t="str">
        <f t="shared" si="103"/>
        <v/>
      </c>
      <c r="AE647" s="201"/>
      <c r="AF647" s="231" t="str">
        <f>+IFERROR(VLOOKUP(L647,Data!$F$4:$G$97,2,0),"")</f>
        <v/>
      </c>
    </row>
    <row r="648" spans="9:32" ht="15" customHeight="1" x14ac:dyDescent="0.3">
      <c r="I648" s="201" t="str">
        <f t="shared" si="96"/>
        <v/>
      </c>
      <c r="J648" s="218">
        <f t="shared" si="97"/>
        <v>645</v>
      </c>
      <c r="K648" s="250"/>
      <c r="L648" s="219"/>
      <c r="M648" s="218"/>
      <c r="N648" s="220" t="str">
        <f>IFERROR(VLOOKUP(M648,Data!$C$4:$D$395,2,0),"")</f>
        <v/>
      </c>
      <c r="O648" s="220"/>
      <c r="P648" s="229"/>
      <c r="Q648" s="221"/>
      <c r="R648" s="222" t="str">
        <f t="shared" si="98"/>
        <v>-</v>
      </c>
      <c r="S648" s="223"/>
      <c r="T648" s="224"/>
      <c r="U648" s="225">
        <f t="shared" si="99"/>
        <v>0</v>
      </c>
      <c r="V648" s="226">
        <v>0</v>
      </c>
      <c r="W648" s="227"/>
      <c r="X648" s="228">
        <f t="shared" si="100"/>
        <v>0</v>
      </c>
      <c r="Y648" s="229"/>
      <c r="Z648" s="229"/>
      <c r="AA648" s="229"/>
      <c r="AB648" s="222">
        <f t="shared" si="101"/>
        <v>0</v>
      </c>
      <c r="AC648" s="230">
        <f t="shared" si="102"/>
        <v>0</v>
      </c>
      <c r="AD648" s="222" t="str">
        <f t="shared" si="103"/>
        <v/>
      </c>
      <c r="AE648" s="201"/>
      <c r="AF648" s="231" t="str">
        <f>+IFERROR(VLOOKUP(L648,Data!$F$4:$G$97,2,0),"")</f>
        <v/>
      </c>
    </row>
    <row r="649" spans="9:32" ht="15" customHeight="1" x14ac:dyDescent="0.3">
      <c r="I649" s="201" t="str">
        <f t="shared" si="96"/>
        <v/>
      </c>
      <c r="J649" s="218">
        <f t="shared" si="97"/>
        <v>646</v>
      </c>
      <c r="K649" s="250"/>
      <c r="L649" s="219"/>
      <c r="M649" s="218"/>
      <c r="N649" s="220" t="str">
        <f>IFERROR(VLOOKUP(M649,Data!$C$4:$D$395,2,0),"")</f>
        <v/>
      </c>
      <c r="O649" s="220"/>
      <c r="P649" s="229"/>
      <c r="Q649" s="221"/>
      <c r="R649" s="222" t="str">
        <f t="shared" si="98"/>
        <v>-</v>
      </c>
      <c r="S649" s="223"/>
      <c r="T649" s="224"/>
      <c r="U649" s="225">
        <f t="shared" si="99"/>
        <v>0</v>
      </c>
      <c r="V649" s="226">
        <v>0</v>
      </c>
      <c r="W649" s="227"/>
      <c r="X649" s="228">
        <f t="shared" si="100"/>
        <v>0</v>
      </c>
      <c r="Y649" s="229"/>
      <c r="Z649" s="229"/>
      <c r="AA649" s="229"/>
      <c r="AB649" s="222">
        <f t="shared" si="101"/>
        <v>0</v>
      </c>
      <c r="AC649" s="230">
        <f t="shared" si="102"/>
        <v>0</v>
      </c>
      <c r="AD649" s="222" t="str">
        <f t="shared" si="103"/>
        <v/>
      </c>
      <c r="AE649" s="201"/>
      <c r="AF649" s="231" t="str">
        <f>+IFERROR(VLOOKUP(L649,Data!$F$4:$G$97,2,0),"")</f>
        <v/>
      </c>
    </row>
    <row r="650" spans="9:32" ht="15" customHeight="1" x14ac:dyDescent="0.3">
      <c r="I650" s="201" t="str">
        <f t="shared" si="96"/>
        <v/>
      </c>
      <c r="J650" s="218">
        <f t="shared" si="97"/>
        <v>647</v>
      </c>
      <c r="K650" s="250"/>
      <c r="L650" s="219"/>
      <c r="M650" s="218"/>
      <c r="N650" s="220" t="str">
        <f>IFERROR(VLOOKUP(M650,Data!$C$4:$D$395,2,0),"")</f>
        <v/>
      </c>
      <c r="O650" s="220"/>
      <c r="P650" s="229"/>
      <c r="Q650" s="221"/>
      <c r="R650" s="222" t="str">
        <f t="shared" si="98"/>
        <v>-</v>
      </c>
      <c r="S650" s="223"/>
      <c r="T650" s="224"/>
      <c r="U650" s="225">
        <f t="shared" si="99"/>
        <v>0</v>
      </c>
      <c r="V650" s="226">
        <v>0</v>
      </c>
      <c r="W650" s="227"/>
      <c r="X650" s="228">
        <f t="shared" si="100"/>
        <v>0</v>
      </c>
      <c r="Y650" s="229"/>
      <c r="Z650" s="229"/>
      <c r="AA650" s="229"/>
      <c r="AB650" s="222">
        <f t="shared" si="101"/>
        <v>0</v>
      </c>
      <c r="AC650" s="230">
        <f t="shared" si="102"/>
        <v>0</v>
      </c>
      <c r="AD650" s="222" t="str">
        <f t="shared" si="103"/>
        <v/>
      </c>
      <c r="AE650" s="201"/>
      <c r="AF650" s="231" t="str">
        <f>+IFERROR(VLOOKUP(L650,Data!$F$4:$G$97,2,0),"")</f>
        <v/>
      </c>
    </row>
    <row r="651" spans="9:32" ht="15" customHeight="1" x14ac:dyDescent="0.3">
      <c r="I651" s="201" t="str">
        <f t="shared" si="96"/>
        <v/>
      </c>
      <c r="J651" s="218">
        <f t="shared" si="97"/>
        <v>648</v>
      </c>
      <c r="K651" s="250"/>
      <c r="L651" s="219"/>
      <c r="M651" s="218"/>
      <c r="N651" s="220" t="str">
        <f>IFERROR(VLOOKUP(M651,Data!$C$4:$D$395,2,0),"")</f>
        <v/>
      </c>
      <c r="O651" s="220"/>
      <c r="P651" s="229"/>
      <c r="Q651" s="221"/>
      <c r="R651" s="222" t="str">
        <f t="shared" si="98"/>
        <v>-</v>
      </c>
      <c r="S651" s="223"/>
      <c r="T651" s="224"/>
      <c r="U651" s="225">
        <f t="shared" si="99"/>
        <v>0</v>
      </c>
      <c r="V651" s="226">
        <v>0</v>
      </c>
      <c r="W651" s="227"/>
      <c r="X651" s="228">
        <f t="shared" si="100"/>
        <v>0</v>
      </c>
      <c r="Y651" s="229"/>
      <c r="Z651" s="229"/>
      <c r="AA651" s="229"/>
      <c r="AB651" s="222">
        <f t="shared" si="101"/>
        <v>0</v>
      </c>
      <c r="AC651" s="230">
        <f t="shared" si="102"/>
        <v>0</v>
      </c>
      <c r="AD651" s="222" t="str">
        <f t="shared" si="103"/>
        <v/>
      </c>
      <c r="AE651" s="201"/>
      <c r="AF651" s="231" t="str">
        <f>+IFERROR(VLOOKUP(L651,Data!$F$4:$G$97,2,0),"")</f>
        <v/>
      </c>
    </row>
    <row r="652" spans="9:32" ht="15" customHeight="1" x14ac:dyDescent="0.3">
      <c r="I652" s="201" t="str">
        <f t="shared" si="96"/>
        <v/>
      </c>
      <c r="J652" s="218">
        <f t="shared" si="97"/>
        <v>649</v>
      </c>
      <c r="K652" s="250"/>
      <c r="L652" s="219"/>
      <c r="M652" s="218"/>
      <c r="N652" s="220" t="str">
        <f>IFERROR(VLOOKUP(M652,Data!$C$4:$D$395,2,0),"")</f>
        <v/>
      </c>
      <c r="O652" s="220"/>
      <c r="P652" s="229"/>
      <c r="Q652" s="221"/>
      <c r="R652" s="222" t="str">
        <f t="shared" si="98"/>
        <v>-</v>
      </c>
      <c r="S652" s="223"/>
      <c r="T652" s="224"/>
      <c r="U652" s="225">
        <f t="shared" si="99"/>
        <v>0</v>
      </c>
      <c r="V652" s="226">
        <v>0</v>
      </c>
      <c r="W652" s="227"/>
      <c r="X652" s="228">
        <f t="shared" si="100"/>
        <v>0</v>
      </c>
      <c r="Y652" s="229"/>
      <c r="Z652" s="229"/>
      <c r="AA652" s="229"/>
      <c r="AB652" s="222">
        <f t="shared" si="101"/>
        <v>0</v>
      </c>
      <c r="AC652" s="230">
        <f t="shared" si="102"/>
        <v>0</v>
      </c>
      <c r="AD652" s="222" t="str">
        <f t="shared" si="103"/>
        <v/>
      </c>
      <c r="AE652" s="201"/>
      <c r="AF652" s="231" t="str">
        <f>+IFERROR(VLOOKUP(L652,Data!$F$4:$G$97,2,0),"")</f>
        <v/>
      </c>
    </row>
    <row r="653" spans="9:32" ht="15" customHeight="1" x14ac:dyDescent="0.3">
      <c r="I653" s="201" t="str">
        <f t="shared" si="96"/>
        <v/>
      </c>
      <c r="J653" s="218">
        <f t="shared" si="97"/>
        <v>650</v>
      </c>
      <c r="K653" s="250"/>
      <c r="L653" s="219"/>
      <c r="M653" s="218"/>
      <c r="N653" s="220" t="str">
        <f>IFERROR(VLOOKUP(M653,Data!$C$4:$D$395,2,0),"")</f>
        <v/>
      </c>
      <c r="O653" s="220"/>
      <c r="P653" s="229"/>
      <c r="Q653" s="221"/>
      <c r="R653" s="222" t="str">
        <f t="shared" si="98"/>
        <v>-</v>
      </c>
      <c r="S653" s="223"/>
      <c r="T653" s="224"/>
      <c r="U653" s="225">
        <f t="shared" si="99"/>
        <v>0</v>
      </c>
      <c r="V653" s="226">
        <v>0</v>
      </c>
      <c r="W653" s="227"/>
      <c r="X653" s="228">
        <f t="shared" si="100"/>
        <v>0</v>
      </c>
      <c r="Y653" s="229"/>
      <c r="Z653" s="229"/>
      <c r="AA653" s="229"/>
      <c r="AB653" s="222">
        <f t="shared" si="101"/>
        <v>0</v>
      </c>
      <c r="AC653" s="230">
        <f t="shared" si="102"/>
        <v>0</v>
      </c>
      <c r="AD653" s="222" t="str">
        <f t="shared" si="103"/>
        <v/>
      </c>
      <c r="AE653" s="201"/>
      <c r="AF653" s="231" t="str">
        <f>+IFERROR(VLOOKUP(L653,Data!$F$4:$G$97,2,0),"")</f>
        <v/>
      </c>
    </row>
    <row r="654" spans="9:32" ht="15" customHeight="1" x14ac:dyDescent="0.3">
      <c r="I654" s="201" t="str">
        <f t="shared" si="96"/>
        <v/>
      </c>
      <c r="J654" s="218">
        <f t="shared" si="97"/>
        <v>651</v>
      </c>
      <c r="K654" s="250"/>
      <c r="L654" s="219"/>
      <c r="M654" s="218"/>
      <c r="N654" s="220" t="str">
        <f>IFERROR(VLOOKUP(M654,Data!$C$4:$D$395,2,0),"")</f>
        <v/>
      </c>
      <c r="O654" s="220"/>
      <c r="P654" s="229"/>
      <c r="Q654" s="221"/>
      <c r="R654" s="222" t="str">
        <f t="shared" si="98"/>
        <v>-</v>
      </c>
      <c r="S654" s="223"/>
      <c r="T654" s="224"/>
      <c r="U654" s="225">
        <f t="shared" si="99"/>
        <v>0</v>
      </c>
      <c r="V654" s="226">
        <v>0</v>
      </c>
      <c r="W654" s="227"/>
      <c r="X654" s="228">
        <f t="shared" si="100"/>
        <v>0</v>
      </c>
      <c r="Y654" s="229"/>
      <c r="Z654" s="229"/>
      <c r="AA654" s="229"/>
      <c r="AB654" s="222">
        <f t="shared" si="101"/>
        <v>0</v>
      </c>
      <c r="AC654" s="230">
        <f t="shared" si="102"/>
        <v>0</v>
      </c>
      <c r="AD654" s="222" t="str">
        <f t="shared" si="103"/>
        <v/>
      </c>
      <c r="AE654" s="201"/>
      <c r="AF654" s="231" t="str">
        <f>+IFERROR(VLOOKUP(L654,Data!$F$4:$G$97,2,0),"")</f>
        <v/>
      </c>
    </row>
    <row r="655" spans="9:32" ht="15" customHeight="1" x14ac:dyDescent="0.3">
      <c r="I655" s="201" t="str">
        <f t="shared" si="96"/>
        <v/>
      </c>
      <c r="J655" s="218">
        <f t="shared" si="97"/>
        <v>652</v>
      </c>
      <c r="K655" s="250"/>
      <c r="L655" s="219"/>
      <c r="M655" s="218"/>
      <c r="N655" s="220" t="str">
        <f>IFERROR(VLOOKUP(M655,Data!$C$4:$D$395,2,0),"")</f>
        <v/>
      </c>
      <c r="O655" s="220"/>
      <c r="P655" s="229"/>
      <c r="Q655" s="221"/>
      <c r="R655" s="222" t="str">
        <f t="shared" si="98"/>
        <v>-</v>
      </c>
      <c r="S655" s="223"/>
      <c r="T655" s="224"/>
      <c r="U655" s="225">
        <f t="shared" si="99"/>
        <v>0</v>
      </c>
      <c r="V655" s="226">
        <v>0</v>
      </c>
      <c r="W655" s="227"/>
      <c r="X655" s="228">
        <f t="shared" si="100"/>
        <v>0</v>
      </c>
      <c r="Y655" s="229"/>
      <c r="Z655" s="229"/>
      <c r="AA655" s="229"/>
      <c r="AB655" s="222">
        <f t="shared" si="101"/>
        <v>0</v>
      </c>
      <c r="AC655" s="230">
        <f t="shared" si="102"/>
        <v>0</v>
      </c>
      <c r="AD655" s="222" t="str">
        <f t="shared" si="103"/>
        <v/>
      </c>
      <c r="AE655" s="201"/>
      <c r="AF655" s="231" t="str">
        <f>+IFERROR(VLOOKUP(L655,Data!$F$4:$G$97,2,0),"")</f>
        <v/>
      </c>
    </row>
    <row r="656" spans="9:32" ht="15" customHeight="1" x14ac:dyDescent="0.3">
      <c r="I656" s="201" t="str">
        <f t="shared" si="96"/>
        <v/>
      </c>
      <c r="J656" s="218">
        <f t="shared" si="97"/>
        <v>653</v>
      </c>
      <c r="K656" s="250"/>
      <c r="L656" s="219"/>
      <c r="M656" s="218"/>
      <c r="N656" s="220" t="str">
        <f>IFERROR(VLOOKUP(M656,Data!$C$4:$D$395,2,0),"")</f>
        <v/>
      </c>
      <c r="O656" s="220"/>
      <c r="P656" s="229"/>
      <c r="Q656" s="221"/>
      <c r="R656" s="222" t="str">
        <f t="shared" si="98"/>
        <v>-</v>
      </c>
      <c r="S656" s="223"/>
      <c r="T656" s="224"/>
      <c r="U656" s="225">
        <f t="shared" si="99"/>
        <v>0</v>
      </c>
      <c r="V656" s="226">
        <v>0</v>
      </c>
      <c r="W656" s="227"/>
      <c r="X656" s="228">
        <f t="shared" si="100"/>
        <v>0</v>
      </c>
      <c r="Y656" s="229"/>
      <c r="Z656" s="229"/>
      <c r="AA656" s="229"/>
      <c r="AB656" s="222">
        <f t="shared" si="101"/>
        <v>0</v>
      </c>
      <c r="AC656" s="230">
        <f t="shared" si="102"/>
        <v>0</v>
      </c>
      <c r="AD656" s="222" t="str">
        <f t="shared" si="103"/>
        <v/>
      </c>
      <c r="AE656" s="201"/>
      <c r="AF656" s="231" t="str">
        <f>+IFERROR(VLOOKUP(L656,Data!$F$4:$G$97,2,0),"")</f>
        <v/>
      </c>
    </row>
    <row r="657" spans="9:32" ht="15" customHeight="1" x14ac:dyDescent="0.3">
      <c r="I657" s="201" t="str">
        <f t="shared" si="96"/>
        <v/>
      </c>
      <c r="J657" s="218">
        <f t="shared" si="97"/>
        <v>654</v>
      </c>
      <c r="K657" s="250"/>
      <c r="L657" s="219"/>
      <c r="M657" s="218"/>
      <c r="N657" s="220" t="str">
        <f>IFERROR(VLOOKUP(M657,Data!$C$4:$D$395,2,0),"")</f>
        <v/>
      </c>
      <c r="O657" s="220"/>
      <c r="P657" s="229"/>
      <c r="Q657" s="221"/>
      <c r="R657" s="222" t="str">
        <f t="shared" si="98"/>
        <v>-</v>
      </c>
      <c r="S657" s="223"/>
      <c r="T657" s="224"/>
      <c r="U657" s="225">
        <f t="shared" si="99"/>
        <v>0</v>
      </c>
      <c r="V657" s="226">
        <v>0</v>
      </c>
      <c r="W657" s="227"/>
      <c r="X657" s="228">
        <f t="shared" si="100"/>
        <v>0</v>
      </c>
      <c r="Y657" s="229"/>
      <c r="Z657" s="229"/>
      <c r="AA657" s="229"/>
      <c r="AB657" s="222">
        <f t="shared" si="101"/>
        <v>0</v>
      </c>
      <c r="AC657" s="230">
        <f t="shared" si="102"/>
        <v>0</v>
      </c>
      <c r="AD657" s="222" t="str">
        <f t="shared" si="103"/>
        <v/>
      </c>
      <c r="AE657" s="201"/>
      <c r="AF657" s="231" t="str">
        <f>+IFERROR(VLOOKUP(L657,Data!$F$4:$G$97,2,0),"")</f>
        <v/>
      </c>
    </row>
    <row r="658" spans="9:32" ht="15" customHeight="1" x14ac:dyDescent="0.3">
      <c r="I658" s="201" t="str">
        <f t="shared" si="96"/>
        <v/>
      </c>
      <c r="J658" s="218">
        <f t="shared" si="97"/>
        <v>655</v>
      </c>
      <c r="K658" s="250"/>
      <c r="L658" s="219"/>
      <c r="M658" s="218"/>
      <c r="N658" s="220" t="str">
        <f>IFERROR(VLOOKUP(M658,Data!$C$4:$D$395,2,0),"")</f>
        <v/>
      </c>
      <c r="O658" s="220"/>
      <c r="P658" s="229"/>
      <c r="Q658" s="221"/>
      <c r="R658" s="222" t="str">
        <f t="shared" si="98"/>
        <v>-</v>
      </c>
      <c r="S658" s="223"/>
      <c r="T658" s="224"/>
      <c r="U658" s="225">
        <f t="shared" si="99"/>
        <v>0</v>
      </c>
      <c r="V658" s="226">
        <v>0</v>
      </c>
      <c r="W658" s="227"/>
      <c r="X658" s="228">
        <f t="shared" si="100"/>
        <v>0</v>
      </c>
      <c r="Y658" s="229"/>
      <c r="Z658" s="229"/>
      <c r="AA658" s="229"/>
      <c r="AB658" s="222">
        <f t="shared" si="101"/>
        <v>0</v>
      </c>
      <c r="AC658" s="230">
        <f t="shared" si="102"/>
        <v>0</v>
      </c>
      <c r="AD658" s="222" t="str">
        <f t="shared" si="103"/>
        <v/>
      </c>
      <c r="AE658" s="201"/>
      <c r="AF658" s="231" t="str">
        <f>+IFERROR(VLOOKUP(L658,Data!$F$4:$G$97,2,0),"")</f>
        <v/>
      </c>
    </row>
    <row r="659" spans="9:32" ht="15" customHeight="1" x14ac:dyDescent="0.3">
      <c r="I659" s="201" t="str">
        <f t="shared" si="96"/>
        <v/>
      </c>
      <c r="J659" s="218">
        <f t="shared" si="97"/>
        <v>656</v>
      </c>
      <c r="K659" s="250"/>
      <c r="L659" s="219"/>
      <c r="M659" s="218"/>
      <c r="N659" s="220" t="str">
        <f>IFERROR(VLOOKUP(M659,Data!$C$4:$D$395,2,0),"")</f>
        <v/>
      </c>
      <c r="O659" s="220"/>
      <c r="P659" s="229"/>
      <c r="Q659" s="221"/>
      <c r="R659" s="222" t="str">
        <f t="shared" si="98"/>
        <v>-</v>
      </c>
      <c r="S659" s="223"/>
      <c r="T659" s="224"/>
      <c r="U659" s="225">
        <f t="shared" si="99"/>
        <v>0</v>
      </c>
      <c r="V659" s="226">
        <v>0</v>
      </c>
      <c r="W659" s="227"/>
      <c r="X659" s="228">
        <f t="shared" si="100"/>
        <v>0</v>
      </c>
      <c r="Y659" s="229"/>
      <c r="Z659" s="229"/>
      <c r="AA659" s="229"/>
      <c r="AB659" s="222">
        <f t="shared" si="101"/>
        <v>0</v>
      </c>
      <c r="AC659" s="230">
        <f t="shared" si="102"/>
        <v>0</v>
      </c>
      <c r="AD659" s="222" t="str">
        <f t="shared" si="103"/>
        <v/>
      </c>
      <c r="AE659" s="201"/>
      <c r="AF659" s="231" t="str">
        <f>+IFERROR(VLOOKUP(L659,Data!$F$4:$G$97,2,0),"")</f>
        <v/>
      </c>
    </row>
    <row r="660" spans="9:32" ht="15" customHeight="1" x14ac:dyDescent="0.3">
      <c r="I660" s="201" t="str">
        <f t="shared" si="96"/>
        <v/>
      </c>
      <c r="J660" s="218">
        <f t="shared" si="97"/>
        <v>657</v>
      </c>
      <c r="K660" s="250"/>
      <c r="L660" s="219"/>
      <c r="M660" s="218"/>
      <c r="N660" s="220" t="str">
        <f>IFERROR(VLOOKUP(M660,Data!$C$4:$D$395,2,0),"")</f>
        <v/>
      </c>
      <c r="O660" s="220"/>
      <c r="P660" s="229"/>
      <c r="Q660" s="221"/>
      <c r="R660" s="222" t="str">
        <f t="shared" si="98"/>
        <v>-</v>
      </c>
      <c r="S660" s="223"/>
      <c r="T660" s="224"/>
      <c r="U660" s="225">
        <f t="shared" si="99"/>
        <v>0</v>
      </c>
      <c r="V660" s="226">
        <v>0</v>
      </c>
      <c r="W660" s="227"/>
      <c r="X660" s="228">
        <f t="shared" si="100"/>
        <v>0</v>
      </c>
      <c r="Y660" s="229"/>
      <c r="Z660" s="229"/>
      <c r="AA660" s="229"/>
      <c r="AB660" s="222">
        <f t="shared" si="101"/>
        <v>0</v>
      </c>
      <c r="AC660" s="230">
        <f t="shared" si="102"/>
        <v>0</v>
      </c>
      <c r="AD660" s="222" t="str">
        <f t="shared" si="103"/>
        <v/>
      </c>
      <c r="AE660" s="201"/>
      <c r="AF660" s="231" t="str">
        <f>+IFERROR(VLOOKUP(L660,Data!$F$4:$G$97,2,0),"")</f>
        <v/>
      </c>
    </row>
    <row r="661" spans="9:32" ht="15" customHeight="1" x14ac:dyDescent="0.3">
      <c r="I661" s="201" t="str">
        <f t="shared" si="96"/>
        <v/>
      </c>
      <c r="J661" s="218">
        <f t="shared" si="97"/>
        <v>658</v>
      </c>
      <c r="K661" s="250"/>
      <c r="L661" s="219"/>
      <c r="M661" s="218"/>
      <c r="N661" s="220" t="str">
        <f>IFERROR(VLOOKUP(M661,Data!$C$4:$D$395,2,0),"")</f>
        <v/>
      </c>
      <c r="O661" s="220"/>
      <c r="P661" s="229"/>
      <c r="Q661" s="221"/>
      <c r="R661" s="222" t="str">
        <f t="shared" si="98"/>
        <v>-</v>
      </c>
      <c r="S661" s="223"/>
      <c r="T661" s="224"/>
      <c r="U661" s="225">
        <f t="shared" si="99"/>
        <v>0</v>
      </c>
      <c r="V661" s="226">
        <v>0</v>
      </c>
      <c r="W661" s="227"/>
      <c r="X661" s="228">
        <f t="shared" si="100"/>
        <v>0</v>
      </c>
      <c r="Y661" s="229"/>
      <c r="Z661" s="229"/>
      <c r="AA661" s="229"/>
      <c r="AB661" s="222">
        <f t="shared" si="101"/>
        <v>0</v>
      </c>
      <c r="AC661" s="230">
        <f t="shared" si="102"/>
        <v>0</v>
      </c>
      <c r="AD661" s="222" t="str">
        <f t="shared" si="103"/>
        <v/>
      </c>
      <c r="AE661" s="201"/>
      <c r="AF661" s="231" t="str">
        <f>+IFERROR(VLOOKUP(L661,Data!$F$4:$G$97,2,0),"")</f>
        <v/>
      </c>
    </row>
    <row r="662" spans="9:32" ht="15" customHeight="1" x14ac:dyDescent="0.3">
      <c r="I662" s="201" t="str">
        <f t="shared" si="96"/>
        <v/>
      </c>
      <c r="J662" s="218">
        <f t="shared" si="97"/>
        <v>659</v>
      </c>
      <c r="K662" s="250"/>
      <c r="L662" s="219"/>
      <c r="M662" s="218"/>
      <c r="N662" s="220" t="str">
        <f>IFERROR(VLOOKUP(M662,Data!$C$4:$D$395,2,0),"")</f>
        <v/>
      </c>
      <c r="O662" s="220"/>
      <c r="P662" s="229"/>
      <c r="Q662" s="221"/>
      <c r="R662" s="222" t="str">
        <f t="shared" si="98"/>
        <v>-</v>
      </c>
      <c r="S662" s="223"/>
      <c r="T662" s="224"/>
      <c r="U662" s="225">
        <f t="shared" si="99"/>
        <v>0</v>
      </c>
      <c r="V662" s="226">
        <v>0</v>
      </c>
      <c r="W662" s="227"/>
      <c r="X662" s="228">
        <f t="shared" si="100"/>
        <v>0</v>
      </c>
      <c r="Y662" s="229"/>
      <c r="Z662" s="229"/>
      <c r="AA662" s="229"/>
      <c r="AB662" s="222">
        <f t="shared" si="101"/>
        <v>0</v>
      </c>
      <c r="AC662" s="230">
        <f t="shared" si="102"/>
        <v>0</v>
      </c>
      <c r="AD662" s="222" t="str">
        <f t="shared" si="103"/>
        <v/>
      </c>
      <c r="AE662" s="201"/>
      <c r="AF662" s="231" t="str">
        <f>+IFERROR(VLOOKUP(L662,Data!$F$4:$G$97,2,0),"")</f>
        <v/>
      </c>
    </row>
    <row r="663" spans="9:32" ht="15" customHeight="1" x14ac:dyDescent="0.3">
      <c r="I663" s="201" t="str">
        <f t="shared" si="96"/>
        <v/>
      </c>
      <c r="J663" s="218">
        <f t="shared" si="97"/>
        <v>660</v>
      </c>
      <c r="K663" s="250"/>
      <c r="L663" s="219"/>
      <c r="M663" s="218"/>
      <c r="N663" s="220" t="str">
        <f>IFERROR(VLOOKUP(M663,Data!$C$4:$D$395,2,0),"")</f>
        <v/>
      </c>
      <c r="O663" s="220"/>
      <c r="P663" s="229"/>
      <c r="Q663" s="221"/>
      <c r="R663" s="222" t="str">
        <f t="shared" si="98"/>
        <v>-</v>
      </c>
      <c r="S663" s="223"/>
      <c r="T663" s="224"/>
      <c r="U663" s="225">
        <f t="shared" si="99"/>
        <v>0</v>
      </c>
      <c r="V663" s="226">
        <v>0</v>
      </c>
      <c r="W663" s="227"/>
      <c r="X663" s="228">
        <f t="shared" si="100"/>
        <v>0</v>
      </c>
      <c r="Y663" s="229"/>
      <c r="Z663" s="229"/>
      <c r="AA663" s="229"/>
      <c r="AB663" s="222">
        <f t="shared" si="101"/>
        <v>0</v>
      </c>
      <c r="AC663" s="230">
        <f t="shared" si="102"/>
        <v>0</v>
      </c>
      <c r="AD663" s="222" t="str">
        <f t="shared" si="103"/>
        <v/>
      </c>
      <c r="AE663" s="201"/>
      <c r="AF663" s="231" t="str">
        <f>+IFERROR(VLOOKUP(L663,Data!$F$4:$G$97,2,0),"")</f>
        <v/>
      </c>
    </row>
    <row r="664" spans="9:32" ht="15" customHeight="1" x14ac:dyDescent="0.3">
      <c r="I664" s="201" t="str">
        <f t="shared" si="96"/>
        <v/>
      </c>
      <c r="J664" s="218">
        <f t="shared" si="97"/>
        <v>661</v>
      </c>
      <c r="K664" s="250"/>
      <c r="L664" s="219"/>
      <c r="M664" s="218"/>
      <c r="N664" s="220" t="str">
        <f>IFERROR(VLOOKUP(M664,Data!$C$4:$D$395,2,0),"")</f>
        <v/>
      </c>
      <c r="O664" s="220"/>
      <c r="P664" s="229"/>
      <c r="Q664" s="221"/>
      <c r="R664" s="222" t="str">
        <f t="shared" si="98"/>
        <v>-</v>
      </c>
      <c r="S664" s="223"/>
      <c r="T664" s="224"/>
      <c r="U664" s="225">
        <f t="shared" si="99"/>
        <v>0</v>
      </c>
      <c r="V664" s="226">
        <v>0</v>
      </c>
      <c r="W664" s="227"/>
      <c r="X664" s="228">
        <f t="shared" si="100"/>
        <v>0</v>
      </c>
      <c r="Y664" s="229"/>
      <c r="Z664" s="229"/>
      <c r="AA664" s="229"/>
      <c r="AB664" s="222">
        <f t="shared" si="101"/>
        <v>0</v>
      </c>
      <c r="AC664" s="230">
        <f t="shared" si="102"/>
        <v>0</v>
      </c>
      <c r="AD664" s="222" t="str">
        <f t="shared" si="103"/>
        <v/>
      </c>
      <c r="AE664" s="201"/>
      <c r="AF664" s="231" t="str">
        <f>+IFERROR(VLOOKUP(L664,Data!$F$4:$G$97,2,0),"")</f>
        <v/>
      </c>
    </row>
    <row r="665" spans="9:32" ht="15" customHeight="1" x14ac:dyDescent="0.3">
      <c r="I665" s="201" t="str">
        <f t="shared" si="96"/>
        <v/>
      </c>
      <c r="J665" s="218">
        <f t="shared" si="97"/>
        <v>662</v>
      </c>
      <c r="K665" s="250"/>
      <c r="L665" s="219"/>
      <c r="M665" s="218"/>
      <c r="N665" s="220" t="str">
        <f>IFERROR(VLOOKUP(M665,Data!$C$4:$D$395,2,0),"")</f>
        <v/>
      </c>
      <c r="O665" s="220"/>
      <c r="P665" s="229"/>
      <c r="Q665" s="221"/>
      <c r="R665" s="222" t="str">
        <f t="shared" si="98"/>
        <v>-</v>
      </c>
      <c r="S665" s="223"/>
      <c r="T665" s="224"/>
      <c r="U665" s="225">
        <f t="shared" si="99"/>
        <v>0</v>
      </c>
      <c r="V665" s="226">
        <v>0</v>
      </c>
      <c r="W665" s="227"/>
      <c r="X665" s="228">
        <f t="shared" si="100"/>
        <v>0</v>
      </c>
      <c r="Y665" s="229"/>
      <c r="Z665" s="229"/>
      <c r="AA665" s="229"/>
      <c r="AB665" s="222">
        <f t="shared" si="101"/>
        <v>0</v>
      </c>
      <c r="AC665" s="230">
        <f t="shared" si="102"/>
        <v>0</v>
      </c>
      <c r="AD665" s="222" t="str">
        <f t="shared" si="103"/>
        <v/>
      </c>
      <c r="AE665" s="201"/>
      <c r="AF665" s="231" t="str">
        <f>+IFERROR(VLOOKUP(L665,Data!$F$4:$G$97,2,0),"")</f>
        <v/>
      </c>
    </row>
    <row r="666" spans="9:32" ht="15" customHeight="1" x14ac:dyDescent="0.3">
      <c r="I666" s="201" t="str">
        <f t="shared" si="96"/>
        <v/>
      </c>
      <c r="J666" s="218">
        <f t="shared" si="97"/>
        <v>663</v>
      </c>
      <c r="K666" s="250"/>
      <c r="L666" s="219"/>
      <c r="M666" s="218"/>
      <c r="N666" s="220" t="str">
        <f>IFERROR(VLOOKUP(M666,Data!$C$4:$D$395,2,0),"")</f>
        <v/>
      </c>
      <c r="O666" s="220"/>
      <c r="P666" s="229"/>
      <c r="Q666" s="221"/>
      <c r="R666" s="222" t="str">
        <f t="shared" si="98"/>
        <v>-</v>
      </c>
      <c r="S666" s="223"/>
      <c r="T666" s="224"/>
      <c r="U666" s="225">
        <f t="shared" si="99"/>
        <v>0</v>
      </c>
      <c r="V666" s="226">
        <v>0</v>
      </c>
      <c r="W666" s="227"/>
      <c r="X666" s="228">
        <f t="shared" si="100"/>
        <v>0</v>
      </c>
      <c r="Y666" s="229"/>
      <c r="Z666" s="229"/>
      <c r="AA666" s="229"/>
      <c r="AB666" s="222">
        <f t="shared" si="101"/>
        <v>0</v>
      </c>
      <c r="AC666" s="230">
        <f t="shared" si="102"/>
        <v>0</v>
      </c>
      <c r="AD666" s="222" t="str">
        <f t="shared" si="103"/>
        <v/>
      </c>
      <c r="AE666" s="201"/>
      <c r="AF666" s="231" t="str">
        <f>+IFERROR(VLOOKUP(L666,Data!$F$4:$G$97,2,0),"")</f>
        <v/>
      </c>
    </row>
    <row r="667" spans="9:32" ht="15" customHeight="1" x14ac:dyDescent="0.3">
      <c r="I667" s="201" t="str">
        <f t="shared" si="96"/>
        <v/>
      </c>
      <c r="J667" s="218">
        <f t="shared" si="97"/>
        <v>664</v>
      </c>
      <c r="K667" s="250"/>
      <c r="L667" s="219"/>
      <c r="M667" s="218"/>
      <c r="N667" s="220" t="str">
        <f>IFERROR(VLOOKUP(M667,Data!$C$4:$D$395,2,0),"")</f>
        <v/>
      </c>
      <c r="O667" s="220"/>
      <c r="P667" s="229"/>
      <c r="Q667" s="221"/>
      <c r="R667" s="222" t="str">
        <f t="shared" si="98"/>
        <v>-</v>
      </c>
      <c r="S667" s="223"/>
      <c r="T667" s="224"/>
      <c r="U667" s="225">
        <f t="shared" si="99"/>
        <v>0</v>
      </c>
      <c r="V667" s="226">
        <v>0</v>
      </c>
      <c r="W667" s="227"/>
      <c r="X667" s="228">
        <f t="shared" si="100"/>
        <v>0</v>
      </c>
      <c r="Y667" s="229"/>
      <c r="Z667" s="229"/>
      <c r="AA667" s="229"/>
      <c r="AB667" s="222">
        <f t="shared" si="101"/>
        <v>0</v>
      </c>
      <c r="AC667" s="230">
        <f t="shared" si="102"/>
        <v>0</v>
      </c>
      <c r="AD667" s="222" t="str">
        <f t="shared" si="103"/>
        <v/>
      </c>
      <c r="AE667" s="201"/>
      <c r="AF667" s="231" t="str">
        <f>+IFERROR(VLOOKUP(L667,Data!$F$4:$G$97,2,0),"")</f>
        <v/>
      </c>
    </row>
    <row r="668" spans="9:32" ht="15" customHeight="1" x14ac:dyDescent="0.3">
      <c r="I668" s="201" t="str">
        <f t="shared" si="96"/>
        <v/>
      </c>
      <c r="J668" s="218">
        <f t="shared" si="97"/>
        <v>665</v>
      </c>
      <c r="K668" s="250"/>
      <c r="L668" s="219"/>
      <c r="M668" s="218"/>
      <c r="N668" s="220" t="str">
        <f>IFERROR(VLOOKUP(M668,Data!$C$4:$D$395,2,0),"")</f>
        <v/>
      </c>
      <c r="O668" s="220"/>
      <c r="P668" s="229"/>
      <c r="Q668" s="221"/>
      <c r="R668" s="222" t="str">
        <f t="shared" si="98"/>
        <v>-</v>
      </c>
      <c r="S668" s="223"/>
      <c r="T668" s="224"/>
      <c r="U668" s="225">
        <f t="shared" si="99"/>
        <v>0</v>
      </c>
      <c r="V668" s="226">
        <v>0</v>
      </c>
      <c r="W668" s="227"/>
      <c r="X668" s="228">
        <f t="shared" si="100"/>
        <v>0</v>
      </c>
      <c r="Y668" s="229"/>
      <c r="Z668" s="229"/>
      <c r="AA668" s="229"/>
      <c r="AB668" s="222">
        <f t="shared" si="101"/>
        <v>0</v>
      </c>
      <c r="AC668" s="230">
        <f t="shared" si="102"/>
        <v>0</v>
      </c>
      <c r="AD668" s="222" t="str">
        <f t="shared" si="103"/>
        <v/>
      </c>
      <c r="AE668" s="201"/>
      <c r="AF668" s="231" t="str">
        <f>+IFERROR(VLOOKUP(L668,Data!$F$4:$G$97,2,0),"")</f>
        <v/>
      </c>
    </row>
    <row r="669" spans="9:32" ht="15" customHeight="1" x14ac:dyDescent="0.3">
      <c r="I669" s="201" t="str">
        <f t="shared" si="96"/>
        <v/>
      </c>
      <c r="J669" s="218">
        <f t="shared" si="97"/>
        <v>666</v>
      </c>
      <c r="K669" s="250"/>
      <c r="L669" s="219"/>
      <c r="M669" s="218"/>
      <c r="N669" s="220" t="str">
        <f>IFERROR(VLOOKUP(M669,Data!$C$4:$D$395,2,0),"")</f>
        <v/>
      </c>
      <c r="O669" s="220"/>
      <c r="P669" s="229"/>
      <c r="Q669" s="221"/>
      <c r="R669" s="222" t="str">
        <f t="shared" si="98"/>
        <v>-</v>
      </c>
      <c r="S669" s="223"/>
      <c r="T669" s="224"/>
      <c r="U669" s="225">
        <f t="shared" si="99"/>
        <v>0</v>
      </c>
      <c r="V669" s="226">
        <v>0</v>
      </c>
      <c r="W669" s="227"/>
      <c r="X669" s="228">
        <f t="shared" si="100"/>
        <v>0</v>
      </c>
      <c r="Y669" s="229"/>
      <c r="Z669" s="229"/>
      <c r="AA669" s="229"/>
      <c r="AB669" s="222">
        <f t="shared" si="101"/>
        <v>0</v>
      </c>
      <c r="AC669" s="230">
        <f t="shared" si="102"/>
        <v>0</v>
      </c>
      <c r="AD669" s="222" t="str">
        <f t="shared" si="103"/>
        <v/>
      </c>
      <c r="AE669" s="201"/>
      <c r="AF669" s="231" t="str">
        <f>+IFERROR(VLOOKUP(L669,Data!$F$4:$G$97,2,0),"")</f>
        <v/>
      </c>
    </row>
    <row r="670" spans="9:32" ht="15" customHeight="1" x14ac:dyDescent="0.3">
      <c r="I670" s="201" t="str">
        <f t="shared" si="96"/>
        <v/>
      </c>
      <c r="J670" s="218">
        <f t="shared" si="97"/>
        <v>667</v>
      </c>
      <c r="K670" s="250"/>
      <c r="L670" s="219"/>
      <c r="M670" s="218"/>
      <c r="N670" s="220" t="str">
        <f>IFERROR(VLOOKUP(M670,Data!$C$4:$D$395,2,0),"")</f>
        <v/>
      </c>
      <c r="O670" s="220"/>
      <c r="P670" s="229"/>
      <c r="Q670" s="221"/>
      <c r="R670" s="222" t="str">
        <f t="shared" si="98"/>
        <v>-</v>
      </c>
      <c r="S670" s="223"/>
      <c r="T670" s="224"/>
      <c r="U670" s="225">
        <f t="shared" si="99"/>
        <v>0</v>
      </c>
      <c r="V670" s="226">
        <v>0</v>
      </c>
      <c r="W670" s="227"/>
      <c r="X670" s="228">
        <f t="shared" si="100"/>
        <v>0</v>
      </c>
      <c r="Y670" s="229"/>
      <c r="Z670" s="229"/>
      <c r="AA670" s="229"/>
      <c r="AB670" s="222">
        <f t="shared" si="101"/>
        <v>0</v>
      </c>
      <c r="AC670" s="230">
        <f t="shared" si="102"/>
        <v>0</v>
      </c>
      <c r="AD670" s="222" t="str">
        <f t="shared" si="103"/>
        <v/>
      </c>
      <c r="AE670" s="201"/>
      <c r="AF670" s="231" t="str">
        <f>+IFERROR(VLOOKUP(L670,Data!$F$4:$G$97,2,0),"")</f>
        <v/>
      </c>
    </row>
    <row r="671" spans="9:32" ht="15" customHeight="1" x14ac:dyDescent="0.3">
      <c r="I671" s="201" t="str">
        <f t="shared" si="96"/>
        <v/>
      </c>
      <c r="J671" s="218">
        <f t="shared" si="97"/>
        <v>668</v>
      </c>
      <c r="K671" s="250"/>
      <c r="L671" s="219"/>
      <c r="M671" s="218"/>
      <c r="N671" s="220" t="str">
        <f>IFERROR(VLOOKUP(M671,Data!$C$4:$D$395,2,0),"")</f>
        <v/>
      </c>
      <c r="O671" s="220"/>
      <c r="P671" s="229"/>
      <c r="Q671" s="221"/>
      <c r="R671" s="222" t="str">
        <f t="shared" si="98"/>
        <v>-</v>
      </c>
      <c r="S671" s="223"/>
      <c r="T671" s="224"/>
      <c r="U671" s="225">
        <f t="shared" si="99"/>
        <v>0</v>
      </c>
      <c r="V671" s="226">
        <v>0</v>
      </c>
      <c r="W671" s="227"/>
      <c r="X671" s="228">
        <f t="shared" si="100"/>
        <v>0</v>
      </c>
      <c r="Y671" s="229"/>
      <c r="Z671" s="229"/>
      <c r="AA671" s="229"/>
      <c r="AB671" s="222">
        <f t="shared" si="101"/>
        <v>0</v>
      </c>
      <c r="AC671" s="230">
        <f t="shared" si="102"/>
        <v>0</v>
      </c>
      <c r="AD671" s="222" t="str">
        <f t="shared" si="103"/>
        <v/>
      </c>
      <c r="AE671" s="201"/>
      <c r="AF671" s="231" t="str">
        <f>+IFERROR(VLOOKUP(L671,Data!$F$4:$G$97,2,0),"")</f>
        <v/>
      </c>
    </row>
    <row r="672" spans="9:32" ht="15" customHeight="1" x14ac:dyDescent="0.3">
      <c r="I672" s="201" t="str">
        <f t="shared" si="96"/>
        <v/>
      </c>
      <c r="J672" s="218">
        <f t="shared" si="97"/>
        <v>669</v>
      </c>
      <c r="K672" s="250"/>
      <c r="L672" s="219"/>
      <c r="M672" s="218"/>
      <c r="N672" s="220" t="str">
        <f>IFERROR(VLOOKUP(M672,Data!$C$4:$D$395,2,0),"")</f>
        <v/>
      </c>
      <c r="O672" s="220"/>
      <c r="P672" s="229"/>
      <c r="Q672" s="221"/>
      <c r="R672" s="222" t="str">
        <f t="shared" si="98"/>
        <v>-</v>
      </c>
      <c r="S672" s="223"/>
      <c r="T672" s="224"/>
      <c r="U672" s="225">
        <f t="shared" si="99"/>
        <v>0</v>
      </c>
      <c r="V672" s="226">
        <v>0</v>
      </c>
      <c r="W672" s="227"/>
      <c r="X672" s="228">
        <f t="shared" si="100"/>
        <v>0</v>
      </c>
      <c r="Y672" s="229"/>
      <c r="Z672" s="229"/>
      <c r="AA672" s="229"/>
      <c r="AB672" s="222">
        <f t="shared" si="101"/>
        <v>0</v>
      </c>
      <c r="AC672" s="230">
        <f t="shared" si="102"/>
        <v>0</v>
      </c>
      <c r="AD672" s="222" t="str">
        <f t="shared" si="103"/>
        <v/>
      </c>
      <c r="AE672" s="201"/>
      <c r="AF672" s="231" t="str">
        <f>+IFERROR(VLOOKUP(L672,Data!$F$4:$G$97,2,0),"")</f>
        <v/>
      </c>
    </row>
    <row r="673" spans="9:32" ht="15" customHeight="1" x14ac:dyDescent="0.3">
      <c r="I673" s="201" t="str">
        <f t="shared" si="96"/>
        <v/>
      </c>
      <c r="J673" s="218">
        <f t="shared" si="97"/>
        <v>670</v>
      </c>
      <c r="K673" s="250"/>
      <c r="L673" s="219"/>
      <c r="M673" s="218"/>
      <c r="N673" s="220" t="str">
        <f>IFERROR(VLOOKUP(M673,Data!$C$4:$D$395,2,0),"")</f>
        <v/>
      </c>
      <c r="O673" s="220"/>
      <c r="P673" s="229"/>
      <c r="Q673" s="221"/>
      <c r="R673" s="222" t="str">
        <f t="shared" si="98"/>
        <v>-</v>
      </c>
      <c r="S673" s="223"/>
      <c r="T673" s="224"/>
      <c r="U673" s="225">
        <f t="shared" si="99"/>
        <v>0</v>
      </c>
      <c r="V673" s="226">
        <v>0</v>
      </c>
      <c r="W673" s="227"/>
      <c r="X673" s="228">
        <f t="shared" si="100"/>
        <v>0</v>
      </c>
      <c r="Y673" s="229"/>
      <c r="Z673" s="229"/>
      <c r="AA673" s="229"/>
      <c r="AB673" s="222">
        <f t="shared" si="101"/>
        <v>0</v>
      </c>
      <c r="AC673" s="230">
        <f t="shared" si="102"/>
        <v>0</v>
      </c>
      <c r="AD673" s="222" t="str">
        <f t="shared" si="103"/>
        <v/>
      </c>
      <c r="AE673" s="201"/>
      <c r="AF673" s="231" t="str">
        <f>+IFERROR(VLOOKUP(L673,Data!$F$4:$G$97,2,0),"")</f>
        <v/>
      </c>
    </row>
    <row r="674" spans="9:32" ht="15" customHeight="1" x14ac:dyDescent="0.3">
      <c r="I674" s="201" t="str">
        <f t="shared" si="96"/>
        <v/>
      </c>
      <c r="J674" s="218">
        <f t="shared" si="97"/>
        <v>671</v>
      </c>
      <c r="K674" s="250"/>
      <c r="L674" s="219"/>
      <c r="M674" s="218"/>
      <c r="N674" s="220" t="str">
        <f>IFERROR(VLOOKUP(M674,Data!$C$4:$D$395,2,0),"")</f>
        <v/>
      </c>
      <c r="O674" s="220"/>
      <c r="P674" s="229"/>
      <c r="Q674" s="221"/>
      <c r="R674" s="222" t="str">
        <f t="shared" si="98"/>
        <v>-</v>
      </c>
      <c r="S674" s="223"/>
      <c r="T674" s="224"/>
      <c r="U674" s="225">
        <f t="shared" si="99"/>
        <v>0</v>
      </c>
      <c r="V674" s="226">
        <v>0</v>
      </c>
      <c r="W674" s="227"/>
      <c r="X674" s="228">
        <f t="shared" si="100"/>
        <v>0</v>
      </c>
      <c r="Y674" s="229"/>
      <c r="Z674" s="229"/>
      <c r="AA674" s="229"/>
      <c r="AB674" s="222">
        <f t="shared" si="101"/>
        <v>0</v>
      </c>
      <c r="AC674" s="230">
        <f t="shared" si="102"/>
        <v>0</v>
      </c>
      <c r="AD674" s="222" t="str">
        <f t="shared" si="103"/>
        <v/>
      </c>
      <c r="AE674" s="201"/>
      <c r="AF674" s="231" t="str">
        <f>+IFERROR(VLOOKUP(L674,Data!$F$4:$G$97,2,0),"")</f>
        <v/>
      </c>
    </row>
    <row r="675" spans="9:32" ht="15" customHeight="1" x14ac:dyDescent="0.3">
      <c r="I675" s="201" t="str">
        <f t="shared" si="96"/>
        <v/>
      </c>
      <c r="J675" s="218">
        <f t="shared" si="97"/>
        <v>672</v>
      </c>
      <c r="K675" s="250"/>
      <c r="L675" s="219"/>
      <c r="M675" s="218"/>
      <c r="N675" s="220" t="str">
        <f>IFERROR(VLOOKUP(M675,Data!$C$4:$D$395,2,0),"")</f>
        <v/>
      </c>
      <c r="O675" s="220"/>
      <c r="P675" s="229"/>
      <c r="Q675" s="221"/>
      <c r="R675" s="222" t="str">
        <f t="shared" si="98"/>
        <v>-</v>
      </c>
      <c r="S675" s="223"/>
      <c r="T675" s="224"/>
      <c r="U675" s="225">
        <f t="shared" si="99"/>
        <v>0</v>
      </c>
      <c r="V675" s="226">
        <v>0</v>
      </c>
      <c r="W675" s="227"/>
      <c r="X675" s="228">
        <f t="shared" si="100"/>
        <v>0</v>
      </c>
      <c r="Y675" s="229"/>
      <c r="Z675" s="229"/>
      <c r="AA675" s="229"/>
      <c r="AB675" s="222">
        <f t="shared" si="101"/>
        <v>0</v>
      </c>
      <c r="AC675" s="230">
        <f t="shared" si="102"/>
        <v>0</v>
      </c>
      <c r="AD675" s="222" t="str">
        <f t="shared" si="103"/>
        <v/>
      </c>
      <c r="AE675" s="201"/>
      <c r="AF675" s="231" t="str">
        <f>+IFERROR(VLOOKUP(L675,Data!$F$4:$G$97,2,0),"")</f>
        <v/>
      </c>
    </row>
    <row r="676" spans="9:32" ht="15" customHeight="1" x14ac:dyDescent="0.3">
      <c r="I676" s="201" t="str">
        <f t="shared" si="96"/>
        <v/>
      </c>
      <c r="J676" s="218">
        <f t="shared" si="97"/>
        <v>673</v>
      </c>
      <c r="K676" s="250"/>
      <c r="L676" s="219"/>
      <c r="M676" s="218"/>
      <c r="N676" s="220" t="str">
        <f>IFERROR(VLOOKUP(M676,Data!$C$4:$D$395,2,0),"")</f>
        <v/>
      </c>
      <c r="O676" s="220"/>
      <c r="P676" s="229"/>
      <c r="Q676" s="221"/>
      <c r="R676" s="222" t="str">
        <f t="shared" si="98"/>
        <v>-</v>
      </c>
      <c r="S676" s="223"/>
      <c r="T676" s="224"/>
      <c r="U676" s="225">
        <f t="shared" si="99"/>
        <v>0</v>
      </c>
      <c r="V676" s="226">
        <v>0</v>
      </c>
      <c r="W676" s="227"/>
      <c r="X676" s="228">
        <f t="shared" si="100"/>
        <v>0</v>
      </c>
      <c r="Y676" s="229"/>
      <c r="Z676" s="229"/>
      <c r="AA676" s="229"/>
      <c r="AB676" s="222">
        <f t="shared" si="101"/>
        <v>0</v>
      </c>
      <c r="AC676" s="230">
        <f t="shared" si="102"/>
        <v>0</v>
      </c>
      <c r="AD676" s="222" t="str">
        <f t="shared" si="103"/>
        <v/>
      </c>
      <c r="AE676" s="201"/>
      <c r="AF676" s="231" t="str">
        <f>+IFERROR(VLOOKUP(L676,Data!$F$4:$G$97,2,0),"")</f>
        <v/>
      </c>
    </row>
    <row r="677" spans="9:32" ht="15" customHeight="1" x14ac:dyDescent="0.3">
      <c r="I677" s="201" t="str">
        <f t="shared" si="96"/>
        <v/>
      </c>
      <c r="J677" s="218">
        <f t="shared" si="97"/>
        <v>674</v>
      </c>
      <c r="K677" s="250"/>
      <c r="L677" s="219"/>
      <c r="M677" s="218"/>
      <c r="N677" s="220" t="str">
        <f>IFERROR(VLOOKUP(M677,Data!$C$4:$D$395,2,0),"")</f>
        <v/>
      </c>
      <c r="O677" s="220"/>
      <c r="P677" s="229"/>
      <c r="Q677" s="221"/>
      <c r="R677" s="222" t="str">
        <f t="shared" si="98"/>
        <v>-</v>
      </c>
      <c r="S677" s="223"/>
      <c r="T677" s="224"/>
      <c r="U677" s="225">
        <f t="shared" si="99"/>
        <v>0</v>
      </c>
      <c r="V677" s="226">
        <v>0</v>
      </c>
      <c r="W677" s="227"/>
      <c r="X677" s="228">
        <f t="shared" si="100"/>
        <v>0</v>
      </c>
      <c r="Y677" s="229"/>
      <c r="Z677" s="229"/>
      <c r="AA677" s="229"/>
      <c r="AB677" s="222">
        <f t="shared" si="101"/>
        <v>0</v>
      </c>
      <c r="AC677" s="230">
        <f t="shared" si="102"/>
        <v>0</v>
      </c>
      <c r="AD677" s="222" t="str">
        <f t="shared" si="103"/>
        <v/>
      </c>
      <c r="AE677" s="201"/>
      <c r="AF677" s="231" t="str">
        <f>+IFERROR(VLOOKUP(L677,Data!$F$4:$G$97,2,0),"")</f>
        <v/>
      </c>
    </row>
    <row r="678" spans="9:32" ht="15" customHeight="1" x14ac:dyDescent="0.3">
      <c r="I678" s="201" t="str">
        <f t="shared" si="96"/>
        <v/>
      </c>
      <c r="J678" s="218">
        <f t="shared" si="97"/>
        <v>675</v>
      </c>
      <c r="K678" s="250"/>
      <c r="L678" s="219"/>
      <c r="M678" s="218"/>
      <c r="N678" s="220" t="str">
        <f>IFERROR(VLOOKUP(M678,Data!$C$4:$D$395,2,0),"")</f>
        <v/>
      </c>
      <c r="O678" s="220"/>
      <c r="P678" s="229"/>
      <c r="Q678" s="221"/>
      <c r="R678" s="222" t="str">
        <f t="shared" si="98"/>
        <v>-</v>
      </c>
      <c r="S678" s="223"/>
      <c r="T678" s="224"/>
      <c r="U678" s="225">
        <f t="shared" si="99"/>
        <v>0</v>
      </c>
      <c r="V678" s="226">
        <v>0</v>
      </c>
      <c r="W678" s="227"/>
      <c r="X678" s="228">
        <f t="shared" si="100"/>
        <v>0</v>
      </c>
      <c r="Y678" s="229"/>
      <c r="Z678" s="229"/>
      <c r="AA678" s="229"/>
      <c r="AB678" s="222">
        <f t="shared" si="101"/>
        <v>0</v>
      </c>
      <c r="AC678" s="230">
        <f t="shared" si="102"/>
        <v>0</v>
      </c>
      <c r="AD678" s="222" t="str">
        <f t="shared" si="103"/>
        <v/>
      </c>
      <c r="AE678" s="201"/>
      <c r="AF678" s="231" t="str">
        <f>+IFERROR(VLOOKUP(L678,Data!$F$4:$G$97,2,0),"")</f>
        <v/>
      </c>
    </row>
    <row r="679" spans="9:32" ht="15" customHeight="1" x14ac:dyDescent="0.3">
      <c r="I679" s="201" t="str">
        <f t="shared" si="96"/>
        <v/>
      </c>
      <c r="J679" s="218">
        <f t="shared" si="97"/>
        <v>676</v>
      </c>
      <c r="K679" s="250"/>
      <c r="L679" s="219"/>
      <c r="M679" s="218"/>
      <c r="N679" s="220" t="str">
        <f>IFERROR(VLOOKUP(M679,Data!$C$4:$D$395,2,0),"")</f>
        <v/>
      </c>
      <c r="O679" s="220"/>
      <c r="P679" s="229"/>
      <c r="Q679" s="221"/>
      <c r="R679" s="222" t="str">
        <f t="shared" si="98"/>
        <v>-</v>
      </c>
      <c r="S679" s="223"/>
      <c r="T679" s="224"/>
      <c r="U679" s="225">
        <f t="shared" si="99"/>
        <v>0</v>
      </c>
      <c r="V679" s="226">
        <v>0</v>
      </c>
      <c r="W679" s="227"/>
      <c r="X679" s="228">
        <f t="shared" si="100"/>
        <v>0</v>
      </c>
      <c r="Y679" s="229"/>
      <c r="Z679" s="229"/>
      <c r="AA679" s="229"/>
      <c r="AB679" s="222">
        <f t="shared" si="101"/>
        <v>0</v>
      </c>
      <c r="AC679" s="230">
        <f t="shared" si="102"/>
        <v>0</v>
      </c>
      <c r="AD679" s="222" t="str">
        <f t="shared" si="103"/>
        <v/>
      </c>
      <c r="AE679" s="201"/>
      <c r="AF679" s="231" t="str">
        <f>+IFERROR(VLOOKUP(L679,Data!$F$4:$G$97,2,0),"")</f>
        <v/>
      </c>
    </row>
    <row r="680" spans="9:32" ht="15" customHeight="1" x14ac:dyDescent="0.3">
      <c r="I680" s="201" t="str">
        <f t="shared" si="96"/>
        <v/>
      </c>
      <c r="J680" s="218">
        <f t="shared" si="97"/>
        <v>677</v>
      </c>
      <c r="K680" s="250"/>
      <c r="L680" s="219"/>
      <c r="M680" s="218"/>
      <c r="N680" s="220" t="str">
        <f>IFERROR(VLOOKUP(M680,Data!$C$4:$D$395,2,0),"")</f>
        <v/>
      </c>
      <c r="O680" s="220"/>
      <c r="P680" s="229"/>
      <c r="Q680" s="221"/>
      <c r="R680" s="222" t="str">
        <f t="shared" si="98"/>
        <v>-</v>
      </c>
      <c r="S680" s="223"/>
      <c r="T680" s="224"/>
      <c r="U680" s="225">
        <f t="shared" si="99"/>
        <v>0</v>
      </c>
      <c r="V680" s="226">
        <v>0</v>
      </c>
      <c r="W680" s="227"/>
      <c r="X680" s="228">
        <f t="shared" si="100"/>
        <v>0</v>
      </c>
      <c r="Y680" s="229"/>
      <c r="Z680" s="229"/>
      <c r="AA680" s="229"/>
      <c r="AB680" s="222">
        <f t="shared" si="101"/>
        <v>0</v>
      </c>
      <c r="AC680" s="230">
        <f t="shared" si="102"/>
        <v>0</v>
      </c>
      <c r="AD680" s="222" t="str">
        <f t="shared" si="103"/>
        <v/>
      </c>
      <c r="AE680" s="201"/>
      <c r="AF680" s="231" t="str">
        <f>+IFERROR(VLOOKUP(L680,Data!$F$4:$G$97,2,0),"")</f>
        <v/>
      </c>
    </row>
    <row r="681" spans="9:32" ht="15" customHeight="1" x14ac:dyDescent="0.3">
      <c r="I681" s="201" t="str">
        <f t="shared" si="96"/>
        <v/>
      </c>
      <c r="J681" s="218">
        <f t="shared" si="97"/>
        <v>678</v>
      </c>
      <c r="K681" s="250"/>
      <c r="L681" s="219"/>
      <c r="M681" s="218"/>
      <c r="N681" s="220" t="str">
        <f>IFERROR(VLOOKUP(M681,Data!$C$4:$D$395,2,0),"")</f>
        <v/>
      </c>
      <c r="O681" s="220"/>
      <c r="P681" s="229"/>
      <c r="Q681" s="221"/>
      <c r="R681" s="222" t="str">
        <f t="shared" si="98"/>
        <v>-</v>
      </c>
      <c r="S681" s="223"/>
      <c r="T681" s="224"/>
      <c r="U681" s="225">
        <f t="shared" si="99"/>
        <v>0</v>
      </c>
      <c r="V681" s="226">
        <v>0</v>
      </c>
      <c r="W681" s="227"/>
      <c r="X681" s="228">
        <f t="shared" si="100"/>
        <v>0</v>
      </c>
      <c r="Y681" s="229"/>
      <c r="Z681" s="229"/>
      <c r="AA681" s="229"/>
      <c r="AB681" s="222">
        <f t="shared" si="101"/>
        <v>0</v>
      </c>
      <c r="AC681" s="230">
        <f t="shared" si="102"/>
        <v>0</v>
      </c>
      <c r="AD681" s="222" t="str">
        <f t="shared" si="103"/>
        <v/>
      </c>
      <c r="AE681" s="201"/>
      <c r="AF681" s="231" t="str">
        <f>+IFERROR(VLOOKUP(L681,Data!$F$4:$G$97,2,0),"")</f>
        <v/>
      </c>
    </row>
    <row r="682" spans="9:32" ht="15" customHeight="1" x14ac:dyDescent="0.3">
      <c r="I682" s="201" t="str">
        <f t="shared" si="96"/>
        <v/>
      </c>
      <c r="J682" s="218">
        <f t="shared" si="97"/>
        <v>679</v>
      </c>
      <c r="K682" s="250"/>
      <c r="L682" s="219"/>
      <c r="M682" s="218"/>
      <c r="N682" s="220" t="str">
        <f>IFERROR(VLOOKUP(M682,Data!$C$4:$D$395,2,0),"")</f>
        <v/>
      </c>
      <c r="O682" s="220"/>
      <c r="P682" s="229"/>
      <c r="Q682" s="221"/>
      <c r="R682" s="222" t="str">
        <f t="shared" si="98"/>
        <v>-</v>
      </c>
      <c r="S682" s="223"/>
      <c r="T682" s="224"/>
      <c r="U682" s="225">
        <f t="shared" si="99"/>
        <v>0</v>
      </c>
      <c r="V682" s="226">
        <v>0</v>
      </c>
      <c r="W682" s="227"/>
      <c r="X682" s="228">
        <f t="shared" si="100"/>
        <v>0</v>
      </c>
      <c r="Y682" s="229"/>
      <c r="Z682" s="229"/>
      <c r="AA682" s="229"/>
      <c r="AB682" s="222">
        <f t="shared" si="101"/>
        <v>0</v>
      </c>
      <c r="AC682" s="230">
        <f t="shared" si="102"/>
        <v>0</v>
      </c>
      <c r="AD682" s="222" t="str">
        <f t="shared" si="103"/>
        <v/>
      </c>
      <c r="AE682" s="201"/>
      <c r="AF682" s="231" t="str">
        <f>+IFERROR(VLOOKUP(L682,Data!$F$4:$G$97,2,0),"")</f>
        <v/>
      </c>
    </row>
    <row r="683" spans="9:32" ht="15" customHeight="1" x14ac:dyDescent="0.3">
      <c r="I683" s="201" t="str">
        <f t="shared" si="96"/>
        <v/>
      </c>
      <c r="J683" s="218">
        <f t="shared" si="97"/>
        <v>680</v>
      </c>
      <c r="K683" s="250"/>
      <c r="L683" s="219"/>
      <c r="M683" s="218"/>
      <c r="N683" s="220" t="str">
        <f>IFERROR(VLOOKUP(M683,Data!$C$4:$D$395,2,0),"")</f>
        <v/>
      </c>
      <c r="O683" s="220"/>
      <c r="P683" s="229"/>
      <c r="Q683" s="221"/>
      <c r="R683" s="222" t="str">
        <f t="shared" si="98"/>
        <v>-</v>
      </c>
      <c r="S683" s="223"/>
      <c r="T683" s="224"/>
      <c r="U683" s="225">
        <f t="shared" si="99"/>
        <v>0</v>
      </c>
      <c r="V683" s="226">
        <v>0</v>
      </c>
      <c r="W683" s="227"/>
      <c r="X683" s="228">
        <f t="shared" si="100"/>
        <v>0</v>
      </c>
      <c r="Y683" s="229"/>
      <c r="Z683" s="229"/>
      <c r="AA683" s="229"/>
      <c r="AB683" s="222">
        <f t="shared" si="101"/>
        <v>0</v>
      </c>
      <c r="AC683" s="230">
        <f t="shared" si="102"/>
        <v>0</v>
      </c>
      <c r="AD683" s="222" t="str">
        <f t="shared" si="103"/>
        <v/>
      </c>
      <c r="AE683" s="201"/>
      <c r="AF683" s="231" t="str">
        <f>+IFERROR(VLOOKUP(L683,Data!$F$4:$G$97,2,0),"")</f>
        <v/>
      </c>
    </row>
    <row r="684" spans="9:32" ht="15" customHeight="1" x14ac:dyDescent="0.3">
      <c r="I684" s="201" t="str">
        <f t="shared" si="96"/>
        <v/>
      </c>
      <c r="J684" s="218">
        <f t="shared" si="97"/>
        <v>681</v>
      </c>
      <c r="K684" s="250"/>
      <c r="L684" s="219"/>
      <c r="M684" s="218"/>
      <c r="N684" s="220" t="str">
        <f>IFERROR(VLOOKUP(M684,Data!$C$4:$D$395,2,0),"")</f>
        <v/>
      </c>
      <c r="O684" s="220"/>
      <c r="P684" s="229"/>
      <c r="Q684" s="221"/>
      <c r="R684" s="222" t="str">
        <f t="shared" si="98"/>
        <v>-</v>
      </c>
      <c r="S684" s="223"/>
      <c r="T684" s="224"/>
      <c r="U684" s="225">
        <f t="shared" si="99"/>
        <v>0</v>
      </c>
      <c r="V684" s="226">
        <v>0</v>
      </c>
      <c r="W684" s="227"/>
      <c r="X684" s="228">
        <f t="shared" si="100"/>
        <v>0</v>
      </c>
      <c r="Y684" s="229"/>
      <c r="Z684" s="229"/>
      <c r="AA684" s="229"/>
      <c r="AB684" s="222">
        <f t="shared" si="101"/>
        <v>0</v>
      </c>
      <c r="AC684" s="230">
        <f t="shared" si="102"/>
        <v>0</v>
      </c>
      <c r="AD684" s="222" t="str">
        <f t="shared" si="103"/>
        <v/>
      </c>
      <c r="AE684" s="201"/>
      <c r="AF684" s="231" t="str">
        <f>+IFERROR(VLOOKUP(L684,Data!$F$4:$G$97,2,0),"")</f>
        <v/>
      </c>
    </row>
    <row r="685" spans="9:32" ht="15" customHeight="1" x14ac:dyDescent="0.3">
      <c r="I685" s="201" t="str">
        <f t="shared" si="96"/>
        <v/>
      </c>
      <c r="J685" s="218">
        <f t="shared" si="97"/>
        <v>682</v>
      </c>
      <c r="K685" s="250"/>
      <c r="L685" s="219"/>
      <c r="M685" s="218"/>
      <c r="N685" s="220" t="str">
        <f>IFERROR(VLOOKUP(M685,Data!$C$4:$D$395,2,0),"")</f>
        <v/>
      </c>
      <c r="O685" s="220"/>
      <c r="P685" s="229"/>
      <c r="Q685" s="221"/>
      <c r="R685" s="222" t="str">
        <f t="shared" si="98"/>
        <v>-</v>
      </c>
      <c r="S685" s="223"/>
      <c r="T685" s="224"/>
      <c r="U685" s="225">
        <f t="shared" si="99"/>
        <v>0</v>
      </c>
      <c r="V685" s="226">
        <v>0</v>
      </c>
      <c r="W685" s="227"/>
      <c r="X685" s="228">
        <f t="shared" si="100"/>
        <v>0</v>
      </c>
      <c r="Y685" s="229"/>
      <c r="Z685" s="229"/>
      <c r="AA685" s="229"/>
      <c r="AB685" s="222">
        <f t="shared" si="101"/>
        <v>0</v>
      </c>
      <c r="AC685" s="230">
        <f t="shared" si="102"/>
        <v>0</v>
      </c>
      <c r="AD685" s="222" t="str">
        <f t="shared" si="103"/>
        <v/>
      </c>
      <c r="AE685" s="201"/>
      <c r="AF685" s="231" t="str">
        <f>+IFERROR(VLOOKUP(L685,Data!$F$4:$G$97,2,0),"")</f>
        <v/>
      </c>
    </row>
    <row r="686" spans="9:32" ht="15" customHeight="1" x14ac:dyDescent="0.3">
      <c r="I686" s="201" t="str">
        <f t="shared" si="96"/>
        <v/>
      </c>
      <c r="J686" s="218">
        <f t="shared" si="97"/>
        <v>683</v>
      </c>
      <c r="K686" s="250"/>
      <c r="L686" s="219"/>
      <c r="M686" s="218"/>
      <c r="N686" s="220" t="str">
        <f>IFERROR(VLOOKUP(M686,Data!$C$4:$D$395,2,0),"")</f>
        <v/>
      </c>
      <c r="O686" s="220"/>
      <c r="P686" s="229"/>
      <c r="Q686" s="221"/>
      <c r="R686" s="222" t="str">
        <f t="shared" si="98"/>
        <v>-</v>
      </c>
      <c r="S686" s="223"/>
      <c r="T686" s="224"/>
      <c r="U686" s="225">
        <f t="shared" si="99"/>
        <v>0</v>
      </c>
      <c r="V686" s="226">
        <v>0</v>
      </c>
      <c r="W686" s="227"/>
      <c r="X686" s="228">
        <f t="shared" si="100"/>
        <v>0</v>
      </c>
      <c r="Y686" s="229"/>
      <c r="Z686" s="229"/>
      <c r="AA686" s="229"/>
      <c r="AB686" s="222">
        <f t="shared" si="101"/>
        <v>0</v>
      </c>
      <c r="AC686" s="230">
        <f t="shared" si="102"/>
        <v>0</v>
      </c>
      <c r="AD686" s="222" t="str">
        <f t="shared" si="103"/>
        <v/>
      </c>
      <c r="AE686" s="201"/>
      <c r="AF686" s="231" t="str">
        <f>+IFERROR(VLOOKUP(L686,Data!$F$4:$G$97,2,0),"")</f>
        <v/>
      </c>
    </row>
    <row r="687" spans="9:32" ht="15" customHeight="1" x14ac:dyDescent="0.3">
      <c r="I687" s="201" t="str">
        <f t="shared" si="96"/>
        <v/>
      </c>
      <c r="J687" s="218">
        <f t="shared" si="97"/>
        <v>684</v>
      </c>
      <c r="K687" s="250"/>
      <c r="L687" s="219"/>
      <c r="M687" s="218"/>
      <c r="N687" s="220" t="str">
        <f>IFERROR(VLOOKUP(M687,Data!$C$4:$D$395,2,0),"")</f>
        <v/>
      </c>
      <c r="O687" s="220"/>
      <c r="P687" s="229"/>
      <c r="Q687" s="221"/>
      <c r="R687" s="222" t="str">
        <f t="shared" si="98"/>
        <v>-</v>
      </c>
      <c r="S687" s="223"/>
      <c r="T687" s="224"/>
      <c r="U687" s="225">
        <f t="shared" si="99"/>
        <v>0</v>
      </c>
      <c r="V687" s="226">
        <v>0</v>
      </c>
      <c r="W687" s="227"/>
      <c r="X687" s="228">
        <f t="shared" si="100"/>
        <v>0</v>
      </c>
      <c r="Y687" s="229"/>
      <c r="Z687" s="229"/>
      <c r="AA687" s="229"/>
      <c r="AB687" s="222">
        <f t="shared" si="101"/>
        <v>0</v>
      </c>
      <c r="AC687" s="230">
        <f t="shared" si="102"/>
        <v>0</v>
      </c>
      <c r="AD687" s="222" t="str">
        <f t="shared" si="103"/>
        <v/>
      </c>
      <c r="AE687" s="201"/>
      <c r="AF687" s="231" t="str">
        <f>+IFERROR(VLOOKUP(L687,Data!$F$4:$G$97,2,0),"")</f>
        <v/>
      </c>
    </row>
    <row r="688" spans="9:32" ht="15" customHeight="1" x14ac:dyDescent="0.3">
      <c r="I688" s="201" t="str">
        <f t="shared" si="96"/>
        <v/>
      </c>
      <c r="J688" s="218">
        <f t="shared" si="97"/>
        <v>685</v>
      </c>
      <c r="K688" s="250"/>
      <c r="L688" s="219"/>
      <c r="M688" s="218"/>
      <c r="N688" s="220" t="str">
        <f>IFERROR(VLOOKUP(M688,Data!$C$4:$D$395,2,0),"")</f>
        <v/>
      </c>
      <c r="O688" s="220"/>
      <c r="P688" s="229"/>
      <c r="Q688" s="221"/>
      <c r="R688" s="222" t="str">
        <f t="shared" si="98"/>
        <v>-</v>
      </c>
      <c r="S688" s="223"/>
      <c r="T688" s="224"/>
      <c r="U688" s="225">
        <f t="shared" si="99"/>
        <v>0</v>
      </c>
      <c r="V688" s="226">
        <v>0</v>
      </c>
      <c r="W688" s="227"/>
      <c r="X688" s="228">
        <f t="shared" si="100"/>
        <v>0</v>
      </c>
      <c r="Y688" s="229"/>
      <c r="Z688" s="229"/>
      <c r="AA688" s="229"/>
      <c r="AB688" s="222">
        <f t="shared" si="101"/>
        <v>0</v>
      </c>
      <c r="AC688" s="230">
        <f t="shared" si="102"/>
        <v>0</v>
      </c>
      <c r="AD688" s="222" t="str">
        <f t="shared" si="103"/>
        <v/>
      </c>
      <c r="AE688" s="201"/>
      <c r="AF688" s="231" t="str">
        <f>+IFERROR(VLOOKUP(L688,Data!$F$4:$G$97,2,0),"")</f>
        <v/>
      </c>
    </row>
    <row r="689" spans="9:32" ht="15" customHeight="1" x14ac:dyDescent="0.3">
      <c r="I689" s="201" t="str">
        <f t="shared" si="96"/>
        <v/>
      </c>
      <c r="J689" s="218">
        <f t="shared" si="97"/>
        <v>686</v>
      </c>
      <c r="K689" s="250"/>
      <c r="L689" s="219"/>
      <c r="M689" s="218"/>
      <c r="N689" s="220" t="str">
        <f>IFERROR(VLOOKUP(M689,Data!$C$4:$D$395,2,0),"")</f>
        <v/>
      </c>
      <c r="O689" s="220"/>
      <c r="P689" s="229"/>
      <c r="Q689" s="221"/>
      <c r="R689" s="222" t="str">
        <f t="shared" si="98"/>
        <v>-</v>
      </c>
      <c r="S689" s="223"/>
      <c r="T689" s="224"/>
      <c r="U689" s="225">
        <f t="shared" si="99"/>
        <v>0</v>
      </c>
      <c r="V689" s="226">
        <v>0</v>
      </c>
      <c r="W689" s="227"/>
      <c r="X689" s="228">
        <f t="shared" si="100"/>
        <v>0</v>
      </c>
      <c r="Y689" s="229"/>
      <c r="Z689" s="229"/>
      <c r="AA689" s="229"/>
      <c r="AB689" s="222">
        <f t="shared" si="101"/>
        <v>0</v>
      </c>
      <c r="AC689" s="230">
        <f t="shared" si="102"/>
        <v>0</v>
      </c>
      <c r="AD689" s="222" t="str">
        <f t="shared" si="103"/>
        <v/>
      </c>
      <c r="AE689" s="201"/>
      <c r="AF689" s="231" t="str">
        <f>+IFERROR(VLOOKUP(L689,Data!$F$4:$G$97,2,0),"")</f>
        <v/>
      </c>
    </row>
    <row r="690" spans="9:32" ht="15" customHeight="1" x14ac:dyDescent="0.3">
      <c r="I690" s="201" t="str">
        <f t="shared" si="96"/>
        <v/>
      </c>
      <c r="J690" s="218">
        <f t="shared" si="97"/>
        <v>687</v>
      </c>
      <c r="K690" s="250"/>
      <c r="L690" s="219"/>
      <c r="M690" s="218"/>
      <c r="N690" s="220" t="str">
        <f>IFERROR(VLOOKUP(M690,Data!$C$4:$D$395,2,0),"")</f>
        <v/>
      </c>
      <c r="O690" s="220"/>
      <c r="P690" s="229"/>
      <c r="Q690" s="221"/>
      <c r="R690" s="222" t="str">
        <f t="shared" si="98"/>
        <v>-</v>
      </c>
      <c r="S690" s="223"/>
      <c r="T690" s="224"/>
      <c r="U690" s="225">
        <f t="shared" si="99"/>
        <v>0</v>
      </c>
      <c r="V690" s="226">
        <v>0</v>
      </c>
      <c r="W690" s="227"/>
      <c r="X690" s="228">
        <f t="shared" si="100"/>
        <v>0</v>
      </c>
      <c r="Y690" s="229"/>
      <c r="Z690" s="229"/>
      <c r="AA690" s="229"/>
      <c r="AB690" s="222">
        <f t="shared" si="101"/>
        <v>0</v>
      </c>
      <c r="AC690" s="230">
        <f t="shared" si="102"/>
        <v>0</v>
      </c>
      <c r="AD690" s="222" t="str">
        <f t="shared" si="103"/>
        <v/>
      </c>
      <c r="AE690" s="201"/>
      <c r="AF690" s="231" t="str">
        <f>+IFERROR(VLOOKUP(L690,Data!$F$4:$G$97,2,0),"")</f>
        <v/>
      </c>
    </row>
    <row r="691" spans="9:32" ht="15" customHeight="1" x14ac:dyDescent="0.3">
      <c r="I691" s="201" t="str">
        <f t="shared" si="96"/>
        <v/>
      </c>
      <c r="J691" s="218">
        <f t="shared" si="97"/>
        <v>688</v>
      </c>
      <c r="K691" s="250"/>
      <c r="L691" s="219"/>
      <c r="M691" s="218"/>
      <c r="N691" s="220" t="str">
        <f>IFERROR(VLOOKUP(M691,Data!$C$4:$D$395,2,0),"")</f>
        <v/>
      </c>
      <c r="O691" s="220"/>
      <c r="P691" s="229"/>
      <c r="Q691" s="221"/>
      <c r="R691" s="222" t="str">
        <f t="shared" si="98"/>
        <v>-</v>
      </c>
      <c r="S691" s="223"/>
      <c r="T691" s="224"/>
      <c r="U691" s="225">
        <f t="shared" si="99"/>
        <v>0</v>
      </c>
      <c r="V691" s="226">
        <v>0</v>
      </c>
      <c r="W691" s="227"/>
      <c r="X691" s="228">
        <f t="shared" si="100"/>
        <v>0</v>
      </c>
      <c r="Y691" s="229"/>
      <c r="Z691" s="229"/>
      <c r="AA691" s="229"/>
      <c r="AB691" s="222">
        <f t="shared" si="101"/>
        <v>0</v>
      </c>
      <c r="AC691" s="230">
        <f t="shared" si="102"/>
        <v>0</v>
      </c>
      <c r="AD691" s="222" t="str">
        <f t="shared" si="103"/>
        <v/>
      </c>
      <c r="AE691" s="201"/>
      <c r="AF691" s="231" t="str">
        <f>+IFERROR(VLOOKUP(L691,Data!$F$4:$G$97,2,0),"")</f>
        <v/>
      </c>
    </row>
    <row r="692" spans="9:32" ht="15" customHeight="1" x14ac:dyDescent="0.3">
      <c r="I692" s="201" t="str">
        <f t="shared" si="96"/>
        <v/>
      </c>
      <c r="J692" s="218">
        <f t="shared" si="97"/>
        <v>689</v>
      </c>
      <c r="K692" s="250"/>
      <c r="L692" s="219"/>
      <c r="M692" s="218"/>
      <c r="N692" s="220" t="str">
        <f>IFERROR(VLOOKUP(M692,Data!$C$4:$D$395,2,0),"")</f>
        <v/>
      </c>
      <c r="O692" s="220"/>
      <c r="P692" s="229"/>
      <c r="Q692" s="221"/>
      <c r="R692" s="222" t="str">
        <f t="shared" si="98"/>
        <v>-</v>
      </c>
      <c r="S692" s="223"/>
      <c r="T692" s="224"/>
      <c r="U692" s="225">
        <f t="shared" si="99"/>
        <v>0</v>
      </c>
      <c r="V692" s="226">
        <v>0</v>
      </c>
      <c r="W692" s="227"/>
      <c r="X692" s="228">
        <f t="shared" si="100"/>
        <v>0</v>
      </c>
      <c r="Y692" s="229"/>
      <c r="Z692" s="229"/>
      <c r="AA692" s="229"/>
      <c r="AB692" s="222">
        <f t="shared" si="101"/>
        <v>0</v>
      </c>
      <c r="AC692" s="230">
        <f t="shared" si="102"/>
        <v>0</v>
      </c>
      <c r="AD692" s="222" t="str">
        <f t="shared" si="103"/>
        <v/>
      </c>
      <c r="AE692" s="201"/>
      <c r="AF692" s="231" t="str">
        <f>+IFERROR(VLOOKUP(L692,Data!$F$4:$G$97,2,0),"")</f>
        <v/>
      </c>
    </row>
    <row r="693" spans="9:32" ht="15" customHeight="1" x14ac:dyDescent="0.3">
      <c r="I693" s="201" t="str">
        <f t="shared" si="96"/>
        <v/>
      </c>
      <c r="J693" s="218">
        <f t="shared" si="97"/>
        <v>690</v>
      </c>
      <c r="K693" s="250"/>
      <c r="L693" s="219"/>
      <c r="M693" s="218"/>
      <c r="N693" s="220" t="str">
        <f>IFERROR(VLOOKUP(M693,Data!$C$4:$D$395,2,0),"")</f>
        <v/>
      </c>
      <c r="O693" s="220"/>
      <c r="P693" s="229"/>
      <c r="Q693" s="221"/>
      <c r="R693" s="222" t="str">
        <f t="shared" si="98"/>
        <v>-</v>
      </c>
      <c r="S693" s="223"/>
      <c r="T693" s="224"/>
      <c r="U693" s="225">
        <f t="shared" si="99"/>
        <v>0</v>
      </c>
      <c r="V693" s="226">
        <v>0</v>
      </c>
      <c r="W693" s="227"/>
      <c r="X693" s="228">
        <f t="shared" si="100"/>
        <v>0</v>
      </c>
      <c r="Y693" s="229"/>
      <c r="Z693" s="229"/>
      <c r="AA693" s="229"/>
      <c r="AB693" s="222">
        <f t="shared" si="101"/>
        <v>0</v>
      </c>
      <c r="AC693" s="230">
        <f t="shared" si="102"/>
        <v>0</v>
      </c>
      <c r="AD693" s="222" t="str">
        <f t="shared" si="103"/>
        <v/>
      </c>
      <c r="AE693" s="201"/>
      <c r="AF693" s="231" t="str">
        <f>+IFERROR(VLOOKUP(L693,Data!$F$4:$G$97,2,0),"")</f>
        <v/>
      </c>
    </row>
    <row r="694" spans="9:32" ht="15" customHeight="1" x14ac:dyDescent="0.3">
      <c r="I694" s="201" t="str">
        <f t="shared" si="96"/>
        <v/>
      </c>
      <c r="J694" s="218">
        <f t="shared" si="97"/>
        <v>691</v>
      </c>
      <c r="K694" s="250"/>
      <c r="L694" s="219"/>
      <c r="M694" s="218"/>
      <c r="N694" s="220" t="str">
        <f>IFERROR(VLOOKUP(M694,Data!$C$4:$D$395,2,0),"")</f>
        <v/>
      </c>
      <c r="O694" s="220"/>
      <c r="P694" s="229"/>
      <c r="Q694" s="221"/>
      <c r="R694" s="222" t="str">
        <f t="shared" si="98"/>
        <v>-</v>
      </c>
      <c r="S694" s="223"/>
      <c r="T694" s="224"/>
      <c r="U694" s="225">
        <f t="shared" si="99"/>
        <v>0</v>
      </c>
      <c r="V694" s="226">
        <v>0</v>
      </c>
      <c r="W694" s="227"/>
      <c r="X694" s="228">
        <f t="shared" si="100"/>
        <v>0</v>
      </c>
      <c r="Y694" s="229"/>
      <c r="Z694" s="229"/>
      <c r="AA694" s="229"/>
      <c r="AB694" s="222">
        <f t="shared" si="101"/>
        <v>0</v>
      </c>
      <c r="AC694" s="230">
        <f t="shared" si="102"/>
        <v>0</v>
      </c>
      <c r="AD694" s="222" t="str">
        <f t="shared" si="103"/>
        <v/>
      </c>
      <c r="AE694" s="201"/>
      <c r="AF694" s="231" t="str">
        <f>+IFERROR(VLOOKUP(L694,Data!$F$4:$G$97,2,0),"")</f>
        <v/>
      </c>
    </row>
    <row r="695" spans="9:32" ht="15" customHeight="1" x14ac:dyDescent="0.3">
      <c r="I695" s="201" t="str">
        <f t="shared" si="96"/>
        <v/>
      </c>
      <c r="J695" s="218">
        <f t="shared" si="97"/>
        <v>692</v>
      </c>
      <c r="K695" s="250"/>
      <c r="L695" s="219"/>
      <c r="M695" s="218"/>
      <c r="N695" s="220" t="str">
        <f>IFERROR(VLOOKUP(M695,Data!$C$4:$D$395,2,0),"")</f>
        <v/>
      </c>
      <c r="O695" s="220"/>
      <c r="P695" s="229"/>
      <c r="Q695" s="221"/>
      <c r="R695" s="222" t="str">
        <f t="shared" si="98"/>
        <v>-</v>
      </c>
      <c r="S695" s="223"/>
      <c r="T695" s="224"/>
      <c r="U695" s="225">
        <f t="shared" si="99"/>
        <v>0</v>
      </c>
      <c r="V695" s="226">
        <v>0</v>
      </c>
      <c r="W695" s="227"/>
      <c r="X695" s="228">
        <f t="shared" si="100"/>
        <v>0</v>
      </c>
      <c r="Y695" s="229"/>
      <c r="Z695" s="229"/>
      <c r="AA695" s="229"/>
      <c r="AB695" s="222">
        <f t="shared" si="101"/>
        <v>0</v>
      </c>
      <c r="AC695" s="230">
        <f t="shared" si="102"/>
        <v>0</v>
      </c>
      <c r="AD695" s="222" t="str">
        <f t="shared" si="103"/>
        <v/>
      </c>
      <c r="AE695" s="201"/>
      <c r="AF695" s="231" t="str">
        <f>+IFERROR(VLOOKUP(L695,Data!$F$4:$G$97,2,0),"")</f>
        <v/>
      </c>
    </row>
    <row r="696" spans="9:32" ht="15" customHeight="1" x14ac:dyDescent="0.3">
      <c r="I696" s="201" t="str">
        <f t="shared" si="96"/>
        <v/>
      </c>
      <c r="J696" s="218">
        <f t="shared" si="97"/>
        <v>693</v>
      </c>
      <c r="K696" s="250"/>
      <c r="L696" s="219"/>
      <c r="M696" s="218"/>
      <c r="N696" s="220" t="str">
        <f>IFERROR(VLOOKUP(M696,Data!$C$4:$D$395,2,0),"")</f>
        <v/>
      </c>
      <c r="O696" s="220"/>
      <c r="P696" s="229"/>
      <c r="Q696" s="221"/>
      <c r="R696" s="222" t="str">
        <f t="shared" si="98"/>
        <v>-</v>
      </c>
      <c r="S696" s="223"/>
      <c r="T696" s="224"/>
      <c r="U696" s="225">
        <f t="shared" si="99"/>
        <v>0</v>
      </c>
      <c r="V696" s="226">
        <v>0</v>
      </c>
      <c r="W696" s="227"/>
      <c r="X696" s="228">
        <f t="shared" si="100"/>
        <v>0</v>
      </c>
      <c r="Y696" s="229"/>
      <c r="Z696" s="229"/>
      <c r="AA696" s="229"/>
      <c r="AB696" s="222">
        <f t="shared" si="101"/>
        <v>0</v>
      </c>
      <c r="AC696" s="230">
        <f t="shared" si="102"/>
        <v>0</v>
      </c>
      <c r="AD696" s="222" t="str">
        <f t="shared" si="103"/>
        <v/>
      </c>
      <c r="AE696" s="201"/>
      <c r="AF696" s="231" t="str">
        <f>+IFERROR(VLOOKUP(L696,Data!$F$4:$G$97,2,0),"")</f>
        <v/>
      </c>
    </row>
    <row r="697" spans="9:32" ht="15" customHeight="1" x14ac:dyDescent="0.3">
      <c r="I697" s="201" t="str">
        <f t="shared" si="96"/>
        <v/>
      </c>
      <c r="J697" s="218">
        <f t="shared" si="97"/>
        <v>694</v>
      </c>
      <c r="K697" s="250"/>
      <c r="L697" s="219"/>
      <c r="M697" s="218"/>
      <c r="N697" s="220" t="str">
        <f>IFERROR(VLOOKUP(M697,Data!$C$4:$D$395,2,0),"")</f>
        <v/>
      </c>
      <c r="O697" s="220"/>
      <c r="P697" s="229"/>
      <c r="Q697" s="221"/>
      <c r="R697" s="222" t="str">
        <f t="shared" si="98"/>
        <v>-</v>
      </c>
      <c r="S697" s="223"/>
      <c r="T697" s="224"/>
      <c r="U697" s="225">
        <f t="shared" si="99"/>
        <v>0</v>
      </c>
      <c r="V697" s="226">
        <v>0</v>
      </c>
      <c r="W697" s="227"/>
      <c r="X697" s="228">
        <f t="shared" si="100"/>
        <v>0</v>
      </c>
      <c r="Y697" s="229"/>
      <c r="Z697" s="229"/>
      <c r="AA697" s="229"/>
      <c r="AB697" s="222">
        <f t="shared" si="101"/>
        <v>0</v>
      </c>
      <c r="AC697" s="230">
        <f t="shared" si="102"/>
        <v>0</v>
      </c>
      <c r="AD697" s="222" t="str">
        <f t="shared" si="103"/>
        <v/>
      </c>
      <c r="AE697" s="201"/>
      <c r="AF697" s="231" t="str">
        <f>+IFERROR(VLOOKUP(L697,Data!$F$4:$G$97,2,0),"")</f>
        <v/>
      </c>
    </row>
    <row r="698" spans="9:32" ht="15" customHeight="1" x14ac:dyDescent="0.3">
      <c r="I698" s="201" t="str">
        <f t="shared" si="96"/>
        <v/>
      </c>
      <c r="J698" s="218">
        <f t="shared" si="97"/>
        <v>695</v>
      </c>
      <c r="K698" s="250"/>
      <c r="L698" s="219"/>
      <c r="M698" s="218"/>
      <c r="N698" s="220" t="str">
        <f>IFERROR(VLOOKUP(M698,Data!$C$4:$D$395,2,0),"")</f>
        <v/>
      </c>
      <c r="O698" s="220"/>
      <c r="P698" s="229"/>
      <c r="Q698" s="221"/>
      <c r="R698" s="222" t="str">
        <f t="shared" si="98"/>
        <v>-</v>
      </c>
      <c r="S698" s="223"/>
      <c r="T698" s="224"/>
      <c r="U698" s="225">
        <f t="shared" si="99"/>
        <v>0</v>
      </c>
      <c r="V698" s="226">
        <v>0</v>
      </c>
      <c r="W698" s="227"/>
      <c r="X698" s="228">
        <f t="shared" si="100"/>
        <v>0</v>
      </c>
      <c r="Y698" s="229"/>
      <c r="Z698" s="229"/>
      <c r="AA698" s="229"/>
      <c r="AB698" s="222">
        <f t="shared" si="101"/>
        <v>0</v>
      </c>
      <c r="AC698" s="230">
        <f t="shared" si="102"/>
        <v>0</v>
      </c>
      <c r="AD698" s="222" t="str">
        <f t="shared" si="103"/>
        <v/>
      </c>
      <c r="AE698" s="201"/>
      <c r="AF698" s="231" t="str">
        <f>+IFERROR(VLOOKUP(L698,Data!$F$4:$G$97,2,0),"")</f>
        <v/>
      </c>
    </row>
    <row r="699" spans="9:32" ht="15" customHeight="1" x14ac:dyDescent="0.3">
      <c r="I699" s="201" t="str">
        <f t="shared" si="96"/>
        <v/>
      </c>
      <c r="J699" s="218">
        <f t="shared" si="97"/>
        <v>696</v>
      </c>
      <c r="K699" s="250"/>
      <c r="L699" s="219"/>
      <c r="M699" s="218"/>
      <c r="N699" s="220" t="str">
        <f>IFERROR(VLOOKUP(M699,Data!$C$4:$D$395,2,0),"")</f>
        <v/>
      </c>
      <c r="O699" s="220"/>
      <c r="P699" s="229"/>
      <c r="Q699" s="221"/>
      <c r="R699" s="222" t="str">
        <f t="shared" si="98"/>
        <v>-</v>
      </c>
      <c r="S699" s="223"/>
      <c r="T699" s="224"/>
      <c r="U699" s="225">
        <f t="shared" si="99"/>
        <v>0</v>
      </c>
      <c r="V699" s="226">
        <v>0</v>
      </c>
      <c r="W699" s="227"/>
      <c r="X699" s="228">
        <f t="shared" si="100"/>
        <v>0</v>
      </c>
      <c r="Y699" s="229"/>
      <c r="Z699" s="229"/>
      <c r="AA699" s="229"/>
      <c r="AB699" s="222">
        <f t="shared" si="101"/>
        <v>0</v>
      </c>
      <c r="AC699" s="230">
        <f t="shared" si="102"/>
        <v>0</v>
      </c>
      <c r="AD699" s="222" t="str">
        <f t="shared" si="103"/>
        <v/>
      </c>
      <c r="AE699" s="201"/>
      <c r="AF699" s="231" t="str">
        <f>+IFERROR(VLOOKUP(L699,Data!$F$4:$G$97,2,0),"")</f>
        <v/>
      </c>
    </row>
    <row r="700" spans="9:32" ht="15" customHeight="1" x14ac:dyDescent="0.3">
      <c r="I700" s="201" t="str">
        <f t="shared" si="96"/>
        <v/>
      </c>
      <c r="J700" s="218">
        <f t="shared" si="97"/>
        <v>697</v>
      </c>
      <c r="K700" s="250"/>
      <c r="L700" s="219"/>
      <c r="M700" s="218"/>
      <c r="N700" s="220" t="str">
        <f>IFERROR(VLOOKUP(M700,Data!$C$4:$D$395,2,0),"")</f>
        <v/>
      </c>
      <c r="O700" s="220"/>
      <c r="P700" s="229"/>
      <c r="Q700" s="221"/>
      <c r="R700" s="222" t="str">
        <f t="shared" si="98"/>
        <v>-</v>
      </c>
      <c r="S700" s="223"/>
      <c r="T700" s="224"/>
      <c r="U700" s="225">
        <f t="shared" si="99"/>
        <v>0</v>
      </c>
      <c r="V700" s="226">
        <v>0</v>
      </c>
      <c r="W700" s="227"/>
      <c r="X700" s="228">
        <f t="shared" si="100"/>
        <v>0</v>
      </c>
      <c r="Y700" s="229"/>
      <c r="Z700" s="229"/>
      <c r="AA700" s="229"/>
      <c r="AB700" s="222">
        <f t="shared" si="101"/>
        <v>0</v>
      </c>
      <c r="AC700" s="230">
        <f t="shared" si="102"/>
        <v>0</v>
      </c>
      <c r="AD700" s="222" t="str">
        <f t="shared" si="103"/>
        <v/>
      </c>
      <c r="AE700" s="201"/>
      <c r="AF700" s="231" t="str">
        <f>+IFERROR(VLOOKUP(L700,Data!$F$4:$G$97,2,0),"")</f>
        <v/>
      </c>
    </row>
    <row r="701" spans="9:32" ht="15" customHeight="1" x14ac:dyDescent="0.3">
      <c r="I701" s="201" t="str">
        <f t="shared" ref="I701:I764" si="104">+AF701</f>
        <v/>
      </c>
      <c r="J701" s="218">
        <f t="shared" si="97"/>
        <v>698</v>
      </c>
      <c r="K701" s="250"/>
      <c r="L701" s="219"/>
      <c r="M701" s="218"/>
      <c r="N701" s="220" t="str">
        <f>IFERROR(VLOOKUP(M701,Data!$C$4:$D$395,2,0),"")</f>
        <v/>
      </c>
      <c r="O701" s="220"/>
      <c r="P701" s="229"/>
      <c r="Q701" s="221"/>
      <c r="R701" s="222" t="str">
        <f t="shared" si="98"/>
        <v>-</v>
      </c>
      <c r="S701" s="223"/>
      <c r="T701" s="224"/>
      <c r="U701" s="225">
        <f t="shared" si="99"/>
        <v>0</v>
      </c>
      <c r="V701" s="226">
        <v>0</v>
      </c>
      <c r="W701" s="227"/>
      <c r="X701" s="228">
        <f t="shared" si="100"/>
        <v>0</v>
      </c>
      <c r="Y701" s="229"/>
      <c r="Z701" s="229"/>
      <c r="AA701" s="229"/>
      <c r="AB701" s="222">
        <f t="shared" si="101"/>
        <v>0</v>
      </c>
      <c r="AC701" s="230">
        <f t="shared" si="102"/>
        <v>0</v>
      </c>
      <c r="AD701" s="222" t="str">
        <f t="shared" si="103"/>
        <v/>
      </c>
      <c r="AE701" s="201"/>
      <c r="AF701" s="231" t="str">
        <f>+IFERROR(VLOOKUP(L701,Data!$F$4:$G$97,2,0),"")</f>
        <v/>
      </c>
    </row>
    <row r="702" spans="9:32" ht="15" customHeight="1" x14ac:dyDescent="0.3">
      <c r="I702" s="201" t="str">
        <f t="shared" si="104"/>
        <v/>
      </c>
      <c r="J702" s="218">
        <f t="shared" ref="J702:J765" si="105">J701+1</f>
        <v>699</v>
      </c>
      <c r="K702" s="250"/>
      <c r="L702" s="219"/>
      <c r="M702" s="218"/>
      <c r="N702" s="220" t="str">
        <f>IFERROR(VLOOKUP(M702,Data!$C$4:$D$395,2,0),"")</f>
        <v/>
      </c>
      <c r="O702" s="220"/>
      <c r="P702" s="229"/>
      <c r="Q702" s="221"/>
      <c r="R702" s="222" t="str">
        <f t="shared" si="98"/>
        <v>-</v>
      </c>
      <c r="S702" s="223"/>
      <c r="T702" s="224"/>
      <c r="U702" s="225">
        <f t="shared" si="99"/>
        <v>0</v>
      </c>
      <c r="V702" s="226">
        <v>0</v>
      </c>
      <c r="W702" s="227"/>
      <c r="X702" s="228">
        <f t="shared" si="100"/>
        <v>0</v>
      </c>
      <c r="Y702" s="229"/>
      <c r="Z702" s="229"/>
      <c r="AA702" s="229"/>
      <c r="AB702" s="222">
        <f t="shared" si="101"/>
        <v>0</v>
      </c>
      <c r="AC702" s="230">
        <f t="shared" si="102"/>
        <v>0</v>
      </c>
      <c r="AD702" s="222" t="str">
        <f t="shared" si="103"/>
        <v/>
      </c>
      <c r="AE702" s="201"/>
      <c r="AF702" s="231" t="str">
        <f>+IFERROR(VLOOKUP(L702,Data!$F$4:$G$97,2,0),"")</f>
        <v/>
      </c>
    </row>
    <row r="703" spans="9:32" ht="15" customHeight="1" x14ac:dyDescent="0.3">
      <c r="I703" s="201" t="str">
        <f t="shared" si="104"/>
        <v/>
      </c>
      <c r="J703" s="218">
        <f t="shared" si="105"/>
        <v>700</v>
      </c>
      <c r="K703" s="250"/>
      <c r="L703" s="219"/>
      <c r="M703" s="218"/>
      <c r="N703" s="220" t="str">
        <f>IFERROR(VLOOKUP(M703,Data!$C$4:$D$395,2,0),"")</f>
        <v/>
      </c>
      <c r="O703" s="220"/>
      <c r="P703" s="229"/>
      <c r="Q703" s="221"/>
      <c r="R703" s="222" t="str">
        <f t="shared" si="98"/>
        <v>-</v>
      </c>
      <c r="S703" s="223"/>
      <c r="T703" s="224"/>
      <c r="U703" s="225">
        <f t="shared" si="99"/>
        <v>0</v>
      </c>
      <c r="V703" s="226">
        <v>0</v>
      </c>
      <c r="W703" s="227"/>
      <c r="X703" s="228">
        <f t="shared" si="100"/>
        <v>0</v>
      </c>
      <c r="Y703" s="229"/>
      <c r="Z703" s="229"/>
      <c r="AA703" s="229"/>
      <c r="AB703" s="222">
        <f t="shared" si="101"/>
        <v>0</v>
      </c>
      <c r="AC703" s="230">
        <f t="shared" si="102"/>
        <v>0</v>
      </c>
      <c r="AD703" s="222" t="str">
        <f t="shared" si="103"/>
        <v/>
      </c>
      <c r="AE703" s="201"/>
      <c r="AF703" s="231" t="str">
        <f>+IFERROR(VLOOKUP(L703,Data!$F$4:$G$97,2,0),"")</f>
        <v/>
      </c>
    </row>
    <row r="704" spans="9:32" ht="15" customHeight="1" x14ac:dyDescent="0.3">
      <c r="I704" s="201" t="str">
        <f t="shared" si="104"/>
        <v/>
      </c>
      <c r="J704" s="218">
        <f t="shared" si="105"/>
        <v>701</v>
      </c>
      <c r="K704" s="250"/>
      <c r="L704" s="219"/>
      <c r="M704" s="218"/>
      <c r="N704" s="220" t="str">
        <f>IFERROR(VLOOKUP(M704,Data!$C$4:$D$395,2,0),"")</f>
        <v/>
      </c>
      <c r="O704" s="220"/>
      <c r="P704" s="229"/>
      <c r="Q704" s="221"/>
      <c r="R704" s="222" t="str">
        <f t="shared" ref="R704:R767" si="106">IFERROR(Q704/P704, "-")</f>
        <v>-</v>
      </c>
      <c r="S704" s="223"/>
      <c r="T704" s="224"/>
      <c r="U704" s="225">
        <f t="shared" ref="U704:U767" si="107">+Q704*S704+P704*T704</f>
        <v>0</v>
      </c>
      <c r="V704" s="226">
        <v>0</v>
      </c>
      <c r="W704" s="227"/>
      <c r="X704" s="228">
        <f t="shared" ref="X704:X767" si="108">+Q704*V704+P704*W704</f>
        <v>0</v>
      </c>
      <c r="Y704" s="229"/>
      <c r="Z704" s="229"/>
      <c r="AA704" s="229"/>
      <c r="AB704" s="222">
        <f t="shared" ref="AB704:AB767" si="109">+Y704+Z704+AA704</f>
        <v>0</v>
      </c>
      <c r="AC704" s="230">
        <f t="shared" ref="AC704:AC767" si="110">IF((U704-Y704-Z704-AA704)&lt;0,"",(U704-Y704-Z704-AA704))</f>
        <v>0</v>
      </c>
      <c r="AD704" s="222" t="str">
        <f t="shared" ref="AD704:AD767" si="111">IF((U704-Y704-Z704-AA704)&lt;0,(Y704+Z704+AA704-U704),"")</f>
        <v/>
      </c>
      <c r="AE704" s="201"/>
      <c r="AF704" s="231" t="str">
        <f>+IFERROR(VLOOKUP(L704,Data!$F$4:$G$97,2,0),"")</f>
        <v/>
      </c>
    </row>
    <row r="705" spans="9:32" ht="15" customHeight="1" x14ac:dyDescent="0.3">
      <c r="I705" s="201" t="str">
        <f t="shared" si="104"/>
        <v/>
      </c>
      <c r="J705" s="218">
        <f t="shared" si="105"/>
        <v>702</v>
      </c>
      <c r="K705" s="250"/>
      <c r="L705" s="219"/>
      <c r="M705" s="218"/>
      <c r="N705" s="220" t="str">
        <f>IFERROR(VLOOKUP(M705,Data!$C$4:$D$395,2,0),"")</f>
        <v/>
      </c>
      <c r="O705" s="220"/>
      <c r="P705" s="229"/>
      <c r="Q705" s="221"/>
      <c r="R705" s="222" t="str">
        <f t="shared" si="106"/>
        <v>-</v>
      </c>
      <c r="S705" s="223"/>
      <c r="T705" s="224"/>
      <c r="U705" s="225">
        <f t="shared" si="107"/>
        <v>0</v>
      </c>
      <c r="V705" s="226">
        <v>0</v>
      </c>
      <c r="W705" s="227"/>
      <c r="X705" s="228">
        <f t="shared" si="108"/>
        <v>0</v>
      </c>
      <c r="Y705" s="229"/>
      <c r="Z705" s="229"/>
      <c r="AA705" s="229"/>
      <c r="AB705" s="222">
        <f t="shared" si="109"/>
        <v>0</v>
      </c>
      <c r="AC705" s="230">
        <f t="shared" si="110"/>
        <v>0</v>
      </c>
      <c r="AD705" s="222" t="str">
        <f t="shared" si="111"/>
        <v/>
      </c>
      <c r="AE705" s="201"/>
      <c r="AF705" s="231" t="str">
        <f>+IFERROR(VLOOKUP(L705,Data!$F$4:$G$97,2,0),"")</f>
        <v/>
      </c>
    </row>
    <row r="706" spans="9:32" ht="15" customHeight="1" x14ac:dyDescent="0.3">
      <c r="I706" s="201" t="str">
        <f t="shared" si="104"/>
        <v/>
      </c>
      <c r="J706" s="218">
        <f t="shared" si="105"/>
        <v>703</v>
      </c>
      <c r="K706" s="250"/>
      <c r="L706" s="219"/>
      <c r="M706" s="218"/>
      <c r="N706" s="220" t="str">
        <f>IFERROR(VLOOKUP(M706,Data!$C$4:$D$395,2,0),"")</f>
        <v/>
      </c>
      <c r="O706" s="220"/>
      <c r="P706" s="229"/>
      <c r="Q706" s="221"/>
      <c r="R706" s="222" t="str">
        <f t="shared" si="106"/>
        <v>-</v>
      </c>
      <c r="S706" s="223"/>
      <c r="T706" s="224"/>
      <c r="U706" s="225">
        <f t="shared" si="107"/>
        <v>0</v>
      </c>
      <c r="V706" s="226">
        <v>0</v>
      </c>
      <c r="W706" s="227"/>
      <c r="X706" s="228">
        <f t="shared" si="108"/>
        <v>0</v>
      </c>
      <c r="Y706" s="229"/>
      <c r="Z706" s="229"/>
      <c r="AA706" s="229"/>
      <c r="AB706" s="222">
        <f t="shared" si="109"/>
        <v>0</v>
      </c>
      <c r="AC706" s="230">
        <f t="shared" si="110"/>
        <v>0</v>
      </c>
      <c r="AD706" s="222" t="str">
        <f t="shared" si="111"/>
        <v/>
      </c>
      <c r="AE706" s="201"/>
      <c r="AF706" s="231" t="str">
        <f>+IFERROR(VLOOKUP(L706,Data!$F$4:$G$97,2,0),"")</f>
        <v/>
      </c>
    </row>
    <row r="707" spans="9:32" ht="15" customHeight="1" x14ac:dyDescent="0.3">
      <c r="I707" s="201" t="str">
        <f t="shared" si="104"/>
        <v/>
      </c>
      <c r="J707" s="218">
        <f t="shared" si="105"/>
        <v>704</v>
      </c>
      <c r="K707" s="250"/>
      <c r="L707" s="219"/>
      <c r="M707" s="218"/>
      <c r="N707" s="220" t="str">
        <f>IFERROR(VLOOKUP(M707,Data!$C$4:$D$395,2,0),"")</f>
        <v/>
      </c>
      <c r="O707" s="220"/>
      <c r="P707" s="229"/>
      <c r="Q707" s="221"/>
      <c r="R707" s="222" t="str">
        <f t="shared" si="106"/>
        <v>-</v>
      </c>
      <c r="S707" s="223"/>
      <c r="T707" s="224"/>
      <c r="U707" s="225">
        <f t="shared" si="107"/>
        <v>0</v>
      </c>
      <c r="V707" s="226">
        <v>0</v>
      </c>
      <c r="W707" s="227"/>
      <c r="X707" s="228">
        <f t="shared" si="108"/>
        <v>0</v>
      </c>
      <c r="Y707" s="229"/>
      <c r="Z707" s="229"/>
      <c r="AA707" s="229"/>
      <c r="AB707" s="222">
        <f t="shared" si="109"/>
        <v>0</v>
      </c>
      <c r="AC707" s="230">
        <f t="shared" si="110"/>
        <v>0</v>
      </c>
      <c r="AD707" s="222" t="str">
        <f t="shared" si="111"/>
        <v/>
      </c>
      <c r="AE707" s="201"/>
      <c r="AF707" s="231" t="str">
        <f>+IFERROR(VLOOKUP(L707,Data!$F$4:$G$97,2,0),"")</f>
        <v/>
      </c>
    </row>
    <row r="708" spans="9:32" ht="15" customHeight="1" x14ac:dyDescent="0.3">
      <c r="I708" s="201" t="str">
        <f t="shared" si="104"/>
        <v/>
      </c>
      <c r="J708" s="218">
        <f t="shared" si="105"/>
        <v>705</v>
      </c>
      <c r="K708" s="250"/>
      <c r="L708" s="219"/>
      <c r="M708" s="218"/>
      <c r="N708" s="220" t="str">
        <f>IFERROR(VLOOKUP(M708,Data!$C$4:$D$395,2,0),"")</f>
        <v/>
      </c>
      <c r="O708" s="220"/>
      <c r="P708" s="229"/>
      <c r="Q708" s="221"/>
      <c r="R708" s="222" t="str">
        <f t="shared" si="106"/>
        <v>-</v>
      </c>
      <c r="S708" s="223"/>
      <c r="T708" s="224"/>
      <c r="U708" s="225">
        <f t="shared" si="107"/>
        <v>0</v>
      </c>
      <c r="V708" s="226">
        <v>0</v>
      </c>
      <c r="W708" s="227"/>
      <c r="X708" s="228">
        <f t="shared" si="108"/>
        <v>0</v>
      </c>
      <c r="Y708" s="229"/>
      <c r="Z708" s="229"/>
      <c r="AA708" s="229"/>
      <c r="AB708" s="222">
        <f t="shared" si="109"/>
        <v>0</v>
      </c>
      <c r="AC708" s="230">
        <f t="shared" si="110"/>
        <v>0</v>
      </c>
      <c r="AD708" s="222" t="str">
        <f t="shared" si="111"/>
        <v/>
      </c>
      <c r="AE708" s="201"/>
      <c r="AF708" s="231" t="str">
        <f>+IFERROR(VLOOKUP(L708,Data!$F$4:$G$97,2,0),"")</f>
        <v/>
      </c>
    </row>
    <row r="709" spans="9:32" ht="15" customHeight="1" x14ac:dyDescent="0.3">
      <c r="I709" s="201" t="str">
        <f t="shared" si="104"/>
        <v/>
      </c>
      <c r="J709" s="218">
        <f t="shared" si="105"/>
        <v>706</v>
      </c>
      <c r="K709" s="250"/>
      <c r="L709" s="219"/>
      <c r="M709" s="218"/>
      <c r="N709" s="220" t="str">
        <f>IFERROR(VLOOKUP(M709,Data!$C$4:$D$395,2,0),"")</f>
        <v/>
      </c>
      <c r="O709" s="220"/>
      <c r="P709" s="229"/>
      <c r="Q709" s="221"/>
      <c r="R709" s="222" t="str">
        <f t="shared" si="106"/>
        <v>-</v>
      </c>
      <c r="S709" s="223"/>
      <c r="T709" s="224"/>
      <c r="U709" s="225">
        <f t="shared" si="107"/>
        <v>0</v>
      </c>
      <c r="V709" s="226">
        <v>0</v>
      </c>
      <c r="W709" s="227"/>
      <c r="X709" s="228">
        <f t="shared" si="108"/>
        <v>0</v>
      </c>
      <c r="Y709" s="229"/>
      <c r="Z709" s="229"/>
      <c r="AA709" s="229"/>
      <c r="AB709" s="222">
        <f t="shared" si="109"/>
        <v>0</v>
      </c>
      <c r="AC709" s="230">
        <f t="shared" si="110"/>
        <v>0</v>
      </c>
      <c r="AD709" s="222" t="str">
        <f t="shared" si="111"/>
        <v/>
      </c>
      <c r="AE709" s="201"/>
      <c r="AF709" s="231" t="str">
        <f>+IFERROR(VLOOKUP(L709,Data!$F$4:$G$97,2,0),"")</f>
        <v/>
      </c>
    </row>
    <row r="710" spans="9:32" ht="15" customHeight="1" x14ac:dyDescent="0.3">
      <c r="I710" s="201" t="str">
        <f t="shared" si="104"/>
        <v/>
      </c>
      <c r="J710" s="218">
        <f t="shared" si="105"/>
        <v>707</v>
      </c>
      <c r="K710" s="250"/>
      <c r="L710" s="219"/>
      <c r="M710" s="218"/>
      <c r="N710" s="220" t="str">
        <f>IFERROR(VLOOKUP(M710,Data!$C$4:$D$395,2,0),"")</f>
        <v/>
      </c>
      <c r="O710" s="220"/>
      <c r="P710" s="229"/>
      <c r="Q710" s="221"/>
      <c r="R710" s="222" t="str">
        <f t="shared" si="106"/>
        <v>-</v>
      </c>
      <c r="S710" s="223"/>
      <c r="T710" s="224"/>
      <c r="U710" s="225">
        <f t="shared" si="107"/>
        <v>0</v>
      </c>
      <c r="V710" s="226">
        <v>0</v>
      </c>
      <c r="W710" s="227"/>
      <c r="X710" s="228">
        <f t="shared" si="108"/>
        <v>0</v>
      </c>
      <c r="Y710" s="229"/>
      <c r="Z710" s="229"/>
      <c r="AA710" s="229"/>
      <c r="AB710" s="222">
        <f t="shared" si="109"/>
        <v>0</v>
      </c>
      <c r="AC710" s="230">
        <f t="shared" si="110"/>
        <v>0</v>
      </c>
      <c r="AD710" s="222" t="str">
        <f t="shared" si="111"/>
        <v/>
      </c>
      <c r="AE710" s="201"/>
      <c r="AF710" s="231" t="str">
        <f>+IFERROR(VLOOKUP(L710,Data!$F$4:$G$97,2,0),"")</f>
        <v/>
      </c>
    </row>
    <row r="711" spans="9:32" ht="15" customHeight="1" x14ac:dyDescent="0.3">
      <c r="I711" s="201" t="str">
        <f t="shared" si="104"/>
        <v/>
      </c>
      <c r="J711" s="218">
        <f t="shared" si="105"/>
        <v>708</v>
      </c>
      <c r="K711" s="250"/>
      <c r="L711" s="219"/>
      <c r="M711" s="218"/>
      <c r="N711" s="220" t="str">
        <f>IFERROR(VLOOKUP(M711,Data!$C$4:$D$395,2,0),"")</f>
        <v/>
      </c>
      <c r="O711" s="220"/>
      <c r="P711" s="229"/>
      <c r="Q711" s="221"/>
      <c r="R711" s="222" t="str">
        <f t="shared" si="106"/>
        <v>-</v>
      </c>
      <c r="S711" s="223"/>
      <c r="T711" s="224"/>
      <c r="U711" s="225">
        <f t="shared" si="107"/>
        <v>0</v>
      </c>
      <c r="V711" s="226">
        <v>0</v>
      </c>
      <c r="W711" s="227"/>
      <c r="X711" s="228">
        <f t="shared" si="108"/>
        <v>0</v>
      </c>
      <c r="Y711" s="229"/>
      <c r="Z711" s="229"/>
      <c r="AA711" s="229"/>
      <c r="AB711" s="222">
        <f t="shared" si="109"/>
        <v>0</v>
      </c>
      <c r="AC711" s="230">
        <f t="shared" si="110"/>
        <v>0</v>
      </c>
      <c r="AD711" s="222" t="str">
        <f t="shared" si="111"/>
        <v/>
      </c>
      <c r="AE711" s="201"/>
      <c r="AF711" s="231" t="str">
        <f>+IFERROR(VLOOKUP(L711,Data!$F$4:$G$97,2,0),"")</f>
        <v/>
      </c>
    </row>
    <row r="712" spans="9:32" ht="15" customHeight="1" x14ac:dyDescent="0.3">
      <c r="I712" s="201" t="str">
        <f t="shared" si="104"/>
        <v/>
      </c>
      <c r="J712" s="218">
        <f t="shared" si="105"/>
        <v>709</v>
      </c>
      <c r="K712" s="250"/>
      <c r="L712" s="219"/>
      <c r="M712" s="218"/>
      <c r="N712" s="220" t="str">
        <f>IFERROR(VLOOKUP(M712,Data!$C$4:$D$395,2,0),"")</f>
        <v/>
      </c>
      <c r="O712" s="220"/>
      <c r="P712" s="229"/>
      <c r="Q712" s="221"/>
      <c r="R712" s="222" t="str">
        <f t="shared" si="106"/>
        <v>-</v>
      </c>
      <c r="S712" s="223"/>
      <c r="T712" s="224"/>
      <c r="U712" s="225">
        <f t="shared" si="107"/>
        <v>0</v>
      </c>
      <c r="V712" s="226">
        <v>0</v>
      </c>
      <c r="W712" s="227"/>
      <c r="X712" s="228">
        <f t="shared" si="108"/>
        <v>0</v>
      </c>
      <c r="Y712" s="229"/>
      <c r="Z712" s="229"/>
      <c r="AA712" s="229"/>
      <c r="AB712" s="222">
        <f t="shared" si="109"/>
        <v>0</v>
      </c>
      <c r="AC712" s="230">
        <f t="shared" si="110"/>
        <v>0</v>
      </c>
      <c r="AD712" s="222" t="str">
        <f t="shared" si="111"/>
        <v/>
      </c>
      <c r="AE712" s="201"/>
      <c r="AF712" s="231" t="str">
        <f>+IFERROR(VLOOKUP(L712,Data!$F$4:$G$97,2,0),"")</f>
        <v/>
      </c>
    </row>
    <row r="713" spans="9:32" ht="15" customHeight="1" x14ac:dyDescent="0.3">
      <c r="I713" s="201" t="str">
        <f t="shared" si="104"/>
        <v/>
      </c>
      <c r="J713" s="218">
        <f t="shared" si="105"/>
        <v>710</v>
      </c>
      <c r="K713" s="250"/>
      <c r="L713" s="219"/>
      <c r="M713" s="218"/>
      <c r="N713" s="220" t="str">
        <f>IFERROR(VLOOKUP(M713,Data!$C$4:$D$395,2,0),"")</f>
        <v/>
      </c>
      <c r="O713" s="220"/>
      <c r="P713" s="229"/>
      <c r="Q713" s="221"/>
      <c r="R713" s="222" t="str">
        <f t="shared" si="106"/>
        <v>-</v>
      </c>
      <c r="S713" s="223"/>
      <c r="T713" s="224"/>
      <c r="U713" s="225">
        <f t="shared" si="107"/>
        <v>0</v>
      </c>
      <c r="V713" s="226">
        <v>0</v>
      </c>
      <c r="W713" s="227"/>
      <c r="X713" s="228">
        <f t="shared" si="108"/>
        <v>0</v>
      </c>
      <c r="Y713" s="229"/>
      <c r="Z713" s="229"/>
      <c r="AA713" s="229"/>
      <c r="AB713" s="222">
        <f t="shared" si="109"/>
        <v>0</v>
      </c>
      <c r="AC713" s="230">
        <f t="shared" si="110"/>
        <v>0</v>
      </c>
      <c r="AD713" s="222" t="str">
        <f t="shared" si="111"/>
        <v/>
      </c>
      <c r="AE713" s="201"/>
      <c r="AF713" s="231" t="str">
        <f>+IFERROR(VLOOKUP(L713,Data!$F$4:$G$97,2,0),"")</f>
        <v/>
      </c>
    </row>
    <row r="714" spans="9:32" ht="15" customHeight="1" x14ac:dyDescent="0.3">
      <c r="I714" s="201" t="str">
        <f t="shared" si="104"/>
        <v/>
      </c>
      <c r="J714" s="218">
        <f t="shared" si="105"/>
        <v>711</v>
      </c>
      <c r="K714" s="250"/>
      <c r="L714" s="219"/>
      <c r="M714" s="218"/>
      <c r="N714" s="220" t="str">
        <f>IFERROR(VLOOKUP(M714,Data!$C$4:$D$395,2,0),"")</f>
        <v/>
      </c>
      <c r="O714" s="220"/>
      <c r="P714" s="229"/>
      <c r="Q714" s="221"/>
      <c r="R714" s="222" t="str">
        <f t="shared" si="106"/>
        <v>-</v>
      </c>
      <c r="S714" s="223"/>
      <c r="T714" s="224"/>
      <c r="U714" s="225">
        <f t="shared" si="107"/>
        <v>0</v>
      </c>
      <c r="V714" s="226">
        <v>0</v>
      </c>
      <c r="W714" s="227"/>
      <c r="X714" s="228">
        <f t="shared" si="108"/>
        <v>0</v>
      </c>
      <c r="Y714" s="229"/>
      <c r="Z714" s="229"/>
      <c r="AA714" s="229"/>
      <c r="AB714" s="222">
        <f t="shared" si="109"/>
        <v>0</v>
      </c>
      <c r="AC714" s="230">
        <f t="shared" si="110"/>
        <v>0</v>
      </c>
      <c r="AD714" s="222" t="str">
        <f t="shared" si="111"/>
        <v/>
      </c>
      <c r="AE714" s="201"/>
      <c r="AF714" s="231" t="str">
        <f>+IFERROR(VLOOKUP(L714,Data!$F$4:$G$97,2,0),"")</f>
        <v/>
      </c>
    </row>
    <row r="715" spans="9:32" ht="15" customHeight="1" x14ac:dyDescent="0.3">
      <c r="I715" s="201" t="str">
        <f t="shared" si="104"/>
        <v/>
      </c>
      <c r="J715" s="218">
        <f t="shared" si="105"/>
        <v>712</v>
      </c>
      <c r="K715" s="250"/>
      <c r="L715" s="219"/>
      <c r="M715" s="218"/>
      <c r="N715" s="220" t="str">
        <f>IFERROR(VLOOKUP(M715,Data!$C$4:$D$395,2,0),"")</f>
        <v/>
      </c>
      <c r="O715" s="220"/>
      <c r="P715" s="229"/>
      <c r="Q715" s="221"/>
      <c r="R715" s="222" t="str">
        <f t="shared" si="106"/>
        <v>-</v>
      </c>
      <c r="S715" s="223"/>
      <c r="T715" s="224"/>
      <c r="U715" s="225">
        <f t="shared" si="107"/>
        <v>0</v>
      </c>
      <c r="V715" s="226">
        <v>0</v>
      </c>
      <c r="W715" s="227"/>
      <c r="X715" s="228">
        <f t="shared" si="108"/>
        <v>0</v>
      </c>
      <c r="Y715" s="229"/>
      <c r="Z715" s="229"/>
      <c r="AA715" s="229"/>
      <c r="AB715" s="222">
        <f t="shared" si="109"/>
        <v>0</v>
      </c>
      <c r="AC715" s="230">
        <f t="shared" si="110"/>
        <v>0</v>
      </c>
      <c r="AD715" s="222" t="str">
        <f t="shared" si="111"/>
        <v/>
      </c>
      <c r="AE715" s="201"/>
      <c r="AF715" s="231" t="str">
        <f>+IFERROR(VLOOKUP(L715,Data!$F$4:$G$97,2,0),"")</f>
        <v/>
      </c>
    </row>
    <row r="716" spans="9:32" ht="15" customHeight="1" x14ac:dyDescent="0.3">
      <c r="I716" s="201" t="str">
        <f t="shared" si="104"/>
        <v/>
      </c>
      <c r="J716" s="218">
        <f t="shared" si="105"/>
        <v>713</v>
      </c>
      <c r="K716" s="250"/>
      <c r="L716" s="219"/>
      <c r="M716" s="218"/>
      <c r="N716" s="220" t="str">
        <f>IFERROR(VLOOKUP(M716,Data!$C$4:$D$395,2,0),"")</f>
        <v/>
      </c>
      <c r="O716" s="220"/>
      <c r="P716" s="229"/>
      <c r="Q716" s="221"/>
      <c r="R716" s="222" t="str">
        <f t="shared" si="106"/>
        <v>-</v>
      </c>
      <c r="S716" s="223"/>
      <c r="T716" s="224"/>
      <c r="U716" s="225">
        <f t="shared" si="107"/>
        <v>0</v>
      </c>
      <c r="V716" s="226">
        <v>0</v>
      </c>
      <c r="W716" s="227"/>
      <c r="X716" s="228">
        <f t="shared" si="108"/>
        <v>0</v>
      </c>
      <c r="Y716" s="229"/>
      <c r="Z716" s="229"/>
      <c r="AA716" s="229"/>
      <c r="AB716" s="222">
        <f t="shared" si="109"/>
        <v>0</v>
      </c>
      <c r="AC716" s="230">
        <f t="shared" si="110"/>
        <v>0</v>
      </c>
      <c r="AD716" s="222" t="str">
        <f t="shared" si="111"/>
        <v/>
      </c>
      <c r="AE716" s="201"/>
      <c r="AF716" s="231" t="str">
        <f>+IFERROR(VLOOKUP(L716,Data!$F$4:$G$97,2,0),"")</f>
        <v/>
      </c>
    </row>
    <row r="717" spans="9:32" ht="15" customHeight="1" x14ac:dyDescent="0.3">
      <c r="I717" s="201" t="str">
        <f t="shared" si="104"/>
        <v/>
      </c>
      <c r="J717" s="218">
        <f t="shared" si="105"/>
        <v>714</v>
      </c>
      <c r="K717" s="250"/>
      <c r="L717" s="219"/>
      <c r="M717" s="218"/>
      <c r="N717" s="220" t="str">
        <f>IFERROR(VLOOKUP(M717,Data!$C$4:$D$395,2,0),"")</f>
        <v/>
      </c>
      <c r="O717" s="220"/>
      <c r="P717" s="229"/>
      <c r="Q717" s="221"/>
      <c r="R717" s="222" t="str">
        <f t="shared" si="106"/>
        <v>-</v>
      </c>
      <c r="S717" s="223"/>
      <c r="T717" s="224"/>
      <c r="U717" s="225">
        <f t="shared" si="107"/>
        <v>0</v>
      </c>
      <c r="V717" s="226">
        <v>0</v>
      </c>
      <c r="W717" s="227"/>
      <c r="X717" s="228">
        <f t="shared" si="108"/>
        <v>0</v>
      </c>
      <c r="Y717" s="229"/>
      <c r="Z717" s="229"/>
      <c r="AA717" s="229"/>
      <c r="AB717" s="222">
        <f t="shared" si="109"/>
        <v>0</v>
      </c>
      <c r="AC717" s="230">
        <f t="shared" si="110"/>
        <v>0</v>
      </c>
      <c r="AD717" s="222" t="str">
        <f t="shared" si="111"/>
        <v/>
      </c>
      <c r="AE717" s="201"/>
      <c r="AF717" s="231" t="str">
        <f>+IFERROR(VLOOKUP(L717,Data!$F$4:$G$97,2,0),"")</f>
        <v/>
      </c>
    </row>
    <row r="718" spans="9:32" ht="15" customHeight="1" x14ac:dyDescent="0.3">
      <c r="I718" s="201" t="str">
        <f t="shared" si="104"/>
        <v/>
      </c>
      <c r="J718" s="218">
        <f t="shared" si="105"/>
        <v>715</v>
      </c>
      <c r="K718" s="250"/>
      <c r="L718" s="219"/>
      <c r="M718" s="218"/>
      <c r="N718" s="220" t="str">
        <f>IFERROR(VLOOKUP(M718,Data!$C$4:$D$395,2,0),"")</f>
        <v/>
      </c>
      <c r="O718" s="220"/>
      <c r="P718" s="229"/>
      <c r="Q718" s="221"/>
      <c r="R718" s="222" t="str">
        <f t="shared" si="106"/>
        <v>-</v>
      </c>
      <c r="S718" s="223"/>
      <c r="T718" s="224"/>
      <c r="U718" s="225">
        <f t="shared" si="107"/>
        <v>0</v>
      </c>
      <c r="V718" s="226">
        <v>0</v>
      </c>
      <c r="W718" s="227"/>
      <c r="X718" s="228">
        <f t="shared" si="108"/>
        <v>0</v>
      </c>
      <c r="Y718" s="229"/>
      <c r="Z718" s="229"/>
      <c r="AA718" s="229"/>
      <c r="AB718" s="222">
        <f t="shared" si="109"/>
        <v>0</v>
      </c>
      <c r="AC718" s="230">
        <f t="shared" si="110"/>
        <v>0</v>
      </c>
      <c r="AD718" s="222" t="str">
        <f t="shared" si="111"/>
        <v/>
      </c>
      <c r="AE718" s="201"/>
      <c r="AF718" s="231" t="str">
        <f>+IFERROR(VLOOKUP(L718,Data!$F$4:$G$97,2,0),"")</f>
        <v/>
      </c>
    </row>
    <row r="719" spans="9:32" ht="15" customHeight="1" x14ac:dyDescent="0.3">
      <c r="I719" s="201" t="str">
        <f t="shared" si="104"/>
        <v/>
      </c>
      <c r="J719" s="218">
        <f t="shared" si="105"/>
        <v>716</v>
      </c>
      <c r="K719" s="250"/>
      <c r="L719" s="219"/>
      <c r="M719" s="218"/>
      <c r="N719" s="220" t="str">
        <f>IFERROR(VLOOKUP(M719,Data!$C$4:$D$395,2,0),"")</f>
        <v/>
      </c>
      <c r="O719" s="220"/>
      <c r="P719" s="229"/>
      <c r="Q719" s="221"/>
      <c r="R719" s="222" t="str">
        <f t="shared" si="106"/>
        <v>-</v>
      </c>
      <c r="S719" s="223"/>
      <c r="T719" s="224"/>
      <c r="U719" s="225">
        <f t="shared" si="107"/>
        <v>0</v>
      </c>
      <c r="V719" s="226">
        <v>0</v>
      </c>
      <c r="W719" s="227"/>
      <c r="X719" s="228">
        <f t="shared" si="108"/>
        <v>0</v>
      </c>
      <c r="Y719" s="229"/>
      <c r="Z719" s="229"/>
      <c r="AA719" s="229"/>
      <c r="AB719" s="222">
        <f t="shared" si="109"/>
        <v>0</v>
      </c>
      <c r="AC719" s="230">
        <f t="shared" si="110"/>
        <v>0</v>
      </c>
      <c r="AD719" s="222" t="str">
        <f t="shared" si="111"/>
        <v/>
      </c>
      <c r="AE719" s="201"/>
      <c r="AF719" s="231" t="str">
        <f>+IFERROR(VLOOKUP(L719,Data!$F$4:$G$97,2,0),"")</f>
        <v/>
      </c>
    </row>
    <row r="720" spans="9:32" ht="15" customHeight="1" x14ac:dyDescent="0.3">
      <c r="I720" s="201" t="str">
        <f t="shared" si="104"/>
        <v/>
      </c>
      <c r="J720" s="218">
        <f t="shared" si="105"/>
        <v>717</v>
      </c>
      <c r="K720" s="250"/>
      <c r="L720" s="219"/>
      <c r="M720" s="218"/>
      <c r="N720" s="220" t="str">
        <f>IFERROR(VLOOKUP(M720,Data!$C$4:$D$395,2,0),"")</f>
        <v/>
      </c>
      <c r="O720" s="220"/>
      <c r="P720" s="229"/>
      <c r="Q720" s="221"/>
      <c r="R720" s="222" t="str">
        <f t="shared" si="106"/>
        <v>-</v>
      </c>
      <c r="S720" s="223"/>
      <c r="T720" s="224"/>
      <c r="U720" s="225">
        <f t="shared" si="107"/>
        <v>0</v>
      </c>
      <c r="V720" s="226">
        <v>0</v>
      </c>
      <c r="W720" s="227"/>
      <c r="X720" s="228">
        <f t="shared" si="108"/>
        <v>0</v>
      </c>
      <c r="Y720" s="229"/>
      <c r="Z720" s="229"/>
      <c r="AA720" s="229"/>
      <c r="AB720" s="222">
        <f t="shared" si="109"/>
        <v>0</v>
      </c>
      <c r="AC720" s="230">
        <f t="shared" si="110"/>
        <v>0</v>
      </c>
      <c r="AD720" s="222" t="str">
        <f t="shared" si="111"/>
        <v/>
      </c>
      <c r="AE720" s="201"/>
      <c r="AF720" s="231" t="str">
        <f>+IFERROR(VLOOKUP(L720,Data!$F$4:$G$97,2,0),"")</f>
        <v/>
      </c>
    </row>
    <row r="721" spans="9:32" ht="15" customHeight="1" x14ac:dyDescent="0.3">
      <c r="I721" s="201" t="str">
        <f t="shared" si="104"/>
        <v/>
      </c>
      <c r="J721" s="218">
        <f t="shared" si="105"/>
        <v>718</v>
      </c>
      <c r="K721" s="250"/>
      <c r="L721" s="219"/>
      <c r="M721" s="218"/>
      <c r="N721" s="220" t="str">
        <f>IFERROR(VLOOKUP(M721,Data!$C$4:$D$395,2,0),"")</f>
        <v/>
      </c>
      <c r="O721" s="220"/>
      <c r="P721" s="229"/>
      <c r="Q721" s="221"/>
      <c r="R721" s="222" t="str">
        <f t="shared" si="106"/>
        <v>-</v>
      </c>
      <c r="S721" s="223"/>
      <c r="T721" s="224"/>
      <c r="U721" s="225">
        <f t="shared" si="107"/>
        <v>0</v>
      </c>
      <c r="V721" s="226">
        <v>0</v>
      </c>
      <c r="W721" s="227"/>
      <c r="X721" s="228">
        <f t="shared" si="108"/>
        <v>0</v>
      </c>
      <c r="Y721" s="229"/>
      <c r="Z721" s="229"/>
      <c r="AA721" s="229"/>
      <c r="AB721" s="222">
        <f t="shared" si="109"/>
        <v>0</v>
      </c>
      <c r="AC721" s="230">
        <f t="shared" si="110"/>
        <v>0</v>
      </c>
      <c r="AD721" s="222" t="str">
        <f t="shared" si="111"/>
        <v/>
      </c>
      <c r="AE721" s="201"/>
      <c r="AF721" s="231" t="str">
        <f>+IFERROR(VLOOKUP(L721,Data!$F$4:$G$97,2,0),"")</f>
        <v/>
      </c>
    </row>
    <row r="722" spans="9:32" ht="15" customHeight="1" x14ac:dyDescent="0.3">
      <c r="I722" s="201" t="str">
        <f t="shared" si="104"/>
        <v/>
      </c>
      <c r="J722" s="218">
        <f t="shared" si="105"/>
        <v>719</v>
      </c>
      <c r="K722" s="250"/>
      <c r="L722" s="219"/>
      <c r="M722" s="218"/>
      <c r="N722" s="220" t="str">
        <f>IFERROR(VLOOKUP(M722,Data!$C$4:$D$395,2,0),"")</f>
        <v/>
      </c>
      <c r="O722" s="220"/>
      <c r="P722" s="229"/>
      <c r="Q722" s="221"/>
      <c r="R722" s="222" t="str">
        <f t="shared" si="106"/>
        <v>-</v>
      </c>
      <c r="S722" s="223"/>
      <c r="T722" s="224"/>
      <c r="U722" s="225">
        <f t="shared" si="107"/>
        <v>0</v>
      </c>
      <c r="V722" s="226">
        <v>0</v>
      </c>
      <c r="W722" s="227"/>
      <c r="X722" s="228">
        <f t="shared" si="108"/>
        <v>0</v>
      </c>
      <c r="Y722" s="229"/>
      <c r="Z722" s="229"/>
      <c r="AA722" s="229"/>
      <c r="AB722" s="222">
        <f t="shared" si="109"/>
        <v>0</v>
      </c>
      <c r="AC722" s="230">
        <f t="shared" si="110"/>
        <v>0</v>
      </c>
      <c r="AD722" s="222" t="str">
        <f t="shared" si="111"/>
        <v/>
      </c>
      <c r="AE722" s="201"/>
      <c r="AF722" s="231" t="str">
        <f>+IFERROR(VLOOKUP(L722,Data!$F$4:$G$97,2,0),"")</f>
        <v/>
      </c>
    </row>
    <row r="723" spans="9:32" ht="15" customHeight="1" x14ac:dyDescent="0.3">
      <c r="I723" s="201" t="str">
        <f t="shared" si="104"/>
        <v/>
      </c>
      <c r="J723" s="218">
        <f t="shared" si="105"/>
        <v>720</v>
      </c>
      <c r="K723" s="250"/>
      <c r="L723" s="219"/>
      <c r="M723" s="218"/>
      <c r="N723" s="220" t="str">
        <f>IFERROR(VLOOKUP(M723,Data!$C$4:$D$395,2,0),"")</f>
        <v/>
      </c>
      <c r="O723" s="220"/>
      <c r="P723" s="229"/>
      <c r="Q723" s="221"/>
      <c r="R723" s="222" t="str">
        <f t="shared" si="106"/>
        <v>-</v>
      </c>
      <c r="S723" s="223"/>
      <c r="T723" s="224"/>
      <c r="U723" s="225">
        <f t="shared" si="107"/>
        <v>0</v>
      </c>
      <c r="V723" s="226">
        <v>0</v>
      </c>
      <c r="W723" s="227"/>
      <c r="X723" s="228">
        <f t="shared" si="108"/>
        <v>0</v>
      </c>
      <c r="Y723" s="229"/>
      <c r="Z723" s="229"/>
      <c r="AA723" s="229"/>
      <c r="AB723" s="222">
        <f t="shared" si="109"/>
        <v>0</v>
      </c>
      <c r="AC723" s="230">
        <f t="shared" si="110"/>
        <v>0</v>
      </c>
      <c r="AD723" s="222" t="str">
        <f t="shared" si="111"/>
        <v/>
      </c>
      <c r="AE723" s="201"/>
      <c r="AF723" s="231" t="str">
        <f>+IFERROR(VLOOKUP(L723,Data!$F$4:$G$97,2,0),"")</f>
        <v/>
      </c>
    </row>
    <row r="724" spans="9:32" ht="15" customHeight="1" x14ac:dyDescent="0.3">
      <c r="I724" s="201" t="str">
        <f t="shared" si="104"/>
        <v/>
      </c>
      <c r="J724" s="218">
        <f t="shared" si="105"/>
        <v>721</v>
      </c>
      <c r="K724" s="250"/>
      <c r="L724" s="219"/>
      <c r="M724" s="218"/>
      <c r="N724" s="220" t="str">
        <f>IFERROR(VLOOKUP(M724,Data!$C$4:$D$395,2,0),"")</f>
        <v/>
      </c>
      <c r="O724" s="220"/>
      <c r="P724" s="229"/>
      <c r="Q724" s="221"/>
      <c r="R724" s="222" t="str">
        <f t="shared" si="106"/>
        <v>-</v>
      </c>
      <c r="S724" s="223"/>
      <c r="T724" s="224"/>
      <c r="U724" s="225">
        <f t="shared" si="107"/>
        <v>0</v>
      </c>
      <c r="V724" s="226">
        <v>0</v>
      </c>
      <c r="W724" s="227"/>
      <c r="X724" s="228">
        <f t="shared" si="108"/>
        <v>0</v>
      </c>
      <c r="Y724" s="229"/>
      <c r="Z724" s="229"/>
      <c r="AA724" s="229"/>
      <c r="AB724" s="222">
        <f t="shared" si="109"/>
        <v>0</v>
      </c>
      <c r="AC724" s="230">
        <f t="shared" si="110"/>
        <v>0</v>
      </c>
      <c r="AD724" s="222" t="str">
        <f t="shared" si="111"/>
        <v/>
      </c>
      <c r="AE724" s="201"/>
      <c r="AF724" s="231" t="str">
        <f>+IFERROR(VLOOKUP(L724,Data!$F$4:$G$97,2,0),"")</f>
        <v/>
      </c>
    </row>
    <row r="725" spans="9:32" ht="15" customHeight="1" x14ac:dyDescent="0.3">
      <c r="I725" s="201" t="str">
        <f t="shared" si="104"/>
        <v/>
      </c>
      <c r="J725" s="218">
        <f t="shared" si="105"/>
        <v>722</v>
      </c>
      <c r="K725" s="250"/>
      <c r="L725" s="219"/>
      <c r="M725" s="218"/>
      <c r="N725" s="220" t="str">
        <f>IFERROR(VLOOKUP(M725,Data!$C$4:$D$395,2,0),"")</f>
        <v/>
      </c>
      <c r="O725" s="220"/>
      <c r="P725" s="229"/>
      <c r="Q725" s="221"/>
      <c r="R725" s="222" t="str">
        <f t="shared" si="106"/>
        <v>-</v>
      </c>
      <c r="S725" s="223"/>
      <c r="T725" s="224"/>
      <c r="U725" s="225">
        <f t="shared" si="107"/>
        <v>0</v>
      </c>
      <c r="V725" s="226">
        <v>0</v>
      </c>
      <c r="W725" s="227"/>
      <c r="X725" s="228">
        <f t="shared" si="108"/>
        <v>0</v>
      </c>
      <c r="Y725" s="229"/>
      <c r="Z725" s="229"/>
      <c r="AA725" s="229"/>
      <c r="AB725" s="222">
        <f t="shared" si="109"/>
        <v>0</v>
      </c>
      <c r="AC725" s="230">
        <f t="shared" si="110"/>
        <v>0</v>
      </c>
      <c r="AD725" s="222" t="str">
        <f t="shared" si="111"/>
        <v/>
      </c>
      <c r="AE725" s="201"/>
      <c r="AF725" s="231" t="str">
        <f>+IFERROR(VLOOKUP(L725,Data!$F$4:$G$97,2,0),"")</f>
        <v/>
      </c>
    </row>
    <row r="726" spans="9:32" ht="15" customHeight="1" x14ac:dyDescent="0.3">
      <c r="I726" s="201" t="str">
        <f t="shared" si="104"/>
        <v/>
      </c>
      <c r="J726" s="218">
        <f t="shared" si="105"/>
        <v>723</v>
      </c>
      <c r="K726" s="250"/>
      <c r="L726" s="219"/>
      <c r="M726" s="218"/>
      <c r="N726" s="220" t="str">
        <f>IFERROR(VLOOKUP(M726,Data!$C$4:$D$395,2,0),"")</f>
        <v/>
      </c>
      <c r="O726" s="220"/>
      <c r="P726" s="229"/>
      <c r="Q726" s="221"/>
      <c r="R726" s="222" t="str">
        <f t="shared" si="106"/>
        <v>-</v>
      </c>
      <c r="S726" s="223"/>
      <c r="T726" s="224"/>
      <c r="U726" s="225">
        <f t="shared" si="107"/>
        <v>0</v>
      </c>
      <c r="V726" s="226">
        <v>0</v>
      </c>
      <c r="W726" s="227"/>
      <c r="X726" s="228">
        <f t="shared" si="108"/>
        <v>0</v>
      </c>
      <c r="Y726" s="229"/>
      <c r="Z726" s="229"/>
      <c r="AA726" s="229"/>
      <c r="AB726" s="222">
        <f t="shared" si="109"/>
        <v>0</v>
      </c>
      <c r="AC726" s="230">
        <f t="shared" si="110"/>
        <v>0</v>
      </c>
      <c r="AD726" s="222" t="str">
        <f t="shared" si="111"/>
        <v/>
      </c>
      <c r="AE726" s="201"/>
      <c r="AF726" s="231" t="str">
        <f>+IFERROR(VLOOKUP(L726,Data!$F$4:$G$97,2,0),"")</f>
        <v/>
      </c>
    </row>
    <row r="727" spans="9:32" ht="15" customHeight="1" x14ac:dyDescent="0.3">
      <c r="I727" s="201" t="str">
        <f t="shared" si="104"/>
        <v/>
      </c>
      <c r="J727" s="218">
        <f t="shared" si="105"/>
        <v>724</v>
      </c>
      <c r="K727" s="250"/>
      <c r="L727" s="219"/>
      <c r="M727" s="218"/>
      <c r="N727" s="220" t="str">
        <f>IFERROR(VLOOKUP(M727,Data!$C$4:$D$395,2,0),"")</f>
        <v/>
      </c>
      <c r="O727" s="220"/>
      <c r="P727" s="229"/>
      <c r="Q727" s="221"/>
      <c r="R727" s="222" t="str">
        <f t="shared" si="106"/>
        <v>-</v>
      </c>
      <c r="S727" s="223"/>
      <c r="T727" s="224"/>
      <c r="U727" s="225">
        <f t="shared" si="107"/>
        <v>0</v>
      </c>
      <c r="V727" s="226">
        <v>0</v>
      </c>
      <c r="W727" s="227"/>
      <c r="X727" s="228">
        <f t="shared" si="108"/>
        <v>0</v>
      </c>
      <c r="Y727" s="229"/>
      <c r="Z727" s="229"/>
      <c r="AA727" s="229"/>
      <c r="AB727" s="222">
        <f t="shared" si="109"/>
        <v>0</v>
      </c>
      <c r="AC727" s="230">
        <f t="shared" si="110"/>
        <v>0</v>
      </c>
      <c r="AD727" s="222" t="str">
        <f t="shared" si="111"/>
        <v/>
      </c>
      <c r="AE727" s="201"/>
      <c r="AF727" s="231" t="str">
        <f>+IFERROR(VLOOKUP(L727,Data!$F$4:$G$97,2,0),"")</f>
        <v/>
      </c>
    </row>
    <row r="728" spans="9:32" ht="15" customHeight="1" x14ac:dyDescent="0.3">
      <c r="I728" s="201" t="str">
        <f t="shared" si="104"/>
        <v/>
      </c>
      <c r="J728" s="218">
        <f t="shared" si="105"/>
        <v>725</v>
      </c>
      <c r="K728" s="250"/>
      <c r="L728" s="219"/>
      <c r="M728" s="218"/>
      <c r="N728" s="220" t="str">
        <f>IFERROR(VLOOKUP(M728,Data!$C$4:$D$395,2,0),"")</f>
        <v/>
      </c>
      <c r="O728" s="220"/>
      <c r="P728" s="229"/>
      <c r="Q728" s="221"/>
      <c r="R728" s="222" t="str">
        <f t="shared" si="106"/>
        <v>-</v>
      </c>
      <c r="S728" s="223"/>
      <c r="T728" s="224"/>
      <c r="U728" s="225">
        <f t="shared" si="107"/>
        <v>0</v>
      </c>
      <c r="V728" s="226">
        <v>0</v>
      </c>
      <c r="W728" s="227"/>
      <c r="X728" s="228">
        <f t="shared" si="108"/>
        <v>0</v>
      </c>
      <c r="Y728" s="229"/>
      <c r="Z728" s="229"/>
      <c r="AA728" s="229"/>
      <c r="AB728" s="222">
        <f t="shared" si="109"/>
        <v>0</v>
      </c>
      <c r="AC728" s="230">
        <f t="shared" si="110"/>
        <v>0</v>
      </c>
      <c r="AD728" s="222" t="str">
        <f t="shared" si="111"/>
        <v/>
      </c>
      <c r="AE728" s="201"/>
      <c r="AF728" s="231" t="str">
        <f>+IFERROR(VLOOKUP(L728,Data!$F$4:$G$97,2,0),"")</f>
        <v/>
      </c>
    </row>
    <row r="729" spans="9:32" ht="15" customHeight="1" x14ac:dyDescent="0.3">
      <c r="I729" s="201" t="str">
        <f t="shared" si="104"/>
        <v/>
      </c>
      <c r="J729" s="218">
        <f t="shared" si="105"/>
        <v>726</v>
      </c>
      <c r="K729" s="250"/>
      <c r="L729" s="219"/>
      <c r="M729" s="218"/>
      <c r="N729" s="220" t="str">
        <f>IFERROR(VLOOKUP(M729,Data!$C$4:$D$395,2,0),"")</f>
        <v/>
      </c>
      <c r="O729" s="220"/>
      <c r="P729" s="229"/>
      <c r="Q729" s="221"/>
      <c r="R729" s="222" t="str">
        <f t="shared" si="106"/>
        <v>-</v>
      </c>
      <c r="S729" s="223"/>
      <c r="T729" s="224"/>
      <c r="U729" s="225">
        <f t="shared" si="107"/>
        <v>0</v>
      </c>
      <c r="V729" s="226">
        <v>0</v>
      </c>
      <c r="W729" s="227"/>
      <c r="X729" s="228">
        <f t="shared" si="108"/>
        <v>0</v>
      </c>
      <c r="Y729" s="229"/>
      <c r="Z729" s="229"/>
      <c r="AA729" s="229"/>
      <c r="AB729" s="222">
        <f t="shared" si="109"/>
        <v>0</v>
      </c>
      <c r="AC729" s="230">
        <f t="shared" si="110"/>
        <v>0</v>
      </c>
      <c r="AD729" s="222" t="str">
        <f t="shared" si="111"/>
        <v/>
      </c>
      <c r="AE729" s="201"/>
      <c r="AF729" s="231" t="str">
        <f>+IFERROR(VLOOKUP(L729,Data!$F$4:$G$97,2,0),"")</f>
        <v/>
      </c>
    </row>
    <row r="730" spans="9:32" ht="15" customHeight="1" x14ac:dyDescent="0.3">
      <c r="I730" s="201" t="str">
        <f t="shared" si="104"/>
        <v/>
      </c>
      <c r="J730" s="218">
        <f t="shared" si="105"/>
        <v>727</v>
      </c>
      <c r="K730" s="250"/>
      <c r="L730" s="219"/>
      <c r="M730" s="218"/>
      <c r="N730" s="220" t="str">
        <f>IFERROR(VLOOKUP(M730,Data!$C$4:$D$395,2,0),"")</f>
        <v/>
      </c>
      <c r="O730" s="220"/>
      <c r="P730" s="229"/>
      <c r="Q730" s="221"/>
      <c r="R730" s="222" t="str">
        <f t="shared" si="106"/>
        <v>-</v>
      </c>
      <c r="S730" s="223"/>
      <c r="T730" s="224"/>
      <c r="U730" s="225">
        <f t="shared" si="107"/>
        <v>0</v>
      </c>
      <c r="V730" s="226">
        <v>0</v>
      </c>
      <c r="W730" s="227"/>
      <c r="X730" s="228">
        <f t="shared" si="108"/>
        <v>0</v>
      </c>
      <c r="Y730" s="229"/>
      <c r="Z730" s="229"/>
      <c r="AA730" s="229"/>
      <c r="AB730" s="222">
        <f t="shared" si="109"/>
        <v>0</v>
      </c>
      <c r="AC730" s="230">
        <f t="shared" si="110"/>
        <v>0</v>
      </c>
      <c r="AD730" s="222" t="str">
        <f t="shared" si="111"/>
        <v/>
      </c>
      <c r="AE730" s="201"/>
      <c r="AF730" s="231" t="str">
        <f>+IFERROR(VLOOKUP(L730,Data!$F$4:$G$97,2,0),"")</f>
        <v/>
      </c>
    </row>
    <row r="731" spans="9:32" ht="15" customHeight="1" x14ac:dyDescent="0.3">
      <c r="I731" s="201" t="str">
        <f t="shared" si="104"/>
        <v/>
      </c>
      <c r="J731" s="218">
        <f t="shared" si="105"/>
        <v>728</v>
      </c>
      <c r="K731" s="250"/>
      <c r="L731" s="219"/>
      <c r="M731" s="218"/>
      <c r="N731" s="220" t="str">
        <f>IFERROR(VLOOKUP(M731,Data!$C$4:$D$395,2,0),"")</f>
        <v/>
      </c>
      <c r="O731" s="220"/>
      <c r="P731" s="229"/>
      <c r="Q731" s="221"/>
      <c r="R731" s="222" t="str">
        <f t="shared" si="106"/>
        <v>-</v>
      </c>
      <c r="S731" s="223"/>
      <c r="T731" s="224"/>
      <c r="U731" s="225">
        <f t="shared" si="107"/>
        <v>0</v>
      </c>
      <c r="V731" s="226">
        <v>0</v>
      </c>
      <c r="W731" s="227"/>
      <c r="X731" s="228">
        <f t="shared" si="108"/>
        <v>0</v>
      </c>
      <c r="Y731" s="229"/>
      <c r="Z731" s="229"/>
      <c r="AA731" s="229"/>
      <c r="AB731" s="222">
        <f t="shared" si="109"/>
        <v>0</v>
      </c>
      <c r="AC731" s="230">
        <f t="shared" si="110"/>
        <v>0</v>
      </c>
      <c r="AD731" s="222" t="str">
        <f t="shared" si="111"/>
        <v/>
      </c>
      <c r="AE731" s="201"/>
      <c r="AF731" s="231" t="str">
        <f>+IFERROR(VLOOKUP(L731,Data!$F$4:$G$97,2,0),"")</f>
        <v/>
      </c>
    </row>
    <row r="732" spans="9:32" ht="15" customHeight="1" x14ac:dyDescent="0.3">
      <c r="I732" s="201" t="str">
        <f t="shared" si="104"/>
        <v/>
      </c>
      <c r="J732" s="218">
        <f t="shared" si="105"/>
        <v>729</v>
      </c>
      <c r="K732" s="250"/>
      <c r="L732" s="219"/>
      <c r="M732" s="218"/>
      <c r="N732" s="220" t="str">
        <f>IFERROR(VLOOKUP(M732,Data!$C$4:$D$395,2,0),"")</f>
        <v/>
      </c>
      <c r="O732" s="220"/>
      <c r="P732" s="229"/>
      <c r="Q732" s="221"/>
      <c r="R732" s="222" t="str">
        <f t="shared" si="106"/>
        <v>-</v>
      </c>
      <c r="S732" s="223"/>
      <c r="T732" s="224"/>
      <c r="U732" s="225">
        <f t="shared" si="107"/>
        <v>0</v>
      </c>
      <c r="V732" s="226">
        <v>0</v>
      </c>
      <c r="W732" s="227"/>
      <c r="X732" s="228">
        <f t="shared" si="108"/>
        <v>0</v>
      </c>
      <c r="Y732" s="229"/>
      <c r="Z732" s="229"/>
      <c r="AA732" s="229"/>
      <c r="AB732" s="222">
        <f t="shared" si="109"/>
        <v>0</v>
      </c>
      <c r="AC732" s="230">
        <f t="shared" si="110"/>
        <v>0</v>
      </c>
      <c r="AD732" s="222" t="str">
        <f t="shared" si="111"/>
        <v/>
      </c>
      <c r="AE732" s="201"/>
      <c r="AF732" s="231" t="str">
        <f>+IFERROR(VLOOKUP(L732,Data!$F$4:$G$97,2,0),"")</f>
        <v/>
      </c>
    </row>
    <row r="733" spans="9:32" ht="15" customHeight="1" x14ac:dyDescent="0.3">
      <c r="I733" s="201" t="str">
        <f t="shared" si="104"/>
        <v/>
      </c>
      <c r="J733" s="218">
        <f t="shared" si="105"/>
        <v>730</v>
      </c>
      <c r="K733" s="250"/>
      <c r="L733" s="219"/>
      <c r="M733" s="218"/>
      <c r="N733" s="220" t="str">
        <f>IFERROR(VLOOKUP(M733,Data!$C$4:$D$395,2,0),"")</f>
        <v/>
      </c>
      <c r="O733" s="220"/>
      <c r="P733" s="229"/>
      <c r="Q733" s="221"/>
      <c r="R733" s="222" t="str">
        <f t="shared" si="106"/>
        <v>-</v>
      </c>
      <c r="S733" s="223"/>
      <c r="T733" s="224"/>
      <c r="U733" s="225">
        <f t="shared" si="107"/>
        <v>0</v>
      </c>
      <c r="V733" s="226">
        <v>0</v>
      </c>
      <c r="W733" s="227"/>
      <c r="X733" s="228">
        <f t="shared" si="108"/>
        <v>0</v>
      </c>
      <c r="Y733" s="229"/>
      <c r="Z733" s="229"/>
      <c r="AA733" s="229"/>
      <c r="AB733" s="222">
        <f t="shared" si="109"/>
        <v>0</v>
      </c>
      <c r="AC733" s="230">
        <f t="shared" si="110"/>
        <v>0</v>
      </c>
      <c r="AD733" s="222" t="str">
        <f t="shared" si="111"/>
        <v/>
      </c>
      <c r="AE733" s="201"/>
      <c r="AF733" s="231" t="str">
        <f>+IFERROR(VLOOKUP(L733,Data!$F$4:$G$97,2,0),"")</f>
        <v/>
      </c>
    </row>
    <row r="734" spans="9:32" ht="15" customHeight="1" x14ac:dyDescent="0.3">
      <c r="I734" s="201" t="str">
        <f t="shared" si="104"/>
        <v/>
      </c>
      <c r="J734" s="218">
        <f t="shared" si="105"/>
        <v>731</v>
      </c>
      <c r="K734" s="250"/>
      <c r="L734" s="219"/>
      <c r="M734" s="218"/>
      <c r="N734" s="220" t="str">
        <f>IFERROR(VLOOKUP(M734,Data!$C$4:$D$395,2,0),"")</f>
        <v/>
      </c>
      <c r="O734" s="220"/>
      <c r="P734" s="229"/>
      <c r="Q734" s="221"/>
      <c r="R734" s="222" t="str">
        <f t="shared" si="106"/>
        <v>-</v>
      </c>
      <c r="S734" s="223"/>
      <c r="T734" s="224"/>
      <c r="U734" s="225">
        <f t="shared" si="107"/>
        <v>0</v>
      </c>
      <c r="V734" s="226">
        <v>0</v>
      </c>
      <c r="W734" s="227"/>
      <c r="X734" s="228">
        <f t="shared" si="108"/>
        <v>0</v>
      </c>
      <c r="Y734" s="229"/>
      <c r="Z734" s="229"/>
      <c r="AA734" s="229"/>
      <c r="AB734" s="222">
        <f t="shared" si="109"/>
        <v>0</v>
      </c>
      <c r="AC734" s="230">
        <f t="shared" si="110"/>
        <v>0</v>
      </c>
      <c r="AD734" s="222" t="str">
        <f t="shared" si="111"/>
        <v/>
      </c>
      <c r="AE734" s="201"/>
      <c r="AF734" s="231" t="str">
        <f>+IFERROR(VLOOKUP(L734,Data!$F$4:$G$97,2,0),"")</f>
        <v/>
      </c>
    </row>
    <row r="735" spans="9:32" ht="15" customHeight="1" x14ac:dyDescent="0.3">
      <c r="I735" s="201" t="str">
        <f t="shared" si="104"/>
        <v/>
      </c>
      <c r="J735" s="218">
        <f t="shared" si="105"/>
        <v>732</v>
      </c>
      <c r="K735" s="250"/>
      <c r="L735" s="219"/>
      <c r="M735" s="218"/>
      <c r="N735" s="220" t="str">
        <f>IFERROR(VLOOKUP(M735,Data!$C$4:$D$395,2,0),"")</f>
        <v/>
      </c>
      <c r="O735" s="220"/>
      <c r="P735" s="229"/>
      <c r="Q735" s="221"/>
      <c r="R735" s="222" t="str">
        <f t="shared" si="106"/>
        <v>-</v>
      </c>
      <c r="S735" s="223"/>
      <c r="T735" s="224"/>
      <c r="U735" s="225">
        <f t="shared" si="107"/>
        <v>0</v>
      </c>
      <c r="V735" s="226">
        <v>0</v>
      </c>
      <c r="W735" s="227"/>
      <c r="X735" s="228">
        <f t="shared" si="108"/>
        <v>0</v>
      </c>
      <c r="Y735" s="229"/>
      <c r="Z735" s="229"/>
      <c r="AA735" s="229"/>
      <c r="AB735" s="222">
        <f t="shared" si="109"/>
        <v>0</v>
      </c>
      <c r="AC735" s="230">
        <f t="shared" si="110"/>
        <v>0</v>
      </c>
      <c r="AD735" s="222" t="str">
        <f t="shared" si="111"/>
        <v/>
      </c>
      <c r="AE735" s="201"/>
      <c r="AF735" s="231" t="str">
        <f>+IFERROR(VLOOKUP(L735,Data!$F$4:$G$97,2,0),"")</f>
        <v/>
      </c>
    </row>
    <row r="736" spans="9:32" ht="15" customHeight="1" x14ac:dyDescent="0.3">
      <c r="I736" s="201" t="str">
        <f t="shared" si="104"/>
        <v/>
      </c>
      <c r="J736" s="218">
        <f t="shared" si="105"/>
        <v>733</v>
      </c>
      <c r="K736" s="250"/>
      <c r="L736" s="219"/>
      <c r="M736" s="218"/>
      <c r="N736" s="220" t="str">
        <f>IFERROR(VLOOKUP(M736,Data!$C$4:$D$395,2,0),"")</f>
        <v/>
      </c>
      <c r="O736" s="220"/>
      <c r="P736" s="229"/>
      <c r="Q736" s="221"/>
      <c r="R736" s="222" t="str">
        <f t="shared" si="106"/>
        <v>-</v>
      </c>
      <c r="S736" s="223"/>
      <c r="T736" s="224"/>
      <c r="U736" s="225">
        <f t="shared" si="107"/>
        <v>0</v>
      </c>
      <c r="V736" s="226">
        <v>0</v>
      </c>
      <c r="W736" s="227"/>
      <c r="X736" s="228">
        <f t="shared" si="108"/>
        <v>0</v>
      </c>
      <c r="Y736" s="229"/>
      <c r="Z736" s="229"/>
      <c r="AA736" s="229"/>
      <c r="AB736" s="222">
        <f t="shared" si="109"/>
        <v>0</v>
      </c>
      <c r="AC736" s="230">
        <f t="shared" si="110"/>
        <v>0</v>
      </c>
      <c r="AD736" s="222" t="str">
        <f t="shared" si="111"/>
        <v/>
      </c>
      <c r="AE736" s="201"/>
      <c r="AF736" s="231" t="str">
        <f>+IFERROR(VLOOKUP(L736,Data!$F$4:$G$97,2,0),"")</f>
        <v/>
      </c>
    </row>
    <row r="737" spans="9:32" ht="15" customHeight="1" x14ac:dyDescent="0.3">
      <c r="I737" s="201" t="str">
        <f t="shared" si="104"/>
        <v/>
      </c>
      <c r="J737" s="218">
        <f t="shared" si="105"/>
        <v>734</v>
      </c>
      <c r="K737" s="250"/>
      <c r="L737" s="219"/>
      <c r="M737" s="218"/>
      <c r="N737" s="220" t="str">
        <f>IFERROR(VLOOKUP(M737,Data!$C$4:$D$395,2,0),"")</f>
        <v/>
      </c>
      <c r="O737" s="220"/>
      <c r="P737" s="229"/>
      <c r="Q737" s="221"/>
      <c r="R737" s="222" t="str">
        <f t="shared" si="106"/>
        <v>-</v>
      </c>
      <c r="S737" s="223"/>
      <c r="T737" s="224"/>
      <c r="U737" s="225">
        <f t="shared" si="107"/>
        <v>0</v>
      </c>
      <c r="V737" s="226">
        <v>0</v>
      </c>
      <c r="W737" s="227"/>
      <c r="X737" s="228">
        <f t="shared" si="108"/>
        <v>0</v>
      </c>
      <c r="Y737" s="229"/>
      <c r="Z737" s="229"/>
      <c r="AA737" s="229"/>
      <c r="AB737" s="222">
        <f t="shared" si="109"/>
        <v>0</v>
      </c>
      <c r="AC737" s="230">
        <f t="shared" si="110"/>
        <v>0</v>
      </c>
      <c r="AD737" s="222" t="str">
        <f t="shared" si="111"/>
        <v/>
      </c>
      <c r="AE737" s="201"/>
      <c r="AF737" s="231" t="str">
        <f>+IFERROR(VLOOKUP(L737,Data!$F$4:$G$97,2,0),"")</f>
        <v/>
      </c>
    </row>
    <row r="738" spans="9:32" ht="15" customHeight="1" x14ac:dyDescent="0.3">
      <c r="I738" s="201" t="str">
        <f t="shared" si="104"/>
        <v/>
      </c>
      <c r="J738" s="218">
        <f t="shared" si="105"/>
        <v>735</v>
      </c>
      <c r="K738" s="250"/>
      <c r="L738" s="219"/>
      <c r="M738" s="218"/>
      <c r="N738" s="220" t="str">
        <f>IFERROR(VLOOKUP(M738,Data!$C$4:$D$395,2,0),"")</f>
        <v/>
      </c>
      <c r="O738" s="220"/>
      <c r="P738" s="229"/>
      <c r="Q738" s="221"/>
      <c r="R738" s="222" t="str">
        <f t="shared" si="106"/>
        <v>-</v>
      </c>
      <c r="S738" s="223"/>
      <c r="T738" s="224"/>
      <c r="U738" s="225">
        <f t="shared" si="107"/>
        <v>0</v>
      </c>
      <c r="V738" s="226">
        <v>0</v>
      </c>
      <c r="W738" s="227"/>
      <c r="X738" s="228">
        <f t="shared" si="108"/>
        <v>0</v>
      </c>
      <c r="Y738" s="229"/>
      <c r="Z738" s="229"/>
      <c r="AA738" s="229"/>
      <c r="AB738" s="222">
        <f t="shared" si="109"/>
        <v>0</v>
      </c>
      <c r="AC738" s="230">
        <f t="shared" si="110"/>
        <v>0</v>
      </c>
      <c r="AD738" s="222" t="str">
        <f t="shared" si="111"/>
        <v/>
      </c>
      <c r="AE738" s="201"/>
      <c r="AF738" s="231" t="str">
        <f>+IFERROR(VLOOKUP(L738,Data!$F$4:$G$97,2,0),"")</f>
        <v/>
      </c>
    </row>
    <row r="739" spans="9:32" ht="15" customHeight="1" x14ac:dyDescent="0.3">
      <c r="I739" s="201" t="str">
        <f t="shared" si="104"/>
        <v/>
      </c>
      <c r="J739" s="218">
        <f t="shared" si="105"/>
        <v>736</v>
      </c>
      <c r="K739" s="250"/>
      <c r="L739" s="219"/>
      <c r="M739" s="218"/>
      <c r="N739" s="220" t="str">
        <f>IFERROR(VLOOKUP(M739,Data!$C$4:$D$395,2,0),"")</f>
        <v/>
      </c>
      <c r="O739" s="220"/>
      <c r="P739" s="229"/>
      <c r="Q739" s="221"/>
      <c r="R739" s="222" t="str">
        <f t="shared" si="106"/>
        <v>-</v>
      </c>
      <c r="S739" s="223"/>
      <c r="T739" s="224"/>
      <c r="U739" s="225">
        <f t="shared" si="107"/>
        <v>0</v>
      </c>
      <c r="V739" s="226">
        <v>0</v>
      </c>
      <c r="W739" s="227"/>
      <c r="X739" s="228">
        <f t="shared" si="108"/>
        <v>0</v>
      </c>
      <c r="Y739" s="229"/>
      <c r="Z739" s="229"/>
      <c r="AA739" s="229"/>
      <c r="AB739" s="222">
        <f t="shared" si="109"/>
        <v>0</v>
      </c>
      <c r="AC739" s="230">
        <f t="shared" si="110"/>
        <v>0</v>
      </c>
      <c r="AD739" s="222" t="str">
        <f t="shared" si="111"/>
        <v/>
      </c>
      <c r="AE739" s="201"/>
      <c r="AF739" s="231" t="str">
        <f>+IFERROR(VLOOKUP(L739,Data!$F$4:$G$97,2,0),"")</f>
        <v/>
      </c>
    </row>
    <row r="740" spans="9:32" ht="15" customHeight="1" x14ac:dyDescent="0.3">
      <c r="I740" s="201" t="str">
        <f t="shared" si="104"/>
        <v/>
      </c>
      <c r="J740" s="218">
        <f t="shared" si="105"/>
        <v>737</v>
      </c>
      <c r="K740" s="250"/>
      <c r="L740" s="219"/>
      <c r="M740" s="218"/>
      <c r="N740" s="220" t="str">
        <f>IFERROR(VLOOKUP(M740,Data!$C$4:$D$395,2,0),"")</f>
        <v/>
      </c>
      <c r="O740" s="220"/>
      <c r="P740" s="229"/>
      <c r="Q740" s="221"/>
      <c r="R740" s="222" t="str">
        <f t="shared" si="106"/>
        <v>-</v>
      </c>
      <c r="S740" s="223"/>
      <c r="T740" s="224"/>
      <c r="U740" s="225">
        <f t="shared" si="107"/>
        <v>0</v>
      </c>
      <c r="V740" s="226">
        <v>0</v>
      </c>
      <c r="W740" s="227"/>
      <c r="X740" s="228">
        <f t="shared" si="108"/>
        <v>0</v>
      </c>
      <c r="Y740" s="229"/>
      <c r="Z740" s="229"/>
      <c r="AA740" s="229"/>
      <c r="AB740" s="222">
        <f t="shared" si="109"/>
        <v>0</v>
      </c>
      <c r="AC740" s="230">
        <f t="shared" si="110"/>
        <v>0</v>
      </c>
      <c r="AD740" s="222" t="str">
        <f t="shared" si="111"/>
        <v/>
      </c>
      <c r="AE740" s="201"/>
      <c r="AF740" s="231" t="str">
        <f>+IFERROR(VLOOKUP(L740,Data!$F$4:$G$97,2,0),"")</f>
        <v/>
      </c>
    </row>
    <row r="741" spans="9:32" ht="15" customHeight="1" x14ac:dyDescent="0.3">
      <c r="I741" s="201" t="str">
        <f t="shared" si="104"/>
        <v/>
      </c>
      <c r="J741" s="218">
        <f t="shared" si="105"/>
        <v>738</v>
      </c>
      <c r="K741" s="250"/>
      <c r="L741" s="219"/>
      <c r="M741" s="218"/>
      <c r="N741" s="220" t="str">
        <f>IFERROR(VLOOKUP(M741,Data!$C$4:$D$395,2,0),"")</f>
        <v/>
      </c>
      <c r="O741" s="220"/>
      <c r="P741" s="229"/>
      <c r="Q741" s="221"/>
      <c r="R741" s="222" t="str">
        <f t="shared" si="106"/>
        <v>-</v>
      </c>
      <c r="S741" s="223"/>
      <c r="T741" s="224"/>
      <c r="U741" s="225">
        <f t="shared" si="107"/>
        <v>0</v>
      </c>
      <c r="V741" s="226">
        <v>0</v>
      </c>
      <c r="W741" s="227"/>
      <c r="X741" s="228">
        <f t="shared" si="108"/>
        <v>0</v>
      </c>
      <c r="Y741" s="229"/>
      <c r="Z741" s="229"/>
      <c r="AA741" s="229"/>
      <c r="AB741" s="222">
        <f t="shared" si="109"/>
        <v>0</v>
      </c>
      <c r="AC741" s="230">
        <f t="shared" si="110"/>
        <v>0</v>
      </c>
      <c r="AD741" s="222" t="str">
        <f t="shared" si="111"/>
        <v/>
      </c>
      <c r="AE741" s="201"/>
      <c r="AF741" s="231" t="str">
        <f>+IFERROR(VLOOKUP(L741,Data!$F$4:$G$97,2,0),"")</f>
        <v/>
      </c>
    </row>
    <row r="742" spans="9:32" ht="15" customHeight="1" x14ac:dyDescent="0.3">
      <c r="I742" s="201" t="str">
        <f t="shared" si="104"/>
        <v/>
      </c>
      <c r="J742" s="218">
        <f t="shared" si="105"/>
        <v>739</v>
      </c>
      <c r="K742" s="250"/>
      <c r="L742" s="219"/>
      <c r="M742" s="218"/>
      <c r="N742" s="220" t="str">
        <f>IFERROR(VLOOKUP(M742,Data!$C$4:$D$395,2,0),"")</f>
        <v/>
      </c>
      <c r="O742" s="220"/>
      <c r="P742" s="229"/>
      <c r="Q742" s="221"/>
      <c r="R742" s="222" t="str">
        <f t="shared" si="106"/>
        <v>-</v>
      </c>
      <c r="S742" s="223"/>
      <c r="T742" s="224"/>
      <c r="U742" s="225">
        <f t="shared" si="107"/>
        <v>0</v>
      </c>
      <c r="V742" s="226">
        <v>0</v>
      </c>
      <c r="W742" s="227"/>
      <c r="X742" s="228">
        <f t="shared" si="108"/>
        <v>0</v>
      </c>
      <c r="Y742" s="229"/>
      <c r="Z742" s="229"/>
      <c r="AA742" s="229"/>
      <c r="AB742" s="222">
        <f t="shared" si="109"/>
        <v>0</v>
      </c>
      <c r="AC742" s="230">
        <f t="shared" si="110"/>
        <v>0</v>
      </c>
      <c r="AD742" s="222" t="str">
        <f t="shared" si="111"/>
        <v/>
      </c>
      <c r="AE742" s="201"/>
      <c r="AF742" s="231" t="str">
        <f>+IFERROR(VLOOKUP(L742,Data!$F$4:$G$97,2,0),"")</f>
        <v/>
      </c>
    </row>
    <row r="743" spans="9:32" ht="15" customHeight="1" x14ac:dyDescent="0.3">
      <c r="I743" s="201" t="str">
        <f t="shared" si="104"/>
        <v/>
      </c>
      <c r="J743" s="218">
        <f t="shared" si="105"/>
        <v>740</v>
      </c>
      <c r="K743" s="250"/>
      <c r="L743" s="219"/>
      <c r="M743" s="218"/>
      <c r="N743" s="220" t="str">
        <f>IFERROR(VLOOKUP(M743,Data!$C$4:$D$395,2,0),"")</f>
        <v/>
      </c>
      <c r="O743" s="220"/>
      <c r="P743" s="229"/>
      <c r="Q743" s="221"/>
      <c r="R743" s="222" t="str">
        <f t="shared" si="106"/>
        <v>-</v>
      </c>
      <c r="S743" s="223"/>
      <c r="T743" s="224"/>
      <c r="U743" s="225">
        <f t="shared" si="107"/>
        <v>0</v>
      </c>
      <c r="V743" s="226">
        <v>0</v>
      </c>
      <c r="W743" s="227"/>
      <c r="X743" s="228">
        <f t="shared" si="108"/>
        <v>0</v>
      </c>
      <c r="Y743" s="229"/>
      <c r="Z743" s="229"/>
      <c r="AA743" s="229"/>
      <c r="AB743" s="222">
        <f t="shared" si="109"/>
        <v>0</v>
      </c>
      <c r="AC743" s="230">
        <f t="shared" si="110"/>
        <v>0</v>
      </c>
      <c r="AD743" s="222" t="str">
        <f t="shared" si="111"/>
        <v/>
      </c>
      <c r="AE743" s="201"/>
      <c r="AF743" s="231" t="str">
        <f>+IFERROR(VLOOKUP(L743,Data!$F$4:$G$97,2,0),"")</f>
        <v/>
      </c>
    </row>
    <row r="744" spans="9:32" ht="15" customHeight="1" x14ac:dyDescent="0.3">
      <c r="I744" s="201" t="str">
        <f t="shared" si="104"/>
        <v/>
      </c>
      <c r="J744" s="218">
        <f t="shared" si="105"/>
        <v>741</v>
      </c>
      <c r="K744" s="250"/>
      <c r="L744" s="219"/>
      <c r="M744" s="218"/>
      <c r="N744" s="220" t="str">
        <f>IFERROR(VLOOKUP(M744,Data!$C$4:$D$395,2,0),"")</f>
        <v/>
      </c>
      <c r="O744" s="220"/>
      <c r="P744" s="229"/>
      <c r="Q744" s="221"/>
      <c r="R744" s="222" t="str">
        <f t="shared" si="106"/>
        <v>-</v>
      </c>
      <c r="S744" s="223"/>
      <c r="T744" s="224"/>
      <c r="U744" s="225">
        <f t="shared" si="107"/>
        <v>0</v>
      </c>
      <c r="V744" s="226">
        <v>0</v>
      </c>
      <c r="W744" s="227"/>
      <c r="X744" s="228">
        <f t="shared" si="108"/>
        <v>0</v>
      </c>
      <c r="Y744" s="229"/>
      <c r="Z744" s="229"/>
      <c r="AA744" s="229"/>
      <c r="AB744" s="222">
        <f t="shared" si="109"/>
        <v>0</v>
      </c>
      <c r="AC744" s="230">
        <f t="shared" si="110"/>
        <v>0</v>
      </c>
      <c r="AD744" s="222" t="str">
        <f t="shared" si="111"/>
        <v/>
      </c>
      <c r="AE744" s="201"/>
      <c r="AF744" s="231" t="str">
        <f>+IFERROR(VLOOKUP(L744,Data!$F$4:$G$97,2,0),"")</f>
        <v/>
      </c>
    </row>
    <row r="745" spans="9:32" ht="15" customHeight="1" x14ac:dyDescent="0.3">
      <c r="I745" s="201" t="str">
        <f t="shared" si="104"/>
        <v/>
      </c>
      <c r="J745" s="218">
        <f t="shared" si="105"/>
        <v>742</v>
      </c>
      <c r="K745" s="250"/>
      <c r="L745" s="219"/>
      <c r="M745" s="218"/>
      <c r="N745" s="220" t="str">
        <f>IFERROR(VLOOKUP(M745,Data!$C$4:$D$395,2,0),"")</f>
        <v/>
      </c>
      <c r="O745" s="220"/>
      <c r="P745" s="229"/>
      <c r="Q745" s="221"/>
      <c r="R745" s="222" t="str">
        <f t="shared" si="106"/>
        <v>-</v>
      </c>
      <c r="S745" s="223"/>
      <c r="T745" s="224"/>
      <c r="U745" s="225">
        <f t="shared" si="107"/>
        <v>0</v>
      </c>
      <c r="V745" s="226">
        <v>0</v>
      </c>
      <c r="W745" s="227"/>
      <c r="X745" s="228">
        <f t="shared" si="108"/>
        <v>0</v>
      </c>
      <c r="Y745" s="229"/>
      <c r="Z745" s="229"/>
      <c r="AA745" s="229"/>
      <c r="AB745" s="222">
        <f t="shared" si="109"/>
        <v>0</v>
      </c>
      <c r="AC745" s="230">
        <f t="shared" si="110"/>
        <v>0</v>
      </c>
      <c r="AD745" s="222" t="str">
        <f t="shared" si="111"/>
        <v/>
      </c>
      <c r="AE745" s="201"/>
      <c r="AF745" s="231" t="str">
        <f>+IFERROR(VLOOKUP(L745,Data!$F$4:$G$97,2,0),"")</f>
        <v/>
      </c>
    </row>
    <row r="746" spans="9:32" ht="15" customHeight="1" x14ac:dyDescent="0.3">
      <c r="I746" s="201" t="str">
        <f t="shared" si="104"/>
        <v/>
      </c>
      <c r="J746" s="218">
        <f t="shared" si="105"/>
        <v>743</v>
      </c>
      <c r="K746" s="250"/>
      <c r="L746" s="219"/>
      <c r="M746" s="218"/>
      <c r="N746" s="220" t="str">
        <f>IFERROR(VLOOKUP(M746,Data!$C$4:$D$395,2,0),"")</f>
        <v/>
      </c>
      <c r="O746" s="220"/>
      <c r="P746" s="229"/>
      <c r="Q746" s="221"/>
      <c r="R746" s="222" t="str">
        <f t="shared" si="106"/>
        <v>-</v>
      </c>
      <c r="S746" s="223"/>
      <c r="T746" s="224"/>
      <c r="U746" s="225">
        <f t="shared" si="107"/>
        <v>0</v>
      </c>
      <c r="V746" s="226">
        <v>0</v>
      </c>
      <c r="W746" s="227"/>
      <c r="X746" s="228">
        <f t="shared" si="108"/>
        <v>0</v>
      </c>
      <c r="Y746" s="229"/>
      <c r="Z746" s="229"/>
      <c r="AA746" s="229"/>
      <c r="AB746" s="222">
        <f t="shared" si="109"/>
        <v>0</v>
      </c>
      <c r="AC746" s="230">
        <f t="shared" si="110"/>
        <v>0</v>
      </c>
      <c r="AD746" s="222" t="str">
        <f t="shared" si="111"/>
        <v/>
      </c>
      <c r="AE746" s="201"/>
      <c r="AF746" s="231" t="str">
        <f>+IFERROR(VLOOKUP(L746,Data!$F$4:$G$97,2,0),"")</f>
        <v/>
      </c>
    </row>
    <row r="747" spans="9:32" ht="15" customHeight="1" x14ac:dyDescent="0.3">
      <c r="I747" s="201" t="str">
        <f t="shared" si="104"/>
        <v/>
      </c>
      <c r="J747" s="218">
        <f t="shared" si="105"/>
        <v>744</v>
      </c>
      <c r="K747" s="250"/>
      <c r="L747" s="219"/>
      <c r="M747" s="218"/>
      <c r="N747" s="220" t="str">
        <f>IFERROR(VLOOKUP(M747,Data!$C$4:$D$395,2,0),"")</f>
        <v/>
      </c>
      <c r="O747" s="220"/>
      <c r="P747" s="229"/>
      <c r="Q747" s="221"/>
      <c r="R747" s="222" t="str">
        <f t="shared" si="106"/>
        <v>-</v>
      </c>
      <c r="S747" s="223"/>
      <c r="T747" s="224"/>
      <c r="U747" s="225">
        <f t="shared" si="107"/>
        <v>0</v>
      </c>
      <c r="V747" s="226">
        <v>0</v>
      </c>
      <c r="W747" s="227"/>
      <c r="X747" s="228">
        <f t="shared" si="108"/>
        <v>0</v>
      </c>
      <c r="Y747" s="229"/>
      <c r="Z747" s="229"/>
      <c r="AA747" s="229"/>
      <c r="AB747" s="222">
        <f t="shared" si="109"/>
        <v>0</v>
      </c>
      <c r="AC747" s="230">
        <f t="shared" si="110"/>
        <v>0</v>
      </c>
      <c r="AD747" s="222" t="str">
        <f t="shared" si="111"/>
        <v/>
      </c>
      <c r="AE747" s="201"/>
      <c r="AF747" s="231" t="str">
        <f>+IFERROR(VLOOKUP(L747,Data!$F$4:$G$97,2,0),"")</f>
        <v/>
      </c>
    </row>
    <row r="748" spans="9:32" ht="15" customHeight="1" x14ac:dyDescent="0.3">
      <c r="I748" s="201" t="str">
        <f t="shared" si="104"/>
        <v/>
      </c>
      <c r="J748" s="218">
        <f t="shared" si="105"/>
        <v>745</v>
      </c>
      <c r="K748" s="250"/>
      <c r="L748" s="219"/>
      <c r="M748" s="218"/>
      <c r="N748" s="220" t="str">
        <f>IFERROR(VLOOKUP(M748,Data!$C$4:$D$395,2,0),"")</f>
        <v/>
      </c>
      <c r="O748" s="220"/>
      <c r="P748" s="229"/>
      <c r="Q748" s="221"/>
      <c r="R748" s="222" t="str">
        <f t="shared" si="106"/>
        <v>-</v>
      </c>
      <c r="S748" s="223"/>
      <c r="T748" s="224"/>
      <c r="U748" s="225">
        <f t="shared" si="107"/>
        <v>0</v>
      </c>
      <c r="V748" s="226">
        <v>0</v>
      </c>
      <c r="W748" s="227"/>
      <c r="X748" s="228">
        <f t="shared" si="108"/>
        <v>0</v>
      </c>
      <c r="Y748" s="229"/>
      <c r="Z748" s="229"/>
      <c r="AA748" s="229"/>
      <c r="AB748" s="222">
        <f t="shared" si="109"/>
        <v>0</v>
      </c>
      <c r="AC748" s="230">
        <f t="shared" si="110"/>
        <v>0</v>
      </c>
      <c r="AD748" s="222" t="str">
        <f t="shared" si="111"/>
        <v/>
      </c>
      <c r="AE748" s="201"/>
      <c r="AF748" s="231" t="str">
        <f>+IFERROR(VLOOKUP(L748,Data!$F$4:$G$97,2,0),"")</f>
        <v/>
      </c>
    </row>
    <row r="749" spans="9:32" ht="15" customHeight="1" x14ac:dyDescent="0.3">
      <c r="I749" s="201" t="str">
        <f t="shared" si="104"/>
        <v/>
      </c>
      <c r="J749" s="218">
        <f t="shared" si="105"/>
        <v>746</v>
      </c>
      <c r="K749" s="250"/>
      <c r="L749" s="219"/>
      <c r="M749" s="218"/>
      <c r="N749" s="220" t="str">
        <f>IFERROR(VLOOKUP(M749,Data!$C$4:$D$395,2,0),"")</f>
        <v/>
      </c>
      <c r="O749" s="220"/>
      <c r="P749" s="229"/>
      <c r="Q749" s="221"/>
      <c r="R749" s="222" t="str">
        <f t="shared" si="106"/>
        <v>-</v>
      </c>
      <c r="S749" s="223"/>
      <c r="T749" s="224"/>
      <c r="U749" s="225">
        <f t="shared" si="107"/>
        <v>0</v>
      </c>
      <c r="V749" s="226">
        <v>0</v>
      </c>
      <c r="W749" s="227"/>
      <c r="X749" s="228">
        <f t="shared" si="108"/>
        <v>0</v>
      </c>
      <c r="Y749" s="229"/>
      <c r="Z749" s="229"/>
      <c r="AA749" s="229"/>
      <c r="AB749" s="222">
        <f t="shared" si="109"/>
        <v>0</v>
      </c>
      <c r="AC749" s="230">
        <f t="shared" si="110"/>
        <v>0</v>
      </c>
      <c r="AD749" s="222" t="str">
        <f t="shared" si="111"/>
        <v/>
      </c>
      <c r="AE749" s="201"/>
      <c r="AF749" s="231" t="str">
        <f>+IFERROR(VLOOKUP(L749,Data!$F$4:$G$97,2,0),"")</f>
        <v/>
      </c>
    </row>
    <row r="750" spans="9:32" ht="15" customHeight="1" x14ac:dyDescent="0.3">
      <c r="I750" s="201" t="str">
        <f t="shared" si="104"/>
        <v/>
      </c>
      <c r="J750" s="218">
        <f t="shared" si="105"/>
        <v>747</v>
      </c>
      <c r="K750" s="250"/>
      <c r="L750" s="219"/>
      <c r="M750" s="218"/>
      <c r="N750" s="220" t="str">
        <f>IFERROR(VLOOKUP(M750,Data!$C$4:$D$395,2,0),"")</f>
        <v/>
      </c>
      <c r="O750" s="220"/>
      <c r="P750" s="229"/>
      <c r="Q750" s="221"/>
      <c r="R750" s="222" t="str">
        <f t="shared" si="106"/>
        <v>-</v>
      </c>
      <c r="S750" s="223"/>
      <c r="T750" s="224"/>
      <c r="U750" s="225">
        <f t="shared" si="107"/>
        <v>0</v>
      </c>
      <c r="V750" s="226">
        <v>0</v>
      </c>
      <c r="W750" s="227"/>
      <c r="X750" s="228">
        <f t="shared" si="108"/>
        <v>0</v>
      </c>
      <c r="Y750" s="229"/>
      <c r="Z750" s="229"/>
      <c r="AA750" s="229"/>
      <c r="AB750" s="222">
        <f t="shared" si="109"/>
        <v>0</v>
      </c>
      <c r="AC750" s="230">
        <f t="shared" si="110"/>
        <v>0</v>
      </c>
      <c r="AD750" s="222" t="str">
        <f t="shared" si="111"/>
        <v/>
      </c>
      <c r="AE750" s="201"/>
      <c r="AF750" s="231" t="str">
        <f>+IFERROR(VLOOKUP(L750,Data!$F$4:$G$97,2,0),"")</f>
        <v/>
      </c>
    </row>
    <row r="751" spans="9:32" ht="15" customHeight="1" x14ac:dyDescent="0.3">
      <c r="I751" s="201" t="str">
        <f t="shared" si="104"/>
        <v/>
      </c>
      <c r="J751" s="218">
        <f t="shared" si="105"/>
        <v>748</v>
      </c>
      <c r="K751" s="250"/>
      <c r="L751" s="219"/>
      <c r="M751" s="218"/>
      <c r="N751" s="220" t="str">
        <f>IFERROR(VLOOKUP(M751,Data!$C$4:$D$395,2,0),"")</f>
        <v/>
      </c>
      <c r="O751" s="220"/>
      <c r="P751" s="229"/>
      <c r="Q751" s="221"/>
      <c r="R751" s="222" t="str">
        <f t="shared" si="106"/>
        <v>-</v>
      </c>
      <c r="S751" s="223"/>
      <c r="T751" s="224"/>
      <c r="U751" s="225">
        <f t="shared" si="107"/>
        <v>0</v>
      </c>
      <c r="V751" s="226">
        <v>0</v>
      </c>
      <c r="W751" s="227"/>
      <c r="X751" s="228">
        <f t="shared" si="108"/>
        <v>0</v>
      </c>
      <c r="Y751" s="229"/>
      <c r="Z751" s="229"/>
      <c r="AA751" s="229"/>
      <c r="AB751" s="222">
        <f t="shared" si="109"/>
        <v>0</v>
      </c>
      <c r="AC751" s="230">
        <f t="shared" si="110"/>
        <v>0</v>
      </c>
      <c r="AD751" s="222" t="str">
        <f t="shared" si="111"/>
        <v/>
      </c>
      <c r="AE751" s="201"/>
      <c r="AF751" s="231" t="str">
        <f>+IFERROR(VLOOKUP(L751,Data!$F$4:$G$97,2,0),"")</f>
        <v/>
      </c>
    </row>
    <row r="752" spans="9:32" ht="15" customHeight="1" x14ac:dyDescent="0.3">
      <c r="I752" s="201" t="str">
        <f t="shared" si="104"/>
        <v/>
      </c>
      <c r="J752" s="218">
        <f t="shared" si="105"/>
        <v>749</v>
      </c>
      <c r="K752" s="250"/>
      <c r="L752" s="219"/>
      <c r="M752" s="218"/>
      <c r="N752" s="220" t="str">
        <f>IFERROR(VLOOKUP(M752,Data!$C$4:$D$395,2,0),"")</f>
        <v/>
      </c>
      <c r="O752" s="220"/>
      <c r="P752" s="229"/>
      <c r="Q752" s="221"/>
      <c r="R752" s="222" t="str">
        <f t="shared" si="106"/>
        <v>-</v>
      </c>
      <c r="S752" s="223"/>
      <c r="T752" s="224"/>
      <c r="U752" s="225">
        <f t="shared" si="107"/>
        <v>0</v>
      </c>
      <c r="V752" s="226">
        <v>0</v>
      </c>
      <c r="W752" s="227"/>
      <c r="X752" s="228">
        <f t="shared" si="108"/>
        <v>0</v>
      </c>
      <c r="Y752" s="229"/>
      <c r="Z752" s="229"/>
      <c r="AA752" s="229"/>
      <c r="AB752" s="222">
        <f t="shared" si="109"/>
        <v>0</v>
      </c>
      <c r="AC752" s="230">
        <f t="shared" si="110"/>
        <v>0</v>
      </c>
      <c r="AD752" s="222" t="str">
        <f t="shared" si="111"/>
        <v/>
      </c>
      <c r="AE752" s="201"/>
      <c r="AF752" s="231" t="str">
        <f>+IFERROR(VLOOKUP(L752,Data!$F$4:$G$97,2,0),"")</f>
        <v/>
      </c>
    </row>
    <row r="753" spans="9:32" ht="15" customHeight="1" x14ac:dyDescent="0.3">
      <c r="I753" s="201" t="str">
        <f t="shared" si="104"/>
        <v/>
      </c>
      <c r="J753" s="218">
        <f t="shared" si="105"/>
        <v>750</v>
      </c>
      <c r="K753" s="250"/>
      <c r="L753" s="219"/>
      <c r="M753" s="218"/>
      <c r="N753" s="220" t="str">
        <f>IFERROR(VLOOKUP(M753,Data!$C$4:$D$395,2,0),"")</f>
        <v/>
      </c>
      <c r="O753" s="220"/>
      <c r="P753" s="229"/>
      <c r="Q753" s="221"/>
      <c r="R753" s="222" t="str">
        <f t="shared" si="106"/>
        <v>-</v>
      </c>
      <c r="S753" s="223"/>
      <c r="T753" s="224"/>
      <c r="U753" s="225">
        <f t="shared" si="107"/>
        <v>0</v>
      </c>
      <c r="V753" s="226">
        <v>0</v>
      </c>
      <c r="W753" s="227"/>
      <c r="X753" s="228">
        <f t="shared" si="108"/>
        <v>0</v>
      </c>
      <c r="Y753" s="229"/>
      <c r="Z753" s="229"/>
      <c r="AA753" s="229"/>
      <c r="AB753" s="222">
        <f t="shared" si="109"/>
        <v>0</v>
      </c>
      <c r="AC753" s="230">
        <f t="shared" si="110"/>
        <v>0</v>
      </c>
      <c r="AD753" s="222" t="str">
        <f t="shared" si="111"/>
        <v/>
      </c>
      <c r="AE753" s="201"/>
      <c r="AF753" s="231" t="str">
        <f>+IFERROR(VLOOKUP(L753,Data!$F$4:$G$97,2,0),"")</f>
        <v/>
      </c>
    </row>
    <row r="754" spans="9:32" ht="15" customHeight="1" x14ac:dyDescent="0.3">
      <c r="I754" s="201" t="str">
        <f t="shared" si="104"/>
        <v/>
      </c>
      <c r="J754" s="218">
        <f t="shared" si="105"/>
        <v>751</v>
      </c>
      <c r="K754" s="250"/>
      <c r="L754" s="219"/>
      <c r="M754" s="218"/>
      <c r="N754" s="220" t="str">
        <f>IFERROR(VLOOKUP(M754,Data!$C$4:$D$395,2,0),"")</f>
        <v/>
      </c>
      <c r="O754" s="220"/>
      <c r="P754" s="229"/>
      <c r="Q754" s="221"/>
      <c r="R754" s="222" t="str">
        <f t="shared" si="106"/>
        <v>-</v>
      </c>
      <c r="S754" s="223"/>
      <c r="T754" s="224"/>
      <c r="U754" s="225">
        <f t="shared" si="107"/>
        <v>0</v>
      </c>
      <c r="V754" s="226">
        <v>0</v>
      </c>
      <c r="W754" s="227"/>
      <c r="X754" s="228">
        <f t="shared" si="108"/>
        <v>0</v>
      </c>
      <c r="Y754" s="229"/>
      <c r="Z754" s="229"/>
      <c r="AA754" s="229"/>
      <c r="AB754" s="222">
        <f t="shared" si="109"/>
        <v>0</v>
      </c>
      <c r="AC754" s="230">
        <f t="shared" si="110"/>
        <v>0</v>
      </c>
      <c r="AD754" s="222" t="str">
        <f t="shared" si="111"/>
        <v/>
      </c>
      <c r="AE754" s="201"/>
      <c r="AF754" s="231" t="str">
        <f>+IFERROR(VLOOKUP(L754,Data!$F$4:$G$97,2,0),"")</f>
        <v/>
      </c>
    </row>
    <row r="755" spans="9:32" ht="15" customHeight="1" x14ac:dyDescent="0.3">
      <c r="I755" s="201" t="str">
        <f t="shared" si="104"/>
        <v/>
      </c>
      <c r="J755" s="218">
        <f t="shared" si="105"/>
        <v>752</v>
      </c>
      <c r="K755" s="250"/>
      <c r="L755" s="219"/>
      <c r="M755" s="218"/>
      <c r="N755" s="220" t="str">
        <f>IFERROR(VLOOKUP(M755,Data!$C$4:$D$395,2,0),"")</f>
        <v/>
      </c>
      <c r="O755" s="220"/>
      <c r="P755" s="229"/>
      <c r="Q755" s="221"/>
      <c r="R755" s="222" t="str">
        <f t="shared" si="106"/>
        <v>-</v>
      </c>
      <c r="S755" s="223"/>
      <c r="T755" s="224"/>
      <c r="U755" s="225">
        <f t="shared" si="107"/>
        <v>0</v>
      </c>
      <c r="V755" s="226">
        <v>0</v>
      </c>
      <c r="W755" s="227"/>
      <c r="X755" s="228">
        <f t="shared" si="108"/>
        <v>0</v>
      </c>
      <c r="Y755" s="229"/>
      <c r="Z755" s="229"/>
      <c r="AA755" s="229"/>
      <c r="AB755" s="222">
        <f t="shared" si="109"/>
        <v>0</v>
      </c>
      <c r="AC755" s="230">
        <f t="shared" si="110"/>
        <v>0</v>
      </c>
      <c r="AD755" s="222" t="str">
        <f t="shared" si="111"/>
        <v/>
      </c>
      <c r="AE755" s="201"/>
      <c r="AF755" s="231" t="str">
        <f>+IFERROR(VLOOKUP(L755,Data!$F$4:$G$97,2,0),"")</f>
        <v/>
      </c>
    </row>
    <row r="756" spans="9:32" ht="15" customHeight="1" x14ac:dyDescent="0.3">
      <c r="I756" s="201" t="str">
        <f t="shared" si="104"/>
        <v/>
      </c>
      <c r="J756" s="218">
        <f t="shared" si="105"/>
        <v>753</v>
      </c>
      <c r="K756" s="250"/>
      <c r="L756" s="219"/>
      <c r="M756" s="218"/>
      <c r="N756" s="220" t="str">
        <f>IFERROR(VLOOKUP(M756,Data!$C$4:$D$395,2,0),"")</f>
        <v/>
      </c>
      <c r="O756" s="220"/>
      <c r="P756" s="229"/>
      <c r="Q756" s="221"/>
      <c r="R756" s="222" t="str">
        <f t="shared" si="106"/>
        <v>-</v>
      </c>
      <c r="S756" s="223"/>
      <c r="T756" s="224"/>
      <c r="U756" s="225">
        <f t="shared" si="107"/>
        <v>0</v>
      </c>
      <c r="V756" s="226">
        <v>0</v>
      </c>
      <c r="W756" s="227"/>
      <c r="X756" s="228">
        <f t="shared" si="108"/>
        <v>0</v>
      </c>
      <c r="Y756" s="229"/>
      <c r="Z756" s="229"/>
      <c r="AA756" s="229"/>
      <c r="AB756" s="222">
        <f t="shared" si="109"/>
        <v>0</v>
      </c>
      <c r="AC756" s="230">
        <f t="shared" si="110"/>
        <v>0</v>
      </c>
      <c r="AD756" s="222" t="str">
        <f t="shared" si="111"/>
        <v/>
      </c>
      <c r="AE756" s="201"/>
      <c r="AF756" s="231" t="str">
        <f>+IFERROR(VLOOKUP(L756,Data!$F$4:$G$97,2,0),"")</f>
        <v/>
      </c>
    </row>
    <row r="757" spans="9:32" ht="15" customHeight="1" x14ac:dyDescent="0.3">
      <c r="I757" s="201" t="str">
        <f t="shared" si="104"/>
        <v/>
      </c>
      <c r="J757" s="218">
        <f t="shared" si="105"/>
        <v>754</v>
      </c>
      <c r="K757" s="250"/>
      <c r="L757" s="219"/>
      <c r="M757" s="218"/>
      <c r="N757" s="220" t="str">
        <f>IFERROR(VLOOKUP(M757,Data!$C$4:$D$395,2,0),"")</f>
        <v/>
      </c>
      <c r="O757" s="220"/>
      <c r="P757" s="229"/>
      <c r="Q757" s="221"/>
      <c r="R757" s="222" t="str">
        <f t="shared" si="106"/>
        <v>-</v>
      </c>
      <c r="S757" s="223"/>
      <c r="T757" s="224"/>
      <c r="U757" s="225">
        <f t="shared" si="107"/>
        <v>0</v>
      </c>
      <c r="V757" s="226">
        <v>0</v>
      </c>
      <c r="W757" s="227"/>
      <c r="X757" s="228">
        <f t="shared" si="108"/>
        <v>0</v>
      </c>
      <c r="Y757" s="229"/>
      <c r="Z757" s="229"/>
      <c r="AA757" s="229"/>
      <c r="AB757" s="222">
        <f t="shared" si="109"/>
        <v>0</v>
      </c>
      <c r="AC757" s="230">
        <f t="shared" si="110"/>
        <v>0</v>
      </c>
      <c r="AD757" s="222" t="str">
        <f t="shared" si="111"/>
        <v/>
      </c>
      <c r="AE757" s="201"/>
      <c r="AF757" s="231" t="str">
        <f>+IFERROR(VLOOKUP(L757,Data!$F$4:$G$97,2,0),"")</f>
        <v/>
      </c>
    </row>
    <row r="758" spans="9:32" ht="15" customHeight="1" x14ac:dyDescent="0.3">
      <c r="I758" s="201" t="str">
        <f t="shared" si="104"/>
        <v/>
      </c>
      <c r="J758" s="218">
        <f t="shared" si="105"/>
        <v>755</v>
      </c>
      <c r="K758" s="250"/>
      <c r="L758" s="219"/>
      <c r="M758" s="218"/>
      <c r="N758" s="220" t="str">
        <f>IFERROR(VLOOKUP(M758,Data!$C$4:$D$395,2,0),"")</f>
        <v/>
      </c>
      <c r="O758" s="220"/>
      <c r="P758" s="229"/>
      <c r="Q758" s="221"/>
      <c r="R758" s="222" t="str">
        <f t="shared" si="106"/>
        <v>-</v>
      </c>
      <c r="S758" s="223"/>
      <c r="T758" s="224"/>
      <c r="U758" s="225">
        <f t="shared" si="107"/>
        <v>0</v>
      </c>
      <c r="V758" s="226">
        <v>0</v>
      </c>
      <c r="W758" s="227"/>
      <c r="X758" s="228">
        <f t="shared" si="108"/>
        <v>0</v>
      </c>
      <c r="Y758" s="229"/>
      <c r="Z758" s="229"/>
      <c r="AA758" s="229"/>
      <c r="AB758" s="222">
        <f t="shared" si="109"/>
        <v>0</v>
      </c>
      <c r="AC758" s="230">
        <f t="shared" si="110"/>
        <v>0</v>
      </c>
      <c r="AD758" s="222" t="str">
        <f t="shared" si="111"/>
        <v/>
      </c>
      <c r="AE758" s="201"/>
      <c r="AF758" s="231" t="str">
        <f>+IFERROR(VLOOKUP(L758,Data!$F$4:$G$97,2,0),"")</f>
        <v/>
      </c>
    </row>
    <row r="759" spans="9:32" ht="15" customHeight="1" x14ac:dyDescent="0.3">
      <c r="I759" s="201" t="str">
        <f t="shared" si="104"/>
        <v/>
      </c>
      <c r="J759" s="218">
        <f t="shared" si="105"/>
        <v>756</v>
      </c>
      <c r="K759" s="250"/>
      <c r="L759" s="219"/>
      <c r="M759" s="218"/>
      <c r="N759" s="220" t="str">
        <f>IFERROR(VLOOKUP(M759,Data!$C$4:$D$395,2,0),"")</f>
        <v/>
      </c>
      <c r="O759" s="220"/>
      <c r="P759" s="229"/>
      <c r="Q759" s="221"/>
      <c r="R759" s="222" t="str">
        <f t="shared" si="106"/>
        <v>-</v>
      </c>
      <c r="S759" s="223"/>
      <c r="T759" s="224"/>
      <c r="U759" s="225">
        <f t="shared" si="107"/>
        <v>0</v>
      </c>
      <c r="V759" s="226">
        <v>0</v>
      </c>
      <c r="W759" s="227"/>
      <c r="X759" s="228">
        <f t="shared" si="108"/>
        <v>0</v>
      </c>
      <c r="Y759" s="229"/>
      <c r="Z759" s="229"/>
      <c r="AA759" s="229"/>
      <c r="AB759" s="222">
        <f t="shared" si="109"/>
        <v>0</v>
      </c>
      <c r="AC759" s="230">
        <f t="shared" si="110"/>
        <v>0</v>
      </c>
      <c r="AD759" s="222" t="str">
        <f t="shared" si="111"/>
        <v/>
      </c>
      <c r="AE759" s="201"/>
      <c r="AF759" s="231" t="str">
        <f>+IFERROR(VLOOKUP(L759,Data!$F$4:$G$97,2,0),"")</f>
        <v/>
      </c>
    </row>
    <row r="760" spans="9:32" ht="15" customHeight="1" x14ac:dyDescent="0.3">
      <c r="I760" s="201" t="str">
        <f t="shared" si="104"/>
        <v/>
      </c>
      <c r="J760" s="218">
        <f t="shared" si="105"/>
        <v>757</v>
      </c>
      <c r="K760" s="250"/>
      <c r="L760" s="219"/>
      <c r="M760" s="218"/>
      <c r="N760" s="220" t="str">
        <f>IFERROR(VLOOKUP(M760,Data!$C$4:$D$395,2,0),"")</f>
        <v/>
      </c>
      <c r="O760" s="220"/>
      <c r="P760" s="229"/>
      <c r="Q760" s="221"/>
      <c r="R760" s="222" t="str">
        <f t="shared" si="106"/>
        <v>-</v>
      </c>
      <c r="S760" s="223"/>
      <c r="T760" s="224"/>
      <c r="U760" s="225">
        <f t="shared" si="107"/>
        <v>0</v>
      </c>
      <c r="V760" s="226">
        <v>0</v>
      </c>
      <c r="W760" s="227"/>
      <c r="X760" s="228">
        <f t="shared" si="108"/>
        <v>0</v>
      </c>
      <c r="Y760" s="229"/>
      <c r="Z760" s="229"/>
      <c r="AA760" s="229"/>
      <c r="AB760" s="222">
        <f t="shared" si="109"/>
        <v>0</v>
      </c>
      <c r="AC760" s="230">
        <f t="shared" si="110"/>
        <v>0</v>
      </c>
      <c r="AD760" s="222" t="str">
        <f t="shared" si="111"/>
        <v/>
      </c>
      <c r="AE760" s="201"/>
      <c r="AF760" s="231" t="str">
        <f>+IFERROR(VLOOKUP(L760,Data!$F$4:$G$97,2,0),"")</f>
        <v/>
      </c>
    </row>
    <row r="761" spans="9:32" ht="15" customHeight="1" x14ac:dyDescent="0.3">
      <c r="I761" s="201" t="str">
        <f t="shared" si="104"/>
        <v/>
      </c>
      <c r="J761" s="218">
        <f t="shared" si="105"/>
        <v>758</v>
      </c>
      <c r="K761" s="250"/>
      <c r="L761" s="219"/>
      <c r="M761" s="218"/>
      <c r="N761" s="220" t="str">
        <f>IFERROR(VLOOKUP(M761,Data!$C$4:$D$395,2,0),"")</f>
        <v/>
      </c>
      <c r="O761" s="220"/>
      <c r="P761" s="229"/>
      <c r="Q761" s="221"/>
      <c r="R761" s="222" t="str">
        <f t="shared" si="106"/>
        <v>-</v>
      </c>
      <c r="S761" s="223"/>
      <c r="T761" s="224"/>
      <c r="U761" s="225">
        <f t="shared" si="107"/>
        <v>0</v>
      </c>
      <c r="V761" s="226">
        <v>0</v>
      </c>
      <c r="W761" s="227"/>
      <c r="X761" s="228">
        <f t="shared" si="108"/>
        <v>0</v>
      </c>
      <c r="Y761" s="229"/>
      <c r="Z761" s="229"/>
      <c r="AA761" s="229"/>
      <c r="AB761" s="222">
        <f t="shared" si="109"/>
        <v>0</v>
      </c>
      <c r="AC761" s="230">
        <f t="shared" si="110"/>
        <v>0</v>
      </c>
      <c r="AD761" s="222" t="str">
        <f t="shared" si="111"/>
        <v/>
      </c>
      <c r="AE761" s="201"/>
      <c r="AF761" s="231" t="str">
        <f>+IFERROR(VLOOKUP(L761,Data!$F$4:$G$97,2,0),"")</f>
        <v/>
      </c>
    </row>
    <row r="762" spans="9:32" ht="15" customHeight="1" x14ac:dyDescent="0.3">
      <c r="I762" s="201" t="str">
        <f t="shared" si="104"/>
        <v/>
      </c>
      <c r="J762" s="218">
        <f t="shared" si="105"/>
        <v>759</v>
      </c>
      <c r="K762" s="250"/>
      <c r="L762" s="219"/>
      <c r="M762" s="218"/>
      <c r="N762" s="220" t="str">
        <f>IFERROR(VLOOKUP(M762,Data!$C$4:$D$395,2,0),"")</f>
        <v/>
      </c>
      <c r="O762" s="220"/>
      <c r="P762" s="229"/>
      <c r="Q762" s="221"/>
      <c r="R762" s="222" t="str">
        <f t="shared" si="106"/>
        <v>-</v>
      </c>
      <c r="S762" s="223"/>
      <c r="T762" s="224"/>
      <c r="U762" s="225">
        <f t="shared" si="107"/>
        <v>0</v>
      </c>
      <c r="V762" s="226">
        <v>0</v>
      </c>
      <c r="W762" s="227"/>
      <c r="X762" s="228">
        <f t="shared" si="108"/>
        <v>0</v>
      </c>
      <c r="Y762" s="229"/>
      <c r="Z762" s="229"/>
      <c r="AA762" s="229"/>
      <c r="AB762" s="222">
        <f t="shared" si="109"/>
        <v>0</v>
      </c>
      <c r="AC762" s="230">
        <f t="shared" si="110"/>
        <v>0</v>
      </c>
      <c r="AD762" s="222" t="str">
        <f t="shared" si="111"/>
        <v/>
      </c>
      <c r="AE762" s="201"/>
      <c r="AF762" s="231" t="str">
        <f>+IFERROR(VLOOKUP(L762,Data!$F$4:$G$97,2,0),"")</f>
        <v/>
      </c>
    </row>
    <row r="763" spans="9:32" ht="15" customHeight="1" x14ac:dyDescent="0.3">
      <c r="I763" s="201" t="str">
        <f t="shared" si="104"/>
        <v/>
      </c>
      <c r="J763" s="218">
        <f t="shared" si="105"/>
        <v>760</v>
      </c>
      <c r="K763" s="250"/>
      <c r="L763" s="219"/>
      <c r="M763" s="218"/>
      <c r="N763" s="220" t="str">
        <f>IFERROR(VLOOKUP(M763,Data!$C$4:$D$395,2,0),"")</f>
        <v/>
      </c>
      <c r="O763" s="220"/>
      <c r="P763" s="229"/>
      <c r="Q763" s="221"/>
      <c r="R763" s="222" t="str">
        <f t="shared" si="106"/>
        <v>-</v>
      </c>
      <c r="S763" s="223"/>
      <c r="T763" s="224"/>
      <c r="U763" s="225">
        <f t="shared" si="107"/>
        <v>0</v>
      </c>
      <c r="V763" s="226">
        <v>0</v>
      </c>
      <c r="W763" s="227"/>
      <c r="X763" s="228">
        <f t="shared" si="108"/>
        <v>0</v>
      </c>
      <c r="Y763" s="229"/>
      <c r="Z763" s="229"/>
      <c r="AA763" s="229"/>
      <c r="AB763" s="222">
        <f t="shared" si="109"/>
        <v>0</v>
      </c>
      <c r="AC763" s="230">
        <f t="shared" si="110"/>
        <v>0</v>
      </c>
      <c r="AD763" s="222" t="str">
        <f t="shared" si="111"/>
        <v/>
      </c>
      <c r="AE763" s="201"/>
      <c r="AF763" s="231" t="str">
        <f>+IFERROR(VLOOKUP(L763,Data!$F$4:$G$97,2,0),"")</f>
        <v/>
      </c>
    </row>
    <row r="764" spans="9:32" ht="15" customHeight="1" x14ac:dyDescent="0.3">
      <c r="I764" s="201" t="str">
        <f t="shared" si="104"/>
        <v/>
      </c>
      <c r="J764" s="218">
        <f t="shared" si="105"/>
        <v>761</v>
      </c>
      <c r="K764" s="250"/>
      <c r="L764" s="219"/>
      <c r="M764" s="218"/>
      <c r="N764" s="220" t="str">
        <f>IFERROR(VLOOKUP(M764,Data!$C$4:$D$395,2,0),"")</f>
        <v/>
      </c>
      <c r="O764" s="220"/>
      <c r="P764" s="229"/>
      <c r="Q764" s="221"/>
      <c r="R764" s="222" t="str">
        <f t="shared" si="106"/>
        <v>-</v>
      </c>
      <c r="S764" s="223"/>
      <c r="T764" s="224"/>
      <c r="U764" s="225">
        <f t="shared" si="107"/>
        <v>0</v>
      </c>
      <c r="V764" s="226">
        <v>0</v>
      </c>
      <c r="W764" s="227"/>
      <c r="X764" s="228">
        <f t="shared" si="108"/>
        <v>0</v>
      </c>
      <c r="Y764" s="229"/>
      <c r="Z764" s="229"/>
      <c r="AA764" s="229"/>
      <c r="AB764" s="222">
        <f t="shared" si="109"/>
        <v>0</v>
      </c>
      <c r="AC764" s="230">
        <f t="shared" si="110"/>
        <v>0</v>
      </c>
      <c r="AD764" s="222" t="str">
        <f t="shared" si="111"/>
        <v/>
      </c>
      <c r="AE764" s="201"/>
      <c r="AF764" s="231" t="str">
        <f>+IFERROR(VLOOKUP(L764,Data!$F$4:$G$97,2,0),"")</f>
        <v/>
      </c>
    </row>
    <row r="765" spans="9:32" ht="15" customHeight="1" x14ac:dyDescent="0.3">
      <c r="I765" s="201" t="str">
        <f t="shared" ref="I765:I828" si="112">+AF765</f>
        <v/>
      </c>
      <c r="J765" s="218">
        <f t="shared" si="105"/>
        <v>762</v>
      </c>
      <c r="K765" s="250"/>
      <c r="L765" s="219"/>
      <c r="M765" s="218"/>
      <c r="N765" s="220" t="str">
        <f>IFERROR(VLOOKUP(M765,Data!$C$4:$D$395,2,0),"")</f>
        <v/>
      </c>
      <c r="O765" s="220"/>
      <c r="P765" s="229"/>
      <c r="Q765" s="221"/>
      <c r="R765" s="222" t="str">
        <f t="shared" si="106"/>
        <v>-</v>
      </c>
      <c r="S765" s="223"/>
      <c r="T765" s="224"/>
      <c r="U765" s="225">
        <f t="shared" si="107"/>
        <v>0</v>
      </c>
      <c r="V765" s="226">
        <v>0</v>
      </c>
      <c r="W765" s="227"/>
      <c r="X765" s="228">
        <f t="shared" si="108"/>
        <v>0</v>
      </c>
      <c r="Y765" s="229"/>
      <c r="Z765" s="229"/>
      <c r="AA765" s="229"/>
      <c r="AB765" s="222">
        <f t="shared" si="109"/>
        <v>0</v>
      </c>
      <c r="AC765" s="230">
        <f t="shared" si="110"/>
        <v>0</v>
      </c>
      <c r="AD765" s="222" t="str">
        <f t="shared" si="111"/>
        <v/>
      </c>
      <c r="AE765" s="201"/>
      <c r="AF765" s="231" t="str">
        <f>+IFERROR(VLOOKUP(L765,Data!$F$4:$G$97,2,0),"")</f>
        <v/>
      </c>
    </row>
    <row r="766" spans="9:32" ht="15" customHeight="1" x14ac:dyDescent="0.3">
      <c r="I766" s="201" t="str">
        <f t="shared" si="112"/>
        <v/>
      </c>
      <c r="J766" s="218">
        <f t="shared" ref="J766:J829" si="113">J765+1</f>
        <v>763</v>
      </c>
      <c r="K766" s="250"/>
      <c r="L766" s="219"/>
      <c r="M766" s="218"/>
      <c r="N766" s="220" t="str">
        <f>IFERROR(VLOOKUP(M766,Data!$C$4:$D$395,2,0),"")</f>
        <v/>
      </c>
      <c r="O766" s="220"/>
      <c r="P766" s="229"/>
      <c r="Q766" s="221"/>
      <c r="R766" s="222" t="str">
        <f t="shared" si="106"/>
        <v>-</v>
      </c>
      <c r="S766" s="223"/>
      <c r="T766" s="224"/>
      <c r="U766" s="225">
        <f t="shared" si="107"/>
        <v>0</v>
      </c>
      <c r="V766" s="226">
        <v>0</v>
      </c>
      <c r="W766" s="227"/>
      <c r="X766" s="228">
        <f t="shared" si="108"/>
        <v>0</v>
      </c>
      <c r="Y766" s="229"/>
      <c r="Z766" s="229"/>
      <c r="AA766" s="229"/>
      <c r="AB766" s="222">
        <f t="shared" si="109"/>
        <v>0</v>
      </c>
      <c r="AC766" s="230">
        <f t="shared" si="110"/>
        <v>0</v>
      </c>
      <c r="AD766" s="222" t="str">
        <f t="shared" si="111"/>
        <v/>
      </c>
      <c r="AE766" s="201"/>
      <c r="AF766" s="231" t="str">
        <f>+IFERROR(VLOOKUP(L766,Data!$F$4:$G$97,2,0),"")</f>
        <v/>
      </c>
    </row>
    <row r="767" spans="9:32" ht="15" customHeight="1" x14ac:dyDescent="0.3">
      <c r="I767" s="201" t="str">
        <f t="shared" si="112"/>
        <v/>
      </c>
      <c r="J767" s="218">
        <f t="shared" si="113"/>
        <v>764</v>
      </c>
      <c r="K767" s="250"/>
      <c r="L767" s="219"/>
      <c r="M767" s="218"/>
      <c r="N767" s="220" t="str">
        <f>IFERROR(VLOOKUP(M767,Data!$C$4:$D$395,2,0),"")</f>
        <v/>
      </c>
      <c r="O767" s="220"/>
      <c r="P767" s="229"/>
      <c r="Q767" s="221"/>
      <c r="R767" s="222" t="str">
        <f t="shared" si="106"/>
        <v>-</v>
      </c>
      <c r="S767" s="223"/>
      <c r="T767" s="224"/>
      <c r="U767" s="225">
        <f t="shared" si="107"/>
        <v>0</v>
      </c>
      <c r="V767" s="226">
        <v>0</v>
      </c>
      <c r="W767" s="227"/>
      <c r="X767" s="228">
        <f t="shared" si="108"/>
        <v>0</v>
      </c>
      <c r="Y767" s="229"/>
      <c r="Z767" s="229"/>
      <c r="AA767" s="229"/>
      <c r="AB767" s="222">
        <f t="shared" si="109"/>
        <v>0</v>
      </c>
      <c r="AC767" s="230">
        <f t="shared" si="110"/>
        <v>0</v>
      </c>
      <c r="AD767" s="222" t="str">
        <f t="shared" si="111"/>
        <v/>
      </c>
      <c r="AE767" s="201"/>
      <c r="AF767" s="231" t="str">
        <f>+IFERROR(VLOOKUP(L767,Data!$F$4:$G$97,2,0),"")</f>
        <v/>
      </c>
    </row>
    <row r="768" spans="9:32" ht="15" customHeight="1" x14ac:dyDescent="0.3">
      <c r="I768" s="201" t="str">
        <f t="shared" si="112"/>
        <v/>
      </c>
      <c r="J768" s="218">
        <f t="shared" si="113"/>
        <v>765</v>
      </c>
      <c r="K768" s="250"/>
      <c r="L768" s="219"/>
      <c r="M768" s="218"/>
      <c r="N768" s="220" t="str">
        <f>IFERROR(VLOOKUP(M768,Data!$C$4:$D$395,2,0),"")</f>
        <v/>
      </c>
      <c r="O768" s="220"/>
      <c r="P768" s="229"/>
      <c r="Q768" s="221"/>
      <c r="R768" s="222" t="str">
        <f t="shared" ref="R768:R831" si="114">IFERROR(Q768/P768, "-")</f>
        <v>-</v>
      </c>
      <c r="S768" s="223"/>
      <c r="T768" s="224"/>
      <c r="U768" s="225">
        <f t="shared" ref="U768:U831" si="115">+Q768*S768+P768*T768</f>
        <v>0</v>
      </c>
      <c r="V768" s="226">
        <v>0</v>
      </c>
      <c r="W768" s="227"/>
      <c r="X768" s="228">
        <f t="shared" ref="X768:X831" si="116">+Q768*V768+P768*W768</f>
        <v>0</v>
      </c>
      <c r="Y768" s="229"/>
      <c r="Z768" s="229"/>
      <c r="AA768" s="229"/>
      <c r="AB768" s="222">
        <f t="shared" ref="AB768:AB831" si="117">+Y768+Z768+AA768</f>
        <v>0</v>
      </c>
      <c r="AC768" s="230">
        <f t="shared" ref="AC768:AC831" si="118">IF((U768-Y768-Z768-AA768)&lt;0,"",(U768-Y768-Z768-AA768))</f>
        <v>0</v>
      </c>
      <c r="AD768" s="222" t="str">
        <f t="shared" ref="AD768:AD831" si="119">IF((U768-Y768-Z768-AA768)&lt;0,(Y768+Z768+AA768-U768),"")</f>
        <v/>
      </c>
      <c r="AE768" s="201"/>
      <c r="AF768" s="231" t="str">
        <f>+IFERROR(VLOOKUP(L768,Data!$F$4:$G$97,2,0),"")</f>
        <v/>
      </c>
    </row>
    <row r="769" spans="9:32" ht="15" customHeight="1" x14ac:dyDescent="0.3">
      <c r="I769" s="201" t="str">
        <f t="shared" si="112"/>
        <v/>
      </c>
      <c r="J769" s="218">
        <f t="shared" si="113"/>
        <v>766</v>
      </c>
      <c r="K769" s="250"/>
      <c r="L769" s="219"/>
      <c r="M769" s="218"/>
      <c r="N769" s="220" t="str">
        <f>IFERROR(VLOOKUP(M769,Data!$C$4:$D$395,2,0),"")</f>
        <v/>
      </c>
      <c r="O769" s="220"/>
      <c r="P769" s="229"/>
      <c r="Q769" s="221"/>
      <c r="R769" s="222" t="str">
        <f t="shared" si="114"/>
        <v>-</v>
      </c>
      <c r="S769" s="223"/>
      <c r="T769" s="224"/>
      <c r="U769" s="225">
        <f t="shared" si="115"/>
        <v>0</v>
      </c>
      <c r="V769" s="226">
        <v>0</v>
      </c>
      <c r="W769" s="227"/>
      <c r="X769" s="228">
        <f t="shared" si="116"/>
        <v>0</v>
      </c>
      <c r="Y769" s="229"/>
      <c r="Z769" s="229"/>
      <c r="AA769" s="229"/>
      <c r="AB769" s="222">
        <f t="shared" si="117"/>
        <v>0</v>
      </c>
      <c r="AC769" s="230">
        <f t="shared" si="118"/>
        <v>0</v>
      </c>
      <c r="AD769" s="222" t="str">
        <f t="shared" si="119"/>
        <v/>
      </c>
      <c r="AE769" s="201"/>
      <c r="AF769" s="231" t="str">
        <f>+IFERROR(VLOOKUP(L769,Data!$F$4:$G$97,2,0),"")</f>
        <v/>
      </c>
    </row>
    <row r="770" spans="9:32" ht="15" customHeight="1" x14ac:dyDescent="0.3">
      <c r="I770" s="201" t="str">
        <f t="shared" si="112"/>
        <v/>
      </c>
      <c r="J770" s="218">
        <f t="shared" si="113"/>
        <v>767</v>
      </c>
      <c r="K770" s="250"/>
      <c r="L770" s="219"/>
      <c r="M770" s="218"/>
      <c r="N770" s="220" t="str">
        <f>IFERROR(VLOOKUP(M770,Data!$C$4:$D$395,2,0),"")</f>
        <v/>
      </c>
      <c r="O770" s="220"/>
      <c r="P770" s="229"/>
      <c r="Q770" s="221"/>
      <c r="R770" s="222" t="str">
        <f t="shared" si="114"/>
        <v>-</v>
      </c>
      <c r="S770" s="223"/>
      <c r="T770" s="224"/>
      <c r="U770" s="225">
        <f t="shared" si="115"/>
        <v>0</v>
      </c>
      <c r="V770" s="226">
        <v>0</v>
      </c>
      <c r="W770" s="227"/>
      <c r="X770" s="228">
        <f t="shared" si="116"/>
        <v>0</v>
      </c>
      <c r="Y770" s="229"/>
      <c r="Z770" s="229"/>
      <c r="AA770" s="229"/>
      <c r="AB770" s="222">
        <f t="shared" si="117"/>
        <v>0</v>
      </c>
      <c r="AC770" s="230">
        <f t="shared" si="118"/>
        <v>0</v>
      </c>
      <c r="AD770" s="222" t="str">
        <f t="shared" si="119"/>
        <v/>
      </c>
      <c r="AE770" s="201"/>
      <c r="AF770" s="231" t="str">
        <f>+IFERROR(VLOOKUP(L770,Data!$F$4:$G$97,2,0),"")</f>
        <v/>
      </c>
    </row>
    <row r="771" spans="9:32" ht="15" customHeight="1" x14ac:dyDescent="0.3">
      <c r="I771" s="201" t="str">
        <f t="shared" si="112"/>
        <v/>
      </c>
      <c r="J771" s="218">
        <f t="shared" si="113"/>
        <v>768</v>
      </c>
      <c r="K771" s="250"/>
      <c r="L771" s="219"/>
      <c r="M771" s="218"/>
      <c r="N771" s="220" t="str">
        <f>IFERROR(VLOOKUP(M771,Data!$C$4:$D$395,2,0),"")</f>
        <v/>
      </c>
      <c r="O771" s="220"/>
      <c r="P771" s="229"/>
      <c r="Q771" s="221"/>
      <c r="R771" s="222" t="str">
        <f t="shared" si="114"/>
        <v>-</v>
      </c>
      <c r="S771" s="223"/>
      <c r="T771" s="224"/>
      <c r="U771" s="225">
        <f t="shared" si="115"/>
        <v>0</v>
      </c>
      <c r="V771" s="226">
        <v>0</v>
      </c>
      <c r="W771" s="227"/>
      <c r="X771" s="228">
        <f t="shared" si="116"/>
        <v>0</v>
      </c>
      <c r="Y771" s="229"/>
      <c r="Z771" s="229"/>
      <c r="AA771" s="229"/>
      <c r="AB771" s="222">
        <f t="shared" si="117"/>
        <v>0</v>
      </c>
      <c r="AC771" s="230">
        <f t="shared" si="118"/>
        <v>0</v>
      </c>
      <c r="AD771" s="222" t="str">
        <f t="shared" si="119"/>
        <v/>
      </c>
      <c r="AE771" s="201"/>
      <c r="AF771" s="231" t="str">
        <f>+IFERROR(VLOOKUP(L771,Data!$F$4:$G$97,2,0),"")</f>
        <v/>
      </c>
    </row>
    <row r="772" spans="9:32" ht="15" customHeight="1" x14ac:dyDescent="0.3">
      <c r="I772" s="201" t="str">
        <f t="shared" si="112"/>
        <v/>
      </c>
      <c r="J772" s="218">
        <f t="shared" si="113"/>
        <v>769</v>
      </c>
      <c r="K772" s="250"/>
      <c r="L772" s="219"/>
      <c r="M772" s="218"/>
      <c r="N772" s="220" t="str">
        <f>IFERROR(VLOOKUP(M772,Data!$C$4:$D$395,2,0),"")</f>
        <v/>
      </c>
      <c r="O772" s="220"/>
      <c r="P772" s="229"/>
      <c r="Q772" s="221"/>
      <c r="R772" s="222" t="str">
        <f t="shared" si="114"/>
        <v>-</v>
      </c>
      <c r="S772" s="223"/>
      <c r="T772" s="224"/>
      <c r="U772" s="225">
        <f t="shared" si="115"/>
        <v>0</v>
      </c>
      <c r="V772" s="226">
        <v>0</v>
      </c>
      <c r="W772" s="227"/>
      <c r="X772" s="228">
        <f t="shared" si="116"/>
        <v>0</v>
      </c>
      <c r="Y772" s="229"/>
      <c r="Z772" s="229"/>
      <c r="AA772" s="229"/>
      <c r="AB772" s="222">
        <f t="shared" si="117"/>
        <v>0</v>
      </c>
      <c r="AC772" s="230">
        <f t="shared" si="118"/>
        <v>0</v>
      </c>
      <c r="AD772" s="222" t="str">
        <f t="shared" si="119"/>
        <v/>
      </c>
      <c r="AE772" s="201"/>
      <c r="AF772" s="231" t="str">
        <f>+IFERROR(VLOOKUP(L772,Data!$F$4:$G$97,2,0),"")</f>
        <v/>
      </c>
    </row>
    <row r="773" spans="9:32" ht="15" customHeight="1" x14ac:dyDescent="0.3">
      <c r="I773" s="201" t="str">
        <f t="shared" si="112"/>
        <v/>
      </c>
      <c r="J773" s="218">
        <f t="shared" si="113"/>
        <v>770</v>
      </c>
      <c r="K773" s="250"/>
      <c r="L773" s="219"/>
      <c r="M773" s="218"/>
      <c r="N773" s="220" t="str">
        <f>IFERROR(VLOOKUP(M773,Data!$C$4:$D$395,2,0),"")</f>
        <v/>
      </c>
      <c r="O773" s="220"/>
      <c r="P773" s="229"/>
      <c r="Q773" s="221"/>
      <c r="R773" s="222" t="str">
        <f t="shared" si="114"/>
        <v>-</v>
      </c>
      <c r="S773" s="223"/>
      <c r="T773" s="224"/>
      <c r="U773" s="225">
        <f t="shared" si="115"/>
        <v>0</v>
      </c>
      <c r="V773" s="226">
        <v>0</v>
      </c>
      <c r="W773" s="227"/>
      <c r="X773" s="228">
        <f t="shared" si="116"/>
        <v>0</v>
      </c>
      <c r="Y773" s="229"/>
      <c r="Z773" s="229"/>
      <c r="AA773" s="229"/>
      <c r="AB773" s="222">
        <f t="shared" si="117"/>
        <v>0</v>
      </c>
      <c r="AC773" s="230">
        <f t="shared" si="118"/>
        <v>0</v>
      </c>
      <c r="AD773" s="222" t="str">
        <f t="shared" si="119"/>
        <v/>
      </c>
      <c r="AE773" s="201"/>
      <c r="AF773" s="231" t="str">
        <f>+IFERROR(VLOOKUP(L773,Data!$F$4:$G$97,2,0),"")</f>
        <v/>
      </c>
    </row>
    <row r="774" spans="9:32" ht="15" customHeight="1" x14ac:dyDescent="0.3">
      <c r="I774" s="201" t="str">
        <f t="shared" si="112"/>
        <v/>
      </c>
      <c r="J774" s="218">
        <f t="shared" si="113"/>
        <v>771</v>
      </c>
      <c r="K774" s="250"/>
      <c r="L774" s="219"/>
      <c r="M774" s="218"/>
      <c r="N774" s="220" t="str">
        <f>IFERROR(VLOOKUP(M774,Data!$C$4:$D$395,2,0),"")</f>
        <v/>
      </c>
      <c r="O774" s="220"/>
      <c r="P774" s="229"/>
      <c r="Q774" s="221"/>
      <c r="R774" s="222" t="str">
        <f t="shared" si="114"/>
        <v>-</v>
      </c>
      <c r="S774" s="223"/>
      <c r="T774" s="224"/>
      <c r="U774" s="225">
        <f t="shared" si="115"/>
        <v>0</v>
      </c>
      <c r="V774" s="226">
        <v>0</v>
      </c>
      <c r="W774" s="227"/>
      <c r="X774" s="228">
        <f t="shared" si="116"/>
        <v>0</v>
      </c>
      <c r="Y774" s="229"/>
      <c r="Z774" s="229"/>
      <c r="AA774" s="229"/>
      <c r="AB774" s="222">
        <f t="shared" si="117"/>
        <v>0</v>
      </c>
      <c r="AC774" s="230">
        <f t="shared" si="118"/>
        <v>0</v>
      </c>
      <c r="AD774" s="222" t="str">
        <f t="shared" si="119"/>
        <v/>
      </c>
      <c r="AE774" s="201"/>
      <c r="AF774" s="231" t="str">
        <f>+IFERROR(VLOOKUP(L774,Data!$F$4:$G$97,2,0),"")</f>
        <v/>
      </c>
    </row>
    <row r="775" spans="9:32" ht="15" customHeight="1" x14ac:dyDescent="0.3">
      <c r="I775" s="201" t="str">
        <f t="shared" si="112"/>
        <v/>
      </c>
      <c r="J775" s="218">
        <f t="shared" si="113"/>
        <v>772</v>
      </c>
      <c r="K775" s="250"/>
      <c r="L775" s="219"/>
      <c r="M775" s="218"/>
      <c r="N775" s="220" t="str">
        <f>IFERROR(VLOOKUP(M775,Data!$C$4:$D$395,2,0),"")</f>
        <v/>
      </c>
      <c r="O775" s="220"/>
      <c r="P775" s="229"/>
      <c r="Q775" s="221"/>
      <c r="R775" s="222" t="str">
        <f t="shared" si="114"/>
        <v>-</v>
      </c>
      <c r="S775" s="223"/>
      <c r="T775" s="224"/>
      <c r="U775" s="225">
        <f t="shared" si="115"/>
        <v>0</v>
      </c>
      <c r="V775" s="226">
        <v>0</v>
      </c>
      <c r="W775" s="227"/>
      <c r="X775" s="228">
        <f t="shared" si="116"/>
        <v>0</v>
      </c>
      <c r="Y775" s="229"/>
      <c r="Z775" s="229"/>
      <c r="AA775" s="229"/>
      <c r="AB775" s="222">
        <f t="shared" si="117"/>
        <v>0</v>
      </c>
      <c r="AC775" s="230">
        <f t="shared" si="118"/>
        <v>0</v>
      </c>
      <c r="AD775" s="222" t="str">
        <f t="shared" si="119"/>
        <v/>
      </c>
      <c r="AE775" s="201"/>
      <c r="AF775" s="231" t="str">
        <f>+IFERROR(VLOOKUP(L775,Data!$F$4:$G$97,2,0),"")</f>
        <v/>
      </c>
    </row>
    <row r="776" spans="9:32" ht="15" customHeight="1" x14ac:dyDescent="0.3">
      <c r="I776" s="201" t="str">
        <f t="shared" si="112"/>
        <v/>
      </c>
      <c r="J776" s="218">
        <f t="shared" si="113"/>
        <v>773</v>
      </c>
      <c r="K776" s="250"/>
      <c r="L776" s="219"/>
      <c r="M776" s="218"/>
      <c r="N776" s="220" t="str">
        <f>IFERROR(VLOOKUP(M776,Data!$C$4:$D$395,2,0),"")</f>
        <v/>
      </c>
      <c r="O776" s="220"/>
      <c r="P776" s="229"/>
      <c r="Q776" s="221"/>
      <c r="R776" s="222" t="str">
        <f t="shared" si="114"/>
        <v>-</v>
      </c>
      <c r="S776" s="223"/>
      <c r="T776" s="224"/>
      <c r="U776" s="225">
        <f t="shared" si="115"/>
        <v>0</v>
      </c>
      <c r="V776" s="226">
        <v>0</v>
      </c>
      <c r="W776" s="227"/>
      <c r="X776" s="228">
        <f t="shared" si="116"/>
        <v>0</v>
      </c>
      <c r="Y776" s="229"/>
      <c r="Z776" s="229"/>
      <c r="AA776" s="229"/>
      <c r="AB776" s="222">
        <f t="shared" si="117"/>
        <v>0</v>
      </c>
      <c r="AC776" s="230">
        <f t="shared" si="118"/>
        <v>0</v>
      </c>
      <c r="AD776" s="222" t="str">
        <f t="shared" si="119"/>
        <v/>
      </c>
      <c r="AE776" s="201"/>
      <c r="AF776" s="231" t="str">
        <f>+IFERROR(VLOOKUP(L776,Data!$F$4:$G$97,2,0),"")</f>
        <v/>
      </c>
    </row>
    <row r="777" spans="9:32" ht="15" customHeight="1" x14ac:dyDescent="0.3">
      <c r="I777" s="201" t="str">
        <f t="shared" si="112"/>
        <v/>
      </c>
      <c r="J777" s="218">
        <f t="shared" si="113"/>
        <v>774</v>
      </c>
      <c r="K777" s="250"/>
      <c r="L777" s="219"/>
      <c r="M777" s="218"/>
      <c r="N777" s="220" t="str">
        <f>IFERROR(VLOOKUP(M777,Data!$C$4:$D$395,2,0),"")</f>
        <v/>
      </c>
      <c r="O777" s="220"/>
      <c r="P777" s="229"/>
      <c r="Q777" s="221"/>
      <c r="R777" s="222" t="str">
        <f t="shared" si="114"/>
        <v>-</v>
      </c>
      <c r="S777" s="223"/>
      <c r="T777" s="224"/>
      <c r="U777" s="225">
        <f t="shared" si="115"/>
        <v>0</v>
      </c>
      <c r="V777" s="226">
        <v>0</v>
      </c>
      <c r="W777" s="227"/>
      <c r="X777" s="228">
        <f t="shared" si="116"/>
        <v>0</v>
      </c>
      <c r="Y777" s="229"/>
      <c r="Z777" s="229"/>
      <c r="AA777" s="229"/>
      <c r="AB777" s="222">
        <f t="shared" si="117"/>
        <v>0</v>
      </c>
      <c r="AC777" s="230">
        <f t="shared" si="118"/>
        <v>0</v>
      </c>
      <c r="AD777" s="222" t="str">
        <f t="shared" si="119"/>
        <v/>
      </c>
      <c r="AE777" s="201"/>
      <c r="AF777" s="231" t="str">
        <f>+IFERROR(VLOOKUP(L777,Data!$F$4:$G$97,2,0),"")</f>
        <v/>
      </c>
    </row>
    <row r="778" spans="9:32" ht="15" customHeight="1" x14ac:dyDescent="0.3">
      <c r="I778" s="201" t="str">
        <f t="shared" si="112"/>
        <v/>
      </c>
      <c r="J778" s="218">
        <f t="shared" si="113"/>
        <v>775</v>
      </c>
      <c r="K778" s="250"/>
      <c r="L778" s="219"/>
      <c r="M778" s="218"/>
      <c r="N778" s="220" t="str">
        <f>IFERROR(VLOOKUP(M778,Data!$C$4:$D$395,2,0),"")</f>
        <v/>
      </c>
      <c r="O778" s="220"/>
      <c r="P778" s="229"/>
      <c r="Q778" s="221"/>
      <c r="R778" s="222" t="str">
        <f t="shared" si="114"/>
        <v>-</v>
      </c>
      <c r="S778" s="223"/>
      <c r="T778" s="224"/>
      <c r="U778" s="225">
        <f t="shared" si="115"/>
        <v>0</v>
      </c>
      <c r="V778" s="226">
        <v>0</v>
      </c>
      <c r="W778" s="227"/>
      <c r="X778" s="228">
        <f t="shared" si="116"/>
        <v>0</v>
      </c>
      <c r="Y778" s="229"/>
      <c r="Z778" s="229"/>
      <c r="AA778" s="229"/>
      <c r="AB778" s="222">
        <f t="shared" si="117"/>
        <v>0</v>
      </c>
      <c r="AC778" s="230">
        <f t="shared" si="118"/>
        <v>0</v>
      </c>
      <c r="AD778" s="222" t="str">
        <f t="shared" si="119"/>
        <v/>
      </c>
      <c r="AE778" s="201"/>
      <c r="AF778" s="231" t="str">
        <f>+IFERROR(VLOOKUP(L778,Data!$F$4:$G$97,2,0),"")</f>
        <v/>
      </c>
    </row>
    <row r="779" spans="9:32" ht="15" customHeight="1" x14ac:dyDescent="0.3">
      <c r="I779" s="201" t="str">
        <f t="shared" si="112"/>
        <v/>
      </c>
      <c r="J779" s="218">
        <f t="shared" si="113"/>
        <v>776</v>
      </c>
      <c r="K779" s="250"/>
      <c r="L779" s="219"/>
      <c r="M779" s="218"/>
      <c r="N779" s="220" t="str">
        <f>IFERROR(VLOOKUP(M779,Data!$C$4:$D$395,2,0),"")</f>
        <v/>
      </c>
      <c r="O779" s="220"/>
      <c r="P779" s="229"/>
      <c r="Q779" s="221"/>
      <c r="R779" s="222" t="str">
        <f t="shared" si="114"/>
        <v>-</v>
      </c>
      <c r="S779" s="223"/>
      <c r="T779" s="224"/>
      <c r="U779" s="225">
        <f t="shared" si="115"/>
        <v>0</v>
      </c>
      <c r="V779" s="226">
        <v>0</v>
      </c>
      <c r="W779" s="227"/>
      <c r="X779" s="228">
        <f t="shared" si="116"/>
        <v>0</v>
      </c>
      <c r="Y779" s="229"/>
      <c r="Z779" s="229"/>
      <c r="AA779" s="229"/>
      <c r="AB779" s="222">
        <f t="shared" si="117"/>
        <v>0</v>
      </c>
      <c r="AC779" s="230">
        <f t="shared" si="118"/>
        <v>0</v>
      </c>
      <c r="AD779" s="222" t="str">
        <f t="shared" si="119"/>
        <v/>
      </c>
      <c r="AE779" s="201"/>
      <c r="AF779" s="231" t="str">
        <f>+IFERROR(VLOOKUP(L779,Data!$F$4:$G$97,2,0),"")</f>
        <v/>
      </c>
    </row>
    <row r="780" spans="9:32" ht="15" customHeight="1" x14ac:dyDescent="0.3">
      <c r="I780" s="201" t="str">
        <f t="shared" si="112"/>
        <v/>
      </c>
      <c r="J780" s="218">
        <f t="shared" si="113"/>
        <v>777</v>
      </c>
      <c r="K780" s="250"/>
      <c r="L780" s="219"/>
      <c r="M780" s="218"/>
      <c r="N780" s="220" t="str">
        <f>IFERROR(VLOOKUP(M780,Data!$C$4:$D$395,2,0),"")</f>
        <v/>
      </c>
      <c r="O780" s="220"/>
      <c r="P780" s="229"/>
      <c r="Q780" s="221"/>
      <c r="R780" s="222" t="str">
        <f t="shared" si="114"/>
        <v>-</v>
      </c>
      <c r="S780" s="223"/>
      <c r="T780" s="224"/>
      <c r="U780" s="225">
        <f t="shared" si="115"/>
        <v>0</v>
      </c>
      <c r="V780" s="226">
        <v>0</v>
      </c>
      <c r="W780" s="227"/>
      <c r="X780" s="228">
        <f t="shared" si="116"/>
        <v>0</v>
      </c>
      <c r="Y780" s="229"/>
      <c r="Z780" s="229"/>
      <c r="AA780" s="229"/>
      <c r="AB780" s="222">
        <f t="shared" si="117"/>
        <v>0</v>
      </c>
      <c r="AC780" s="230">
        <f t="shared" si="118"/>
        <v>0</v>
      </c>
      <c r="AD780" s="222" t="str">
        <f t="shared" si="119"/>
        <v/>
      </c>
      <c r="AE780" s="201"/>
      <c r="AF780" s="231" t="str">
        <f>+IFERROR(VLOOKUP(L780,Data!$F$4:$G$97,2,0),"")</f>
        <v/>
      </c>
    </row>
    <row r="781" spans="9:32" ht="15" customHeight="1" x14ac:dyDescent="0.3">
      <c r="I781" s="201" t="str">
        <f t="shared" si="112"/>
        <v/>
      </c>
      <c r="J781" s="218">
        <f t="shared" si="113"/>
        <v>778</v>
      </c>
      <c r="K781" s="250"/>
      <c r="L781" s="219"/>
      <c r="M781" s="218"/>
      <c r="N781" s="220" t="str">
        <f>IFERROR(VLOOKUP(M781,Data!$C$4:$D$395,2,0),"")</f>
        <v/>
      </c>
      <c r="O781" s="220"/>
      <c r="P781" s="229"/>
      <c r="Q781" s="221"/>
      <c r="R781" s="222" t="str">
        <f t="shared" si="114"/>
        <v>-</v>
      </c>
      <c r="S781" s="223"/>
      <c r="T781" s="224"/>
      <c r="U781" s="225">
        <f t="shared" si="115"/>
        <v>0</v>
      </c>
      <c r="V781" s="226">
        <v>0</v>
      </c>
      <c r="W781" s="227"/>
      <c r="X781" s="228">
        <f t="shared" si="116"/>
        <v>0</v>
      </c>
      <c r="Y781" s="229"/>
      <c r="Z781" s="229"/>
      <c r="AA781" s="229"/>
      <c r="AB781" s="222">
        <f t="shared" si="117"/>
        <v>0</v>
      </c>
      <c r="AC781" s="230">
        <f t="shared" si="118"/>
        <v>0</v>
      </c>
      <c r="AD781" s="222" t="str">
        <f t="shared" si="119"/>
        <v/>
      </c>
      <c r="AE781" s="201"/>
      <c r="AF781" s="231" t="str">
        <f>+IFERROR(VLOOKUP(L781,Data!$F$4:$G$97,2,0),"")</f>
        <v/>
      </c>
    </row>
    <row r="782" spans="9:32" ht="15" customHeight="1" x14ac:dyDescent="0.3">
      <c r="I782" s="201" t="str">
        <f t="shared" si="112"/>
        <v/>
      </c>
      <c r="J782" s="218">
        <f t="shared" si="113"/>
        <v>779</v>
      </c>
      <c r="K782" s="250"/>
      <c r="L782" s="219"/>
      <c r="M782" s="218"/>
      <c r="N782" s="220" t="str">
        <f>IFERROR(VLOOKUP(M782,Data!$C$4:$D$395,2,0),"")</f>
        <v/>
      </c>
      <c r="O782" s="220"/>
      <c r="P782" s="229"/>
      <c r="Q782" s="221"/>
      <c r="R782" s="222" t="str">
        <f t="shared" si="114"/>
        <v>-</v>
      </c>
      <c r="S782" s="223"/>
      <c r="T782" s="224"/>
      <c r="U782" s="225">
        <f t="shared" si="115"/>
        <v>0</v>
      </c>
      <c r="V782" s="226">
        <v>0</v>
      </c>
      <c r="W782" s="227"/>
      <c r="X782" s="228">
        <f t="shared" si="116"/>
        <v>0</v>
      </c>
      <c r="Y782" s="229"/>
      <c r="Z782" s="229"/>
      <c r="AA782" s="229"/>
      <c r="AB782" s="222">
        <f t="shared" si="117"/>
        <v>0</v>
      </c>
      <c r="AC782" s="230">
        <f t="shared" si="118"/>
        <v>0</v>
      </c>
      <c r="AD782" s="222" t="str">
        <f t="shared" si="119"/>
        <v/>
      </c>
      <c r="AE782" s="201"/>
      <c r="AF782" s="231" t="str">
        <f>+IFERROR(VLOOKUP(L782,Data!$F$4:$G$97,2,0),"")</f>
        <v/>
      </c>
    </row>
    <row r="783" spans="9:32" ht="15" customHeight="1" x14ac:dyDescent="0.3">
      <c r="I783" s="201" t="str">
        <f t="shared" si="112"/>
        <v/>
      </c>
      <c r="J783" s="218">
        <f t="shared" si="113"/>
        <v>780</v>
      </c>
      <c r="K783" s="250"/>
      <c r="L783" s="219"/>
      <c r="M783" s="218"/>
      <c r="N783" s="220" t="str">
        <f>IFERROR(VLOOKUP(M783,Data!$C$4:$D$395,2,0),"")</f>
        <v/>
      </c>
      <c r="O783" s="220"/>
      <c r="P783" s="229"/>
      <c r="Q783" s="221"/>
      <c r="R783" s="222" t="str">
        <f t="shared" si="114"/>
        <v>-</v>
      </c>
      <c r="S783" s="223"/>
      <c r="T783" s="224"/>
      <c r="U783" s="225">
        <f t="shared" si="115"/>
        <v>0</v>
      </c>
      <c r="V783" s="226">
        <v>0</v>
      </c>
      <c r="W783" s="227"/>
      <c r="X783" s="228">
        <f t="shared" si="116"/>
        <v>0</v>
      </c>
      <c r="Y783" s="229"/>
      <c r="Z783" s="229"/>
      <c r="AA783" s="229"/>
      <c r="AB783" s="222">
        <f t="shared" si="117"/>
        <v>0</v>
      </c>
      <c r="AC783" s="230">
        <f t="shared" si="118"/>
        <v>0</v>
      </c>
      <c r="AD783" s="222" t="str">
        <f t="shared" si="119"/>
        <v/>
      </c>
      <c r="AE783" s="201"/>
      <c r="AF783" s="231" t="str">
        <f>+IFERROR(VLOOKUP(L783,Data!$F$4:$G$97,2,0),"")</f>
        <v/>
      </c>
    </row>
    <row r="784" spans="9:32" ht="15" customHeight="1" x14ac:dyDescent="0.3">
      <c r="I784" s="201" t="str">
        <f t="shared" si="112"/>
        <v/>
      </c>
      <c r="J784" s="218">
        <f t="shared" si="113"/>
        <v>781</v>
      </c>
      <c r="K784" s="250"/>
      <c r="L784" s="219"/>
      <c r="M784" s="218"/>
      <c r="N784" s="220" t="str">
        <f>IFERROR(VLOOKUP(M784,Data!$C$4:$D$395,2,0),"")</f>
        <v/>
      </c>
      <c r="O784" s="220"/>
      <c r="P784" s="229"/>
      <c r="Q784" s="221"/>
      <c r="R784" s="222" t="str">
        <f t="shared" si="114"/>
        <v>-</v>
      </c>
      <c r="S784" s="223"/>
      <c r="T784" s="224"/>
      <c r="U784" s="225">
        <f t="shared" si="115"/>
        <v>0</v>
      </c>
      <c r="V784" s="226">
        <v>0</v>
      </c>
      <c r="W784" s="227"/>
      <c r="X784" s="228">
        <f t="shared" si="116"/>
        <v>0</v>
      </c>
      <c r="Y784" s="229"/>
      <c r="Z784" s="229"/>
      <c r="AA784" s="229"/>
      <c r="AB784" s="222">
        <f t="shared" si="117"/>
        <v>0</v>
      </c>
      <c r="AC784" s="230">
        <f t="shared" si="118"/>
        <v>0</v>
      </c>
      <c r="AD784" s="222" t="str">
        <f t="shared" si="119"/>
        <v/>
      </c>
      <c r="AE784" s="201"/>
      <c r="AF784" s="231" t="str">
        <f>+IFERROR(VLOOKUP(L784,Data!$F$4:$G$97,2,0),"")</f>
        <v/>
      </c>
    </row>
    <row r="785" spans="9:32" ht="15" customHeight="1" x14ac:dyDescent="0.3">
      <c r="I785" s="201" t="str">
        <f t="shared" si="112"/>
        <v/>
      </c>
      <c r="J785" s="218">
        <f t="shared" si="113"/>
        <v>782</v>
      </c>
      <c r="K785" s="250"/>
      <c r="L785" s="219"/>
      <c r="M785" s="218"/>
      <c r="N785" s="220" t="str">
        <f>IFERROR(VLOOKUP(M785,Data!$C$4:$D$395,2,0),"")</f>
        <v/>
      </c>
      <c r="O785" s="220"/>
      <c r="P785" s="229"/>
      <c r="Q785" s="221"/>
      <c r="R785" s="222" t="str">
        <f t="shared" si="114"/>
        <v>-</v>
      </c>
      <c r="S785" s="223"/>
      <c r="T785" s="224"/>
      <c r="U785" s="225">
        <f t="shared" si="115"/>
        <v>0</v>
      </c>
      <c r="V785" s="226">
        <v>0</v>
      </c>
      <c r="W785" s="227"/>
      <c r="X785" s="228">
        <f t="shared" si="116"/>
        <v>0</v>
      </c>
      <c r="Y785" s="229"/>
      <c r="Z785" s="229"/>
      <c r="AA785" s="229"/>
      <c r="AB785" s="222">
        <f t="shared" si="117"/>
        <v>0</v>
      </c>
      <c r="AC785" s="230">
        <f t="shared" si="118"/>
        <v>0</v>
      </c>
      <c r="AD785" s="222" t="str">
        <f t="shared" si="119"/>
        <v/>
      </c>
      <c r="AE785" s="201"/>
      <c r="AF785" s="231" t="str">
        <f>+IFERROR(VLOOKUP(L785,Data!$F$4:$G$97,2,0),"")</f>
        <v/>
      </c>
    </row>
    <row r="786" spans="9:32" ht="15" customHeight="1" x14ac:dyDescent="0.3">
      <c r="I786" s="201" t="str">
        <f t="shared" si="112"/>
        <v/>
      </c>
      <c r="J786" s="218">
        <f t="shared" si="113"/>
        <v>783</v>
      </c>
      <c r="K786" s="250"/>
      <c r="L786" s="219"/>
      <c r="M786" s="218"/>
      <c r="N786" s="220" t="str">
        <f>IFERROR(VLOOKUP(M786,Data!$C$4:$D$395,2,0),"")</f>
        <v/>
      </c>
      <c r="O786" s="220"/>
      <c r="P786" s="229"/>
      <c r="Q786" s="221"/>
      <c r="R786" s="222" t="str">
        <f t="shared" si="114"/>
        <v>-</v>
      </c>
      <c r="S786" s="223"/>
      <c r="T786" s="224"/>
      <c r="U786" s="225">
        <f t="shared" si="115"/>
        <v>0</v>
      </c>
      <c r="V786" s="226">
        <v>0</v>
      </c>
      <c r="W786" s="227"/>
      <c r="X786" s="228">
        <f t="shared" si="116"/>
        <v>0</v>
      </c>
      <c r="Y786" s="229"/>
      <c r="Z786" s="229"/>
      <c r="AA786" s="229"/>
      <c r="AB786" s="222">
        <f t="shared" si="117"/>
        <v>0</v>
      </c>
      <c r="AC786" s="230">
        <f t="shared" si="118"/>
        <v>0</v>
      </c>
      <c r="AD786" s="222" t="str">
        <f t="shared" si="119"/>
        <v/>
      </c>
      <c r="AE786" s="201"/>
      <c r="AF786" s="231" t="str">
        <f>+IFERROR(VLOOKUP(L786,Data!$F$4:$G$97,2,0),"")</f>
        <v/>
      </c>
    </row>
    <row r="787" spans="9:32" ht="15" customHeight="1" x14ac:dyDescent="0.3">
      <c r="I787" s="201" t="str">
        <f t="shared" si="112"/>
        <v/>
      </c>
      <c r="J787" s="218">
        <f t="shared" si="113"/>
        <v>784</v>
      </c>
      <c r="K787" s="250"/>
      <c r="L787" s="219"/>
      <c r="M787" s="218"/>
      <c r="N787" s="220" t="str">
        <f>IFERROR(VLOOKUP(M787,Data!$C$4:$D$395,2,0),"")</f>
        <v/>
      </c>
      <c r="O787" s="220"/>
      <c r="P787" s="229"/>
      <c r="Q787" s="221"/>
      <c r="R787" s="222" t="str">
        <f t="shared" si="114"/>
        <v>-</v>
      </c>
      <c r="S787" s="223"/>
      <c r="T787" s="224"/>
      <c r="U787" s="225">
        <f t="shared" si="115"/>
        <v>0</v>
      </c>
      <c r="V787" s="226">
        <v>0</v>
      </c>
      <c r="W787" s="227"/>
      <c r="X787" s="228">
        <f t="shared" si="116"/>
        <v>0</v>
      </c>
      <c r="Y787" s="229"/>
      <c r="Z787" s="229"/>
      <c r="AA787" s="229"/>
      <c r="AB787" s="222">
        <f t="shared" si="117"/>
        <v>0</v>
      </c>
      <c r="AC787" s="230">
        <f t="shared" si="118"/>
        <v>0</v>
      </c>
      <c r="AD787" s="222" t="str">
        <f t="shared" si="119"/>
        <v/>
      </c>
      <c r="AE787" s="201"/>
      <c r="AF787" s="231" t="str">
        <f>+IFERROR(VLOOKUP(L787,Data!$F$4:$G$97,2,0),"")</f>
        <v/>
      </c>
    </row>
    <row r="788" spans="9:32" ht="15" customHeight="1" x14ac:dyDescent="0.3">
      <c r="I788" s="201" t="str">
        <f t="shared" si="112"/>
        <v/>
      </c>
      <c r="J788" s="218">
        <f t="shared" si="113"/>
        <v>785</v>
      </c>
      <c r="K788" s="250"/>
      <c r="L788" s="219"/>
      <c r="M788" s="218"/>
      <c r="N788" s="220" t="str">
        <f>IFERROR(VLOOKUP(M788,Data!$C$4:$D$395,2,0),"")</f>
        <v/>
      </c>
      <c r="O788" s="220"/>
      <c r="P788" s="229"/>
      <c r="Q788" s="221"/>
      <c r="R788" s="222" t="str">
        <f t="shared" si="114"/>
        <v>-</v>
      </c>
      <c r="S788" s="223"/>
      <c r="T788" s="224"/>
      <c r="U788" s="225">
        <f t="shared" si="115"/>
        <v>0</v>
      </c>
      <c r="V788" s="226">
        <v>0</v>
      </c>
      <c r="W788" s="227"/>
      <c r="X788" s="228">
        <f t="shared" si="116"/>
        <v>0</v>
      </c>
      <c r="Y788" s="229"/>
      <c r="Z788" s="229"/>
      <c r="AA788" s="229"/>
      <c r="AB788" s="222">
        <f t="shared" si="117"/>
        <v>0</v>
      </c>
      <c r="AC788" s="230">
        <f t="shared" si="118"/>
        <v>0</v>
      </c>
      <c r="AD788" s="222" t="str">
        <f t="shared" si="119"/>
        <v/>
      </c>
      <c r="AE788" s="201"/>
      <c r="AF788" s="231" t="str">
        <f>+IFERROR(VLOOKUP(L788,Data!$F$4:$G$97,2,0),"")</f>
        <v/>
      </c>
    </row>
    <row r="789" spans="9:32" ht="15" customHeight="1" x14ac:dyDescent="0.3">
      <c r="I789" s="201" t="str">
        <f t="shared" si="112"/>
        <v/>
      </c>
      <c r="J789" s="218">
        <f t="shared" si="113"/>
        <v>786</v>
      </c>
      <c r="K789" s="250"/>
      <c r="L789" s="219"/>
      <c r="M789" s="218"/>
      <c r="N789" s="220" t="str">
        <f>IFERROR(VLOOKUP(M789,Data!$C$4:$D$395,2,0),"")</f>
        <v/>
      </c>
      <c r="O789" s="220"/>
      <c r="P789" s="229"/>
      <c r="Q789" s="221"/>
      <c r="R789" s="222" t="str">
        <f t="shared" si="114"/>
        <v>-</v>
      </c>
      <c r="S789" s="223"/>
      <c r="T789" s="224"/>
      <c r="U789" s="225">
        <f t="shared" si="115"/>
        <v>0</v>
      </c>
      <c r="V789" s="226">
        <v>0</v>
      </c>
      <c r="W789" s="227"/>
      <c r="X789" s="228">
        <f t="shared" si="116"/>
        <v>0</v>
      </c>
      <c r="Y789" s="229"/>
      <c r="Z789" s="229"/>
      <c r="AA789" s="229"/>
      <c r="AB789" s="222">
        <f t="shared" si="117"/>
        <v>0</v>
      </c>
      <c r="AC789" s="230">
        <f t="shared" si="118"/>
        <v>0</v>
      </c>
      <c r="AD789" s="222" t="str">
        <f t="shared" si="119"/>
        <v/>
      </c>
      <c r="AE789" s="201"/>
      <c r="AF789" s="231" t="str">
        <f>+IFERROR(VLOOKUP(L789,Data!$F$4:$G$97,2,0),"")</f>
        <v/>
      </c>
    </row>
    <row r="790" spans="9:32" ht="15" customHeight="1" x14ac:dyDescent="0.3">
      <c r="I790" s="201" t="str">
        <f t="shared" si="112"/>
        <v/>
      </c>
      <c r="J790" s="218">
        <f t="shared" si="113"/>
        <v>787</v>
      </c>
      <c r="K790" s="250"/>
      <c r="L790" s="219"/>
      <c r="M790" s="218"/>
      <c r="N790" s="220" t="str">
        <f>IFERROR(VLOOKUP(M790,Data!$C$4:$D$395,2,0),"")</f>
        <v/>
      </c>
      <c r="O790" s="220"/>
      <c r="P790" s="229"/>
      <c r="Q790" s="221"/>
      <c r="R790" s="222" t="str">
        <f t="shared" si="114"/>
        <v>-</v>
      </c>
      <c r="S790" s="223"/>
      <c r="T790" s="224"/>
      <c r="U790" s="225">
        <f t="shared" si="115"/>
        <v>0</v>
      </c>
      <c r="V790" s="226">
        <v>0</v>
      </c>
      <c r="W790" s="227"/>
      <c r="X790" s="228">
        <f t="shared" si="116"/>
        <v>0</v>
      </c>
      <c r="Y790" s="229"/>
      <c r="Z790" s="229"/>
      <c r="AA790" s="229"/>
      <c r="AB790" s="222">
        <f t="shared" si="117"/>
        <v>0</v>
      </c>
      <c r="AC790" s="230">
        <f t="shared" si="118"/>
        <v>0</v>
      </c>
      <c r="AD790" s="222" t="str">
        <f t="shared" si="119"/>
        <v/>
      </c>
      <c r="AE790" s="201"/>
      <c r="AF790" s="231" t="str">
        <f>+IFERROR(VLOOKUP(L790,Data!$F$4:$G$97,2,0),"")</f>
        <v/>
      </c>
    </row>
    <row r="791" spans="9:32" ht="15" customHeight="1" x14ac:dyDescent="0.3">
      <c r="I791" s="201" t="str">
        <f t="shared" si="112"/>
        <v/>
      </c>
      <c r="J791" s="218">
        <f t="shared" si="113"/>
        <v>788</v>
      </c>
      <c r="K791" s="250"/>
      <c r="L791" s="219"/>
      <c r="M791" s="218"/>
      <c r="N791" s="220" t="str">
        <f>IFERROR(VLOOKUP(M791,Data!$C$4:$D$395,2,0),"")</f>
        <v/>
      </c>
      <c r="O791" s="220"/>
      <c r="P791" s="229"/>
      <c r="Q791" s="221"/>
      <c r="R791" s="222" t="str">
        <f t="shared" si="114"/>
        <v>-</v>
      </c>
      <c r="S791" s="223"/>
      <c r="T791" s="224"/>
      <c r="U791" s="225">
        <f t="shared" si="115"/>
        <v>0</v>
      </c>
      <c r="V791" s="226">
        <v>0</v>
      </c>
      <c r="W791" s="227"/>
      <c r="X791" s="228">
        <f t="shared" si="116"/>
        <v>0</v>
      </c>
      <c r="Y791" s="229"/>
      <c r="Z791" s="229"/>
      <c r="AA791" s="229"/>
      <c r="AB791" s="222">
        <f t="shared" si="117"/>
        <v>0</v>
      </c>
      <c r="AC791" s="230">
        <f t="shared" si="118"/>
        <v>0</v>
      </c>
      <c r="AD791" s="222" t="str">
        <f t="shared" si="119"/>
        <v/>
      </c>
      <c r="AE791" s="201"/>
      <c r="AF791" s="231" t="str">
        <f>+IFERROR(VLOOKUP(L791,Data!$F$4:$G$97,2,0),"")</f>
        <v/>
      </c>
    </row>
    <row r="792" spans="9:32" ht="15" customHeight="1" x14ac:dyDescent="0.3">
      <c r="I792" s="201" t="str">
        <f t="shared" si="112"/>
        <v/>
      </c>
      <c r="J792" s="218">
        <f t="shared" si="113"/>
        <v>789</v>
      </c>
      <c r="K792" s="250"/>
      <c r="L792" s="219"/>
      <c r="M792" s="218"/>
      <c r="N792" s="220" t="str">
        <f>IFERROR(VLOOKUP(M792,Data!$C$4:$D$395,2,0),"")</f>
        <v/>
      </c>
      <c r="O792" s="220"/>
      <c r="P792" s="229"/>
      <c r="Q792" s="221"/>
      <c r="R792" s="222" t="str">
        <f t="shared" si="114"/>
        <v>-</v>
      </c>
      <c r="S792" s="223"/>
      <c r="T792" s="224"/>
      <c r="U792" s="225">
        <f t="shared" si="115"/>
        <v>0</v>
      </c>
      <c r="V792" s="226">
        <v>0</v>
      </c>
      <c r="W792" s="227"/>
      <c r="X792" s="228">
        <f t="shared" si="116"/>
        <v>0</v>
      </c>
      <c r="Y792" s="229"/>
      <c r="Z792" s="229"/>
      <c r="AA792" s="229"/>
      <c r="AB792" s="222">
        <f t="shared" si="117"/>
        <v>0</v>
      </c>
      <c r="AC792" s="230">
        <f t="shared" si="118"/>
        <v>0</v>
      </c>
      <c r="AD792" s="222" t="str">
        <f t="shared" si="119"/>
        <v/>
      </c>
      <c r="AE792" s="201"/>
      <c r="AF792" s="231" t="str">
        <f>+IFERROR(VLOOKUP(L792,Data!$F$4:$G$97,2,0),"")</f>
        <v/>
      </c>
    </row>
    <row r="793" spans="9:32" ht="15" customHeight="1" x14ac:dyDescent="0.3">
      <c r="I793" s="201" t="str">
        <f t="shared" si="112"/>
        <v/>
      </c>
      <c r="J793" s="218">
        <f t="shared" si="113"/>
        <v>790</v>
      </c>
      <c r="K793" s="250"/>
      <c r="L793" s="219"/>
      <c r="M793" s="218"/>
      <c r="N793" s="220" t="str">
        <f>IFERROR(VLOOKUP(M793,Data!$C$4:$D$395,2,0),"")</f>
        <v/>
      </c>
      <c r="O793" s="220"/>
      <c r="P793" s="229"/>
      <c r="Q793" s="221"/>
      <c r="R793" s="222" t="str">
        <f t="shared" si="114"/>
        <v>-</v>
      </c>
      <c r="S793" s="223"/>
      <c r="T793" s="224"/>
      <c r="U793" s="225">
        <f t="shared" si="115"/>
        <v>0</v>
      </c>
      <c r="V793" s="226">
        <v>0</v>
      </c>
      <c r="W793" s="227"/>
      <c r="X793" s="228">
        <f t="shared" si="116"/>
        <v>0</v>
      </c>
      <c r="Y793" s="229"/>
      <c r="Z793" s="229"/>
      <c r="AA793" s="229"/>
      <c r="AB793" s="222">
        <f t="shared" si="117"/>
        <v>0</v>
      </c>
      <c r="AC793" s="230">
        <f t="shared" si="118"/>
        <v>0</v>
      </c>
      <c r="AD793" s="222" t="str">
        <f t="shared" si="119"/>
        <v/>
      </c>
      <c r="AE793" s="201"/>
      <c r="AF793" s="231" t="str">
        <f>+IFERROR(VLOOKUP(L793,Data!$F$4:$G$97,2,0),"")</f>
        <v/>
      </c>
    </row>
    <row r="794" spans="9:32" ht="15" customHeight="1" x14ac:dyDescent="0.3">
      <c r="I794" s="201" t="str">
        <f t="shared" si="112"/>
        <v/>
      </c>
      <c r="J794" s="218">
        <f t="shared" si="113"/>
        <v>791</v>
      </c>
      <c r="K794" s="250"/>
      <c r="L794" s="219"/>
      <c r="M794" s="218"/>
      <c r="N794" s="220" t="str">
        <f>IFERROR(VLOOKUP(M794,Data!$C$4:$D$395,2,0),"")</f>
        <v/>
      </c>
      <c r="O794" s="220"/>
      <c r="P794" s="229"/>
      <c r="Q794" s="221"/>
      <c r="R794" s="222" t="str">
        <f t="shared" si="114"/>
        <v>-</v>
      </c>
      <c r="S794" s="223"/>
      <c r="T794" s="224"/>
      <c r="U794" s="225">
        <f t="shared" si="115"/>
        <v>0</v>
      </c>
      <c r="V794" s="226">
        <v>0</v>
      </c>
      <c r="W794" s="227"/>
      <c r="X794" s="228">
        <f t="shared" si="116"/>
        <v>0</v>
      </c>
      <c r="Y794" s="229"/>
      <c r="Z794" s="229"/>
      <c r="AA794" s="229"/>
      <c r="AB794" s="222">
        <f t="shared" si="117"/>
        <v>0</v>
      </c>
      <c r="AC794" s="230">
        <f t="shared" si="118"/>
        <v>0</v>
      </c>
      <c r="AD794" s="222" t="str">
        <f t="shared" si="119"/>
        <v/>
      </c>
      <c r="AE794" s="201"/>
      <c r="AF794" s="231" t="str">
        <f>+IFERROR(VLOOKUP(L794,Data!$F$4:$G$97,2,0),"")</f>
        <v/>
      </c>
    </row>
    <row r="795" spans="9:32" ht="15" customHeight="1" x14ac:dyDescent="0.3">
      <c r="I795" s="201" t="str">
        <f t="shared" si="112"/>
        <v/>
      </c>
      <c r="J795" s="218">
        <f t="shared" si="113"/>
        <v>792</v>
      </c>
      <c r="K795" s="250"/>
      <c r="L795" s="219"/>
      <c r="M795" s="218"/>
      <c r="N795" s="220" t="str">
        <f>IFERROR(VLOOKUP(M795,Data!$C$4:$D$395,2,0),"")</f>
        <v/>
      </c>
      <c r="O795" s="220"/>
      <c r="P795" s="229"/>
      <c r="Q795" s="221"/>
      <c r="R795" s="222" t="str">
        <f t="shared" si="114"/>
        <v>-</v>
      </c>
      <c r="S795" s="223"/>
      <c r="T795" s="224"/>
      <c r="U795" s="225">
        <f t="shared" si="115"/>
        <v>0</v>
      </c>
      <c r="V795" s="226">
        <v>0</v>
      </c>
      <c r="W795" s="227"/>
      <c r="X795" s="228">
        <f t="shared" si="116"/>
        <v>0</v>
      </c>
      <c r="Y795" s="229"/>
      <c r="Z795" s="229"/>
      <c r="AA795" s="229"/>
      <c r="AB795" s="222">
        <f t="shared" si="117"/>
        <v>0</v>
      </c>
      <c r="AC795" s="230">
        <f t="shared" si="118"/>
        <v>0</v>
      </c>
      <c r="AD795" s="222" t="str">
        <f t="shared" si="119"/>
        <v/>
      </c>
      <c r="AE795" s="201"/>
      <c r="AF795" s="231" t="str">
        <f>+IFERROR(VLOOKUP(L795,Data!$F$4:$G$97,2,0),"")</f>
        <v/>
      </c>
    </row>
    <row r="796" spans="9:32" ht="15" customHeight="1" x14ac:dyDescent="0.3">
      <c r="I796" s="201" t="str">
        <f t="shared" si="112"/>
        <v/>
      </c>
      <c r="J796" s="218">
        <f t="shared" si="113"/>
        <v>793</v>
      </c>
      <c r="K796" s="250"/>
      <c r="L796" s="219"/>
      <c r="M796" s="218"/>
      <c r="N796" s="220" t="str">
        <f>IFERROR(VLOOKUP(M796,Data!$C$4:$D$395,2,0),"")</f>
        <v/>
      </c>
      <c r="O796" s="220"/>
      <c r="P796" s="229"/>
      <c r="Q796" s="221"/>
      <c r="R796" s="222" t="str">
        <f t="shared" si="114"/>
        <v>-</v>
      </c>
      <c r="S796" s="223"/>
      <c r="T796" s="224"/>
      <c r="U796" s="225">
        <f t="shared" si="115"/>
        <v>0</v>
      </c>
      <c r="V796" s="226">
        <v>0</v>
      </c>
      <c r="W796" s="227"/>
      <c r="X796" s="228">
        <f t="shared" si="116"/>
        <v>0</v>
      </c>
      <c r="Y796" s="229"/>
      <c r="Z796" s="229"/>
      <c r="AA796" s="229"/>
      <c r="AB796" s="222">
        <f t="shared" si="117"/>
        <v>0</v>
      </c>
      <c r="AC796" s="230">
        <f t="shared" si="118"/>
        <v>0</v>
      </c>
      <c r="AD796" s="222" t="str">
        <f t="shared" si="119"/>
        <v/>
      </c>
      <c r="AE796" s="201"/>
      <c r="AF796" s="231" t="str">
        <f>+IFERROR(VLOOKUP(L796,Data!$F$4:$G$97,2,0),"")</f>
        <v/>
      </c>
    </row>
    <row r="797" spans="9:32" ht="15" customHeight="1" x14ac:dyDescent="0.3">
      <c r="I797" s="201" t="str">
        <f t="shared" si="112"/>
        <v/>
      </c>
      <c r="J797" s="218">
        <f t="shared" si="113"/>
        <v>794</v>
      </c>
      <c r="K797" s="250"/>
      <c r="L797" s="219"/>
      <c r="M797" s="218"/>
      <c r="N797" s="220" t="str">
        <f>IFERROR(VLOOKUP(M797,Data!$C$4:$D$395,2,0),"")</f>
        <v/>
      </c>
      <c r="O797" s="220"/>
      <c r="P797" s="229"/>
      <c r="Q797" s="221"/>
      <c r="R797" s="222" t="str">
        <f t="shared" si="114"/>
        <v>-</v>
      </c>
      <c r="S797" s="223"/>
      <c r="T797" s="224"/>
      <c r="U797" s="225">
        <f t="shared" si="115"/>
        <v>0</v>
      </c>
      <c r="V797" s="226">
        <v>0</v>
      </c>
      <c r="W797" s="227"/>
      <c r="X797" s="228">
        <f t="shared" si="116"/>
        <v>0</v>
      </c>
      <c r="Y797" s="229"/>
      <c r="Z797" s="229"/>
      <c r="AA797" s="229"/>
      <c r="AB797" s="222">
        <f t="shared" si="117"/>
        <v>0</v>
      </c>
      <c r="AC797" s="230">
        <f t="shared" si="118"/>
        <v>0</v>
      </c>
      <c r="AD797" s="222" t="str">
        <f t="shared" si="119"/>
        <v/>
      </c>
      <c r="AE797" s="201"/>
      <c r="AF797" s="231" t="str">
        <f>+IFERROR(VLOOKUP(L797,Data!$F$4:$G$97,2,0),"")</f>
        <v/>
      </c>
    </row>
    <row r="798" spans="9:32" ht="15" customHeight="1" x14ac:dyDescent="0.3">
      <c r="I798" s="201" t="str">
        <f t="shared" si="112"/>
        <v/>
      </c>
      <c r="J798" s="218">
        <f t="shared" si="113"/>
        <v>795</v>
      </c>
      <c r="K798" s="250"/>
      <c r="L798" s="219"/>
      <c r="M798" s="218"/>
      <c r="N798" s="220" t="str">
        <f>IFERROR(VLOOKUP(M798,Data!$C$4:$D$395,2,0),"")</f>
        <v/>
      </c>
      <c r="O798" s="220"/>
      <c r="P798" s="229"/>
      <c r="Q798" s="221"/>
      <c r="R798" s="222" t="str">
        <f t="shared" si="114"/>
        <v>-</v>
      </c>
      <c r="S798" s="223"/>
      <c r="T798" s="224"/>
      <c r="U798" s="225">
        <f t="shared" si="115"/>
        <v>0</v>
      </c>
      <c r="V798" s="226">
        <v>0</v>
      </c>
      <c r="W798" s="227"/>
      <c r="X798" s="228">
        <f t="shared" si="116"/>
        <v>0</v>
      </c>
      <c r="Y798" s="229"/>
      <c r="Z798" s="229"/>
      <c r="AA798" s="229"/>
      <c r="AB798" s="222">
        <f t="shared" si="117"/>
        <v>0</v>
      </c>
      <c r="AC798" s="230">
        <f t="shared" si="118"/>
        <v>0</v>
      </c>
      <c r="AD798" s="222" t="str">
        <f t="shared" si="119"/>
        <v/>
      </c>
      <c r="AE798" s="201"/>
      <c r="AF798" s="231" t="str">
        <f>+IFERROR(VLOOKUP(L798,Data!$F$4:$G$97,2,0),"")</f>
        <v/>
      </c>
    </row>
    <row r="799" spans="9:32" ht="15" customHeight="1" x14ac:dyDescent="0.3">
      <c r="I799" s="201" t="str">
        <f t="shared" si="112"/>
        <v/>
      </c>
      <c r="J799" s="218">
        <f t="shared" si="113"/>
        <v>796</v>
      </c>
      <c r="K799" s="250"/>
      <c r="L799" s="219"/>
      <c r="M799" s="218"/>
      <c r="N799" s="220" t="str">
        <f>IFERROR(VLOOKUP(M799,Data!$C$4:$D$395,2,0),"")</f>
        <v/>
      </c>
      <c r="O799" s="220"/>
      <c r="P799" s="229"/>
      <c r="Q799" s="221"/>
      <c r="R799" s="222" t="str">
        <f t="shared" si="114"/>
        <v>-</v>
      </c>
      <c r="S799" s="223"/>
      <c r="T799" s="224"/>
      <c r="U799" s="225">
        <f t="shared" si="115"/>
        <v>0</v>
      </c>
      <c r="V799" s="226">
        <v>0</v>
      </c>
      <c r="W799" s="227"/>
      <c r="X799" s="228">
        <f t="shared" si="116"/>
        <v>0</v>
      </c>
      <c r="Y799" s="229"/>
      <c r="Z799" s="229"/>
      <c r="AA799" s="229"/>
      <c r="AB799" s="222">
        <f t="shared" si="117"/>
        <v>0</v>
      </c>
      <c r="AC799" s="230">
        <f t="shared" si="118"/>
        <v>0</v>
      </c>
      <c r="AD799" s="222" t="str">
        <f t="shared" si="119"/>
        <v/>
      </c>
      <c r="AE799" s="201"/>
      <c r="AF799" s="231" t="str">
        <f>+IFERROR(VLOOKUP(L799,Data!$F$4:$G$97,2,0),"")</f>
        <v/>
      </c>
    </row>
    <row r="800" spans="9:32" ht="15" customHeight="1" x14ac:dyDescent="0.3">
      <c r="I800" s="201" t="str">
        <f t="shared" si="112"/>
        <v/>
      </c>
      <c r="J800" s="218">
        <f t="shared" si="113"/>
        <v>797</v>
      </c>
      <c r="K800" s="250"/>
      <c r="L800" s="219"/>
      <c r="M800" s="218"/>
      <c r="N800" s="220" t="str">
        <f>IFERROR(VLOOKUP(M800,Data!$C$4:$D$395,2,0),"")</f>
        <v/>
      </c>
      <c r="O800" s="220"/>
      <c r="P800" s="229"/>
      <c r="Q800" s="221"/>
      <c r="R800" s="222" t="str">
        <f t="shared" si="114"/>
        <v>-</v>
      </c>
      <c r="S800" s="223"/>
      <c r="T800" s="224"/>
      <c r="U800" s="225">
        <f t="shared" si="115"/>
        <v>0</v>
      </c>
      <c r="V800" s="226">
        <v>0</v>
      </c>
      <c r="W800" s="227"/>
      <c r="X800" s="228">
        <f t="shared" si="116"/>
        <v>0</v>
      </c>
      <c r="Y800" s="229"/>
      <c r="Z800" s="229"/>
      <c r="AA800" s="229"/>
      <c r="AB800" s="222">
        <f t="shared" si="117"/>
        <v>0</v>
      </c>
      <c r="AC800" s="230">
        <f t="shared" si="118"/>
        <v>0</v>
      </c>
      <c r="AD800" s="222" t="str">
        <f t="shared" si="119"/>
        <v/>
      </c>
      <c r="AE800" s="201"/>
      <c r="AF800" s="231" t="str">
        <f>+IFERROR(VLOOKUP(L800,Data!$F$4:$G$97,2,0),"")</f>
        <v/>
      </c>
    </row>
    <row r="801" spans="9:32" ht="15" customHeight="1" x14ac:dyDescent="0.3">
      <c r="I801" s="201" t="str">
        <f t="shared" si="112"/>
        <v/>
      </c>
      <c r="J801" s="218">
        <f t="shared" si="113"/>
        <v>798</v>
      </c>
      <c r="K801" s="250"/>
      <c r="L801" s="219"/>
      <c r="M801" s="218"/>
      <c r="N801" s="220" t="str">
        <f>IFERROR(VLOOKUP(M801,Data!$C$4:$D$395,2,0),"")</f>
        <v/>
      </c>
      <c r="O801" s="220"/>
      <c r="P801" s="229"/>
      <c r="Q801" s="221"/>
      <c r="R801" s="222" t="str">
        <f t="shared" si="114"/>
        <v>-</v>
      </c>
      <c r="S801" s="223"/>
      <c r="T801" s="224"/>
      <c r="U801" s="225">
        <f t="shared" si="115"/>
        <v>0</v>
      </c>
      <c r="V801" s="226">
        <v>0</v>
      </c>
      <c r="W801" s="227"/>
      <c r="X801" s="228">
        <f t="shared" si="116"/>
        <v>0</v>
      </c>
      <c r="Y801" s="229"/>
      <c r="Z801" s="229"/>
      <c r="AA801" s="229"/>
      <c r="AB801" s="222">
        <f t="shared" si="117"/>
        <v>0</v>
      </c>
      <c r="AC801" s="230">
        <f t="shared" si="118"/>
        <v>0</v>
      </c>
      <c r="AD801" s="222" t="str">
        <f t="shared" si="119"/>
        <v/>
      </c>
      <c r="AE801" s="201"/>
      <c r="AF801" s="231" t="str">
        <f>+IFERROR(VLOOKUP(L801,Data!$F$4:$G$97,2,0),"")</f>
        <v/>
      </c>
    </row>
    <row r="802" spans="9:32" ht="15" customHeight="1" x14ac:dyDescent="0.3">
      <c r="I802" s="201" t="str">
        <f t="shared" si="112"/>
        <v/>
      </c>
      <c r="J802" s="218">
        <f t="shared" si="113"/>
        <v>799</v>
      </c>
      <c r="K802" s="250"/>
      <c r="L802" s="219"/>
      <c r="M802" s="218"/>
      <c r="N802" s="220" t="str">
        <f>IFERROR(VLOOKUP(M802,Data!$C$4:$D$395,2,0),"")</f>
        <v/>
      </c>
      <c r="O802" s="220"/>
      <c r="P802" s="229"/>
      <c r="Q802" s="221"/>
      <c r="R802" s="222" t="str">
        <f t="shared" si="114"/>
        <v>-</v>
      </c>
      <c r="S802" s="223"/>
      <c r="T802" s="224"/>
      <c r="U802" s="225">
        <f t="shared" si="115"/>
        <v>0</v>
      </c>
      <c r="V802" s="226">
        <v>0</v>
      </c>
      <c r="W802" s="227"/>
      <c r="X802" s="228">
        <f t="shared" si="116"/>
        <v>0</v>
      </c>
      <c r="Y802" s="229"/>
      <c r="Z802" s="229"/>
      <c r="AA802" s="229"/>
      <c r="AB802" s="222">
        <f t="shared" si="117"/>
        <v>0</v>
      </c>
      <c r="AC802" s="230">
        <f t="shared" si="118"/>
        <v>0</v>
      </c>
      <c r="AD802" s="222" t="str">
        <f t="shared" si="119"/>
        <v/>
      </c>
      <c r="AE802" s="201"/>
      <c r="AF802" s="231" t="str">
        <f>+IFERROR(VLOOKUP(L802,Data!$F$4:$G$97,2,0),"")</f>
        <v/>
      </c>
    </row>
    <row r="803" spans="9:32" ht="15" customHeight="1" x14ac:dyDescent="0.3">
      <c r="I803" s="201" t="str">
        <f t="shared" si="112"/>
        <v/>
      </c>
      <c r="J803" s="218">
        <f t="shared" si="113"/>
        <v>800</v>
      </c>
      <c r="K803" s="250"/>
      <c r="L803" s="219"/>
      <c r="M803" s="218"/>
      <c r="N803" s="220" t="str">
        <f>IFERROR(VLOOKUP(M803,Data!$C$4:$D$395,2,0),"")</f>
        <v/>
      </c>
      <c r="O803" s="220"/>
      <c r="P803" s="229"/>
      <c r="Q803" s="221"/>
      <c r="R803" s="222" t="str">
        <f t="shared" si="114"/>
        <v>-</v>
      </c>
      <c r="S803" s="223"/>
      <c r="T803" s="224"/>
      <c r="U803" s="225">
        <f t="shared" si="115"/>
        <v>0</v>
      </c>
      <c r="V803" s="226">
        <v>0</v>
      </c>
      <c r="W803" s="227"/>
      <c r="X803" s="228">
        <f t="shared" si="116"/>
        <v>0</v>
      </c>
      <c r="Y803" s="229"/>
      <c r="Z803" s="229"/>
      <c r="AA803" s="229"/>
      <c r="AB803" s="222">
        <f t="shared" si="117"/>
        <v>0</v>
      </c>
      <c r="AC803" s="230">
        <f t="shared" si="118"/>
        <v>0</v>
      </c>
      <c r="AD803" s="222" t="str">
        <f t="shared" si="119"/>
        <v/>
      </c>
      <c r="AE803" s="201"/>
      <c r="AF803" s="231" t="str">
        <f>+IFERROR(VLOOKUP(L803,Data!$F$4:$G$97,2,0),"")</f>
        <v/>
      </c>
    </row>
    <row r="804" spans="9:32" ht="15" customHeight="1" x14ac:dyDescent="0.3">
      <c r="I804" s="201" t="str">
        <f t="shared" si="112"/>
        <v/>
      </c>
      <c r="J804" s="218">
        <f t="shared" si="113"/>
        <v>801</v>
      </c>
      <c r="K804" s="250"/>
      <c r="L804" s="219"/>
      <c r="M804" s="218"/>
      <c r="N804" s="220" t="str">
        <f>IFERROR(VLOOKUP(M804,Data!$C$4:$D$395,2,0),"")</f>
        <v/>
      </c>
      <c r="O804" s="220"/>
      <c r="P804" s="229"/>
      <c r="Q804" s="221"/>
      <c r="R804" s="222" t="str">
        <f t="shared" si="114"/>
        <v>-</v>
      </c>
      <c r="S804" s="223"/>
      <c r="T804" s="224"/>
      <c r="U804" s="225">
        <f t="shared" si="115"/>
        <v>0</v>
      </c>
      <c r="V804" s="226">
        <v>0</v>
      </c>
      <c r="W804" s="227"/>
      <c r="X804" s="228">
        <f t="shared" si="116"/>
        <v>0</v>
      </c>
      <c r="Y804" s="229"/>
      <c r="Z804" s="229"/>
      <c r="AA804" s="229"/>
      <c r="AB804" s="222">
        <f t="shared" si="117"/>
        <v>0</v>
      </c>
      <c r="AC804" s="230">
        <f t="shared" si="118"/>
        <v>0</v>
      </c>
      <c r="AD804" s="222" t="str">
        <f t="shared" si="119"/>
        <v/>
      </c>
      <c r="AE804" s="201"/>
      <c r="AF804" s="231" t="str">
        <f>+IFERROR(VLOOKUP(L804,Data!$F$4:$G$97,2,0),"")</f>
        <v/>
      </c>
    </row>
    <row r="805" spans="9:32" ht="15" customHeight="1" x14ac:dyDescent="0.3">
      <c r="I805" s="201" t="str">
        <f t="shared" si="112"/>
        <v/>
      </c>
      <c r="J805" s="218">
        <f t="shared" si="113"/>
        <v>802</v>
      </c>
      <c r="K805" s="250"/>
      <c r="L805" s="219"/>
      <c r="M805" s="218"/>
      <c r="N805" s="220" t="str">
        <f>IFERROR(VLOOKUP(M805,Data!$C$4:$D$395,2,0),"")</f>
        <v/>
      </c>
      <c r="O805" s="220"/>
      <c r="P805" s="229"/>
      <c r="Q805" s="221"/>
      <c r="R805" s="222" t="str">
        <f t="shared" si="114"/>
        <v>-</v>
      </c>
      <c r="S805" s="223"/>
      <c r="T805" s="224"/>
      <c r="U805" s="225">
        <f t="shared" si="115"/>
        <v>0</v>
      </c>
      <c r="V805" s="226">
        <v>0</v>
      </c>
      <c r="W805" s="227"/>
      <c r="X805" s="228">
        <f t="shared" si="116"/>
        <v>0</v>
      </c>
      <c r="Y805" s="229"/>
      <c r="Z805" s="229"/>
      <c r="AA805" s="229"/>
      <c r="AB805" s="222">
        <f t="shared" si="117"/>
        <v>0</v>
      </c>
      <c r="AC805" s="230">
        <f t="shared" si="118"/>
        <v>0</v>
      </c>
      <c r="AD805" s="222" t="str">
        <f t="shared" si="119"/>
        <v/>
      </c>
      <c r="AE805" s="201"/>
      <c r="AF805" s="231" t="str">
        <f>+IFERROR(VLOOKUP(L805,Data!$F$4:$G$97,2,0),"")</f>
        <v/>
      </c>
    </row>
    <row r="806" spans="9:32" ht="15" customHeight="1" x14ac:dyDescent="0.3">
      <c r="I806" s="201" t="str">
        <f t="shared" si="112"/>
        <v/>
      </c>
      <c r="J806" s="218">
        <f t="shared" si="113"/>
        <v>803</v>
      </c>
      <c r="K806" s="250"/>
      <c r="L806" s="219"/>
      <c r="M806" s="218"/>
      <c r="N806" s="220" t="str">
        <f>IFERROR(VLOOKUP(M806,Data!$C$4:$D$395,2,0),"")</f>
        <v/>
      </c>
      <c r="O806" s="220"/>
      <c r="P806" s="229"/>
      <c r="Q806" s="221"/>
      <c r="R806" s="222" t="str">
        <f t="shared" si="114"/>
        <v>-</v>
      </c>
      <c r="S806" s="223"/>
      <c r="T806" s="224"/>
      <c r="U806" s="225">
        <f t="shared" si="115"/>
        <v>0</v>
      </c>
      <c r="V806" s="226">
        <v>0</v>
      </c>
      <c r="W806" s="227"/>
      <c r="X806" s="228">
        <f t="shared" si="116"/>
        <v>0</v>
      </c>
      <c r="Y806" s="229"/>
      <c r="Z806" s="229"/>
      <c r="AA806" s="229"/>
      <c r="AB806" s="222">
        <f t="shared" si="117"/>
        <v>0</v>
      </c>
      <c r="AC806" s="230">
        <f t="shared" si="118"/>
        <v>0</v>
      </c>
      <c r="AD806" s="222" t="str">
        <f t="shared" si="119"/>
        <v/>
      </c>
      <c r="AE806" s="201"/>
      <c r="AF806" s="231" t="str">
        <f>+IFERROR(VLOOKUP(L806,Data!$F$4:$G$97,2,0),"")</f>
        <v/>
      </c>
    </row>
    <row r="807" spans="9:32" ht="15" customHeight="1" x14ac:dyDescent="0.3">
      <c r="I807" s="201" t="str">
        <f t="shared" si="112"/>
        <v/>
      </c>
      <c r="J807" s="218">
        <f t="shared" si="113"/>
        <v>804</v>
      </c>
      <c r="K807" s="250"/>
      <c r="L807" s="219"/>
      <c r="M807" s="218"/>
      <c r="N807" s="220" t="str">
        <f>IFERROR(VLOOKUP(M807,Data!$C$4:$D$395,2,0),"")</f>
        <v/>
      </c>
      <c r="O807" s="220"/>
      <c r="P807" s="229"/>
      <c r="Q807" s="221"/>
      <c r="R807" s="222" t="str">
        <f t="shared" si="114"/>
        <v>-</v>
      </c>
      <c r="S807" s="223"/>
      <c r="T807" s="224"/>
      <c r="U807" s="225">
        <f t="shared" si="115"/>
        <v>0</v>
      </c>
      <c r="V807" s="226">
        <v>0</v>
      </c>
      <c r="W807" s="227"/>
      <c r="X807" s="228">
        <f t="shared" si="116"/>
        <v>0</v>
      </c>
      <c r="Y807" s="229"/>
      <c r="Z807" s="229"/>
      <c r="AA807" s="229"/>
      <c r="AB807" s="222">
        <f t="shared" si="117"/>
        <v>0</v>
      </c>
      <c r="AC807" s="230">
        <f t="shared" si="118"/>
        <v>0</v>
      </c>
      <c r="AD807" s="222" t="str">
        <f t="shared" si="119"/>
        <v/>
      </c>
      <c r="AE807" s="201"/>
      <c r="AF807" s="231" t="str">
        <f>+IFERROR(VLOOKUP(L807,Data!$F$4:$G$97,2,0),"")</f>
        <v/>
      </c>
    </row>
    <row r="808" spans="9:32" ht="15" customHeight="1" x14ac:dyDescent="0.3">
      <c r="I808" s="201" t="str">
        <f t="shared" si="112"/>
        <v/>
      </c>
      <c r="J808" s="218">
        <f t="shared" si="113"/>
        <v>805</v>
      </c>
      <c r="K808" s="250"/>
      <c r="L808" s="219"/>
      <c r="M808" s="218"/>
      <c r="N808" s="220" t="str">
        <f>IFERROR(VLOOKUP(M808,Data!$C$4:$D$395,2,0),"")</f>
        <v/>
      </c>
      <c r="O808" s="220"/>
      <c r="P808" s="229"/>
      <c r="Q808" s="221"/>
      <c r="R808" s="222" t="str">
        <f t="shared" si="114"/>
        <v>-</v>
      </c>
      <c r="S808" s="223"/>
      <c r="T808" s="224"/>
      <c r="U808" s="225">
        <f t="shared" si="115"/>
        <v>0</v>
      </c>
      <c r="V808" s="226">
        <v>0</v>
      </c>
      <c r="W808" s="227"/>
      <c r="X808" s="228">
        <f t="shared" si="116"/>
        <v>0</v>
      </c>
      <c r="Y808" s="229"/>
      <c r="Z808" s="229"/>
      <c r="AA808" s="229"/>
      <c r="AB808" s="222">
        <f t="shared" si="117"/>
        <v>0</v>
      </c>
      <c r="AC808" s="230">
        <f t="shared" si="118"/>
        <v>0</v>
      </c>
      <c r="AD808" s="222" t="str">
        <f t="shared" si="119"/>
        <v/>
      </c>
      <c r="AE808" s="201"/>
      <c r="AF808" s="231" t="str">
        <f>+IFERROR(VLOOKUP(L808,Data!$F$4:$G$97,2,0),"")</f>
        <v/>
      </c>
    </row>
    <row r="809" spans="9:32" ht="15" customHeight="1" x14ac:dyDescent="0.3">
      <c r="I809" s="201" t="str">
        <f t="shared" si="112"/>
        <v/>
      </c>
      <c r="J809" s="218">
        <f t="shared" si="113"/>
        <v>806</v>
      </c>
      <c r="K809" s="250"/>
      <c r="L809" s="219"/>
      <c r="M809" s="218"/>
      <c r="N809" s="220" t="str">
        <f>IFERROR(VLOOKUP(M809,Data!$C$4:$D$395,2,0),"")</f>
        <v/>
      </c>
      <c r="O809" s="220"/>
      <c r="P809" s="229"/>
      <c r="Q809" s="221"/>
      <c r="R809" s="222" t="str">
        <f t="shared" si="114"/>
        <v>-</v>
      </c>
      <c r="S809" s="223"/>
      <c r="T809" s="224"/>
      <c r="U809" s="225">
        <f t="shared" si="115"/>
        <v>0</v>
      </c>
      <c r="V809" s="226">
        <v>0</v>
      </c>
      <c r="W809" s="227"/>
      <c r="X809" s="228">
        <f t="shared" si="116"/>
        <v>0</v>
      </c>
      <c r="Y809" s="229"/>
      <c r="Z809" s="229"/>
      <c r="AA809" s="229"/>
      <c r="AB809" s="222">
        <f t="shared" si="117"/>
        <v>0</v>
      </c>
      <c r="AC809" s="230">
        <f t="shared" si="118"/>
        <v>0</v>
      </c>
      <c r="AD809" s="222" t="str">
        <f t="shared" si="119"/>
        <v/>
      </c>
      <c r="AE809" s="201"/>
      <c r="AF809" s="231" t="str">
        <f>+IFERROR(VLOOKUP(L809,Data!$F$4:$G$97,2,0),"")</f>
        <v/>
      </c>
    </row>
    <row r="810" spans="9:32" ht="15" customHeight="1" x14ac:dyDescent="0.3">
      <c r="I810" s="201" t="str">
        <f t="shared" si="112"/>
        <v/>
      </c>
      <c r="J810" s="218">
        <f t="shared" si="113"/>
        <v>807</v>
      </c>
      <c r="K810" s="250"/>
      <c r="L810" s="219"/>
      <c r="M810" s="218"/>
      <c r="N810" s="220" t="str">
        <f>IFERROR(VLOOKUP(M810,Data!$C$4:$D$395,2,0),"")</f>
        <v/>
      </c>
      <c r="O810" s="220"/>
      <c r="P810" s="229"/>
      <c r="Q810" s="221"/>
      <c r="R810" s="222" t="str">
        <f t="shared" si="114"/>
        <v>-</v>
      </c>
      <c r="S810" s="223"/>
      <c r="T810" s="224"/>
      <c r="U810" s="225">
        <f t="shared" si="115"/>
        <v>0</v>
      </c>
      <c r="V810" s="226">
        <v>0</v>
      </c>
      <c r="W810" s="227"/>
      <c r="X810" s="228">
        <f t="shared" si="116"/>
        <v>0</v>
      </c>
      <c r="Y810" s="229"/>
      <c r="Z810" s="229"/>
      <c r="AA810" s="229"/>
      <c r="AB810" s="222">
        <f t="shared" si="117"/>
        <v>0</v>
      </c>
      <c r="AC810" s="230">
        <f t="shared" si="118"/>
        <v>0</v>
      </c>
      <c r="AD810" s="222" t="str">
        <f t="shared" si="119"/>
        <v/>
      </c>
      <c r="AE810" s="201"/>
      <c r="AF810" s="231" t="str">
        <f>+IFERROR(VLOOKUP(L810,Data!$F$4:$G$97,2,0),"")</f>
        <v/>
      </c>
    </row>
    <row r="811" spans="9:32" ht="15" customHeight="1" x14ac:dyDescent="0.3">
      <c r="I811" s="201" t="str">
        <f t="shared" si="112"/>
        <v/>
      </c>
      <c r="J811" s="218">
        <f t="shared" si="113"/>
        <v>808</v>
      </c>
      <c r="K811" s="250"/>
      <c r="L811" s="219"/>
      <c r="M811" s="218"/>
      <c r="N811" s="220" t="str">
        <f>IFERROR(VLOOKUP(M811,Data!$C$4:$D$395,2,0),"")</f>
        <v/>
      </c>
      <c r="O811" s="220"/>
      <c r="P811" s="229"/>
      <c r="Q811" s="221"/>
      <c r="R811" s="222" t="str">
        <f t="shared" si="114"/>
        <v>-</v>
      </c>
      <c r="S811" s="223"/>
      <c r="T811" s="224"/>
      <c r="U811" s="225">
        <f t="shared" si="115"/>
        <v>0</v>
      </c>
      <c r="V811" s="226">
        <v>0</v>
      </c>
      <c r="W811" s="227"/>
      <c r="X811" s="228">
        <f t="shared" si="116"/>
        <v>0</v>
      </c>
      <c r="Y811" s="229"/>
      <c r="Z811" s="229"/>
      <c r="AA811" s="229"/>
      <c r="AB811" s="222">
        <f t="shared" si="117"/>
        <v>0</v>
      </c>
      <c r="AC811" s="230">
        <f t="shared" si="118"/>
        <v>0</v>
      </c>
      <c r="AD811" s="222" t="str">
        <f t="shared" si="119"/>
        <v/>
      </c>
      <c r="AE811" s="201"/>
      <c r="AF811" s="231" t="str">
        <f>+IFERROR(VLOOKUP(L811,Data!$F$4:$G$97,2,0),"")</f>
        <v/>
      </c>
    </row>
    <row r="812" spans="9:32" ht="15" customHeight="1" x14ac:dyDescent="0.3">
      <c r="I812" s="201" t="str">
        <f t="shared" si="112"/>
        <v/>
      </c>
      <c r="J812" s="218">
        <f t="shared" si="113"/>
        <v>809</v>
      </c>
      <c r="K812" s="250"/>
      <c r="L812" s="219"/>
      <c r="M812" s="218"/>
      <c r="N812" s="220" t="str">
        <f>IFERROR(VLOOKUP(M812,Data!$C$4:$D$395,2,0),"")</f>
        <v/>
      </c>
      <c r="O812" s="220"/>
      <c r="P812" s="229"/>
      <c r="Q812" s="221"/>
      <c r="R812" s="222" t="str">
        <f t="shared" si="114"/>
        <v>-</v>
      </c>
      <c r="S812" s="223"/>
      <c r="T812" s="224"/>
      <c r="U812" s="225">
        <f t="shared" si="115"/>
        <v>0</v>
      </c>
      <c r="V812" s="226">
        <v>0</v>
      </c>
      <c r="W812" s="227"/>
      <c r="X812" s="228">
        <f t="shared" si="116"/>
        <v>0</v>
      </c>
      <c r="Y812" s="229"/>
      <c r="Z812" s="229"/>
      <c r="AA812" s="229"/>
      <c r="AB812" s="222">
        <f t="shared" si="117"/>
        <v>0</v>
      </c>
      <c r="AC812" s="230">
        <f t="shared" si="118"/>
        <v>0</v>
      </c>
      <c r="AD812" s="222" t="str">
        <f t="shared" si="119"/>
        <v/>
      </c>
      <c r="AE812" s="201"/>
      <c r="AF812" s="231" t="str">
        <f>+IFERROR(VLOOKUP(L812,Data!$F$4:$G$97,2,0),"")</f>
        <v/>
      </c>
    </row>
    <row r="813" spans="9:32" ht="15" customHeight="1" x14ac:dyDescent="0.3">
      <c r="I813" s="201" t="str">
        <f t="shared" si="112"/>
        <v/>
      </c>
      <c r="J813" s="218">
        <f t="shared" si="113"/>
        <v>810</v>
      </c>
      <c r="K813" s="250"/>
      <c r="L813" s="219"/>
      <c r="M813" s="218"/>
      <c r="N813" s="220" t="str">
        <f>IFERROR(VLOOKUP(M813,Data!$C$4:$D$395,2,0),"")</f>
        <v/>
      </c>
      <c r="O813" s="220"/>
      <c r="P813" s="229"/>
      <c r="Q813" s="221"/>
      <c r="R813" s="222" t="str">
        <f t="shared" si="114"/>
        <v>-</v>
      </c>
      <c r="S813" s="223"/>
      <c r="T813" s="224"/>
      <c r="U813" s="225">
        <f t="shared" si="115"/>
        <v>0</v>
      </c>
      <c r="V813" s="226">
        <v>0</v>
      </c>
      <c r="W813" s="227"/>
      <c r="X813" s="228">
        <f t="shared" si="116"/>
        <v>0</v>
      </c>
      <c r="Y813" s="229"/>
      <c r="Z813" s="229"/>
      <c r="AA813" s="229"/>
      <c r="AB813" s="222">
        <f t="shared" si="117"/>
        <v>0</v>
      </c>
      <c r="AC813" s="230">
        <f t="shared" si="118"/>
        <v>0</v>
      </c>
      <c r="AD813" s="222" t="str">
        <f t="shared" si="119"/>
        <v/>
      </c>
      <c r="AE813" s="201"/>
      <c r="AF813" s="231" t="str">
        <f>+IFERROR(VLOOKUP(L813,Data!$F$4:$G$97,2,0),"")</f>
        <v/>
      </c>
    </row>
    <row r="814" spans="9:32" ht="15" customHeight="1" x14ac:dyDescent="0.3">
      <c r="I814" s="201" t="str">
        <f t="shared" si="112"/>
        <v/>
      </c>
      <c r="J814" s="218">
        <f t="shared" si="113"/>
        <v>811</v>
      </c>
      <c r="K814" s="250"/>
      <c r="L814" s="219"/>
      <c r="M814" s="218"/>
      <c r="N814" s="220" t="str">
        <f>IFERROR(VLOOKUP(M814,Data!$C$4:$D$395,2,0),"")</f>
        <v/>
      </c>
      <c r="O814" s="220"/>
      <c r="P814" s="229"/>
      <c r="Q814" s="221"/>
      <c r="R814" s="222" t="str">
        <f t="shared" si="114"/>
        <v>-</v>
      </c>
      <c r="S814" s="223"/>
      <c r="T814" s="224"/>
      <c r="U814" s="225">
        <f t="shared" si="115"/>
        <v>0</v>
      </c>
      <c r="V814" s="226">
        <v>0</v>
      </c>
      <c r="W814" s="227"/>
      <c r="X814" s="228">
        <f t="shared" si="116"/>
        <v>0</v>
      </c>
      <c r="Y814" s="229"/>
      <c r="Z814" s="229"/>
      <c r="AA814" s="229"/>
      <c r="AB814" s="222">
        <f t="shared" si="117"/>
        <v>0</v>
      </c>
      <c r="AC814" s="230">
        <f t="shared" si="118"/>
        <v>0</v>
      </c>
      <c r="AD814" s="222" t="str">
        <f t="shared" si="119"/>
        <v/>
      </c>
      <c r="AE814" s="201"/>
      <c r="AF814" s="231" t="str">
        <f>+IFERROR(VLOOKUP(L814,Data!$F$4:$G$97,2,0),"")</f>
        <v/>
      </c>
    </row>
    <row r="815" spans="9:32" ht="15" customHeight="1" x14ac:dyDescent="0.3">
      <c r="I815" s="201" t="str">
        <f t="shared" si="112"/>
        <v/>
      </c>
      <c r="J815" s="218">
        <f t="shared" si="113"/>
        <v>812</v>
      </c>
      <c r="K815" s="250"/>
      <c r="L815" s="219"/>
      <c r="M815" s="218"/>
      <c r="N815" s="220" t="str">
        <f>IFERROR(VLOOKUP(M815,Data!$C$4:$D$395,2,0),"")</f>
        <v/>
      </c>
      <c r="O815" s="220"/>
      <c r="P815" s="229"/>
      <c r="Q815" s="221"/>
      <c r="R815" s="222" t="str">
        <f t="shared" si="114"/>
        <v>-</v>
      </c>
      <c r="S815" s="223"/>
      <c r="T815" s="224"/>
      <c r="U815" s="225">
        <f t="shared" si="115"/>
        <v>0</v>
      </c>
      <c r="V815" s="226">
        <v>0</v>
      </c>
      <c r="W815" s="227"/>
      <c r="X815" s="228">
        <f t="shared" si="116"/>
        <v>0</v>
      </c>
      <c r="Y815" s="229"/>
      <c r="Z815" s="229"/>
      <c r="AA815" s="229"/>
      <c r="AB815" s="222">
        <f t="shared" si="117"/>
        <v>0</v>
      </c>
      <c r="AC815" s="230">
        <f t="shared" si="118"/>
        <v>0</v>
      </c>
      <c r="AD815" s="222" t="str">
        <f t="shared" si="119"/>
        <v/>
      </c>
      <c r="AE815" s="201"/>
      <c r="AF815" s="231" t="str">
        <f>+IFERROR(VLOOKUP(L815,Data!$F$4:$G$97,2,0),"")</f>
        <v/>
      </c>
    </row>
    <row r="816" spans="9:32" ht="15" customHeight="1" x14ac:dyDescent="0.3">
      <c r="I816" s="201" t="str">
        <f t="shared" si="112"/>
        <v/>
      </c>
      <c r="J816" s="218">
        <f t="shared" si="113"/>
        <v>813</v>
      </c>
      <c r="K816" s="250"/>
      <c r="L816" s="219"/>
      <c r="M816" s="218"/>
      <c r="N816" s="220" t="str">
        <f>IFERROR(VLOOKUP(M816,Data!$C$4:$D$395,2,0),"")</f>
        <v/>
      </c>
      <c r="O816" s="220"/>
      <c r="P816" s="229"/>
      <c r="Q816" s="221"/>
      <c r="R816" s="222" t="str">
        <f t="shared" si="114"/>
        <v>-</v>
      </c>
      <c r="S816" s="223"/>
      <c r="T816" s="224"/>
      <c r="U816" s="225">
        <f t="shared" si="115"/>
        <v>0</v>
      </c>
      <c r="V816" s="226">
        <v>0</v>
      </c>
      <c r="W816" s="227"/>
      <c r="X816" s="228">
        <f t="shared" si="116"/>
        <v>0</v>
      </c>
      <c r="Y816" s="229"/>
      <c r="Z816" s="229"/>
      <c r="AA816" s="229"/>
      <c r="AB816" s="222">
        <f t="shared" si="117"/>
        <v>0</v>
      </c>
      <c r="AC816" s="230">
        <f t="shared" si="118"/>
        <v>0</v>
      </c>
      <c r="AD816" s="222" t="str">
        <f t="shared" si="119"/>
        <v/>
      </c>
      <c r="AE816" s="201"/>
      <c r="AF816" s="231" t="str">
        <f>+IFERROR(VLOOKUP(L816,Data!$F$4:$G$97,2,0),"")</f>
        <v/>
      </c>
    </row>
    <row r="817" spans="9:32" ht="15" customHeight="1" x14ac:dyDescent="0.3">
      <c r="I817" s="201" t="str">
        <f t="shared" si="112"/>
        <v/>
      </c>
      <c r="J817" s="218">
        <f t="shared" si="113"/>
        <v>814</v>
      </c>
      <c r="K817" s="250"/>
      <c r="L817" s="219"/>
      <c r="M817" s="218"/>
      <c r="N817" s="220" t="str">
        <f>IFERROR(VLOOKUP(M817,Data!$C$4:$D$395,2,0),"")</f>
        <v/>
      </c>
      <c r="O817" s="220"/>
      <c r="P817" s="229"/>
      <c r="Q817" s="221"/>
      <c r="R817" s="222" t="str">
        <f t="shared" si="114"/>
        <v>-</v>
      </c>
      <c r="S817" s="223"/>
      <c r="T817" s="224"/>
      <c r="U817" s="225">
        <f t="shared" si="115"/>
        <v>0</v>
      </c>
      <c r="V817" s="226">
        <v>0</v>
      </c>
      <c r="W817" s="227"/>
      <c r="X817" s="228">
        <f t="shared" si="116"/>
        <v>0</v>
      </c>
      <c r="Y817" s="229"/>
      <c r="Z817" s="229"/>
      <c r="AA817" s="229"/>
      <c r="AB817" s="222">
        <f t="shared" si="117"/>
        <v>0</v>
      </c>
      <c r="AC817" s="230">
        <f t="shared" si="118"/>
        <v>0</v>
      </c>
      <c r="AD817" s="222" t="str">
        <f t="shared" si="119"/>
        <v/>
      </c>
      <c r="AE817" s="201"/>
      <c r="AF817" s="231" t="str">
        <f>+IFERROR(VLOOKUP(L817,Data!$F$4:$G$97,2,0),"")</f>
        <v/>
      </c>
    </row>
    <row r="818" spans="9:32" ht="15" customHeight="1" x14ac:dyDescent="0.3">
      <c r="I818" s="201" t="str">
        <f t="shared" si="112"/>
        <v/>
      </c>
      <c r="J818" s="218">
        <f t="shared" si="113"/>
        <v>815</v>
      </c>
      <c r="K818" s="250"/>
      <c r="L818" s="219"/>
      <c r="M818" s="218"/>
      <c r="N818" s="220" t="str">
        <f>IFERROR(VLOOKUP(M818,Data!$C$4:$D$395,2,0),"")</f>
        <v/>
      </c>
      <c r="O818" s="220"/>
      <c r="P818" s="229"/>
      <c r="Q818" s="221"/>
      <c r="R818" s="222" t="str">
        <f t="shared" si="114"/>
        <v>-</v>
      </c>
      <c r="S818" s="223"/>
      <c r="T818" s="224"/>
      <c r="U818" s="225">
        <f t="shared" si="115"/>
        <v>0</v>
      </c>
      <c r="V818" s="226">
        <v>0</v>
      </c>
      <c r="W818" s="227"/>
      <c r="X818" s="228">
        <f t="shared" si="116"/>
        <v>0</v>
      </c>
      <c r="Y818" s="229"/>
      <c r="Z818" s="229"/>
      <c r="AA818" s="229"/>
      <c r="AB818" s="222">
        <f t="shared" si="117"/>
        <v>0</v>
      </c>
      <c r="AC818" s="230">
        <f t="shared" si="118"/>
        <v>0</v>
      </c>
      <c r="AD818" s="222" t="str">
        <f t="shared" si="119"/>
        <v/>
      </c>
      <c r="AE818" s="201"/>
      <c r="AF818" s="231" t="str">
        <f>+IFERROR(VLOOKUP(L818,Data!$F$4:$G$97,2,0),"")</f>
        <v/>
      </c>
    </row>
    <row r="819" spans="9:32" ht="15" customHeight="1" x14ac:dyDescent="0.3">
      <c r="I819" s="201" t="str">
        <f t="shared" si="112"/>
        <v/>
      </c>
      <c r="J819" s="218">
        <f t="shared" si="113"/>
        <v>816</v>
      </c>
      <c r="K819" s="250"/>
      <c r="L819" s="219"/>
      <c r="M819" s="218"/>
      <c r="N819" s="220" t="str">
        <f>IFERROR(VLOOKUP(M819,Data!$C$4:$D$395,2,0),"")</f>
        <v/>
      </c>
      <c r="O819" s="220"/>
      <c r="P819" s="229"/>
      <c r="Q819" s="221"/>
      <c r="R819" s="222" t="str">
        <f t="shared" si="114"/>
        <v>-</v>
      </c>
      <c r="S819" s="223"/>
      <c r="T819" s="224"/>
      <c r="U819" s="225">
        <f t="shared" si="115"/>
        <v>0</v>
      </c>
      <c r="V819" s="226">
        <v>0</v>
      </c>
      <c r="W819" s="227"/>
      <c r="X819" s="228">
        <f t="shared" si="116"/>
        <v>0</v>
      </c>
      <c r="Y819" s="229"/>
      <c r="Z819" s="229"/>
      <c r="AA819" s="229"/>
      <c r="AB819" s="222">
        <f t="shared" si="117"/>
        <v>0</v>
      </c>
      <c r="AC819" s="230">
        <f t="shared" si="118"/>
        <v>0</v>
      </c>
      <c r="AD819" s="222" t="str">
        <f t="shared" si="119"/>
        <v/>
      </c>
      <c r="AE819" s="201"/>
      <c r="AF819" s="231" t="str">
        <f>+IFERROR(VLOOKUP(L819,Data!$F$4:$G$97,2,0),"")</f>
        <v/>
      </c>
    </row>
    <row r="820" spans="9:32" ht="15" customHeight="1" x14ac:dyDescent="0.3">
      <c r="I820" s="201" t="str">
        <f t="shared" si="112"/>
        <v/>
      </c>
      <c r="J820" s="218">
        <f t="shared" si="113"/>
        <v>817</v>
      </c>
      <c r="K820" s="250"/>
      <c r="L820" s="219"/>
      <c r="M820" s="218"/>
      <c r="N820" s="220" t="str">
        <f>IFERROR(VLOOKUP(M820,Data!$C$4:$D$395,2,0),"")</f>
        <v/>
      </c>
      <c r="O820" s="220"/>
      <c r="P820" s="229"/>
      <c r="Q820" s="221"/>
      <c r="R820" s="222" t="str">
        <f t="shared" si="114"/>
        <v>-</v>
      </c>
      <c r="S820" s="223"/>
      <c r="T820" s="224"/>
      <c r="U820" s="225">
        <f t="shared" si="115"/>
        <v>0</v>
      </c>
      <c r="V820" s="226">
        <v>0</v>
      </c>
      <c r="W820" s="227"/>
      <c r="X820" s="228">
        <f t="shared" si="116"/>
        <v>0</v>
      </c>
      <c r="Y820" s="229"/>
      <c r="Z820" s="229"/>
      <c r="AA820" s="229"/>
      <c r="AB820" s="222">
        <f t="shared" si="117"/>
        <v>0</v>
      </c>
      <c r="AC820" s="230">
        <f t="shared" si="118"/>
        <v>0</v>
      </c>
      <c r="AD820" s="222" t="str">
        <f t="shared" si="119"/>
        <v/>
      </c>
      <c r="AE820" s="201"/>
      <c r="AF820" s="231" t="str">
        <f>+IFERROR(VLOOKUP(L820,Data!$F$4:$G$97,2,0),"")</f>
        <v/>
      </c>
    </row>
    <row r="821" spans="9:32" ht="15" customHeight="1" x14ac:dyDescent="0.3">
      <c r="I821" s="201" t="str">
        <f t="shared" si="112"/>
        <v/>
      </c>
      <c r="J821" s="218">
        <f t="shared" si="113"/>
        <v>818</v>
      </c>
      <c r="K821" s="250"/>
      <c r="L821" s="219"/>
      <c r="M821" s="218"/>
      <c r="N821" s="220" t="str">
        <f>IFERROR(VLOOKUP(M821,Data!$C$4:$D$395,2,0),"")</f>
        <v/>
      </c>
      <c r="O821" s="220"/>
      <c r="P821" s="229"/>
      <c r="Q821" s="221"/>
      <c r="R821" s="222" t="str">
        <f t="shared" si="114"/>
        <v>-</v>
      </c>
      <c r="S821" s="223"/>
      <c r="T821" s="224"/>
      <c r="U821" s="225">
        <f t="shared" si="115"/>
        <v>0</v>
      </c>
      <c r="V821" s="226">
        <v>0</v>
      </c>
      <c r="W821" s="227"/>
      <c r="X821" s="228">
        <f t="shared" si="116"/>
        <v>0</v>
      </c>
      <c r="Y821" s="229"/>
      <c r="Z821" s="229"/>
      <c r="AA821" s="229"/>
      <c r="AB821" s="222">
        <f t="shared" si="117"/>
        <v>0</v>
      </c>
      <c r="AC821" s="230">
        <f t="shared" si="118"/>
        <v>0</v>
      </c>
      <c r="AD821" s="222" t="str">
        <f t="shared" si="119"/>
        <v/>
      </c>
      <c r="AE821" s="201"/>
      <c r="AF821" s="231" t="str">
        <f>+IFERROR(VLOOKUP(L821,Data!$F$4:$G$97,2,0),"")</f>
        <v/>
      </c>
    </row>
    <row r="822" spans="9:32" ht="15" customHeight="1" x14ac:dyDescent="0.3">
      <c r="I822" s="201" t="str">
        <f t="shared" si="112"/>
        <v/>
      </c>
      <c r="J822" s="218">
        <f t="shared" si="113"/>
        <v>819</v>
      </c>
      <c r="K822" s="250"/>
      <c r="L822" s="219"/>
      <c r="M822" s="218"/>
      <c r="N822" s="220" t="str">
        <f>IFERROR(VLOOKUP(M822,Data!$C$4:$D$395,2,0),"")</f>
        <v/>
      </c>
      <c r="O822" s="220"/>
      <c r="P822" s="229"/>
      <c r="Q822" s="221"/>
      <c r="R822" s="222" t="str">
        <f t="shared" si="114"/>
        <v>-</v>
      </c>
      <c r="S822" s="223"/>
      <c r="T822" s="224"/>
      <c r="U822" s="225">
        <f t="shared" si="115"/>
        <v>0</v>
      </c>
      <c r="V822" s="226">
        <v>0</v>
      </c>
      <c r="W822" s="227"/>
      <c r="X822" s="228">
        <f t="shared" si="116"/>
        <v>0</v>
      </c>
      <c r="Y822" s="229"/>
      <c r="Z822" s="229"/>
      <c r="AA822" s="229"/>
      <c r="AB822" s="222">
        <f t="shared" si="117"/>
        <v>0</v>
      </c>
      <c r="AC822" s="230">
        <f t="shared" si="118"/>
        <v>0</v>
      </c>
      <c r="AD822" s="222" t="str">
        <f t="shared" si="119"/>
        <v/>
      </c>
      <c r="AE822" s="201"/>
      <c r="AF822" s="231" t="str">
        <f>+IFERROR(VLOOKUP(L822,Data!$F$4:$G$97,2,0),"")</f>
        <v/>
      </c>
    </row>
    <row r="823" spans="9:32" ht="15" customHeight="1" x14ac:dyDescent="0.3">
      <c r="I823" s="201" t="str">
        <f t="shared" si="112"/>
        <v/>
      </c>
      <c r="J823" s="218">
        <f t="shared" si="113"/>
        <v>820</v>
      </c>
      <c r="K823" s="250"/>
      <c r="L823" s="219"/>
      <c r="M823" s="218"/>
      <c r="N823" s="220" t="str">
        <f>IFERROR(VLOOKUP(M823,Data!$C$4:$D$395,2,0),"")</f>
        <v/>
      </c>
      <c r="O823" s="220"/>
      <c r="P823" s="229"/>
      <c r="Q823" s="221"/>
      <c r="R823" s="222" t="str">
        <f t="shared" si="114"/>
        <v>-</v>
      </c>
      <c r="S823" s="223"/>
      <c r="T823" s="224"/>
      <c r="U823" s="225">
        <f t="shared" si="115"/>
        <v>0</v>
      </c>
      <c r="V823" s="226">
        <v>0</v>
      </c>
      <c r="W823" s="227"/>
      <c r="X823" s="228">
        <f t="shared" si="116"/>
        <v>0</v>
      </c>
      <c r="Y823" s="229"/>
      <c r="Z823" s="229"/>
      <c r="AA823" s="229"/>
      <c r="AB823" s="222">
        <f t="shared" si="117"/>
        <v>0</v>
      </c>
      <c r="AC823" s="230">
        <f t="shared" si="118"/>
        <v>0</v>
      </c>
      <c r="AD823" s="222" t="str">
        <f t="shared" si="119"/>
        <v/>
      </c>
      <c r="AE823" s="201"/>
      <c r="AF823" s="231" t="str">
        <f>+IFERROR(VLOOKUP(L823,Data!$F$4:$G$97,2,0),"")</f>
        <v/>
      </c>
    </row>
    <row r="824" spans="9:32" ht="15" customHeight="1" x14ac:dyDescent="0.3">
      <c r="I824" s="201" t="str">
        <f t="shared" si="112"/>
        <v/>
      </c>
      <c r="J824" s="218">
        <f t="shared" si="113"/>
        <v>821</v>
      </c>
      <c r="K824" s="250"/>
      <c r="L824" s="219"/>
      <c r="M824" s="218"/>
      <c r="N824" s="220" t="str">
        <f>IFERROR(VLOOKUP(M824,Data!$C$4:$D$395,2,0),"")</f>
        <v/>
      </c>
      <c r="O824" s="220"/>
      <c r="P824" s="229"/>
      <c r="Q824" s="221"/>
      <c r="R824" s="222" t="str">
        <f t="shared" si="114"/>
        <v>-</v>
      </c>
      <c r="S824" s="223"/>
      <c r="T824" s="224"/>
      <c r="U824" s="225">
        <f t="shared" si="115"/>
        <v>0</v>
      </c>
      <c r="V824" s="226">
        <v>0</v>
      </c>
      <c r="W824" s="227"/>
      <c r="X824" s="228">
        <f t="shared" si="116"/>
        <v>0</v>
      </c>
      <c r="Y824" s="229"/>
      <c r="Z824" s="229"/>
      <c r="AA824" s="229"/>
      <c r="AB824" s="222">
        <f t="shared" si="117"/>
        <v>0</v>
      </c>
      <c r="AC824" s="230">
        <f t="shared" si="118"/>
        <v>0</v>
      </c>
      <c r="AD824" s="222" t="str">
        <f t="shared" si="119"/>
        <v/>
      </c>
      <c r="AE824" s="201"/>
      <c r="AF824" s="231" t="str">
        <f>+IFERROR(VLOOKUP(L824,Data!$F$4:$G$97,2,0),"")</f>
        <v/>
      </c>
    </row>
    <row r="825" spans="9:32" ht="15" customHeight="1" x14ac:dyDescent="0.3">
      <c r="I825" s="201" t="str">
        <f t="shared" si="112"/>
        <v/>
      </c>
      <c r="J825" s="218">
        <f t="shared" si="113"/>
        <v>822</v>
      </c>
      <c r="K825" s="250"/>
      <c r="L825" s="219"/>
      <c r="M825" s="218"/>
      <c r="N825" s="220" t="str">
        <f>IFERROR(VLOOKUP(M825,Data!$C$4:$D$395,2,0),"")</f>
        <v/>
      </c>
      <c r="O825" s="220"/>
      <c r="P825" s="229"/>
      <c r="Q825" s="221"/>
      <c r="R825" s="222" t="str">
        <f t="shared" si="114"/>
        <v>-</v>
      </c>
      <c r="S825" s="223"/>
      <c r="T825" s="224"/>
      <c r="U825" s="225">
        <f t="shared" si="115"/>
        <v>0</v>
      </c>
      <c r="V825" s="226">
        <v>0</v>
      </c>
      <c r="W825" s="227"/>
      <c r="X825" s="228">
        <f t="shared" si="116"/>
        <v>0</v>
      </c>
      <c r="Y825" s="229"/>
      <c r="Z825" s="229"/>
      <c r="AA825" s="229"/>
      <c r="AB825" s="222">
        <f t="shared" si="117"/>
        <v>0</v>
      </c>
      <c r="AC825" s="230">
        <f t="shared" si="118"/>
        <v>0</v>
      </c>
      <c r="AD825" s="222" t="str">
        <f t="shared" si="119"/>
        <v/>
      </c>
      <c r="AE825" s="201"/>
      <c r="AF825" s="231" t="str">
        <f>+IFERROR(VLOOKUP(L825,Data!$F$4:$G$97,2,0),"")</f>
        <v/>
      </c>
    </row>
    <row r="826" spans="9:32" ht="15" customHeight="1" x14ac:dyDescent="0.3">
      <c r="I826" s="201" t="str">
        <f t="shared" si="112"/>
        <v/>
      </c>
      <c r="J826" s="218">
        <f t="shared" si="113"/>
        <v>823</v>
      </c>
      <c r="K826" s="250"/>
      <c r="L826" s="219"/>
      <c r="M826" s="218"/>
      <c r="N826" s="220" t="str">
        <f>IFERROR(VLOOKUP(M826,Data!$C$4:$D$395,2,0),"")</f>
        <v/>
      </c>
      <c r="O826" s="220"/>
      <c r="P826" s="229"/>
      <c r="Q826" s="221"/>
      <c r="R826" s="222" t="str">
        <f t="shared" si="114"/>
        <v>-</v>
      </c>
      <c r="S826" s="223"/>
      <c r="T826" s="224"/>
      <c r="U826" s="225">
        <f t="shared" si="115"/>
        <v>0</v>
      </c>
      <c r="V826" s="226">
        <v>0</v>
      </c>
      <c r="W826" s="227"/>
      <c r="X826" s="228">
        <f t="shared" si="116"/>
        <v>0</v>
      </c>
      <c r="Y826" s="229"/>
      <c r="Z826" s="229"/>
      <c r="AA826" s="229"/>
      <c r="AB826" s="222">
        <f t="shared" si="117"/>
        <v>0</v>
      </c>
      <c r="AC826" s="230">
        <f t="shared" si="118"/>
        <v>0</v>
      </c>
      <c r="AD826" s="222" t="str">
        <f t="shared" si="119"/>
        <v/>
      </c>
      <c r="AE826" s="201"/>
      <c r="AF826" s="231" t="str">
        <f>+IFERROR(VLOOKUP(L826,Data!$F$4:$G$97,2,0),"")</f>
        <v/>
      </c>
    </row>
    <row r="827" spans="9:32" ht="15" customHeight="1" x14ac:dyDescent="0.3">
      <c r="I827" s="201" t="str">
        <f t="shared" si="112"/>
        <v/>
      </c>
      <c r="J827" s="218">
        <f t="shared" si="113"/>
        <v>824</v>
      </c>
      <c r="K827" s="250"/>
      <c r="L827" s="219"/>
      <c r="M827" s="218"/>
      <c r="N827" s="220" t="str">
        <f>IFERROR(VLOOKUP(M827,Data!$C$4:$D$395,2,0),"")</f>
        <v/>
      </c>
      <c r="O827" s="220"/>
      <c r="P827" s="229"/>
      <c r="Q827" s="221"/>
      <c r="R827" s="222" t="str">
        <f t="shared" si="114"/>
        <v>-</v>
      </c>
      <c r="S827" s="223"/>
      <c r="T827" s="224"/>
      <c r="U827" s="225">
        <f t="shared" si="115"/>
        <v>0</v>
      </c>
      <c r="V827" s="226">
        <v>0</v>
      </c>
      <c r="W827" s="227"/>
      <c r="X827" s="228">
        <f t="shared" si="116"/>
        <v>0</v>
      </c>
      <c r="Y827" s="229"/>
      <c r="Z827" s="229"/>
      <c r="AA827" s="229"/>
      <c r="AB827" s="222">
        <f t="shared" si="117"/>
        <v>0</v>
      </c>
      <c r="AC827" s="230">
        <f t="shared" si="118"/>
        <v>0</v>
      </c>
      <c r="AD827" s="222" t="str">
        <f t="shared" si="119"/>
        <v/>
      </c>
      <c r="AE827" s="201"/>
      <c r="AF827" s="231" t="str">
        <f>+IFERROR(VLOOKUP(L827,Data!$F$4:$G$97,2,0),"")</f>
        <v/>
      </c>
    </row>
    <row r="828" spans="9:32" ht="15" customHeight="1" x14ac:dyDescent="0.3">
      <c r="I828" s="201" t="str">
        <f t="shared" si="112"/>
        <v/>
      </c>
      <c r="J828" s="218">
        <f t="shared" si="113"/>
        <v>825</v>
      </c>
      <c r="K828" s="250"/>
      <c r="L828" s="219"/>
      <c r="M828" s="218"/>
      <c r="N828" s="220" t="str">
        <f>IFERROR(VLOOKUP(M828,Data!$C$4:$D$395,2,0),"")</f>
        <v/>
      </c>
      <c r="O828" s="220"/>
      <c r="P828" s="229"/>
      <c r="Q828" s="221"/>
      <c r="R828" s="222" t="str">
        <f t="shared" si="114"/>
        <v>-</v>
      </c>
      <c r="S828" s="223"/>
      <c r="T828" s="224"/>
      <c r="U828" s="225">
        <f t="shared" si="115"/>
        <v>0</v>
      </c>
      <c r="V828" s="226">
        <v>0</v>
      </c>
      <c r="W828" s="227"/>
      <c r="X828" s="228">
        <f t="shared" si="116"/>
        <v>0</v>
      </c>
      <c r="Y828" s="229"/>
      <c r="Z828" s="229"/>
      <c r="AA828" s="229"/>
      <c r="AB828" s="222">
        <f t="shared" si="117"/>
        <v>0</v>
      </c>
      <c r="AC828" s="230">
        <f t="shared" si="118"/>
        <v>0</v>
      </c>
      <c r="AD828" s="222" t="str">
        <f t="shared" si="119"/>
        <v/>
      </c>
      <c r="AE828" s="201"/>
      <c r="AF828" s="231" t="str">
        <f>+IFERROR(VLOOKUP(L828,Data!$F$4:$G$97,2,0),"")</f>
        <v/>
      </c>
    </row>
    <row r="829" spans="9:32" ht="15" customHeight="1" x14ac:dyDescent="0.3">
      <c r="I829" s="201" t="str">
        <f t="shared" ref="I829:I892" si="120">+AF829</f>
        <v/>
      </c>
      <c r="J829" s="218">
        <f t="shared" si="113"/>
        <v>826</v>
      </c>
      <c r="K829" s="250"/>
      <c r="L829" s="219"/>
      <c r="M829" s="218"/>
      <c r="N829" s="220" t="str">
        <f>IFERROR(VLOOKUP(M829,Data!$C$4:$D$395,2,0),"")</f>
        <v/>
      </c>
      <c r="O829" s="220"/>
      <c r="P829" s="229"/>
      <c r="Q829" s="221"/>
      <c r="R829" s="222" t="str">
        <f t="shared" si="114"/>
        <v>-</v>
      </c>
      <c r="S829" s="223"/>
      <c r="T829" s="224"/>
      <c r="U829" s="225">
        <f t="shared" si="115"/>
        <v>0</v>
      </c>
      <c r="V829" s="226">
        <v>0</v>
      </c>
      <c r="W829" s="227"/>
      <c r="X829" s="228">
        <f t="shared" si="116"/>
        <v>0</v>
      </c>
      <c r="Y829" s="229"/>
      <c r="Z829" s="229"/>
      <c r="AA829" s="229"/>
      <c r="AB829" s="222">
        <f t="shared" si="117"/>
        <v>0</v>
      </c>
      <c r="AC829" s="230">
        <f t="shared" si="118"/>
        <v>0</v>
      </c>
      <c r="AD829" s="222" t="str">
        <f t="shared" si="119"/>
        <v/>
      </c>
      <c r="AE829" s="201"/>
      <c r="AF829" s="231" t="str">
        <f>+IFERROR(VLOOKUP(L829,Data!$F$4:$G$97,2,0),"")</f>
        <v/>
      </c>
    </row>
    <row r="830" spans="9:32" ht="15" customHeight="1" x14ac:dyDescent="0.3">
      <c r="I830" s="201" t="str">
        <f t="shared" si="120"/>
        <v/>
      </c>
      <c r="J830" s="218">
        <f t="shared" ref="J830:J893" si="121">J829+1</f>
        <v>827</v>
      </c>
      <c r="K830" s="250"/>
      <c r="L830" s="219"/>
      <c r="M830" s="218"/>
      <c r="N830" s="220" t="str">
        <f>IFERROR(VLOOKUP(M830,Data!$C$4:$D$395,2,0),"")</f>
        <v/>
      </c>
      <c r="O830" s="220"/>
      <c r="P830" s="229"/>
      <c r="Q830" s="221"/>
      <c r="R830" s="222" t="str">
        <f t="shared" si="114"/>
        <v>-</v>
      </c>
      <c r="S830" s="223"/>
      <c r="T830" s="224"/>
      <c r="U830" s="225">
        <f t="shared" si="115"/>
        <v>0</v>
      </c>
      <c r="V830" s="226">
        <v>0</v>
      </c>
      <c r="W830" s="227"/>
      <c r="X830" s="228">
        <f t="shared" si="116"/>
        <v>0</v>
      </c>
      <c r="Y830" s="229"/>
      <c r="Z830" s="229"/>
      <c r="AA830" s="229"/>
      <c r="AB830" s="222">
        <f t="shared" si="117"/>
        <v>0</v>
      </c>
      <c r="AC830" s="230">
        <f t="shared" si="118"/>
        <v>0</v>
      </c>
      <c r="AD830" s="222" t="str">
        <f t="shared" si="119"/>
        <v/>
      </c>
      <c r="AE830" s="201"/>
      <c r="AF830" s="231" t="str">
        <f>+IFERROR(VLOOKUP(L830,Data!$F$4:$G$97,2,0),"")</f>
        <v/>
      </c>
    </row>
    <row r="831" spans="9:32" ht="15" customHeight="1" x14ac:dyDescent="0.3">
      <c r="I831" s="201" t="str">
        <f t="shared" si="120"/>
        <v/>
      </c>
      <c r="J831" s="218">
        <f t="shared" si="121"/>
        <v>828</v>
      </c>
      <c r="K831" s="250"/>
      <c r="L831" s="219"/>
      <c r="M831" s="218"/>
      <c r="N831" s="220" t="str">
        <f>IFERROR(VLOOKUP(M831,Data!$C$4:$D$395,2,0),"")</f>
        <v/>
      </c>
      <c r="O831" s="220"/>
      <c r="P831" s="229"/>
      <c r="Q831" s="221"/>
      <c r="R831" s="222" t="str">
        <f t="shared" si="114"/>
        <v>-</v>
      </c>
      <c r="S831" s="223"/>
      <c r="T831" s="224"/>
      <c r="U831" s="225">
        <f t="shared" si="115"/>
        <v>0</v>
      </c>
      <c r="V831" s="226">
        <v>0</v>
      </c>
      <c r="W831" s="227"/>
      <c r="X831" s="228">
        <f t="shared" si="116"/>
        <v>0</v>
      </c>
      <c r="Y831" s="229"/>
      <c r="Z831" s="229"/>
      <c r="AA831" s="229"/>
      <c r="AB831" s="222">
        <f t="shared" si="117"/>
        <v>0</v>
      </c>
      <c r="AC831" s="230">
        <f t="shared" si="118"/>
        <v>0</v>
      </c>
      <c r="AD831" s="222" t="str">
        <f t="shared" si="119"/>
        <v/>
      </c>
      <c r="AE831" s="201"/>
      <c r="AF831" s="231" t="str">
        <f>+IFERROR(VLOOKUP(L831,Data!$F$4:$G$97,2,0),"")</f>
        <v/>
      </c>
    </row>
    <row r="832" spans="9:32" ht="15" customHeight="1" x14ac:dyDescent="0.3">
      <c r="I832" s="201" t="str">
        <f t="shared" si="120"/>
        <v/>
      </c>
      <c r="J832" s="218">
        <f t="shared" si="121"/>
        <v>829</v>
      </c>
      <c r="K832" s="250"/>
      <c r="L832" s="219"/>
      <c r="M832" s="218"/>
      <c r="N832" s="220" t="str">
        <f>IFERROR(VLOOKUP(M832,Data!$C$4:$D$395,2,0),"")</f>
        <v/>
      </c>
      <c r="O832" s="220"/>
      <c r="P832" s="229"/>
      <c r="Q832" s="221"/>
      <c r="R832" s="222" t="str">
        <f t="shared" ref="R832:R895" si="122">IFERROR(Q832/P832, "-")</f>
        <v>-</v>
      </c>
      <c r="S832" s="223"/>
      <c r="T832" s="224"/>
      <c r="U832" s="225">
        <f t="shared" ref="U832:U895" si="123">+Q832*S832+P832*T832</f>
        <v>0</v>
      </c>
      <c r="V832" s="226">
        <v>0</v>
      </c>
      <c r="W832" s="227"/>
      <c r="X832" s="228">
        <f t="shared" ref="X832:X895" si="124">+Q832*V832+P832*W832</f>
        <v>0</v>
      </c>
      <c r="Y832" s="229"/>
      <c r="Z832" s="229"/>
      <c r="AA832" s="229"/>
      <c r="AB832" s="222">
        <f t="shared" ref="AB832:AB895" si="125">+Y832+Z832+AA832</f>
        <v>0</v>
      </c>
      <c r="AC832" s="230">
        <f t="shared" ref="AC832:AC895" si="126">IF((U832-Y832-Z832-AA832)&lt;0,"",(U832-Y832-Z832-AA832))</f>
        <v>0</v>
      </c>
      <c r="AD832" s="222" t="str">
        <f t="shared" ref="AD832:AD895" si="127">IF((U832-Y832-Z832-AA832)&lt;0,(Y832+Z832+AA832-U832),"")</f>
        <v/>
      </c>
      <c r="AE832" s="201"/>
      <c r="AF832" s="231" t="str">
        <f>+IFERROR(VLOOKUP(L832,Data!$F$4:$G$97,2,0),"")</f>
        <v/>
      </c>
    </row>
    <row r="833" spans="9:32" ht="15" customHeight="1" x14ac:dyDescent="0.3">
      <c r="I833" s="201" t="str">
        <f t="shared" si="120"/>
        <v/>
      </c>
      <c r="J833" s="218">
        <f t="shared" si="121"/>
        <v>830</v>
      </c>
      <c r="K833" s="250"/>
      <c r="L833" s="219"/>
      <c r="M833" s="218"/>
      <c r="N833" s="220" t="str">
        <f>IFERROR(VLOOKUP(M833,Data!$C$4:$D$395,2,0),"")</f>
        <v/>
      </c>
      <c r="O833" s="220"/>
      <c r="P833" s="229"/>
      <c r="Q833" s="221"/>
      <c r="R833" s="222" t="str">
        <f t="shared" si="122"/>
        <v>-</v>
      </c>
      <c r="S833" s="223"/>
      <c r="T833" s="224"/>
      <c r="U833" s="225">
        <f t="shared" si="123"/>
        <v>0</v>
      </c>
      <c r="V833" s="226">
        <v>0</v>
      </c>
      <c r="W833" s="227"/>
      <c r="X833" s="228">
        <f t="shared" si="124"/>
        <v>0</v>
      </c>
      <c r="Y833" s="229"/>
      <c r="Z833" s="229"/>
      <c r="AA833" s="229"/>
      <c r="AB833" s="222">
        <f t="shared" si="125"/>
        <v>0</v>
      </c>
      <c r="AC833" s="230">
        <f t="shared" si="126"/>
        <v>0</v>
      </c>
      <c r="AD833" s="222" t="str">
        <f t="shared" si="127"/>
        <v/>
      </c>
      <c r="AE833" s="201"/>
      <c r="AF833" s="231" t="str">
        <f>+IFERROR(VLOOKUP(L833,Data!$F$4:$G$97,2,0),"")</f>
        <v/>
      </c>
    </row>
    <row r="834" spans="9:32" ht="15" customHeight="1" x14ac:dyDescent="0.3">
      <c r="I834" s="201" t="str">
        <f t="shared" si="120"/>
        <v/>
      </c>
      <c r="J834" s="218">
        <f t="shared" si="121"/>
        <v>831</v>
      </c>
      <c r="K834" s="250"/>
      <c r="L834" s="219"/>
      <c r="M834" s="218"/>
      <c r="N834" s="220" t="str">
        <f>IFERROR(VLOOKUP(M834,Data!$C$4:$D$395,2,0),"")</f>
        <v/>
      </c>
      <c r="O834" s="220"/>
      <c r="P834" s="229"/>
      <c r="Q834" s="221"/>
      <c r="R834" s="222" t="str">
        <f t="shared" si="122"/>
        <v>-</v>
      </c>
      <c r="S834" s="223"/>
      <c r="T834" s="224"/>
      <c r="U834" s="225">
        <f t="shared" si="123"/>
        <v>0</v>
      </c>
      <c r="V834" s="226">
        <v>0</v>
      </c>
      <c r="W834" s="227"/>
      <c r="X834" s="228">
        <f t="shared" si="124"/>
        <v>0</v>
      </c>
      <c r="Y834" s="229"/>
      <c r="Z834" s="229"/>
      <c r="AA834" s="229"/>
      <c r="AB834" s="222">
        <f t="shared" si="125"/>
        <v>0</v>
      </c>
      <c r="AC834" s="230">
        <f t="shared" si="126"/>
        <v>0</v>
      </c>
      <c r="AD834" s="222" t="str">
        <f t="shared" si="127"/>
        <v/>
      </c>
      <c r="AE834" s="201"/>
      <c r="AF834" s="231" t="str">
        <f>+IFERROR(VLOOKUP(L834,Data!$F$4:$G$97,2,0),"")</f>
        <v/>
      </c>
    </row>
    <row r="835" spans="9:32" ht="15" customHeight="1" x14ac:dyDescent="0.3">
      <c r="I835" s="201" t="str">
        <f t="shared" si="120"/>
        <v/>
      </c>
      <c r="J835" s="218">
        <f t="shared" si="121"/>
        <v>832</v>
      </c>
      <c r="K835" s="250"/>
      <c r="L835" s="219"/>
      <c r="M835" s="218"/>
      <c r="N835" s="220" t="str">
        <f>IFERROR(VLOOKUP(M835,Data!$C$4:$D$395,2,0),"")</f>
        <v/>
      </c>
      <c r="O835" s="220"/>
      <c r="P835" s="229"/>
      <c r="Q835" s="221"/>
      <c r="R835" s="222" t="str">
        <f t="shared" si="122"/>
        <v>-</v>
      </c>
      <c r="S835" s="223"/>
      <c r="T835" s="224"/>
      <c r="U835" s="225">
        <f t="shared" si="123"/>
        <v>0</v>
      </c>
      <c r="V835" s="226">
        <v>0</v>
      </c>
      <c r="W835" s="227"/>
      <c r="X835" s="228">
        <f t="shared" si="124"/>
        <v>0</v>
      </c>
      <c r="Y835" s="229"/>
      <c r="Z835" s="229"/>
      <c r="AA835" s="229"/>
      <c r="AB835" s="222">
        <f t="shared" si="125"/>
        <v>0</v>
      </c>
      <c r="AC835" s="230">
        <f t="shared" si="126"/>
        <v>0</v>
      </c>
      <c r="AD835" s="222" t="str">
        <f t="shared" si="127"/>
        <v/>
      </c>
      <c r="AE835" s="201"/>
      <c r="AF835" s="231" t="str">
        <f>+IFERROR(VLOOKUP(L835,Data!$F$4:$G$97,2,0),"")</f>
        <v/>
      </c>
    </row>
    <row r="836" spans="9:32" ht="15" customHeight="1" x14ac:dyDescent="0.3">
      <c r="I836" s="201" t="str">
        <f t="shared" si="120"/>
        <v/>
      </c>
      <c r="J836" s="218">
        <f t="shared" si="121"/>
        <v>833</v>
      </c>
      <c r="K836" s="250"/>
      <c r="L836" s="219"/>
      <c r="M836" s="218"/>
      <c r="N836" s="220" t="str">
        <f>IFERROR(VLOOKUP(M836,Data!$C$4:$D$395,2,0),"")</f>
        <v/>
      </c>
      <c r="O836" s="220"/>
      <c r="P836" s="229"/>
      <c r="Q836" s="221"/>
      <c r="R836" s="222" t="str">
        <f t="shared" si="122"/>
        <v>-</v>
      </c>
      <c r="S836" s="223"/>
      <c r="T836" s="224"/>
      <c r="U836" s="225">
        <f t="shared" si="123"/>
        <v>0</v>
      </c>
      <c r="V836" s="226">
        <v>0</v>
      </c>
      <c r="W836" s="227"/>
      <c r="X836" s="228">
        <f t="shared" si="124"/>
        <v>0</v>
      </c>
      <c r="Y836" s="229"/>
      <c r="Z836" s="229"/>
      <c r="AA836" s="229"/>
      <c r="AB836" s="222">
        <f t="shared" si="125"/>
        <v>0</v>
      </c>
      <c r="AC836" s="230">
        <f t="shared" si="126"/>
        <v>0</v>
      </c>
      <c r="AD836" s="222" t="str">
        <f t="shared" si="127"/>
        <v/>
      </c>
      <c r="AE836" s="201"/>
      <c r="AF836" s="231" t="str">
        <f>+IFERROR(VLOOKUP(L836,Data!$F$4:$G$97,2,0),"")</f>
        <v/>
      </c>
    </row>
    <row r="837" spans="9:32" ht="15" customHeight="1" x14ac:dyDescent="0.3">
      <c r="I837" s="201" t="str">
        <f t="shared" si="120"/>
        <v/>
      </c>
      <c r="J837" s="218">
        <f t="shared" si="121"/>
        <v>834</v>
      </c>
      <c r="K837" s="250"/>
      <c r="L837" s="219"/>
      <c r="M837" s="218"/>
      <c r="N837" s="220" t="str">
        <f>IFERROR(VLOOKUP(M837,Data!$C$4:$D$395,2,0),"")</f>
        <v/>
      </c>
      <c r="O837" s="220"/>
      <c r="P837" s="229"/>
      <c r="Q837" s="221"/>
      <c r="R837" s="222" t="str">
        <f t="shared" si="122"/>
        <v>-</v>
      </c>
      <c r="S837" s="223"/>
      <c r="T837" s="224"/>
      <c r="U837" s="225">
        <f t="shared" si="123"/>
        <v>0</v>
      </c>
      <c r="V837" s="226">
        <v>0</v>
      </c>
      <c r="W837" s="227"/>
      <c r="X837" s="228">
        <f t="shared" si="124"/>
        <v>0</v>
      </c>
      <c r="Y837" s="229"/>
      <c r="Z837" s="229"/>
      <c r="AA837" s="229"/>
      <c r="AB837" s="222">
        <f t="shared" si="125"/>
        <v>0</v>
      </c>
      <c r="AC837" s="230">
        <f t="shared" si="126"/>
        <v>0</v>
      </c>
      <c r="AD837" s="222" t="str">
        <f t="shared" si="127"/>
        <v/>
      </c>
      <c r="AE837" s="201"/>
      <c r="AF837" s="231" t="str">
        <f>+IFERROR(VLOOKUP(L837,Data!$F$4:$G$97,2,0),"")</f>
        <v/>
      </c>
    </row>
    <row r="838" spans="9:32" ht="15" customHeight="1" x14ac:dyDescent="0.3">
      <c r="I838" s="201" t="str">
        <f t="shared" si="120"/>
        <v/>
      </c>
      <c r="J838" s="218">
        <f t="shared" si="121"/>
        <v>835</v>
      </c>
      <c r="K838" s="250"/>
      <c r="L838" s="219"/>
      <c r="M838" s="218"/>
      <c r="N838" s="220" t="str">
        <f>IFERROR(VLOOKUP(M838,Data!$C$4:$D$395,2,0),"")</f>
        <v/>
      </c>
      <c r="O838" s="220"/>
      <c r="P838" s="229"/>
      <c r="Q838" s="221"/>
      <c r="R838" s="222" t="str">
        <f t="shared" si="122"/>
        <v>-</v>
      </c>
      <c r="S838" s="223"/>
      <c r="T838" s="224"/>
      <c r="U838" s="225">
        <f t="shared" si="123"/>
        <v>0</v>
      </c>
      <c r="V838" s="226">
        <v>0</v>
      </c>
      <c r="W838" s="227"/>
      <c r="X838" s="228">
        <f t="shared" si="124"/>
        <v>0</v>
      </c>
      <c r="Y838" s="229"/>
      <c r="Z838" s="229"/>
      <c r="AA838" s="229"/>
      <c r="AB838" s="222">
        <f t="shared" si="125"/>
        <v>0</v>
      </c>
      <c r="AC838" s="230">
        <f t="shared" si="126"/>
        <v>0</v>
      </c>
      <c r="AD838" s="222" t="str">
        <f t="shared" si="127"/>
        <v/>
      </c>
      <c r="AE838" s="201"/>
      <c r="AF838" s="231" t="str">
        <f>+IFERROR(VLOOKUP(L838,Data!$F$4:$G$97,2,0),"")</f>
        <v/>
      </c>
    </row>
    <row r="839" spans="9:32" ht="15" customHeight="1" x14ac:dyDescent="0.3">
      <c r="I839" s="201" t="str">
        <f t="shared" si="120"/>
        <v/>
      </c>
      <c r="J839" s="218">
        <f t="shared" si="121"/>
        <v>836</v>
      </c>
      <c r="K839" s="250"/>
      <c r="L839" s="219"/>
      <c r="M839" s="218"/>
      <c r="N839" s="220" t="str">
        <f>IFERROR(VLOOKUP(M839,Data!$C$4:$D$395,2,0),"")</f>
        <v/>
      </c>
      <c r="O839" s="220"/>
      <c r="P839" s="229"/>
      <c r="Q839" s="221"/>
      <c r="R839" s="222" t="str">
        <f t="shared" si="122"/>
        <v>-</v>
      </c>
      <c r="S839" s="223"/>
      <c r="T839" s="224"/>
      <c r="U839" s="225">
        <f t="shared" si="123"/>
        <v>0</v>
      </c>
      <c r="V839" s="226">
        <v>0</v>
      </c>
      <c r="W839" s="227"/>
      <c r="X839" s="228">
        <f t="shared" si="124"/>
        <v>0</v>
      </c>
      <c r="Y839" s="229"/>
      <c r="Z839" s="229"/>
      <c r="AA839" s="229"/>
      <c r="AB839" s="222">
        <f t="shared" si="125"/>
        <v>0</v>
      </c>
      <c r="AC839" s="230">
        <f t="shared" si="126"/>
        <v>0</v>
      </c>
      <c r="AD839" s="222" t="str">
        <f t="shared" si="127"/>
        <v/>
      </c>
      <c r="AE839" s="201"/>
      <c r="AF839" s="231" t="str">
        <f>+IFERROR(VLOOKUP(L839,Data!$F$4:$G$97,2,0),"")</f>
        <v/>
      </c>
    </row>
    <row r="840" spans="9:32" ht="15" customHeight="1" x14ac:dyDescent="0.3">
      <c r="I840" s="201" t="str">
        <f t="shared" si="120"/>
        <v/>
      </c>
      <c r="J840" s="218">
        <f t="shared" si="121"/>
        <v>837</v>
      </c>
      <c r="K840" s="250"/>
      <c r="L840" s="219"/>
      <c r="M840" s="218"/>
      <c r="N840" s="220" t="str">
        <f>IFERROR(VLOOKUP(M840,Data!$C$4:$D$395,2,0),"")</f>
        <v/>
      </c>
      <c r="O840" s="220"/>
      <c r="P840" s="229"/>
      <c r="Q840" s="221"/>
      <c r="R840" s="222" t="str">
        <f t="shared" si="122"/>
        <v>-</v>
      </c>
      <c r="S840" s="223"/>
      <c r="T840" s="224"/>
      <c r="U840" s="225">
        <f t="shared" si="123"/>
        <v>0</v>
      </c>
      <c r="V840" s="226">
        <v>0</v>
      </c>
      <c r="W840" s="227"/>
      <c r="X840" s="228">
        <f t="shared" si="124"/>
        <v>0</v>
      </c>
      <c r="Y840" s="229"/>
      <c r="Z840" s="229"/>
      <c r="AA840" s="229"/>
      <c r="AB840" s="222">
        <f t="shared" si="125"/>
        <v>0</v>
      </c>
      <c r="AC840" s="230">
        <f t="shared" si="126"/>
        <v>0</v>
      </c>
      <c r="AD840" s="222" t="str">
        <f t="shared" si="127"/>
        <v/>
      </c>
      <c r="AE840" s="201"/>
      <c r="AF840" s="231" t="str">
        <f>+IFERROR(VLOOKUP(L840,Data!$F$4:$G$97,2,0),"")</f>
        <v/>
      </c>
    </row>
    <row r="841" spans="9:32" ht="15" customHeight="1" x14ac:dyDescent="0.3">
      <c r="I841" s="201" t="str">
        <f t="shared" si="120"/>
        <v/>
      </c>
      <c r="J841" s="218">
        <f t="shared" si="121"/>
        <v>838</v>
      </c>
      <c r="K841" s="250"/>
      <c r="L841" s="219"/>
      <c r="M841" s="218"/>
      <c r="N841" s="220" t="str">
        <f>IFERROR(VLOOKUP(M841,Data!$C$4:$D$395,2,0),"")</f>
        <v/>
      </c>
      <c r="O841" s="220"/>
      <c r="P841" s="229"/>
      <c r="Q841" s="221"/>
      <c r="R841" s="222" t="str">
        <f t="shared" si="122"/>
        <v>-</v>
      </c>
      <c r="S841" s="223"/>
      <c r="T841" s="224"/>
      <c r="U841" s="225">
        <f t="shared" si="123"/>
        <v>0</v>
      </c>
      <c r="V841" s="226">
        <v>0</v>
      </c>
      <c r="W841" s="227"/>
      <c r="X841" s="228">
        <f t="shared" si="124"/>
        <v>0</v>
      </c>
      <c r="Y841" s="229"/>
      <c r="Z841" s="229"/>
      <c r="AA841" s="229"/>
      <c r="AB841" s="222">
        <f t="shared" si="125"/>
        <v>0</v>
      </c>
      <c r="AC841" s="230">
        <f t="shared" si="126"/>
        <v>0</v>
      </c>
      <c r="AD841" s="222" t="str">
        <f t="shared" si="127"/>
        <v/>
      </c>
      <c r="AE841" s="201"/>
      <c r="AF841" s="231" t="str">
        <f>+IFERROR(VLOOKUP(L841,Data!$F$4:$G$97,2,0),"")</f>
        <v/>
      </c>
    </row>
    <row r="842" spans="9:32" ht="15" customHeight="1" x14ac:dyDescent="0.3">
      <c r="I842" s="201" t="str">
        <f t="shared" si="120"/>
        <v/>
      </c>
      <c r="J842" s="218">
        <f t="shared" si="121"/>
        <v>839</v>
      </c>
      <c r="K842" s="250"/>
      <c r="L842" s="219"/>
      <c r="M842" s="218"/>
      <c r="N842" s="220" t="str">
        <f>IFERROR(VLOOKUP(M842,Data!$C$4:$D$395,2,0),"")</f>
        <v/>
      </c>
      <c r="O842" s="220"/>
      <c r="P842" s="229"/>
      <c r="Q842" s="221"/>
      <c r="R842" s="222" t="str">
        <f t="shared" si="122"/>
        <v>-</v>
      </c>
      <c r="S842" s="223"/>
      <c r="T842" s="224"/>
      <c r="U842" s="225">
        <f t="shared" si="123"/>
        <v>0</v>
      </c>
      <c r="V842" s="226">
        <v>0</v>
      </c>
      <c r="W842" s="227"/>
      <c r="X842" s="228">
        <f t="shared" si="124"/>
        <v>0</v>
      </c>
      <c r="Y842" s="229"/>
      <c r="Z842" s="229"/>
      <c r="AA842" s="229"/>
      <c r="AB842" s="222">
        <f t="shared" si="125"/>
        <v>0</v>
      </c>
      <c r="AC842" s="230">
        <f t="shared" si="126"/>
        <v>0</v>
      </c>
      <c r="AD842" s="222" t="str">
        <f t="shared" si="127"/>
        <v/>
      </c>
      <c r="AE842" s="201"/>
      <c r="AF842" s="231" t="str">
        <f>+IFERROR(VLOOKUP(L842,Data!$F$4:$G$97,2,0),"")</f>
        <v/>
      </c>
    </row>
    <row r="843" spans="9:32" ht="15" customHeight="1" x14ac:dyDescent="0.3">
      <c r="I843" s="201" t="str">
        <f t="shared" si="120"/>
        <v/>
      </c>
      <c r="J843" s="218">
        <f t="shared" si="121"/>
        <v>840</v>
      </c>
      <c r="K843" s="250"/>
      <c r="L843" s="219"/>
      <c r="M843" s="218"/>
      <c r="N843" s="220" t="str">
        <f>IFERROR(VLOOKUP(M843,Data!$C$4:$D$395,2,0),"")</f>
        <v/>
      </c>
      <c r="O843" s="220"/>
      <c r="P843" s="229"/>
      <c r="Q843" s="221"/>
      <c r="R843" s="222" t="str">
        <f t="shared" si="122"/>
        <v>-</v>
      </c>
      <c r="S843" s="223"/>
      <c r="T843" s="224"/>
      <c r="U843" s="225">
        <f t="shared" si="123"/>
        <v>0</v>
      </c>
      <c r="V843" s="226">
        <v>0</v>
      </c>
      <c r="W843" s="227"/>
      <c r="X843" s="228">
        <f t="shared" si="124"/>
        <v>0</v>
      </c>
      <c r="Y843" s="229"/>
      <c r="Z843" s="229"/>
      <c r="AA843" s="229"/>
      <c r="AB843" s="222">
        <f t="shared" si="125"/>
        <v>0</v>
      </c>
      <c r="AC843" s="230">
        <f t="shared" si="126"/>
        <v>0</v>
      </c>
      <c r="AD843" s="222" t="str">
        <f t="shared" si="127"/>
        <v/>
      </c>
      <c r="AE843" s="201"/>
      <c r="AF843" s="231" t="str">
        <f>+IFERROR(VLOOKUP(L843,Data!$F$4:$G$97,2,0),"")</f>
        <v/>
      </c>
    </row>
    <row r="844" spans="9:32" ht="15" customHeight="1" x14ac:dyDescent="0.3">
      <c r="I844" s="201" t="str">
        <f t="shared" si="120"/>
        <v/>
      </c>
      <c r="J844" s="218">
        <f t="shared" si="121"/>
        <v>841</v>
      </c>
      <c r="K844" s="250"/>
      <c r="L844" s="219"/>
      <c r="M844" s="218"/>
      <c r="N844" s="220" t="str">
        <f>IFERROR(VLOOKUP(M844,Data!$C$4:$D$395,2,0),"")</f>
        <v/>
      </c>
      <c r="O844" s="220"/>
      <c r="P844" s="229"/>
      <c r="Q844" s="221"/>
      <c r="R844" s="222" t="str">
        <f t="shared" si="122"/>
        <v>-</v>
      </c>
      <c r="S844" s="223"/>
      <c r="T844" s="224"/>
      <c r="U844" s="225">
        <f t="shared" si="123"/>
        <v>0</v>
      </c>
      <c r="V844" s="226">
        <v>0</v>
      </c>
      <c r="W844" s="227"/>
      <c r="X844" s="228">
        <f t="shared" si="124"/>
        <v>0</v>
      </c>
      <c r="Y844" s="229"/>
      <c r="Z844" s="229"/>
      <c r="AA844" s="229"/>
      <c r="AB844" s="222">
        <f t="shared" si="125"/>
        <v>0</v>
      </c>
      <c r="AC844" s="230">
        <f t="shared" si="126"/>
        <v>0</v>
      </c>
      <c r="AD844" s="222" t="str">
        <f t="shared" si="127"/>
        <v/>
      </c>
      <c r="AE844" s="201"/>
      <c r="AF844" s="231" t="str">
        <f>+IFERROR(VLOOKUP(L844,Data!$F$4:$G$97,2,0),"")</f>
        <v/>
      </c>
    </row>
    <row r="845" spans="9:32" ht="15" customHeight="1" x14ac:dyDescent="0.3">
      <c r="I845" s="201" t="str">
        <f t="shared" si="120"/>
        <v/>
      </c>
      <c r="J845" s="218">
        <f t="shared" si="121"/>
        <v>842</v>
      </c>
      <c r="K845" s="250"/>
      <c r="L845" s="219"/>
      <c r="M845" s="218"/>
      <c r="N845" s="220" t="str">
        <f>IFERROR(VLOOKUP(M845,Data!$C$4:$D$395,2,0),"")</f>
        <v/>
      </c>
      <c r="O845" s="220"/>
      <c r="P845" s="229"/>
      <c r="Q845" s="221"/>
      <c r="R845" s="222" t="str">
        <f t="shared" si="122"/>
        <v>-</v>
      </c>
      <c r="S845" s="223"/>
      <c r="T845" s="224"/>
      <c r="U845" s="225">
        <f t="shared" si="123"/>
        <v>0</v>
      </c>
      <c r="V845" s="226">
        <v>0</v>
      </c>
      <c r="W845" s="227"/>
      <c r="X845" s="228">
        <f t="shared" si="124"/>
        <v>0</v>
      </c>
      <c r="Y845" s="229"/>
      <c r="Z845" s="229"/>
      <c r="AA845" s="229"/>
      <c r="AB845" s="222">
        <f t="shared" si="125"/>
        <v>0</v>
      </c>
      <c r="AC845" s="230">
        <f t="shared" si="126"/>
        <v>0</v>
      </c>
      <c r="AD845" s="222" t="str">
        <f t="shared" si="127"/>
        <v/>
      </c>
      <c r="AE845" s="201"/>
      <c r="AF845" s="231" t="str">
        <f>+IFERROR(VLOOKUP(L845,Data!$F$4:$G$97,2,0),"")</f>
        <v/>
      </c>
    </row>
    <row r="846" spans="9:32" ht="15" customHeight="1" x14ac:dyDescent="0.3">
      <c r="I846" s="201" t="str">
        <f t="shared" si="120"/>
        <v/>
      </c>
      <c r="J846" s="218">
        <f t="shared" si="121"/>
        <v>843</v>
      </c>
      <c r="K846" s="250"/>
      <c r="L846" s="219"/>
      <c r="M846" s="218"/>
      <c r="N846" s="220" t="str">
        <f>IFERROR(VLOOKUP(M846,Data!$C$4:$D$395,2,0),"")</f>
        <v/>
      </c>
      <c r="O846" s="220"/>
      <c r="P846" s="229"/>
      <c r="Q846" s="221"/>
      <c r="R846" s="222" t="str">
        <f t="shared" si="122"/>
        <v>-</v>
      </c>
      <c r="S846" s="223"/>
      <c r="T846" s="224"/>
      <c r="U846" s="225">
        <f t="shared" si="123"/>
        <v>0</v>
      </c>
      <c r="V846" s="226">
        <v>0</v>
      </c>
      <c r="W846" s="227"/>
      <c r="X846" s="228">
        <f t="shared" si="124"/>
        <v>0</v>
      </c>
      <c r="Y846" s="229"/>
      <c r="Z846" s="229"/>
      <c r="AA846" s="229"/>
      <c r="AB846" s="222">
        <f t="shared" si="125"/>
        <v>0</v>
      </c>
      <c r="AC846" s="230">
        <f t="shared" si="126"/>
        <v>0</v>
      </c>
      <c r="AD846" s="222" t="str">
        <f t="shared" si="127"/>
        <v/>
      </c>
      <c r="AE846" s="201"/>
      <c r="AF846" s="231" t="str">
        <f>+IFERROR(VLOOKUP(L846,Data!$F$4:$G$97,2,0),"")</f>
        <v/>
      </c>
    </row>
    <row r="847" spans="9:32" ht="15" customHeight="1" x14ac:dyDescent="0.3">
      <c r="I847" s="201" t="str">
        <f t="shared" si="120"/>
        <v/>
      </c>
      <c r="J847" s="218">
        <f t="shared" si="121"/>
        <v>844</v>
      </c>
      <c r="K847" s="250"/>
      <c r="L847" s="219"/>
      <c r="M847" s="218"/>
      <c r="N847" s="220" t="str">
        <f>IFERROR(VLOOKUP(M847,Data!$C$4:$D$395,2,0),"")</f>
        <v/>
      </c>
      <c r="O847" s="220"/>
      <c r="P847" s="229"/>
      <c r="Q847" s="221"/>
      <c r="R847" s="222" t="str">
        <f t="shared" si="122"/>
        <v>-</v>
      </c>
      <c r="S847" s="223"/>
      <c r="T847" s="224"/>
      <c r="U847" s="225">
        <f t="shared" si="123"/>
        <v>0</v>
      </c>
      <c r="V847" s="226">
        <v>0</v>
      </c>
      <c r="W847" s="227"/>
      <c r="X847" s="228">
        <f t="shared" si="124"/>
        <v>0</v>
      </c>
      <c r="Y847" s="229"/>
      <c r="Z847" s="229"/>
      <c r="AA847" s="229"/>
      <c r="AB847" s="222">
        <f t="shared" si="125"/>
        <v>0</v>
      </c>
      <c r="AC847" s="230">
        <f t="shared" si="126"/>
        <v>0</v>
      </c>
      <c r="AD847" s="222" t="str">
        <f t="shared" si="127"/>
        <v/>
      </c>
      <c r="AE847" s="201"/>
      <c r="AF847" s="231" t="str">
        <f>+IFERROR(VLOOKUP(L847,Data!$F$4:$G$97,2,0),"")</f>
        <v/>
      </c>
    </row>
    <row r="848" spans="9:32" ht="15" customHeight="1" x14ac:dyDescent="0.3">
      <c r="I848" s="201" t="str">
        <f t="shared" si="120"/>
        <v/>
      </c>
      <c r="J848" s="218">
        <f t="shared" si="121"/>
        <v>845</v>
      </c>
      <c r="K848" s="250"/>
      <c r="L848" s="219"/>
      <c r="M848" s="218"/>
      <c r="N848" s="220" t="str">
        <f>IFERROR(VLOOKUP(M848,Data!$C$4:$D$395,2,0),"")</f>
        <v/>
      </c>
      <c r="O848" s="220"/>
      <c r="P848" s="229"/>
      <c r="Q848" s="221"/>
      <c r="R848" s="222" t="str">
        <f t="shared" si="122"/>
        <v>-</v>
      </c>
      <c r="S848" s="223"/>
      <c r="T848" s="224"/>
      <c r="U848" s="225">
        <f t="shared" si="123"/>
        <v>0</v>
      </c>
      <c r="V848" s="226">
        <v>0</v>
      </c>
      <c r="W848" s="227"/>
      <c r="X848" s="228">
        <f t="shared" si="124"/>
        <v>0</v>
      </c>
      <c r="Y848" s="229"/>
      <c r="Z848" s="229"/>
      <c r="AA848" s="229"/>
      <c r="AB848" s="222">
        <f t="shared" si="125"/>
        <v>0</v>
      </c>
      <c r="AC848" s="230">
        <f t="shared" si="126"/>
        <v>0</v>
      </c>
      <c r="AD848" s="222" t="str">
        <f t="shared" si="127"/>
        <v/>
      </c>
      <c r="AE848" s="201"/>
      <c r="AF848" s="231" t="str">
        <f>+IFERROR(VLOOKUP(L848,Data!$F$4:$G$97,2,0),"")</f>
        <v/>
      </c>
    </row>
    <row r="849" spans="9:32" ht="15" customHeight="1" x14ac:dyDescent="0.3">
      <c r="I849" s="201" t="str">
        <f t="shared" si="120"/>
        <v/>
      </c>
      <c r="J849" s="218">
        <f t="shared" si="121"/>
        <v>846</v>
      </c>
      <c r="K849" s="250"/>
      <c r="L849" s="219"/>
      <c r="M849" s="218"/>
      <c r="N849" s="220" t="str">
        <f>IFERROR(VLOOKUP(M849,Data!$C$4:$D$395,2,0),"")</f>
        <v/>
      </c>
      <c r="O849" s="220"/>
      <c r="P849" s="229"/>
      <c r="Q849" s="221"/>
      <c r="R849" s="222" t="str">
        <f t="shared" si="122"/>
        <v>-</v>
      </c>
      <c r="S849" s="223"/>
      <c r="T849" s="224"/>
      <c r="U849" s="225">
        <f t="shared" si="123"/>
        <v>0</v>
      </c>
      <c r="V849" s="226">
        <v>0</v>
      </c>
      <c r="W849" s="227"/>
      <c r="X849" s="228">
        <f t="shared" si="124"/>
        <v>0</v>
      </c>
      <c r="Y849" s="229"/>
      <c r="Z849" s="229"/>
      <c r="AA849" s="229"/>
      <c r="AB849" s="222">
        <f t="shared" si="125"/>
        <v>0</v>
      </c>
      <c r="AC849" s="230">
        <f t="shared" si="126"/>
        <v>0</v>
      </c>
      <c r="AD849" s="222" t="str">
        <f t="shared" si="127"/>
        <v/>
      </c>
      <c r="AE849" s="201"/>
      <c r="AF849" s="231" t="str">
        <f>+IFERROR(VLOOKUP(L849,Data!$F$4:$G$97,2,0),"")</f>
        <v/>
      </c>
    </row>
    <row r="850" spans="9:32" ht="15" customHeight="1" x14ac:dyDescent="0.3">
      <c r="I850" s="201" t="str">
        <f t="shared" si="120"/>
        <v/>
      </c>
      <c r="J850" s="218">
        <f t="shared" si="121"/>
        <v>847</v>
      </c>
      <c r="K850" s="250"/>
      <c r="L850" s="219"/>
      <c r="M850" s="218"/>
      <c r="N850" s="220" t="str">
        <f>IFERROR(VLOOKUP(M850,Data!$C$4:$D$395,2,0),"")</f>
        <v/>
      </c>
      <c r="O850" s="220"/>
      <c r="P850" s="229"/>
      <c r="Q850" s="221"/>
      <c r="R850" s="222" t="str">
        <f t="shared" si="122"/>
        <v>-</v>
      </c>
      <c r="S850" s="223"/>
      <c r="T850" s="224"/>
      <c r="U850" s="225">
        <f t="shared" si="123"/>
        <v>0</v>
      </c>
      <c r="V850" s="226">
        <v>0</v>
      </c>
      <c r="W850" s="227"/>
      <c r="X850" s="228">
        <f t="shared" si="124"/>
        <v>0</v>
      </c>
      <c r="Y850" s="229"/>
      <c r="Z850" s="229"/>
      <c r="AA850" s="229"/>
      <c r="AB850" s="222">
        <f t="shared" si="125"/>
        <v>0</v>
      </c>
      <c r="AC850" s="230">
        <f t="shared" si="126"/>
        <v>0</v>
      </c>
      <c r="AD850" s="222" t="str">
        <f t="shared" si="127"/>
        <v/>
      </c>
      <c r="AE850" s="201"/>
      <c r="AF850" s="231" t="str">
        <f>+IFERROR(VLOOKUP(L850,Data!$F$4:$G$97,2,0),"")</f>
        <v/>
      </c>
    </row>
    <row r="851" spans="9:32" ht="15" customHeight="1" x14ac:dyDescent="0.3">
      <c r="I851" s="201" t="str">
        <f t="shared" si="120"/>
        <v/>
      </c>
      <c r="J851" s="218">
        <f t="shared" si="121"/>
        <v>848</v>
      </c>
      <c r="K851" s="250"/>
      <c r="L851" s="219"/>
      <c r="M851" s="218"/>
      <c r="N851" s="220" t="str">
        <f>IFERROR(VLOOKUP(M851,Data!$C$4:$D$395,2,0),"")</f>
        <v/>
      </c>
      <c r="O851" s="220"/>
      <c r="P851" s="229"/>
      <c r="Q851" s="221"/>
      <c r="R851" s="222" t="str">
        <f t="shared" si="122"/>
        <v>-</v>
      </c>
      <c r="S851" s="223"/>
      <c r="T851" s="224"/>
      <c r="U851" s="225">
        <f t="shared" si="123"/>
        <v>0</v>
      </c>
      <c r="V851" s="226">
        <v>0</v>
      </c>
      <c r="W851" s="227"/>
      <c r="X851" s="228">
        <f t="shared" si="124"/>
        <v>0</v>
      </c>
      <c r="Y851" s="229"/>
      <c r="Z851" s="229"/>
      <c r="AA851" s="229"/>
      <c r="AB851" s="222">
        <f t="shared" si="125"/>
        <v>0</v>
      </c>
      <c r="AC851" s="230">
        <f t="shared" si="126"/>
        <v>0</v>
      </c>
      <c r="AD851" s="222" t="str">
        <f t="shared" si="127"/>
        <v/>
      </c>
      <c r="AE851" s="201"/>
      <c r="AF851" s="231" t="str">
        <f>+IFERROR(VLOOKUP(L851,Data!$F$4:$G$97,2,0),"")</f>
        <v/>
      </c>
    </row>
    <row r="852" spans="9:32" ht="15" customHeight="1" x14ac:dyDescent="0.3">
      <c r="I852" s="201" t="str">
        <f t="shared" si="120"/>
        <v/>
      </c>
      <c r="J852" s="218">
        <f t="shared" si="121"/>
        <v>849</v>
      </c>
      <c r="K852" s="250"/>
      <c r="L852" s="219"/>
      <c r="M852" s="218"/>
      <c r="N852" s="220" t="str">
        <f>IFERROR(VLOOKUP(M852,Data!$C$4:$D$395,2,0),"")</f>
        <v/>
      </c>
      <c r="O852" s="220"/>
      <c r="P852" s="229"/>
      <c r="Q852" s="221"/>
      <c r="R852" s="222" t="str">
        <f t="shared" si="122"/>
        <v>-</v>
      </c>
      <c r="S852" s="223"/>
      <c r="T852" s="224"/>
      <c r="U852" s="225">
        <f t="shared" si="123"/>
        <v>0</v>
      </c>
      <c r="V852" s="226">
        <v>0</v>
      </c>
      <c r="W852" s="227"/>
      <c r="X852" s="228">
        <f t="shared" si="124"/>
        <v>0</v>
      </c>
      <c r="Y852" s="229"/>
      <c r="Z852" s="229"/>
      <c r="AA852" s="229"/>
      <c r="AB852" s="222">
        <f t="shared" si="125"/>
        <v>0</v>
      </c>
      <c r="AC852" s="230">
        <f t="shared" si="126"/>
        <v>0</v>
      </c>
      <c r="AD852" s="222" t="str">
        <f t="shared" si="127"/>
        <v/>
      </c>
      <c r="AE852" s="201"/>
      <c r="AF852" s="231" t="str">
        <f>+IFERROR(VLOOKUP(L852,Data!$F$4:$G$97,2,0),"")</f>
        <v/>
      </c>
    </row>
    <row r="853" spans="9:32" ht="15" customHeight="1" x14ac:dyDescent="0.3">
      <c r="I853" s="201" t="str">
        <f t="shared" si="120"/>
        <v/>
      </c>
      <c r="J853" s="218">
        <f t="shared" si="121"/>
        <v>850</v>
      </c>
      <c r="K853" s="250"/>
      <c r="L853" s="219"/>
      <c r="M853" s="218"/>
      <c r="N853" s="220" t="str">
        <f>IFERROR(VLOOKUP(M853,Data!$C$4:$D$395,2,0),"")</f>
        <v/>
      </c>
      <c r="O853" s="220"/>
      <c r="P853" s="229"/>
      <c r="Q853" s="221"/>
      <c r="R853" s="222" t="str">
        <f t="shared" si="122"/>
        <v>-</v>
      </c>
      <c r="S853" s="223"/>
      <c r="T853" s="224"/>
      <c r="U853" s="225">
        <f t="shared" si="123"/>
        <v>0</v>
      </c>
      <c r="V853" s="226">
        <v>0</v>
      </c>
      <c r="W853" s="227"/>
      <c r="X853" s="228">
        <f t="shared" si="124"/>
        <v>0</v>
      </c>
      <c r="Y853" s="229"/>
      <c r="Z853" s="229"/>
      <c r="AA853" s="229"/>
      <c r="AB853" s="222">
        <f t="shared" si="125"/>
        <v>0</v>
      </c>
      <c r="AC853" s="230">
        <f t="shared" si="126"/>
        <v>0</v>
      </c>
      <c r="AD853" s="222" t="str">
        <f t="shared" si="127"/>
        <v/>
      </c>
      <c r="AE853" s="201"/>
      <c r="AF853" s="231" t="str">
        <f>+IFERROR(VLOOKUP(L853,Data!$F$4:$G$97,2,0),"")</f>
        <v/>
      </c>
    </row>
    <row r="854" spans="9:32" ht="15" customHeight="1" x14ac:dyDescent="0.3">
      <c r="I854" s="201" t="str">
        <f t="shared" si="120"/>
        <v/>
      </c>
      <c r="J854" s="218">
        <f t="shared" si="121"/>
        <v>851</v>
      </c>
      <c r="K854" s="250"/>
      <c r="L854" s="219"/>
      <c r="M854" s="218"/>
      <c r="N854" s="220" t="str">
        <f>IFERROR(VLOOKUP(M854,Data!$C$4:$D$395,2,0),"")</f>
        <v/>
      </c>
      <c r="O854" s="220"/>
      <c r="P854" s="229"/>
      <c r="Q854" s="221"/>
      <c r="R854" s="222" t="str">
        <f t="shared" si="122"/>
        <v>-</v>
      </c>
      <c r="S854" s="223"/>
      <c r="T854" s="224"/>
      <c r="U854" s="225">
        <f t="shared" si="123"/>
        <v>0</v>
      </c>
      <c r="V854" s="226">
        <v>0</v>
      </c>
      <c r="W854" s="227"/>
      <c r="X854" s="228">
        <f t="shared" si="124"/>
        <v>0</v>
      </c>
      <c r="Y854" s="229"/>
      <c r="Z854" s="229"/>
      <c r="AA854" s="229"/>
      <c r="AB854" s="222">
        <f t="shared" si="125"/>
        <v>0</v>
      </c>
      <c r="AC854" s="230">
        <f t="shared" si="126"/>
        <v>0</v>
      </c>
      <c r="AD854" s="222" t="str">
        <f t="shared" si="127"/>
        <v/>
      </c>
      <c r="AE854" s="201"/>
      <c r="AF854" s="231" t="str">
        <f>+IFERROR(VLOOKUP(L854,Data!$F$4:$G$97,2,0),"")</f>
        <v/>
      </c>
    </row>
    <row r="855" spans="9:32" ht="15" customHeight="1" x14ac:dyDescent="0.3">
      <c r="I855" s="201" t="str">
        <f t="shared" si="120"/>
        <v/>
      </c>
      <c r="J855" s="218">
        <f t="shared" si="121"/>
        <v>852</v>
      </c>
      <c r="K855" s="250"/>
      <c r="L855" s="219"/>
      <c r="M855" s="218"/>
      <c r="N855" s="220" t="str">
        <f>IFERROR(VLOOKUP(M855,Data!$C$4:$D$395,2,0),"")</f>
        <v/>
      </c>
      <c r="O855" s="220"/>
      <c r="P855" s="229"/>
      <c r="Q855" s="221"/>
      <c r="R855" s="222" t="str">
        <f t="shared" si="122"/>
        <v>-</v>
      </c>
      <c r="S855" s="223"/>
      <c r="T855" s="224"/>
      <c r="U855" s="225">
        <f t="shared" si="123"/>
        <v>0</v>
      </c>
      <c r="V855" s="226">
        <v>0</v>
      </c>
      <c r="W855" s="227"/>
      <c r="X855" s="228">
        <f t="shared" si="124"/>
        <v>0</v>
      </c>
      <c r="Y855" s="229"/>
      <c r="Z855" s="229"/>
      <c r="AA855" s="229"/>
      <c r="AB855" s="222">
        <f t="shared" si="125"/>
        <v>0</v>
      </c>
      <c r="AC855" s="230">
        <f t="shared" si="126"/>
        <v>0</v>
      </c>
      <c r="AD855" s="222" t="str">
        <f t="shared" si="127"/>
        <v/>
      </c>
      <c r="AE855" s="201"/>
      <c r="AF855" s="231" t="str">
        <f>+IFERROR(VLOOKUP(L855,Data!$F$4:$G$97,2,0),"")</f>
        <v/>
      </c>
    </row>
    <row r="856" spans="9:32" ht="15" customHeight="1" x14ac:dyDescent="0.3">
      <c r="I856" s="201" t="str">
        <f t="shared" si="120"/>
        <v/>
      </c>
      <c r="J856" s="218">
        <f t="shared" si="121"/>
        <v>853</v>
      </c>
      <c r="K856" s="250"/>
      <c r="L856" s="219"/>
      <c r="M856" s="218"/>
      <c r="N856" s="220" t="str">
        <f>IFERROR(VLOOKUP(M856,Data!$C$4:$D$395,2,0),"")</f>
        <v/>
      </c>
      <c r="O856" s="220"/>
      <c r="P856" s="229"/>
      <c r="Q856" s="221"/>
      <c r="R856" s="222" t="str">
        <f t="shared" si="122"/>
        <v>-</v>
      </c>
      <c r="S856" s="223"/>
      <c r="T856" s="224"/>
      <c r="U856" s="225">
        <f t="shared" si="123"/>
        <v>0</v>
      </c>
      <c r="V856" s="226">
        <v>0</v>
      </c>
      <c r="W856" s="227"/>
      <c r="X856" s="228">
        <f t="shared" si="124"/>
        <v>0</v>
      </c>
      <c r="Y856" s="229"/>
      <c r="Z856" s="229"/>
      <c r="AA856" s="229"/>
      <c r="AB856" s="222">
        <f t="shared" si="125"/>
        <v>0</v>
      </c>
      <c r="AC856" s="230">
        <f t="shared" si="126"/>
        <v>0</v>
      </c>
      <c r="AD856" s="222" t="str">
        <f t="shared" si="127"/>
        <v/>
      </c>
      <c r="AE856" s="201"/>
      <c r="AF856" s="231" t="str">
        <f>+IFERROR(VLOOKUP(L856,Data!$F$4:$G$97,2,0),"")</f>
        <v/>
      </c>
    </row>
    <row r="857" spans="9:32" ht="15" customHeight="1" x14ac:dyDescent="0.3">
      <c r="I857" s="201" t="str">
        <f t="shared" si="120"/>
        <v/>
      </c>
      <c r="J857" s="218">
        <f t="shared" si="121"/>
        <v>854</v>
      </c>
      <c r="K857" s="250"/>
      <c r="L857" s="219"/>
      <c r="M857" s="218"/>
      <c r="N857" s="220" t="str">
        <f>IFERROR(VLOOKUP(M857,Data!$C$4:$D$395,2,0),"")</f>
        <v/>
      </c>
      <c r="O857" s="220"/>
      <c r="P857" s="229"/>
      <c r="Q857" s="221"/>
      <c r="R857" s="222" t="str">
        <f t="shared" si="122"/>
        <v>-</v>
      </c>
      <c r="S857" s="223"/>
      <c r="T857" s="224"/>
      <c r="U857" s="225">
        <f t="shared" si="123"/>
        <v>0</v>
      </c>
      <c r="V857" s="226">
        <v>0</v>
      </c>
      <c r="W857" s="227"/>
      <c r="X857" s="228">
        <f t="shared" si="124"/>
        <v>0</v>
      </c>
      <c r="Y857" s="229"/>
      <c r="Z857" s="229"/>
      <c r="AA857" s="229"/>
      <c r="AB857" s="222">
        <f t="shared" si="125"/>
        <v>0</v>
      </c>
      <c r="AC857" s="230">
        <f t="shared" si="126"/>
        <v>0</v>
      </c>
      <c r="AD857" s="222" t="str">
        <f t="shared" si="127"/>
        <v/>
      </c>
      <c r="AE857" s="201"/>
      <c r="AF857" s="231" t="str">
        <f>+IFERROR(VLOOKUP(L857,Data!$F$4:$G$97,2,0),"")</f>
        <v/>
      </c>
    </row>
    <row r="858" spans="9:32" ht="15" customHeight="1" x14ac:dyDescent="0.3">
      <c r="I858" s="201" t="str">
        <f t="shared" si="120"/>
        <v/>
      </c>
      <c r="J858" s="218">
        <f t="shared" si="121"/>
        <v>855</v>
      </c>
      <c r="K858" s="250"/>
      <c r="L858" s="219"/>
      <c r="M858" s="218"/>
      <c r="N858" s="220" t="str">
        <f>IFERROR(VLOOKUP(M858,Data!$C$4:$D$395,2,0),"")</f>
        <v/>
      </c>
      <c r="O858" s="220"/>
      <c r="P858" s="229"/>
      <c r="Q858" s="221"/>
      <c r="R858" s="222" t="str">
        <f t="shared" si="122"/>
        <v>-</v>
      </c>
      <c r="S858" s="223"/>
      <c r="T858" s="224"/>
      <c r="U858" s="225">
        <f t="shared" si="123"/>
        <v>0</v>
      </c>
      <c r="V858" s="226">
        <v>0</v>
      </c>
      <c r="W858" s="227"/>
      <c r="X858" s="228">
        <f t="shared" si="124"/>
        <v>0</v>
      </c>
      <c r="Y858" s="229"/>
      <c r="Z858" s="229"/>
      <c r="AA858" s="229"/>
      <c r="AB858" s="222">
        <f t="shared" si="125"/>
        <v>0</v>
      </c>
      <c r="AC858" s="230">
        <f t="shared" si="126"/>
        <v>0</v>
      </c>
      <c r="AD858" s="222" t="str">
        <f t="shared" si="127"/>
        <v/>
      </c>
      <c r="AE858" s="201"/>
      <c r="AF858" s="231" t="str">
        <f>+IFERROR(VLOOKUP(L858,Data!$F$4:$G$97,2,0),"")</f>
        <v/>
      </c>
    </row>
    <row r="859" spans="9:32" ht="15" customHeight="1" x14ac:dyDescent="0.3">
      <c r="I859" s="201" t="str">
        <f t="shared" si="120"/>
        <v/>
      </c>
      <c r="J859" s="218">
        <f t="shared" si="121"/>
        <v>856</v>
      </c>
      <c r="K859" s="250"/>
      <c r="L859" s="219"/>
      <c r="M859" s="218"/>
      <c r="N859" s="220" t="str">
        <f>IFERROR(VLOOKUP(M859,Data!$C$4:$D$395,2,0),"")</f>
        <v/>
      </c>
      <c r="O859" s="220"/>
      <c r="P859" s="229"/>
      <c r="Q859" s="221"/>
      <c r="R859" s="222" t="str">
        <f t="shared" si="122"/>
        <v>-</v>
      </c>
      <c r="S859" s="223"/>
      <c r="T859" s="224"/>
      <c r="U859" s="225">
        <f t="shared" si="123"/>
        <v>0</v>
      </c>
      <c r="V859" s="226">
        <v>0</v>
      </c>
      <c r="W859" s="227"/>
      <c r="X859" s="228">
        <f t="shared" si="124"/>
        <v>0</v>
      </c>
      <c r="Y859" s="229"/>
      <c r="Z859" s="229"/>
      <c r="AA859" s="229"/>
      <c r="AB859" s="222">
        <f t="shared" si="125"/>
        <v>0</v>
      </c>
      <c r="AC859" s="230">
        <f t="shared" si="126"/>
        <v>0</v>
      </c>
      <c r="AD859" s="222" t="str">
        <f t="shared" si="127"/>
        <v/>
      </c>
      <c r="AE859" s="201"/>
      <c r="AF859" s="231" t="str">
        <f>+IFERROR(VLOOKUP(L859,Data!$F$4:$G$97,2,0),"")</f>
        <v/>
      </c>
    </row>
    <row r="860" spans="9:32" ht="15" customHeight="1" x14ac:dyDescent="0.3">
      <c r="I860" s="201" t="str">
        <f t="shared" si="120"/>
        <v/>
      </c>
      <c r="J860" s="218">
        <f t="shared" si="121"/>
        <v>857</v>
      </c>
      <c r="K860" s="250"/>
      <c r="L860" s="219"/>
      <c r="M860" s="218"/>
      <c r="N860" s="220" t="str">
        <f>IFERROR(VLOOKUP(M860,Data!$C$4:$D$395,2,0),"")</f>
        <v/>
      </c>
      <c r="O860" s="220"/>
      <c r="P860" s="229"/>
      <c r="Q860" s="221"/>
      <c r="R860" s="222" t="str">
        <f t="shared" si="122"/>
        <v>-</v>
      </c>
      <c r="S860" s="223"/>
      <c r="T860" s="224"/>
      <c r="U860" s="225">
        <f t="shared" si="123"/>
        <v>0</v>
      </c>
      <c r="V860" s="226">
        <v>0</v>
      </c>
      <c r="W860" s="227"/>
      <c r="X860" s="228">
        <f t="shared" si="124"/>
        <v>0</v>
      </c>
      <c r="Y860" s="229"/>
      <c r="Z860" s="229"/>
      <c r="AA860" s="229"/>
      <c r="AB860" s="222">
        <f t="shared" si="125"/>
        <v>0</v>
      </c>
      <c r="AC860" s="230">
        <f t="shared" si="126"/>
        <v>0</v>
      </c>
      <c r="AD860" s="222" t="str">
        <f t="shared" si="127"/>
        <v/>
      </c>
      <c r="AE860" s="201"/>
      <c r="AF860" s="231" t="str">
        <f>+IFERROR(VLOOKUP(L860,Data!$F$4:$G$97,2,0),"")</f>
        <v/>
      </c>
    </row>
    <row r="861" spans="9:32" ht="15" customHeight="1" x14ac:dyDescent="0.3">
      <c r="I861" s="201" t="str">
        <f t="shared" si="120"/>
        <v/>
      </c>
      <c r="J861" s="218">
        <f t="shared" si="121"/>
        <v>858</v>
      </c>
      <c r="K861" s="250"/>
      <c r="L861" s="219"/>
      <c r="M861" s="218"/>
      <c r="N861" s="220" t="str">
        <f>IFERROR(VLOOKUP(M861,Data!$C$4:$D$395,2,0),"")</f>
        <v/>
      </c>
      <c r="O861" s="220"/>
      <c r="P861" s="229"/>
      <c r="Q861" s="221"/>
      <c r="R861" s="222" t="str">
        <f t="shared" si="122"/>
        <v>-</v>
      </c>
      <c r="S861" s="223"/>
      <c r="T861" s="224"/>
      <c r="U861" s="225">
        <f t="shared" si="123"/>
        <v>0</v>
      </c>
      <c r="V861" s="226">
        <v>0</v>
      </c>
      <c r="W861" s="227"/>
      <c r="X861" s="228">
        <f t="shared" si="124"/>
        <v>0</v>
      </c>
      <c r="Y861" s="229"/>
      <c r="Z861" s="229"/>
      <c r="AA861" s="229"/>
      <c r="AB861" s="222">
        <f t="shared" si="125"/>
        <v>0</v>
      </c>
      <c r="AC861" s="230">
        <f t="shared" si="126"/>
        <v>0</v>
      </c>
      <c r="AD861" s="222" t="str">
        <f t="shared" si="127"/>
        <v/>
      </c>
      <c r="AE861" s="201"/>
      <c r="AF861" s="231" t="str">
        <f>+IFERROR(VLOOKUP(L861,Data!$F$4:$G$97,2,0),"")</f>
        <v/>
      </c>
    </row>
    <row r="862" spans="9:32" ht="15" customHeight="1" x14ac:dyDescent="0.3">
      <c r="I862" s="201" t="str">
        <f t="shared" si="120"/>
        <v/>
      </c>
      <c r="J862" s="218">
        <f t="shared" si="121"/>
        <v>859</v>
      </c>
      <c r="K862" s="250"/>
      <c r="L862" s="219"/>
      <c r="M862" s="218"/>
      <c r="N862" s="220" t="str">
        <f>IFERROR(VLOOKUP(M862,Data!$C$4:$D$395,2,0),"")</f>
        <v/>
      </c>
      <c r="O862" s="220"/>
      <c r="P862" s="229"/>
      <c r="Q862" s="221"/>
      <c r="R862" s="222" t="str">
        <f t="shared" si="122"/>
        <v>-</v>
      </c>
      <c r="S862" s="223"/>
      <c r="T862" s="224"/>
      <c r="U862" s="225">
        <f t="shared" si="123"/>
        <v>0</v>
      </c>
      <c r="V862" s="226">
        <v>0</v>
      </c>
      <c r="W862" s="227"/>
      <c r="X862" s="228">
        <f t="shared" si="124"/>
        <v>0</v>
      </c>
      <c r="Y862" s="229"/>
      <c r="Z862" s="229"/>
      <c r="AA862" s="229"/>
      <c r="AB862" s="222">
        <f t="shared" si="125"/>
        <v>0</v>
      </c>
      <c r="AC862" s="230">
        <f t="shared" si="126"/>
        <v>0</v>
      </c>
      <c r="AD862" s="222" t="str">
        <f t="shared" si="127"/>
        <v/>
      </c>
      <c r="AE862" s="201"/>
      <c r="AF862" s="231" t="str">
        <f>+IFERROR(VLOOKUP(L862,Data!$F$4:$G$97,2,0),"")</f>
        <v/>
      </c>
    </row>
    <row r="863" spans="9:32" ht="15" customHeight="1" x14ac:dyDescent="0.3">
      <c r="I863" s="201" t="str">
        <f t="shared" si="120"/>
        <v/>
      </c>
      <c r="J863" s="218">
        <f t="shared" si="121"/>
        <v>860</v>
      </c>
      <c r="K863" s="250"/>
      <c r="L863" s="219"/>
      <c r="M863" s="218"/>
      <c r="N863" s="220" t="str">
        <f>IFERROR(VLOOKUP(M863,Data!$C$4:$D$395,2,0),"")</f>
        <v/>
      </c>
      <c r="O863" s="220"/>
      <c r="P863" s="229"/>
      <c r="Q863" s="221"/>
      <c r="R863" s="222" t="str">
        <f t="shared" si="122"/>
        <v>-</v>
      </c>
      <c r="S863" s="223"/>
      <c r="T863" s="224"/>
      <c r="U863" s="225">
        <f t="shared" si="123"/>
        <v>0</v>
      </c>
      <c r="V863" s="226">
        <v>0</v>
      </c>
      <c r="W863" s="227"/>
      <c r="X863" s="228">
        <f t="shared" si="124"/>
        <v>0</v>
      </c>
      <c r="Y863" s="229"/>
      <c r="Z863" s="229"/>
      <c r="AA863" s="229"/>
      <c r="AB863" s="222">
        <f t="shared" si="125"/>
        <v>0</v>
      </c>
      <c r="AC863" s="230">
        <f t="shared" si="126"/>
        <v>0</v>
      </c>
      <c r="AD863" s="222" t="str">
        <f t="shared" si="127"/>
        <v/>
      </c>
      <c r="AE863" s="201"/>
      <c r="AF863" s="231" t="str">
        <f>+IFERROR(VLOOKUP(L863,Data!$F$4:$G$97,2,0),"")</f>
        <v/>
      </c>
    </row>
    <row r="864" spans="9:32" ht="15" customHeight="1" x14ac:dyDescent="0.3">
      <c r="I864" s="201" t="str">
        <f t="shared" si="120"/>
        <v/>
      </c>
      <c r="J864" s="218">
        <f t="shared" si="121"/>
        <v>861</v>
      </c>
      <c r="K864" s="250"/>
      <c r="L864" s="219"/>
      <c r="M864" s="218"/>
      <c r="N864" s="220" t="str">
        <f>IFERROR(VLOOKUP(M864,Data!$C$4:$D$395,2,0),"")</f>
        <v/>
      </c>
      <c r="O864" s="220"/>
      <c r="P864" s="229"/>
      <c r="Q864" s="221"/>
      <c r="R864" s="222" t="str">
        <f t="shared" si="122"/>
        <v>-</v>
      </c>
      <c r="S864" s="223"/>
      <c r="T864" s="224"/>
      <c r="U864" s="225">
        <f t="shared" si="123"/>
        <v>0</v>
      </c>
      <c r="V864" s="226">
        <v>0</v>
      </c>
      <c r="W864" s="227"/>
      <c r="X864" s="228">
        <f t="shared" si="124"/>
        <v>0</v>
      </c>
      <c r="Y864" s="229"/>
      <c r="Z864" s="229"/>
      <c r="AA864" s="229"/>
      <c r="AB864" s="222">
        <f t="shared" si="125"/>
        <v>0</v>
      </c>
      <c r="AC864" s="230">
        <f t="shared" si="126"/>
        <v>0</v>
      </c>
      <c r="AD864" s="222" t="str">
        <f t="shared" si="127"/>
        <v/>
      </c>
      <c r="AE864" s="201"/>
      <c r="AF864" s="231" t="str">
        <f>+IFERROR(VLOOKUP(L864,Data!$F$4:$G$97,2,0),"")</f>
        <v/>
      </c>
    </row>
    <row r="865" spans="9:32" ht="15" customHeight="1" x14ac:dyDescent="0.3">
      <c r="I865" s="201" t="str">
        <f t="shared" si="120"/>
        <v/>
      </c>
      <c r="J865" s="218">
        <f t="shared" si="121"/>
        <v>862</v>
      </c>
      <c r="K865" s="250"/>
      <c r="L865" s="219"/>
      <c r="M865" s="218"/>
      <c r="N865" s="220" t="str">
        <f>IFERROR(VLOOKUP(M865,Data!$C$4:$D$395,2,0),"")</f>
        <v/>
      </c>
      <c r="O865" s="220"/>
      <c r="P865" s="229"/>
      <c r="Q865" s="221"/>
      <c r="R865" s="222" t="str">
        <f t="shared" si="122"/>
        <v>-</v>
      </c>
      <c r="S865" s="223"/>
      <c r="T865" s="224"/>
      <c r="U865" s="225">
        <f t="shared" si="123"/>
        <v>0</v>
      </c>
      <c r="V865" s="226">
        <v>0</v>
      </c>
      <c r="W865" s="227"/>
      <c r="X865" s="228">
        <f t="shared" si="124"/>
        <v>0</v>
      </c>
      <c r="Y865" s="229"/>
      <c r="Z865" s="229"/>
      <c r="AA865" s="229"/>
      <c r="AB865" s="222">
        <f t="shared" si="125"/>
        <v>0</v>
      </c>
      <c r="AC865" s="230">
        <f t="shared" si="126"/>
        <v>0</v>
      </c>
      <c r="AD865" s="222" t="str">
        <f t="shared" si="127"/>
        <v/>
      </c>
      <c r="AE865" s="201"/>
      <c r="AF865" s="231" t="str">
        <f>+IFERROR(VLOOKUP(L865,Data!$F$4:$G$97,2,0),"")</f>
        <v/>
      </c>
    </row>
    <row r="866" spans="9:32" ht="15" customHeight="1" x14ac:dyDescent="0.3">
      <c r="I866" s="201" t="str">
        <f t="shared" si="120"/>
        <v/>
      </c>
      <c r="J866" s="218">
        <f t="shared" si="121"/>
        <v>863</v>
      </c>
      <c r="K866" s="250"/>
      <c r="L866" s="219"/>
      <c r="M866" s="218"/>
      <c r="N866" s="220" t="str">
        <f>IFERROR(VLOOKUP(M866,Data!$C$4:$D$395,2,0),"")</f>
        <v/>
      </c>
      <c r="O866" s="220"/>
      <c r="P866" s="229"/>
      <c r="Q866" s="221"/>
      <c r="R866" s="222" t="str">
        <f t="shared" si="122"/>
        <v>-</v>
      </c>
      <c r="S866" s="223"/>
      <c r="T866" s="224"/>
      <c r="U866" s="225">
        <f t="shared" si="123"/>
        <v>0</v>
      </c>
      <c r="V866" s="226">
        <v>0</v>
      </c>
      <c r="W866" s="227"/>
      <c r="X866" s="228">
        <f t="shared" si="124"/>
        <v>0</v>
      </c>
      <c r="Y866" s="229"/>
      <c r="Z866" s="229"/>
      <c r="AA866" s="229"/>
      <c r="AB866" s="222">
        <f t="shared" si="125"/>
        <v>0</v>
      </c>
      <c r="AC866" s="230">
        <f t="shared" si="126"/>
        <v>0</v>
      </c>
      <c r="AD866" s="222" t="str">
        <f t="shared" si="127"/>
        <v/>
      </c>
      <c r="AE866" s="201"/>
      <c r="AF866" s="231" t="str">
        <f>+IFERROR(VLOOKUP(L866,Data!$F$4:$G$97,2,0),"")</f>
        <v/>
      </c>
    </row>
    <row r="867" spans="9:32" ht="15" customHeight="1" x14ac:dyDescent="0.3">
      <c r="I867" s="201" t="str">
        <f t="shared" si="120"/>
        <v/>
      </c>
      <c r="J867" s="218">
        <f t="shared" si="121"/>
        <v>864</v>
      </c>
      <c r="K867" s="250"/>
      <c r="L867" s="219"/>
      <c r="M867" s="218"/>
      <c r="N867" s="220" t="str">
        <f>IFERROR(VLOOKUP(M867,Data!$C$4:$D$395,2,0),"")</f>
        <v/>
      </c>
      <c r="O867" s="220"/>
      <c r="P867" s="229"/>
      <c r="Q867" s="221"/>
      <c r="R867" s="222" t="str">
        <f t="shared" si="122"/>
        <v>-</v>
      </c>
      <c r="S867" s="223"/>
      <c r="T867" s="224"/>
      <c r="U867" s="225">
        <f t="shared" si="123"/>
        <v>0</v>
      </c>
      <c r="V867" s="226">
        <v>0</v>
      </c>
      <c r="W867" s="227"/>
      <c r="X867" s="228">
        <f t="shared" si="124"/>
        <v>0</v>
      </c>
      <c r="Y867" s="229"/>
      <c r="Z867" s="229"/>
      <c r="AA867" s="229"/>
      <c r="AB867" s="222">
        <f t="shared" si="125"/>
        <v>0</v>
      </c>
      <c r="AC867" s="230">
        <f t="shared" si="126"/>
        <v>0</v>
      </c>
      <c r="AD867" s="222" t="str">
        <f t="shared" si="127"/>
        <v/>
      </c>
      <c r="AE867" s="201"/>
      <c r="AF867" s="231" t="str">
        <f>+IFERROR(VLOOKUP(L867,Data!$F$4:$G$97,2,0),"")</f>
        <v/>
      </c>
    </row>
    <row r="868" spans="9:32" ht="15" customHeight="1" x14ac:dyDescent="0.3">
      <c r="I868" s="201" t="str">
        <f t="shared" si="120"/>
        <v/>
      </c>
      <c r="J868" s="218">
        <f t="shared" si="121"/>
        <v>865</v>
      </c>
      <c r="K868" s="250"/>
      <c r="L868" s="219"/>
      <c r="M868" s="218"/>
      <c r="N868" s="220" t="str">
        <f>IFERROR(VLOOKUP(M868,Data!$C$4:$D$395,2,0),"")</f>
        <v/>
      </c>
      <c r="O868" s="220"/>
      <c r="P868" s="229"/>
      <c r="Q868" s="221"/>
      <c r="R868" s="222" t="str">
        <f t="shared" si="122"/>
        <v>-</v>
      </c>
      <c r="S868" s="223"/>
      <c r="T868" s="224"/>
      <c r="U868" s="225">
        <f t="shared" si="123"/>
        <v>0</v>
      </c>
      <c r="V868" s="226">
        <v>0</v>
      </c>
      <c r="W868" s="227"/>
      <c r="X868" s="228">
        <f t="shared" si="124"/>
        <v>0</v>
      </c>
      <c r="Y868" s="229"/>
      <c r="Z868" s="229"/>
      <c r="AA868" s="229"/>
      <c r="AB868" s="222">
        <f t="shared" si="125"/>
        <v>0</v>
      </c>
      <c r="AC868" s="230">
        <f t="shared" si="126"/>
        <v>0</v>
      </c>
      <c r="AD868" s="222" t="str">
        <f t="shared" si="127"/>
        <v/>
      </c>
      <c r="AE868" s="201"/>
      <c r="AF868" s="231" t="str">
        <f>+IFERROR(VLOOKUP(L868,Data!$F$4:$G$97,2,0),"")</f>
        <v/>
      </c>
    </row>
    <row r="869" spans="9:32" ht="15" customHeight="1" x14ac:dyDescent="0.3">
      <c r="I869" s="201" t="str">
        <f t="shared" si="120"/>
        <v/>
      </c>
      <c r="J869" s="218">
        <f t="shared" si="121"/>
        <v>866</v>
      </c>
      <c r="K869" s="250"/>
      <c r="L869" s="219"/>
      <c r="M869" s="218"/>
      <c r="N869" s="220" t="str">
        <f>IFERROR(VLOOKUP(M869,Data!$C$4:$D$395,2,0),"")</f>
        <v/>
      </c>
      <c r="O869" s="220"/>
      <c r="P869" s="229"/>
      <c r="Q869" s="221"/>
      <c r="R869" s="222" t="str">
        <f t="shared" si="122"/>
        <v>-</v>
      </c>
      <c r="S869" s="223"/>
      <c r="T869" s="224"/>
      <c r="U869" s="225">
        <f t="shared" si="123"/>
        <v>0</v>
      </c>
      <c r="V869" s="226">
        <v>0</v>
      </c>
      <c r="W869" s="227"/>
      <c r="X869" s="228">
        <f t="shared" si="124"/>
        <v>0</v>
      </c>
      <c r="Y869" s="229"/>
      <c r="Z869" s="229"/>
      <c r="AA869" s="229"/>
      <c r="AB869" s="222">
        <f t="shared" si="125"/>
        <v>0</v>
      </c>
      <c r="AC869" s="230">
        <f t="shared" si="126"/>
        <v>0</v>
      </c>
      <c r="AD869" s="222" t="str">
        <f t="shared" si="127"/>
        <v/>
      </c>
      <c r="AE869" s="201"/>
      <c r="AF869" s="231" t="str">
        <f>+IFERROR(VLOOKUP(L869,Data!$F$4:$G$97,2,0),"")</f>
        <v/>
      </c>
    </row>
    <row r="870" spans="9:32" ht="15" customHeight="1" x14ac:dyDescent="0.3">
      <c r="I870" s="201" t="str">
        <f t="shared" si="120"/>
        <v/>
      </c>
      <c r="J870" s="218">
        <f t="shared" si="121"/>
        <v>867</v>
      </c>
      <c r="K870" s="250"/>
      <c r="L870" s="219"/>
      <c r="M870" s="218"/>
      <c r="N870" s="220" t="str">
        <f>IFERROR(VLOOKUP(M870,Data!$C$4:$D$395,2,0),"")</f>
        <v/>
      </c>
      <c r="O870" s="220"/>
      <c r="P870" s="229"/>
      <c r="Q870" s="221"/>
      <c r="R870" s="222" t="str">
        <f t="shared" si="122"/>
        <v>-</v>
      </c>
      <c r="S870" s="223"/>
      <c r="T870" s="224"/>
      <c r="U870" s="225">
        <f t="shared" si="123"/>
        <v>0</v>
      </c>
      <c r="V870" s="226">
        <v>0</v>
      </c>
      <c r="W870" s="227"/>
      <c r="X870" s="228">
        <f t="shared" si="124"/>
        <v>0</v>
      </c>
      <c r="Y870" s="229"/>
      <c r="Z870" s="229"/>
      <c r="AA870" s="229"/>
      <c r="AB870" s="222">
        <f t="shared" si="125"/>
        <v>0</v>
      </c>
      <c r="AC870" s="230">
        <f t="shared" si="126"/>
        <v>0</v>
      </c>
      <c r="AD870" s="222" t="str">
        <f t="shared" si="127"/>
        <v/>
      </c>
      <c r="AE870" s="201"/>
      <c r="AF870" s="231" t="str">
        <f>+IFERROR(VLOOKUP(L870,Data!$F$4:$G$97,2,0),"")</f>
        <v/>
      </c>
    </row>
    <row r="871" spans="9:32" ht="15" customHeight="1" x14ac:dyDescent="0.3">
      <c r="I871" s="201" t="str">
        <f t="shared" si="120"/>
        <v/>
      </c>
      <c r="J871" s="218">
        <f t="shared" si="121"/>
        <v>868</v>
      </c>
      <c r="K871" s="250"/>
      <c r="L871" s="219"/>
      <c r="M871" s="218"/>
      <c r="N871" s="220" t="str">
        <f>IFERROR(VLOOKUP(M871,Data!$C$4:$D$395,2,0),"")</f>
        <v/>
      </c>
      <c r="O871" s="220"/>
      <c r="P871" s="229"/>
      <c r="Q871" s="221"/>
      <c r="R871" s="222" t="str">
        <f t="shared" si="122"/>
        <v>-</v>
      </c>
      <c r="S871" s="223"/>
      <c r="T871" s="224"/>
      <c r="U871" s="225">
        <f t="shared" si="123"/>
        <v>0</v>
      </c>
      <c r="V871" s="226">
        <v>0</v>
      </c>
      <c r="W871" s="227"/>
      <c r="X871" s="228">
        <f t="shared" si="124"/>
        <v>0</v>
      </c>
      <c r="Y871" s="229"/>
      <c r="Z871" s="229"/>
      <c r="AA871" s="229"/>
      <c r="AB871" s="222">
        <f t="shared" si="125"/>
        <v>0</v>
      </c>
      <c r="AC871" s="230">
        <f t="shared" si="126"/>
        <v>0</v>
      </c>
      <c r="AD871" s="222" t="str">
        <f t="shared" si="127"/>
        <v/>
      </c>
      <c r="AE871" s="201"/>
      <c r="AF871" s="231" t="str">
        <f>+IFERROR(VLOOKUP(L871,Data!$F$4:$G$97,2,0),"")</f>
        <v/>
      </c>
    </row>
    <row r="872" spans="9:32" ht="15" customHeight="1" x14ac:dyDescent="0.3">
      <c r="I872" s="201" t="str">
        <f t="shared" si="120"/>
        <v/>
      </c>
      <c r="J872" s="218">
        <f t="shared" si="121"/>
        <v>869</v>
      </c>
      <c r="K872" s="250"/>
      <c r="L872" s="219"/>
      <c r="M872" s="218"/>
      <c r="N872" s="220" t="str">
        <f>IFERROR(VLOOKUP(M872,Data!$C$4:$D$395,2,0),"")</f>
        <v/>
      </c>
      <c r="O872" s="220"/>
      <c r="P872" s="229"/>
      <c r="Q872" s="221"/>
      <c r="R872" s="222" t="str">
        <f t="shared" si="122"/>
        <v>-</v>
      </c>
      <c r="S872" s="223"/>
      <c r="T872" s="224"/>
      <c r="U872" s="225">
        <f t="shared" si="123"/>
        <v>0</v>
      </c>
      <c r="V872" s="226">
        <v>0</v>
      </c>
      <c r="W872" s="227"/>
      <c r="X872" s="228">
        <f t="shared" si="124"/>
        <v>0</v>
      </c>
      <c r="Y872" s="229"/>
      <c r="Z872" s="229"/>
      <c r="AA872" s="229"/>
      <c r="AB872" s="222">
        <f t="shared" si="125"/>
        <v>0</v>
      </c>
      <c r="AC872" s="230">
        <f t="shared" si="126"/>
        <v>0</v>
      </c>
      <c r="AD872" s="222" t="str">
        <f t="shared" si="127"/>
        <v/>
      </c>
      <c r="AE872" s="201"/>
      <c r="AF872" s="231" t="str">
        <f>+IFERROR(VLOOKUP(L872,Data!$F$4:$G$97,2,0),"")</f>
        <v/>
      </c>
    </row>
    <row r="873" spans="9:32" ht="15" customHeight="1" x14ac:dyDescent="0.3">
      <c r="I873" s="201" t="str">
        <f t="shared" si="120"/>
        <v/>
      </c>
      <c r="J873" s="218">
        <f t="shared" si="121"/>
        <v>870</v>
      </c>
      <c r="K873" s="250"/>
      <c r="L873" s="219"/>
      <c r="M873" s="218"/>
      <c r="N873" s="220" t="str">
        <f>IFERROR(VLOOKUP(M873,Data!$C$4:$D$395,2,0),"")</f>
        <v/>
      </c>
      <c r="O873" s="220"/>
      <c r="P873" s="229"/>
      <c r="Q873" s="221"/>
      <c r="R873" s="222" t="str">
        <f t="shared" si="122"/>
        <v>-</v>
      </c>
      <c r="S873" s="223"/>
      <c r="T873" s="224"/>
      <c r="U873" s="225">
        <f t="shared" si="123"/>
        <v>0</v>
      </c>
      <c r="V873" s="226">
        <v>0</v>
      </c>
      <c r="W873" s="227"/>
      <c r="X873" s="228">
        <f t="shared" si="124"/>
        <v>0</v>
      </c>
      <c r="Y873" s="229"/>
      <c r="Z873" s="229"/>
      <c r="AA873" s="229"/>
      <c r="AB873" s="222">
        <f t="shared" si="125"/>
        <v>0</v>
      </c>
      <c r="AC873" s="230">
        <f t="shared" si="126"/>
        <v>0</v>
      </c>
      <c r="AD873" s="222" t="str">
        <f t="shared" si="127"/>
        <v/>
      </c>
      <c r="AE873" s="201"/>
      <c r="AF873" s="231" t="str">
        <f>+IFERROR(VLOOKUP(L873,Data!$F$4:$G$97,2,0),"")</f>
        <v/>
      </c>
    </row>
    <row r="874" spans="9:32" ht="15" customHeight="1" x14ac:dyDescent="0.3">
      <c r="I874" s="201" t="str">
        <f t="shared" si="120"/>
        <v/>
      </c>
      <c r="J874" s="218">
        <f t="shared" si="121"/>
        <v>871</v>
      </c>
      <c r="K874" s="250"/>
      <c r="L874" s="219"/>
      <c r="M874" s="218"/>
      <c r="N874" s="220" t="str">
        <f>IFERROR(VLOOKUP(M874,Data!$C$4:$D$395,2,0),"")</f>
        <v/>
      </c>
      <c r="O874" s="220"/>
      <c r="P874" s="229"/>
      <c r="Q874" s="221"/>
      <c r="R874" s="222" t="str">
        <f t="shared" si="122"/>
        <v>-</v>
      </c>
      <c r="S874" s="223"/>
      <c r="T874" s="224"/>
      <c r="U874" s="225">
        <f t="shared" si="123"/>
        <v>0</v>
      </c>
      <c r="V874" s="226">
        <v>0</v>
      </c>
      <c r="W874" s="227"/>
      <c r="X874" s="228">
        <f t="shared" si="124"/>
        <v>0</v>
      </c>
      <c r="Y874" s="229"/>
      <c r="Z874" s="229"/>
      <c r="AA874" s="229"/>
      <c r="AB874" s="222">
        <f t="shared" si="125"/>
        <v>0</v>
      </c>
      <c r="AC874" s="230">
        <f t="shared" si="126"/>
        <v>0</v>
      </c>
      <c r="AD874" s="222" t="str">
        <f t="shared" si="127"/>
        <v/>
      </c>
      <c r="AE874" s="201"/>
      <c r="AF874" s="231" t="str">
        <f>+IFERROR(VLOOKUP(L874,Data!$F$4:$G$97,2,0),"")</f>
        <v/>
      </c>
    </row>
    <row r="875" spans="9:32" ht="15" customHeight="1" x14ac:dyDescent="0.3">
      <c r="I875" s="201" t="str">
        <f t="shared" si="120"/>
        <v/>
      </c>
      <c r="J875" s="218">
        <f t="shared" si="121"/>
        <v>872</v>
      </c>
      <c r="K875" s="250"/>
      <c r="L875" s="219"/>
      <c r="M875" s="218"/>
      <c r="N875" s="220" t="str">
        <f>IFERROR(VLOOKUP(M875,Data!$C$4:$D$395,2,0),"")</f>
        <v/>
      </c>
      <c r="O875" s="220"/>
      <c r="P875" s="229"/>
      <c r="Q875" s="221"/>
      <c r="R875" s="222" t="str">
        <f t="shared" si="122"/>
        <v>-</v>
      </c>
      <c r="S875" s="223"/>
      <c r="T875" s="224"/>
      <c r="U875" s="225">
        <f t="shared" si="123"/>
        <v>0</v>
      </c>
      <c r="V875" s="226">
        <v>0</v>
      </c>
      <c r="W875" s="227"/>
      <c r="X875" s="228">
        <f t="shared" si="124"/>
        <v>0</v>
      </c>
      <c r="Y875" s="229"/>
      <c r="Z875" s="229"/>
      <c r="AA875" s="229"/>
      <c r="AB875" s="222">
        <f t="shared" si="125"/>
        <v>0</v>
      </c>
      <c r="AC875" s="230">
        <f t="shared" si="126"/>
        <v>0</v>
      </c>
      <c r="AD875" s="222" t="str">
        <f t="shared" si="127"/>
        <v/>
      </c>
      <c r="AE875" s="201"/>
      <c r="AF875" s="231" t="str">
        <f>+IFERROR(VLOOKUP(L875,Data!$F$4:$G$97,2,0),"")</f>
        <v/>
      </c>
    </row>
    <row r="876" spans="9:32" ht="15" customHeight="1" x14ac:dyDescent="0.3">
      <c r="I876" s="201" t="str">
        <f t="shared" si="120"/>
        <v/>
      </c>
      <c r="J876" s="218">
        <f t="shared" si="121"/>
        <v>873</v>
      </c>
      <c r="K876" s="250"/>
      <c r="L876" s="219"/>
      <c r="M876" s="218"/>
      <c r="N876" s="220" t="str">
        <f>IFERROR(VLOOKUP(M876,Data!$C$4:$D$395,2,0),"")</f>
        <v/>
      </c>
      <c r="O876" s="220"/>
      <c r="P876" s="229"/>
      <c r="Q876" s="221"/>
      <c r="R876" s="222" t="str">
        <f t="shared" si="122"/>
        <v>-</v>
      </c>
      <c r="S876" s="223"/>
      <c r="T876" s="224"/>
      <c r="U876" s="225">
        <f t="shared" si="123"/>
        <v>0</v>
      </c>
      <c r="V876" s="226">
        <v>0</v>
      </c>
      <c r="W876" s="227"/>
      <c r="X876" s="228">
        <f t="shared" si="124"/>
        <v>0</v>
      </c>
      <c r="Y876" s="229"/>
      <c r="Z876" s="229"/>
      <c r="AA876" s="229"/>
      <c r="AB876" s="222">
        <f t="shared" si="125"/>
        <v>0</v>
      </c>
      <c r="AC876" s="230">
        <f t="shared" si="126"/>
        <v>0</v>
      </c>
      <c r="AD876" s="222" t="str">
        <f t="shared" si="127"/>
        <v/>
      </c>
      <c r="AE876" s="201"/>
      <c r="AF876" s="231" t="str">
        <f>+IFERROR(VLOOKUP(L876,Data!$F$4:$G$97,2,0),"")</f>
        <v/>
      </c>
    </row>
    <row r="877" spans="9:32" ht="15" customHeight="1" x14ac:dyDescent="0.3">
      <c r="I877" s="201" t="str">
        <f t="shared" si="120"/>
        <v/>
      </c>
      <c r="J877" s="218">
        <f t="shared" si="121"/>
        <v>874</v>
      </c>
      <c r="K877" s="250"/>
      <c r="L877" s="219"/>
      <c r="M877" s="218"/>
      <c r="N877" s="220" t="str">
        <f>IFERROR(VLOOKUP(M877,Data!$C$4:$D$395,2,0),"")</f>
        <v/>
      </c>
      <c r="O877" s="220"/>
      <c r="P877" s="229"/>
      <c r="Q877" s="221"/>
      <c r="R877" s="222" t="str">
        <f t="shared" si="122"/>
        <v>-</v>
      </c>
      <c r="S877" s="223"/>
      <c r="T877" s="224"/>
      <c r="U877" s="225">
        <f t="shared" si="123"/>
        <v>0</v>
      </c>
      <c r="V877" s="226">
        <v>0</v>
      </c>
      <c r="W877" s="227"/>
      <c r="X877" s="228">
        <f t="shared" si="124"/>
        <v>0</v>
      </c>
      <c r="Y877" s="229"/>
      <c r="Z877" s="229"/>
      <c r="AA877" s="229"/>
      <c r="AB877" s="222">
        <f t="shared" si="125"/>
        <v>0</v>
      </c>
      <c r="AC877" s="230">
        <f t="shared" si="126"/>
        <v>0</v>
      </c>
      <c r="AD877" s="222" t="str">
        <f t="shared" si="127"/>
        <v/>
      </c>
      <c r="AE877" s="201"/>
      <c r="AF877" s="231" t="str">
        <f>+IFERROR(VLOOKUP(L877,Data!$F$4:$G$97,2,0),"")</f>
        <v/>
      </c>
    </row>
    <row r="878" spans="9:32" ht="15" customHeight="1" x14ac:dyDescent="0.3">
      <c r="I878" s="201" t="str">
        <f t="shared" si="120"/>
        <v/>
      </c>
      <c r="J878" s="218">
        <f t="shared" si="121"/>
        <v>875</v>
      </c>
      <c r="K878" s="250"/>
      <c r="L878" s="219"/>
      <c r="M878" s="218"/>
      <c r="N878" s="220" t="str">
        <f>IFERROR(VLOOKUP(M878,Data!$C$4:$D$395,2,0),"")</f>
        <v/>
      </c>
      <c r="O878" s="220"/>
      <c r="P878" s="229"/>
      <c r="Q878" s="221"/>
      <c r="R878" s="222" t="str">
        <f t="shared" si="122"/>
        <v>-</v>
      </c>
      <c r="S878" s="223"/>
      <c r="T878" s="224"/>
      <c r="U878" s="225">
        <f t="shared" si="123"/>
        <v>0</v>
      </c>
      <c r="V878" s="226">
        <v>0</v>
      </c>
      <c r="W878" s="227"/>
      <c r="X878" s="228">
        <f t="shared" si="124"/>
        <v>0</v>
      </c>
      <c r="Y878" s="229"/>
      <c r="Z878" s="229"/>
      <c r="AA878" s="229"/>
      <c r="AB878" s="222">
        <f t="shared" si="125"/>
        <v>0</v>
      </c>
      <c r="AC878" s="230">
        <f t="shared" si="126"/>
        <v>0</v>
      </c>
      <c r="AD878" s="222" t="str">
        <f t="shared" si="127"/>
        <v/>
      </c>
      <c r="AE878" s="201"/>
      <c r="AF878" s="231" t="str">
        <f>+IFERROR(VLOOKUP(L878,Data!$F$4:$G$97,2,0),"")</f>
        <v/>
      </c>
    </row>
    <row r="879" spans="9:32" ht="15" customHeight="1" x14ac:dyDescent="0.3">
      <c r="I879" s="201" t="str">
        <f t="shared" si="120"/>
        <v/>
      </c>
      <c r="J879" s="218">
        <f t="shared" si="121"/>
        <v>876</v>
      </c>
      <c r="K879" s="250"/>
      <c r="L879" s="219"/>
      <c r="M879" s="218"/>
      <c r="N879" s="220" t="str">
        <f>IFERROR(VLOOKUP(M879,Data!$C$4:$D$395,2,0),"")</f>
        <v/>
      </c>
      <c r="O879" s="220"/>
      <c r="P879" s="229"/>
      <c r="Q879" s="221"/>
      <c r="R879" s="222" t="str">
        <f t="shared" si="122"/>
        <v>-</v>
      </c>
      <c r="S879" s="223"/>
      <c r="T879" s="224"/>
      <c r="U879" s="225">
        <f t="shared" si="123"/>
        <v>0</v>
      </c>
      <c r="V879" s="226">
        <v>0</v>
      </c>
      <c r="W879" s="227"/>
      <c r="X879" s="228">
        <f t="shared" si="124"/>
        <v>0</v>
      </c>
      <c r="Y879" s="229"/>
      <c r="Z879" s="229"/>
      <c r="AA879" s="229"/>
      <c r="AB879" s="222">
        <f t="shared" si="125"/>
        <v>0</v>
      </c>
      <c r="AC879" s="230">
        <f t="shared" si="126"/>
        <v>0</v>
      </c>
      <c r="AD879" s="222" t="str">
        <f t="shared" si="127"/>
        <v/>
      </c>
      <c r="AE879" s="201"/>
      <c r="AF879" s="231" t="str">
        <f>+IFERROR(VLOOKUP(L879,Data!$F$4:$G$97,2,0),"")</f>
        <v/>
      </c>
    </row>
    <row r="880" spans="9:32" ht="15" customHeight="1" x14ac:dyDescent="0.3">
      <c r="I880" s="201" t="str">
        <f t="shared" si="120"/>
        <v/>
      </c>
      <c r="J880" s="218">
        <f t="shared" si="121"/>
        <v>877</v>
      </c>
      <c r="K880" s="250"/>
      <c r="L880" s="219"/>
      <c r="M880" s="218"/>
      <c r="N880" s="220" t="str">
        <f>IFERROR(VLOOKUP(M880,Data!$C$4:$D$395,2,0),"")</f>
        <v/>
      </c>
      <c r="O880" s="220"/>
      <c r="P880" s="229"/>
      <c r="Q880" s="221"/>
      <c r="R880" s="222" t="str">
        <f t="shared" si="122"/>
        <v>-</v>
      </c>
      <c r="S880" s="223"/>
      <c r="T880" s="224"/>
      <c r="U880" s="225">
        <f t="shared" si="123"/>
        <v>0</v>
      </c>
      <c r="V880" s="226">
        <v>0</v>
      </c>
      <c r="W880" s="227"/>
      <c r="X880" s="228">
        <f t="shared" si="124"/>
        <v>0</v>
      </c>
      <c r="Y880" s="229"/>
      <c r="Z880" s="229"/>
      <c r="AA880" s="229"/>
      <c r="AB880" s="222">
        <f t="shared" si="125"/>
        <v>0</v>
      </c>
      <c r="AC880" s="230">
        <f t="shared" si="126"/>
        <v>0</v>
      </c>
      <c r="AD880" s="222" t="str">
        <f t="shared" si="127"/>
        <v/>
      </c>
      <c r="AE880" s="201"/>
      <c r="AF880" s="231" t="str">
        <f>+IFERROR(VLOOKUP(L880,Data!$F$4:$G$97,2,0),"")</f>
        <v/>
      </c>
    </row>
    <row r="881" spans="9:32" ht="15" customHeight="1" x14ac:dyDescent="0.3">
      <c r="I881" s="201" t="str">
        <f t="shared" si="120"/>
        <v/>
      </c>
      <c r="J881" s="218">
        <f t="shared" si="121"/>
        <v>878</v>
      </c>
      <c r="K881" s="250"/>
      <c r="L881" s="219"/>
      <c r="M881" s="218"/>
      <c r="N881" s="220" t="str">
        <f>IFERROR(VLOOKUP(M881,Data!$C$4:$D$395,2,0),"")</f>
        <v/>
      </c>
      <c r="O881" s="220"/>
      <c r="P881" s="229"/>
      <c r="Q881" s="221"/>
      <c r="R881" s="222" t="str">
        <f t="shared" si="122"/>
        <v>-</v>
      </c>
      <c r="S881" s="223"/>
      <c r="T881" s="224"/>
      <c r="U881" s="225">
        <f t="shared" si="123"/>
        <v>0</v>
      </c>
      <c r="V881" s="226">
        <v>0</v>
      </c>
      <c r="W881" s="227"/>
      <c r="X881" s="228">
        <f t="shared" si="124"/>
        <v>0</v>
      </c>
      <c r="Y881" s="229"/>
      <c r="Z881" s="229"/>
      <c r="AA881" s="229"/>
      <c r="AB881" s="222">
        <f t="shared" si="125"/>
        <v>0</v>
      </c>
      <c r="AC881" s="230">
        <f t="shared" si="126"/>
        <v>0</v>
      </c>
      <c r="AD881" s="222" t="str">
        <f t="shared" si="127"/>
        <v/>
      </c>
      <c r="AE881" s="201"/>
      <c r="AF881" s="231" t="str">
        <f>+IFERROR(VLOOKUP(L881,Data!$F$4:$G$97,2,0),"")</f>
        <v/>
      </c>
    </row>
    <row r="882" spans="9:32" ht="15" customHeight="1" x14ac:dyDescent="0.3">
      <c r="I882" s="201" t="str">
        <f t="shared" si="120"/>
        <v/>
      </c>
      <c r="J882" s="218">
        <f t="shared" si="121"/>
        <v>879</v>
      </c>
      <c r="K882" s="250"/>
      <c r="L882" s="219"/>
      <c r="M882" s="218"/>
      <c r="N882" s="220" t="str">
        <f>IFERROR(VLOOKUP(M882,Data!$C$4:$D$395,2,0),"")</f>
        <v/>
      </c>
      <c r="O882" s="220"/>
      <c r="P882" s="229"/>
      <c r="Q882" s="221"/>
      <c r="R882" s="222" t="str">
        <f t="shared" si="122"/>
        <v>-</v>
      </c>
      <c r="S882" s="223"/>
      <c r="T882" s="224"/>
      <c r="U882" s="225">
        <f t="shared" si="123"/>
        <v>0</v>
      </c>
      <c r="V882" s="226">
        <v>0</v>
      </c>
      <c r="W882" s="227"/>
      <c r="X882" s="228">
        <f t="shared" si="124"/>
        <v>0</v>
      </c>
      <c r="Y882" s="229"/>
      <c r="Z882" s="229"/>
      <c r="AA882" s="229"/>
      <c r="AB882" s="222">
        <f t="shared" si="125"/>
        <v>0</v>
      </c>
      <c r="AC882" s="230">
        <f t="shared" si="126"/>
        <v>0</v>
      </c>
      <c r="AD882" s="222" t="str">
        <f t="shared" si="127"/>
        <v/>
      </c>
      <c r="AE882" s="201"/>
      <c r="AF882" s="231" t="str">
        <f>+IFERROR(VLOOKUP(L882,Data!$F$4:$G$97,2,0),"")</f>
        <v/>
      </c>
    </row>
    <row r="883" spans="9:32" ht="15" customHeight="1" x14ac:dyDescent="0.3">
      <c r="I883" s="201" t="str">
        <f t="shared" si="120"/>
        <v/>
      </c>
      <c r="J883" s="218">
        <f t="shared" si="121"/>
        <v>880</v>
      </c>
      <c r="K883" s="250"/>
      <c r="L883" s="219"/>
      <c r="M883" s="218"/>
      <c r="N883" s="220" t="str">
        <f>IFERROR(VLOOKUP(M883,Data!$C$4:$D$395,2,0),"")</f>
        <v/>
      </c>
      <c r="O883" s="220"/>
      <c r="P883" s="229"/>
      <c r="Q883" s="221"/>
      <c r="R883" s="222" t="str">
        <f t="shared" si="122"/>
        <v>-</v>
      </c>
      <c r="S883" s="223"/>
      <c r="T883" s="224"/>
      <c r="U883" s="225">
        <f t="shared" si="123"/>
        <v>0</v>
      </c>
      <c r="V883" s="226">
        <v>0</v>
      </c>
      <c r="W883" s="227"/>
      <c r="X883" s="228">
        <f t="shared" si="124"/>
        <v>0</v>
      </c>
      <c r="Y883" s="229"/>
      <c r="Z883" s="229"/>
      <c r="AA883" s="229"/>
      <c r="AB883" s="222">
        <f t="shared" si="125"/>
        <v>0</v>
      </c>
      <c r="AC883" s="230">
        <f t="shared" si="126"/>
        <v>0</v>
      </c>
      <c r="AD883" s="222" t="str">
        <f t="shared" si="127"/>
        <v/>
      </c>
      <c r="AE883" s="201"/>
      <c r="AF883" s="231" t="str">
        <f>+IFERROR(VLOOKUP(L883,Data!$F$4:$G$97,2,0),"")</f>
        <v/>
      </c>
    </row>
    <row r="884" spans="9:32" ht="15" customHeight="1" x14ac:dyDescent="0.3">
      <c r="I884" s="201" t="str">
        <f t="shared" si="120"/>
        <v/>
      </c>
      <c r="J884" s="218">
        <f t="shared" si="121"/>
        <v>881</v>
      </c>
      <c r="K884" s="250"/>
      <c r="L884" s="219"/>
      <c r="M884" s="218"/>
      <c r="N884" s="220" t="str">
        <f>IFERROR(VLOOKUP(M884,Data!$C$4:$D$395,2,0),"")</f>
        <v/>
      </c>
      <c r="O884" s="220"/>
      <c r="P884" s="229"/>
      <c r="Q884" s="221"/>
      <c r="R884" s="222" t="str">
        <f t="shared" si="122"/>
        <v>-</v>
      </c>
      <c r="S884" s="223"/>
      <c r="T884" s="224"/>
      <c r="U884" s="225">
        <f t="shared" si="123"/>
        <v>0</v>
      </c>
      <c r="V884" s="226">
        <v>0</v>
      </c>
      <c r="W884" s="227"/>
      <c r="X884" s="228">
        <f t="shared" si="124"/>
        <v>0</v>
      </c>
      <c r="Y884" s="229"/>
      <c r="Z884" s="229"/>
      <c r="AA884" s="229"/>
      <c r="AB884" s="222">
        <f t="shared" si="125"/>
        <v>0</v>
      </c>
      <c r="AC884" s="230">
        <f t="shared" si="126"/>
        <v>0</v>
      </c>
      <c r="AD884" s="222" t="str">
        <f t="shared" si="127"/>
        <v/>
      </c>
      <c r="AE884" s="201"/>
      <c r="AF884" s="231" t="str">
        <f>+IFERROR(VLOOKUP(L884,Data!$F$4:$G$97,2,0),"")</f>
        <v/>
      </c>
    </row>
    <row r="885" spans="9:32" ht="15" customHeight="1" x14ac:dyDescent="0.3">
      <c r="I885" s="201" t="str">
        <f t="shared" si="120"/>
        <v/>
      </c>
      <c r="J885" s="218">
        <f t="shared" si="121"/>
        <v>882</v>
      </c>
      <c r="K885" s="250"/>
      <c r="L885" s="219"/>
      <c r="M885" s="218"/>
      <c r="N885" s="220" t="str">
        <f>IFERROR(VLOOKUP(M885,Data!$C$4:$D$395,2,0),"")</f>
        <v/>
      </c>
      <c r="O885" s="220"/>
      <c r="P885" s="229"/>
      <c r="Q885" s="221"/>
      <c r="R885" s="222" t="str">
        <f t="shared" si="122"/>
        <v>-</v>
      </c>
      <c r="S885" s="223"/>
      <c r="T885" s="224"/>
      <c r="U885" s="225">
        <f t="shared" si="123"/>
        <v>0</v>
      </c>
      <c r="V885" s="226">
        <v>0</v>
      </c>
      <c r="W885" s="227"/>
      <c r="X885" s="228">
        <f t="shared" si="124"/>
        <v>0</v>
      </c>
      <c r="Y885" s="229"/>
      <c r="Z885" s="229"/>
      <c r="AA885" s="229"/>
      <c r="AB885" s="222">
        <f t="shared" si="125"/>
        <v>0</v>
      </c>
      <c r="AC885" s="230">
        <f t="shared" si="126"/>
        <v>0</v>
      </c>
      <c r="AD885" s="222" t="str">
        <f t="shared" si="127"/>
        <v/>
      </c>
      <c r="AE885" s="201"/>
      <c r="AF885" s="231" t="str">
        <f>+IFERROR(VLOOKUP(L885,Data!$F$4:$G$97,2,0),"")</f>
        <v/>
      </c>
    </row>
    <row r="886" spans="9:32" ht="15" customHeight="1" x14ac:dyDescent="0.3">
      <c r="I886" s="201" t="str">
        <f t="shared" si="120"/>
        <v/>
      </c>
      <c r="J886" s="218">
        <f t="shared" si="121"/>
        <v>883</v>
      </c>
      <c r="K886" s="250"/>
      <c r="L886" s="219"/>
      <c r="M886" s="218"/>
      <c r="N886" s="220" t="str">
        <f>IFERROR(VLOOKUP(M886,Data!$C$4:$D$395,2,0),"")</f>
        <v/>
      </c>
      <c r="O886" s="220"/>
      <c r="P886" s="229"/>
      <c r="Q886" s="221"/>
      <c r="R886" s="222" t="str">
        <f t="shared" si="122"/>
        <v>-</v>
      </c>
      <c r="S886" s="223"/>
      <c r="T886" s="224"/>
      <c r="U886" s="225">
        <f t="shared" si="123"/>
        <v>0</v>
      </c>
      <c r="V886" s="226">
        <v>0</v>
      </c>
      <c r="W886" s="227"/>
      <c r="X886" s="228">
        <f t="shared" si="124"/>
        <v>0</v>
      </c>
      <c r="Y886" s="229"/>
      <c r="Z886" s="229"/>
      <c r="AA886" s="229"/>
      <c r="AB886" s="222">
        <f t="shared" si="125"/>
        <v>0</v>
      </c>
      <c r="AC886" s="230">
        <f t="shared" si="126"/>
        <v>0</v>
      </c>
      <c r="AD886" s="222" t="str">
        <f t="shared" si="127"/>
        <v/>
      </c>
      <c r="AE886" s="201"/>
      <c r="AF886" s="231" t="str">
        <f>+IFERROR(VLOOKUP(L886,Data!$F$4:$G$97,2,0),"")</f>
        <v/>
      </c>
    </row>
    <row r="887" spans="9:32" ht="15" customHeight="1" x14ac:dyDescent="0.3">
      <c r="I887" s="201" t="str">
        <f t="shared" si="120"/>
        <v/>
      </c>
      <c r="J887" s="218">
        <f t="shared" si="121"/>
        <v>884</v>
      </c>
      <c r="K887" s="250"/>
      <c r="L887" s="219"/>
      <c r="M887" s="218"/>
      <c r="N887" s="220" t="str">
        <f>IFERROR(VLOOKUP(M887,Data!$C$4:$D$395,2,0),"")</f>
        <v/>
      </c>
      <c r="O887" s="220"/>
      <c r="P887" s="229"/>
      <c r="Q887" s="221"/>
      <c r="R887" s="222" t="str">
        <f t="shared" si="122"/>
        <v>-</v>
      </c>
      <c r="S887" s="223"/>
      <c r="T887" s="224"/>
      <c r="U887" s="225">
        <f t="shared" si="123"/>
        <v>0</v>
      </c>
      <c r="V887" s="226">
        <v>0</v>
      </c>
      <c r="W887" s="227"/>
      <c r="X887" s="228">
        <f t="shared" si="124"/>
        <v>0</v>
      </c>
      <c r="Y887" s="229"/>
      <c r="Z887" s="229"/>
      <c r="AA887" s="229"/>
      <c r="AB887" s="222">
        <f t="shared" si="125"/>
        <v>0</v>
      </c>
      <c r="AC887" s="230">
        <f t="shared" si="126"/>
        <v>0</v>
      </c>
      <c r="AD887" s="222" t="str">
        <f t="shared" si="127"/>
        <v/>
      </c>
      <c r="AE887" s="201"/>
      <c r="AF887" s="231" t="str">
        <f>+IFERROR(VLOOKUP(L887,Data!$F$4:$G$97,2,0),"")</f>
        <v/>
      </c>
    </row>
    <row r="888" spans="9:32" ht="15" customHeight="1" x14ac:dyDescent="0.3">
      <c r="I888" s="201" t="str">
        <f t="shared" si="120"/>
        <v/>
      </c>
      <c r="J888" s="218">
        <f t="shared" si="121"/>
        <v>885</v>
      </c>
      <c r="K888" s="250"/>
      <c r="L888" s="219"/>
      <c r="M888" s="218"/>
      <c r="N888" s="220" t="str">
        <f>IFERROR(VLOOKUP(M888,Data!$C$4:$D$395,2,0),"")</f>
        <v/>
      </c>
      <c r="O888" s="220"/>
      <c r="P888" s="229"/>
      <c r="Q888" s="221"/>
      <c r="R888" s="222" t="str">
        <f t="shared" si="122"/>
        <v>-</v>
      </c>
      <c r="S888" s="223"/>
      <c r="T888" s="224"/>
      <c r="U888" s="225">
        <f t="shared" si="123"/>
        <v>0</v>
      </c>
      <c r="V888" s="226">
        <v>0</v>
      </c>
      <c r="W888" s="227"/>
      <c r="X888" s="228">
        <f t="shared" si="124"/>
        <v>0</v>
      </c>
      <c r="Y888" s="229"/>
      <c r="Z888" s="229"/>
      <c r="AA888" s="229"/>
      <c r="AB888" s="222">
        <f t="shared" si="125"/>
        <v>0</v>
      </c>
      <c r="AC888" s="230">
        <f t="shared" si="126"/>
        <v>0</v>
      </c>
      <c r="AD888" s="222" t="str">
        <f t="shared" si="127"/>
        <v/>
      </c>
      <c r="AE888" s="201"/>
      <c r="AF888" s="231" t="str">
        <f>+IFERROR(VLOOKUP(L888,Data!$F$4:$G$97,2,0),"")</f>
        <v/>
      </c>
    </row>
    <row r="889" spans="9:32" ht="15" customHeight="1" x14ac:dyDescent="0.3">
      <c r="I889" s="201" t="str">
        <f t="shared" si="120"/>
        <v/>
      </c>
      <c r="J889" s="218">
        <f t="shared" si="121"/>
        <v>886</v>
      </c>
      <c r="K889" s="250"/>
      <c r="L889" s="219"/>
      <c r="M889" s="218"/>
      <c r="N889" s="220" t="str">
        <f>IFERROR(VLOOKUP(M889,Data!$C$4:$D$395,2,0),"")</f>
        <v/>
      </c>
      <c r="O889" s="220"/>
      <c r="P889" s="229"/>
      <c r="Q889" s="221"/>
      <c r="R889" s="222" t="str">
        <f t="shared" si="122"/>
        <v>-</v>
      </c>
      <c r="S889" s="223"/>
      <c r="T889" s="224"/>
      <c r="U889" s="225">
        <f t="shared" si="123"/>
        <v>0</v>
      </c>
      <c r="V889" s="226">
        <v>0</v>
      </c>
      <c r="W889" s="227"/>
      <c r="X889" s="228">
        <f t="shared" si="124"/>
        <v>0</v>
      </c>
      <c r="Y889" s="229"/>
      <c r="Z889" s="229"/>
      <c r="AA889" s="229"/>
      <c r="AB889" s="222">
        <f t="shared" si="125"/>
        <v>0</v>
      </c>
      <c r="AC889" s="230">
        <f t="shared" si="126"/>
        <v>0</v>
      </c>
      <c r="AD889" s="222" t="str">
        <f t="shared" si="127"/>
        <v/>
      </c>
      <c r="AE889" s="201"/>
      <c r="AF889" s="231" t="str">
        <f>+IFERROR(VLOOKUP(L889,Data!$F$4:$G$97,2,0),"")</f>
        <v/>
      </c>
    </row>
    <row r="890" spans="9:32" ht="15" customHeight="1" x14ac:dyDescent="0.3">
      <c r="I890" s="201" t="str">
        <f t="shared" si="120"/>
        <v/>
      </c>
      <c r="J890" s="218">
        <f t="shared" si="121"/>
        <v>887</v>
      </c>
      <c r="K890" s="250"/>
      <c r="L890" s="219"/>
      <c r="M890" s="218"/>
      <c r="N890" s="220" t="str">
        <f>IFERROR(VLOOKUP(M890,Data!$C$4:$D$395,2,0),"")</f>
        <v/>
      </c>
      <c r="O890" s="220"/>
      <c r="P890" s="229"/>
      <c r="Q890" s="221"/>
      <c r="R890" s="222" t="str">
        <f t="shared" si="122"/>
        <v>-</v>
      </c>
      <c r="S890" s="223"/>
      <c r="T890" s="224"/>
      <c r="U890" s="225">
        <f t="shared" si="123"/>
        <v>0</v>
      </c>
      <c r="V890" s="226">
        <v>0</v>
      </c>
      <c r="W890" s="227"/>
      <c r="X890" s="228">
        <f t="shared" si="124"/>
        <v>0</v>
      </c>
      <c r="Y890" s="229"/>
      <c r="Z890" s="229"/>
      <c r="AA890" s="229"/>
      <c r="AB890" s="222">
        <f t="shared" si="125"/>
        <v>0</v>
      </c>
      <c r="AC890" s="230">
        <f t="shared" si="126"/>
        <v>0</v>
      </c>
      <c r="AD890" s="222" t="str">
        <f t="shared" si="127"/>
        <v/>
      </c>
      <c r="AE890" s="201"/>
      <c r="AF890" s="231" t="str">
        <f>+IFERROR(VLOOKUP(L890,Data!$F$4:$G$97,2,0),"")</f>
        <v/>
      </c>
    </row>
    <row r="891" spans="9:32" ht="15" customHeight="1" x14ac:dyDescent="0.3">
      <c r="I891" s="201" t="str">
        <f t="shared" si="120"/>
        <v/>
      </c>
      <c r="J891" s="218">
        <f t="shared" si="121"/>
        <v>888</v>
      </c>
      <c r="K891" s="250"/>
      <c r="L891" s="219"/>
      <c r="M891" s="218"/>
      <c r="N891" s="220" t="str">
        <f>IFERROR(VLOOKUP(M891,Data!$C$4:$D$395,2,0),"")</f>
        <v/>
      </c>
      <c r="O891" s="220"/>
      <c r="P891" s="229"/>
      <c r="Q891" s="221"/>
      <c r="R891" s="222" t="str">
        <f t="shared" si="122"/>
        <v>-</v>
      </c>
      <c r="S891" s="223"/>
      <c r="T891" s="224"/>
      <c r="U891" s="225">
        <f t="shared" si="123"/>
        <v>0</v>
      </c>
      <c r="V891" s="226">
        <v>0</v>
      </c>
      <c r="W891" s="227"/>
      <c r="X891" s="228">
        <f t="shared" si="124"/>
        <v>0</v>
      </c>
      <c r="Y891" s="229"/>
      <c r="Z891" s="229"/>
      <c r="AA891" s="229"/>
      <c r="AB891" s="222">
        <f t="shared" si="125"/>
        <v>0</v>
      </c>
      <c r="AC891" s="230">
        <f t="shared" si="126"/>
        <v>0</v>
      </c>
      <c r="AD891" s="222" t="str">
        <f t="shared" si="127"/>
        <v/>
      </c>
      <c r="AE891" s="201"/>
      <c r="AF891" s="231" t="str">
        <f>+IFERROR(VLOOKUP(L891,Data!$F$4:$G$97,2,0),"")</f>
        <v/>
      </c>
    </row>
    <row r="892" spans="9:32" ht="15" customHeight="1" x14ac:dyDescent="0.3">
      <c r="I892" s="201" t="str">
        <f t="shared" si="120"/>
        <v/>
      </c>
      <c r="J892" s="218">
        <f t="shared" si="121"/>
        <v>889</v>
      </c>
      <c r="K892" s="250"/>
      <c r="L892" s="219"/>
      <c r="M892" s="218"/>
      <c r="N892" s="220" t="str">
        <f>IFERROR(VLOOKUP(M892,Data!$C$4:$D$395,2,0),"")</f>
        <v/>
      </c>
      <c r="O892" s="220"/>
      <c r="P892" s="229"/>
      <c r="Q892" s="221"/>
      <c r="R892" s="222" t="str">
        <f t="shared" si="122"/>
        <v>-</v>
      </c>
      <c r="S892" s="223"/>
      <c r="T892" s="224"/>
      <c r="U892" s="225">
        <f t="shared" si="123"/>
        <v>0</v>
      </c>
      <c r="V892" s="226">
        <v>0</v>
      </c>
      <c r="W892" s="227"/>
      <c r="X892" s="228">
        <f t="shared" si="124"/>
        <v>0</v>
      </c>
      <c r="Y892" s="229"/>
      <c r="Z892" s="229"/>
      <c r="AA892" s="229"/>
      <c r="AB892" s="222">
        <f t="shared" si="125"/>
        <v>0</v>
      </c>
      <c r="AC892" s="230">
        <f t="shared" si="126"/>
        <v>0</v>
      </c>
      <c r="AD892" s="222" t="str">
        <f t="shared" si="127"/>
        <v/>
      </c>
      <c r="AE892" s="201"/>
      <c r="AF892" s="231" t="str">
        <f>+IFERROR(VLOOKUP(L892,Data!$F$4:$G$97,2,0),"")</f>
        <v/>
      </c>
    </row>
    <row r="893" spans="9:32" ht="15" customHeight="1" x14ac:dyDescent="0.3">
      <c r="I893" s="201" t="str">
        <f t="shared" ref="I893:I956" si="128">+AF893</f>
        <v/>
      </c>
      <c r="J893" s="218">
        <f t="shared" si="121"/>
        <v>890</v>
      </c>
      <c r="K893" s="250"/>
      <c r="L893" s="219"/>
      <c r="M893" s="218"/>
      <c r="N893" s="220" t="str">
        <f>IFERROR(VLOOKUP(M893,Data!$C$4:$D$395,2,0),"")</f>
        <v/>
      </c>
      <c r="O893" s="220"/>
      <c r="P893" s="229"/>
      <c r="Q893" s="221"/>
      <c r="R893" s="222" t="str">
        <f t="shared" si="122"/>
        <v>-</v>
      </c>
      <c r="S893" s="223"/>
      <c r="T893" s="224"/>
      <c r="U893" s="225">
        <f t="shared" si="123"/>
        <v>0</v>
      </c>
      <c r="V893" s="226">
        <v>0</v>
      </c>
      <c r="W893" s="227"/>
      <c r="X893" s="228">
        <f t="shared" si="124"/>
        <v>0</v>
      </c>
      <c r="Y893" s="229"/>
      <c r="Z893" s="229"/>
      <c r="AA893" s="229"/>
      <c r="AB893" s="222">
        <f t="shared" si="125"/>
        <v>0</v>
      </c>
      <c r="AC893" s="230">
        <f t="shared" si="126"/>
        <v>0</v>
      </c>
      <c r="AD893" s="222" t="str">
        <f t="shared" si="127"/>
        <v/>
      </c>
      <c r="AE893" s="201"/>
      <c r="AF893" s="231" t="str">
        <f>+IFERROR(VLOOKUP(L893,Data!$F$4:$G$97,2,0),"")</f>
        <v/>
      </c>
    </row>
    <row r="894" spans="9:32" ht="15" customHeight="1" x14ac:dyDescent="0.3">
      <c r="I894" s="201" t="str">
        <f t="shared" si="128"/>
        <v/>
      </c>
      <c r="J894" s="218">
        <f t="shared" ref="J894:J957" si="129">J893+1</f>
        <v>891</v>
      </c>
      <c r="K894" s="250"/>
      <c r="L894" s="219"/>
      <c r="M894" s="218"/>
      <c r="N894" s="220" t="str">
        <f>IFERROR(VLOOKUP(M894,Data!$C$4:$D$395,2,0),"")</f>
        <v/>
      </c>
      <c r="O894" s="220"/>
      <c r="P894" s="229"/>
      <c r="Q894" s="221"/>
      <c r="R894" s="222" t="str">
        <f t="shared" si="122"/>
        <v>-</v>
      </c>
      <c r="S894" s="223"/>
      <c r="T894" s="224"/>
      <c r="U894" s="225">
        <f t="shared" si="123"/>
        <v>0</v>
      </c>
      <c r="V894" s="226">
        <v>0</v>
      </c>
      <c r="W894" s="227"/>
      <c r="X894" s="228">
        <f t="shared" si="124"/>
        <v>0</v>
      </c>
      <c r="Y894" s="229"/>
      <c r="Z894" s="229"/>
      <c r="AA894" s="229"/>
      <c r="AB894" s="222">
        <f t="shared" si="125"/>
        <v>0</v>
      </c>
      <c r="AC894" s="230">
        <f t="shared" si="126"/>
        <v>0</v>
      </c>
      <c r="AD894" s="222" t="str">
        <f t="shared" si="127"/>
        <v/>
      </c>
      <c r="AE894" s="201"/>
      <c r="AF894" s="231" t="str">
        <f>+IFERROR(VLOOKUP(L894,Data!$F$4:$G$97,2,0),"")</f>
        <v/>
      </c>
    </row>
    <row r="895" spans="9:32" ht="15" customHeight="1" x14ac:dyDescent="0.3">
      <c r="I895" s="201" t="str">
        <f t="shared" si="128"/>
        <v/>
      </c>
      <c r="J895" s="218">
        <f t="shared" si="129"/>
        <v>892</v>
      </c>
      <c r="K895" s="250"/>
      <c r="L895" s="219"/>
      <c r="M895" s="218"/>
      <c r="N895" s="220" t="str">
        <f>IFERROR(VLOOKUP(M895,Data!$C$4:$D$395,2,0),"")</f>
        <v/>
      </c>
      <c r="O895" s="220"/>
      <c r="P895" s="229"/>
      <c r="Q895" s="221"/>
      <c r="R895" s="222" t="str">
        <f t="shared" si="122"/>
        <v>-</v>
      </c>
      <c r="S895" s="223"/>
      <c r="T895" s="224"/>
      <c r="U895" s="225">
        <f t="shared" si="123"/>
        <v>0</v>
      </c>
      <c r="V895" s="226">
        <v>0</v>
      </c>
      <c r="W895" s="227"/>
      <c r="X895" s="228">
        <f t="shared" si="124"/>
        <v>0</v>
      </c>
      <c r="Y895" s="229"/>
      <c r="Z895" s="229"/>
      <c r="AA895" s="229"/>
      <c r="AB895" s="222">
        <f t="shared" si="125"/>
        <v>0</v>
      </c>
      <c r="AC895" s="230">
        <f t="shared" si="126"/>
        <v>0</v>
      </c>
      <c r="AD895" s="222" t="str">
        <f t="shared" si="127"/>
        <v/>
      </c>
      <c r="AE895" s="201"/>
      <c r="AF895" s="231" t="str">
        <f>+IFERROR(VLOOKUP(L895,Data!$F$4:$G$97,2,0),"")</f>
        <v/>
      </c>
    </row>
    <row r="896" spans="9:32" ht="15" customHeight="1" x14ac:dyDescent="0.3">
      <c r="I896" s="201" t="str">
        <f t="shared" si="128"/>
        <v/>
      </c>
      <c r="J896" s="218">
        <f t="shared" si="129"/>
        <v>893</v>
      </c>
      <c r="K896" s="250"/>
      <c r="L896" s="219"/>
      <c r="M896" s="218"/>
      <c r="N896" s="220" t="str">
        <f>IFERROR(VLOOKUP(M896,Data!$C$4:$D$395,2,0),"")</f>
        <v/>
      </c>
      <c r="O896" s="220"/>
      <c r="P896" s="229"/>
      <c r="Q896" s="221"/>
      <c r="R896" s="222" t="str">
        <f t="shared" ref="R896:R959" si="130">IFERROR(Q896/P896, "-")</f>
        <v>-</v>
      </c>
      <c r="S896" s="223"/>
      <c r="T896" s="224"/>
      <c r="U896" s="225">
        <f t="shared" ref="U896:U959" si="131">+Q896*S896+P896*T896</f>
        <v>0</v>
      </c>
      <c r="V896" s="226">
        <v>0</v>
      </c>
      <c r="W896" s="227"/>
      <c r="X896" s="228">
        <f t="shared" ref="X896:X959" si="132">+Q896*V896+P896*W896</f>
        <v>0</v>
      </c>
      <c r="Y896" s="229"/>
      <c r="Z896" s="229"/>
      <c r="AA896" s="229"/>
      <c r="AB896" s="222">
        <f t="shared" ref="AB896:AB959" si="133">+Y896+Z896+AA896</f>
        <v>0</v>
      </c>
      <c r="AC896" s="230">
        <f t="shared" ref="AC896:AC959" si="134">IF((U896-Y896-Z896-AA896)&lt;0,"",(U896-Y896-Z896-AA896))</f>
        <v>0</v>
      </c>
      <c r="AD896" s="222" t="str">
        <f t="shared" ref="AD896:AD959" si="135">IF((U896-Y896-Z896-AA896)&lt;0,(Y896+Z896+AA896-U896),"")</f>
        <v/>
      </c>
      <c r="AE896" s="201"/>
      <c r="AF896" s="231" t="str">
        <f>+IFERROR(VLOOKUP(L896,Data!$F$4:$G$97,2,0),"")</f>
        <v/>
      </c>
    </row>
    <row r="897" spans="9:32" ht="15" customHeight="1" x14ac:dyDescent="0.3">
      <c r="I897" s="201" t="str">
        <f t="shared" si="128"/>
        <v/>
      </c>
      <c r="J897" s="218">
        <f t="shared" si="129"/>
        <v>894</v>
      </c>
      <c r="K897" s="250"/>
      <c r="L897" s="219"/>
      <c r="M897" s="218"/>
      <c r="N897" s="220" t="str">
        <f>IFERROR(VLOOKUP(M897,Data!$C$4:$D$395,2,0),"")</f>
        <v/>
      </c>
      <c r="O897" s="220"/>
      <c r="P897" s="229"/>
      <c r="Q897" s="221"/>
      <c r="R897" s="222" t="str">
        <f t="shared" si="130"/>
        <v>-</v>
      </c>
      <c r="S897" s="223"/>
      <c r="T897" s="224"/>
      <c r="U897" s="225">
        <f t="shared" si="131"/>
        <v>0</v>
      </c>
      <c r="V897" s="226">
        <v>0</v>
      </c>
      <c r="W897" s="227"/>
      <c r="X897" s="228">
        <f t="shared" si="132"/>
        <v>0</v>
      </c>
      <c r="Y897" s="229"/>
      <c r="Z897" s="229"/>
      <c r="AA897" s="229"/>
      <c r="AB897" s="222">
        <f t="shared" si="133"/>
        <v>0</v>
      </c>
      <c r="AC897" s="230">
        <f t="shared" si="134"/>
        <v>0</v>
      </c>
      <c r="AD897" s="222" t="str">
        <f t="shared" si="135"/>
        <v/>
      </c>
      <c r="AE897" s="201"/>
      <c r="AF897" s="231" t="str">
        <f>+IFERROR(VLOOKUP(L897,Data!$F$4:$G$97,2,0),"")</f>
        <v/>
      </c>
    </row>
    <row r="898" spans="9:32" ht="15" customHeight="1" x14ac:dyDescent="0.3">
      <c r="I898" s="201" t="str">
        <f t="shared" si="128"/>
        <v/>
      </c>
      <c r="J898" s="218">
        <f t="shared" si="129"/>
        <v>895</v>
      </c>
      <c r="K898" s="250"/>
      <c r="L898" s="219"/>
      <c r="M898" s="218"/>
      <c r="N898" s="220" t="str">
        <f>IFERROR(VLOOKUP(M898,Data!$C$4:$D$395,2,0),"")</f>
        <v/>
      </c>
      <c r="O898" s="220"/>
      <c r="P898" s="229"/>
      <c r="Q898" s="221"/>
      <c r="R898" s="222" t="str">
        <f t="shared" si="130"/>
        <v>-</v>
      </c>
      <c r="S898" s="223"/>
      <c r="T898" s="224"/>
      <c r="U898" s="225">
        <f t="shared" si="131"/>
        <v>0</v>
      </c>
      <c r="V898" s="226">
        <v>0</v>
      </c>
      <c r="W898" s="227"/>
      <c r="X898" s="228">
        <f t="shared" si="132"/>
        <v>0</v>
      </c>
      <c r="Y898" s="229"/>
      <c r="Z898" s="229"/>
      <c r="AA898" s="229"/>
      <c r="AB898" s="222">
        <f t="shared" si="133"/>
        <v>0</v>
      </c>
      <c r="AC898" s="230">
        <f t="shared" si="134"/>
        <v>0</v>
      </c>
      <c r="AD898" s="222" t="str">
        <f t="shared" si="135"/>
        <v/>
      </c>
      <c r="AE898" s="201"/>
      <c r="AF898" s="231" t="str">
        <f>+IFERROR(VLOOKUP(L898,Data!$F$4:$G$97,2,0),"")</f>
        <v/>
      </c>
    </row>
    <row r="899" spans="9:32" ht="15" customHeight="1" x14ac:dyDescent="0.3">
      <c r="I899" s="201" t="str">
        <f t="shared" si="128"/>
        <v/>
      </c>
      <c r="J899" s="218">
        <f t="shared" si="129"/>
        <v>896</v>
      </c>
      <c r="K899" s="250"/>
      <c r="L899" s="219"/>
      <c r="M899" s="218"/>
      <c r="N899" s="220" t="str">
        <f>IFERROR(VLOOKUP(M899,Data!$C$4:$D$395,2,0),"")</f>
        <v/>
      </c>
      <c r="O899" s="220"/>
      <c r="P899" s="229"/>
      <c r="Q899" s="221"/>
      <c r="R899" s="222" t="str">
        <f t="shared" si="130"/>
        <v>-</v>
      </c>
      <c r="S899" s="223"/>
      <c r="T899" s="224"/>
      <c r="U899" s="225">
        <f t="shared" si="131"/>
        <v>0</v>
      </c>
      <c r="V899" s="226">
        <v>0</v>
      </c>
      <c r="W899" s="227"/>
      <c r="X899" s="228">
        <f t="shared" si="132"/>
        <v>0</v>
      </c>
      <c r="Y899" s="229"/>
      <c r="Z899" s="229"/>
      <c r="AA899" s="229"/>
      <c r="AB899" s="222">
        <f t="shared" si="133"/>
        <v>0</v>
      </c>
      <c r="AC899" s="230">
        <f t="shared" si="134"/>
        <v>0</v>
      </c>
      <c r="AD899" s="222" t="str">
        <f t="shared" si="135"/>
        <v/>
      </c>
      <c r="AE899" s="201"/>
      <c r="AF899" s="231" t="str">
        <f>+IFERROR(VLOOKUP(L899,Data!$F$4:$G$97,2,0),"")</f>
        <v/>
      </c>
    </row>
    <row r="900" spans="9:32" ht="15" customHeight="1" x14ac:dyDescent="0.3">
      <c r="I900" s="201" t="str">
        <f t="shared" si="128"/>
        <v/>
      </c>
      <c r="J900" s="218">
        <f t="shared" si="129"/>
        <v>897</v>
      </c>
      <c r="K900" s="250"/>
      <c r="L900" s="219"/>
      <c r="M900" s="218"/>
      <c r="N900" s="220" t="str">
        <f>IFERROR(VLOOKUP(M900,Data!$C$4:$D$395,2,0),"")</f>
        <v/>
      </c>
      <c r="O900" s="220"/>
      <c r="P900" s="229"/>
      <c r="Q900" s="221"/>
      <c r="R900" s="222" t="str">
        <f t="shared" si="130"/>
        <v>-</v>
      </c>
      <c r="S900" s="223"/>
      <c r="T900" s="224"/>
      <c r="U900" s="225">
        <f t="shared" si="131"/>
        <v>0</v>
      </c>
      <c r="V900" s="226">
        <v>0</v>
      </c>
      <c r="W900" s="227"/>
      <c r="X900" s="228">
        <f t="shared" si="132"/>
        <v>0</v>
      </c>
      <c r="Y900" s="229"/>
      <c r="Z900" s="229"/>
      <c r="AA900" s="229"/>
      <c r="AB900" s="222">
        <f t="shared" si="133"/>
        <v>0</v>
      </c>
      <c r="AC900" s="230">
        <f t="shared" si="134"/>
        <v>0</v>
      </c>
      <c r="AD900" s="222" t="str">
        <f t="shared" si="135"/>
        <v/>
      </c>
      <c r="AE900" s="201"/>
      <c r="AF900" s="231" t="str">
        <f>+IFERROR(VLOOKUP(L900,Data!$F$4:$G$97,2,0),"")</f>
        <v/>
      </c>
    </row>
    <row r="901" spans="9:32" ht="15" customHeight="1" x14ac:dyDescent="0.3">
      <c r="I901" s="201" t="str">
        <f t="shared" si="128"/>
        <v/>
      </c>
      <c r="J901" s="218">
        <f t="shared" si="129"/>
        <v>898</v>
      </c>
      <c r="K901" s="250"/>
      <c r="L901" s="219"/>
      <c r="M901" s="218"/>
      <c r="N901" s="220" t="str">
        <f>IFERROR(VLOOKUP(M901,Data!$C$4:$D$395,2,0),"")</f>
        <v/>
      </c>
      <c r="O901" s="220"/>
      <c r="P901" s="229"/>
      <c r="Q901" s="221"/>
      <c r="R901" s="222" t="str">
        <f t="shared" si="130"/>
        <v>-</v>
      </c>
      <c r="S901" s="223"/>
      <c r="T901" s="224"/>
      <c r="U901" s="225">
        <f t="shared" si="131"/>
        <v>0</v>
      </c>
      <c r="V901" s="226">
        <v>0</v>
      </c>
      <c r="W901" s="227"/>
      <c r="X901" s="228">
        <f t="shared" si="132"/>
        <v>0</v>
      </c>
      <c r="Y901" s="229"/>
      <c r="Z901" s="229"/>
      <c r="AA901" s="229"/>
      <c r="AB901" s="222">
        <f t="shared" si="133"/>
        <v>0</v>
      </c>
      <c r="AC901" s="230">
        <f t="shared" si="134"/>
        <v>0</v>
      </c>
      <c r="AD901" s="222" t="str">
        <f t="shared" si="135"/>
        <v/>
      </c>
      <c r="AE901" s="201"/>
      <c r="AF901" s="231" t="str">
        <f>+IFERROR(VLOOKUP(L901,Data!$F$4:$G$97,2,0),"")</f>
        <v/>
      </c>
    </row>
    <row r="902" spans="9:32" ht="15" customHeight="1" x14ac:dyDescent="0.3">
      <c r="I902" s="201" t="str">
        <f t="shared" si="128"/>
        <v/>
      </c>
      <c r="J902" s="218">
        <f t="shared" si="129"/>
        <v>899</v>
      </c>
      <c r="K902" s="250"/>
      <c r="L902" s="219"/>
      <c r="M902" s="218"/>
      <c r="N902" s="220" t="str">
        <f>IFERROR(VLOOKUP(M902,Data!$C$4:$D$395,2,0),"")</f>
        <v/>
      </c>
      <c r="O902" s="220"/>
      <c r="P902" s="229"/>
      <c r="Q902" s="221"/>
      <c r="R902" s="222" t="str">
        <f t="shared" si="130"/>
        <v>-</v>
      </c>
      <c r="S902" s="223"/>
      <c r="T902" s="224"/>
      <c r="U902" s="225">
        <f t="shared" si="131"/>
        <v>0</v>
      </c>
      <c r="V902" s="226">
        <v>0</v>
      </c>
      <c r="W902" s="227"/>
      <c r="X902" s="228">
        <f t="shared" si="132"/>
        <v>0</v>
      </c>
      <c r="Y902" s="229"/>
      <c r="Z902" s="229"/>
      <c r="AA902" s="229"/>
      <c r="AB902" s="222">
        <f t="shared" si="133"/>
        <v>0</v>
      </c>
      <c r="AC902" s="230">
        <f t="shared" si="134"/>
        <v>0</v>
      </c>
      <c r="AD902" s="222" t="str">
        <f t="shared" si="135"/>
        <v/>
      </c>
      <c r="AE902" s="201"/>
      <c r="AF902" s="231" t="str">
        <f>+IFERROR(VLOOKUP(L902,Data!$F$4:$G$97,2,0),"")</f>
        <v/>
      </c>
    </row>
    <row r="903" spans="9:32" ht="15" customHeight="1" x14ac:dyDescent="0.3">
      <c r="I903" s="201" t="str">
        <f t="shared" si="128"/>
        <v/>
      </c>
      <c r="J903" s="218">
        <f t="shared" si="129"/>
        <v>900</v>
      </c>
      <c r="K903" s="250"/>
      <c r="L903" s="219"/>
      <c r="M903" s="218"/>
      <c r="N903" s="220" t="str">
        <f>IFERROR(VLOOKUP(M903,Data!$C$4:$D$395,2,0),"")</f>
        <v/>
      </c>
      <c r="O903" s="220"/>
      <c r="P903" s="229"/>
      <c r="Q903" s="221"/>
      <c r="R903" s="222" t="str">
        <f t="shared" si="130"/>
        <v>-</v>
      </c>
      <c r="S903" s="223"/>
      <c r="T903" s="224"/>
      <c r="U903" s="225">
        <f t="shared" si="131"/>
        <v>0</v>
      </c>
      <c r="V903" s="226">
        <v>0</v>
      </c>
      <c r="W903" s="227"/>
      <c r="X903" s="228">
        <f t="shared" si="132"/>
        <v>0</v>
      </c>
      <c r="Y903" s="229"/>
      <c r="Z903" s="229"/>
      <c r="AA903" s="229"/>
      <c r="AB903" s="222">
        <f t="shared" si="133"/>
        <v>0</v>
      </c>
      <c r="AC903" s="230">
        <f t="shared" si="134"/>
        <v>0</v>
      </c>
      <c r="AD903" s="222" t="str">
        <f t="shared" si="135"/>
        <v/>
      </c>
      <c r="AE903" s="201"/>
      <c r="AF903" s="231" t="str">
        <f>+IFERROR(VLOOKUP(L903,Data!$F$4:$G$97,2,0),"")</f>
        <v/>
      </c>
    </row>
    <row r="904" spans="9:32" ht="15" customHeight="1" x14ac:dyDescent="0.3">
      <c r="I904" s="201" t="str">
        <f t="shared" si="128"/>
        <v/>
      </c>
      <c r="J904" s="218">
        <f t="shared" si="129"/>
        <v>901</v>
      </c>
      <c r="K904" s="250"/>
      <c r="L904" s="219"/>
      <c r="M904" s="218"/>
      <c r="N904" s="220" t="str">
        <f>IFERROR(VLOOKUP(M904,Data!$C$4:$D$395,2,0),"")</f>
        <v/>
      </c>
      <c r="O904" s="220"/>
      <c r="P904" s="229"/>
      <c r="Q904" s="221"/>
      <c r="R904" s="222" t="str">
        <f t="shared" si="130"/>
        <v>-</v>
      </c>
      <c r="S904" s="223"/>
      <c r="T904" s="224"/>
      <c r="U904" s="225">
        <f t="shared" si="131"/>
        <v>0</v>
      </c>
      <c r="V904" s="226">
        <v>0</v>
      </c>
      <c r="W904" s="227"/>
      <c r="X904" s="228">
        <f t="shared" si="132"/>
        <v>0</v>
      </c>
      <c r="Y904" s="229"/>
      <c r="Z904" s="229"/>
      <c r="AA904" s="229"/>
      <c r="AB904" s="222">
        <f t="shared" si="133"/>
        <v>0</v>
      </c>
      <c r="AC904" s="230">
        <f t="shared" si="134"/>
        <v>0</v>
      </c>
      <c r="AD904" s="222" t="str">
        <f t="shared" si="135"/>
        <v/>
      </c>
      <c r="AE904" s="201"/>
      <c r="AF904" s="231" t="str">
        <f>+IFERROR(VLOOKUP(L904,Data!$F$4:$G$97,2,0),"")</f>
        <v/>
      </c>
    </row>
    <row r="905" spans="9:32" ht="15" customHeight="1" x14ac:dyDescent="0.3">
      <c r="I905" s="201" t="str">
        <f t="shared" si="128"/>
        <v/>
      </c>
      <c r="J905" s="218">
        <f t="shared" si="129"/>
        <v>902</v>
      </c>
      <c r="K905" s="250"/>
      <c r="L905" s="219"/>
      <c r="M905" s="218"/>
      <c r="N905" s="220" t="str">
        <f>IFERROR(VLOOKUP(M905,Data!$C$4:$D$395,2,0),"")</f>
        <v/>
      </c>
      <c r="O905" s="220"/>
      <c r="P905" s="229"/>
      <c r="Q905" s="221"/>
      <c r="R905" s="222" t="str">
        <f t="shared" si="130"/>
        <v>-</v>
      </c>
      <c r="S905" s="223"/>
      <c r="T905" s="224"/>
      <c r="U905" s="225">
        <f t="shared" si="131"/>
        <v>0</v>
      </c>
      <c r="V905" s="226">
        <v>0</v>
      </c>
      <c r="W905" s="227"/>
      <c r="X905" s="228">
        <f t="shared" si="132"/>
        <v>0</v>
      </c>
      <c r="Y905" s="229"/>
      <c r="Z905" s="229"/>
      <c r="AA905" s="229"/>
      <c r="AB905" s="222">
        <f t="shared" si="133"/>
        <v>0</v>
      </c>
      <c r="AC905" s="230">
        <f t="shared" si="134"/>
        <v>0</v>
      </c>
      <c r="AD905" s="222" t="str">
        <f t="shared" si="135"/>
        <v/>
      </c>
      <c r="AE905" s="201"/>
      <c r="AF905" s="231" t="str">
        <f>+IFERROR(VLOOKUP(L905,Data!$F$4:$G$97,2,0),"")</f>
        <v/>
      </c>
    </row>
    <row r="906" spans="9:32" ht="15" customHeight="1" x14ac:dyDescent="0.3">
      <c r="I906" s="201" t="str">
        <f t="shared" si="128"/>
        <v/>
      </c>
      <c r="J906" s="218">
        <f t="shared" si="129"/>
        <v>903</v>
      </c>
      <c r="K906" s="250"/>
      <c r="L906" s="219"/>
      <c r="M906" s="218"/>
      <c r="N906" s="220" t="str">
        <f>IFERROR(VLOOKUP(M906,Data!$C$4:$D$395,2,0),"")</f>
        <v/>
      </c>
      <c r="O906" s="220"/>
      <c r="P906" s="229"/>
      <c r="Q906" s="221"/>
      <c r="R906" s="222" t="str">
        <f t="shared" si="130"/>
        <v>-</v>
      </c>
      <c r="S906" s="223"/>
      <c r="T906" s="224"/>
      <c r="U906" s="225">
        <f t="shared" si="131"/>
        <v>0</v>
      </c>
      <c r="V906" s="226">
        <v>0</v>
      </c>
      <c r="W906" s="227"/>
      <c r="X906" s="228">
        <f t="shared" si="132"/>
        <v>0</v>
      </c>
      <c r="Y906" s="229"/>
      <c r="Z906" s="229"/>
      <c r="AA906" s="229"/>
      <c r="AB906" s="222">
        <f t="shared" si="133"/>
        <v>0</v>
      </c>
      <c r="AC906" s="230">
        <f t="shared" si="134"/>
        <v>0</v>
      </c>
      <c r="AD906" s="222" t="str">
        <f t="shared" si="135"/>
        <v/>
      </c>
      <c r="AE906" s="201"/>
      <c r="AF906" s="231" t="str">
        <f>+IFERROR(VLOOKUP(L906,Data!$F$4:$G$97,2,0),"")</f>
        <v/>
      </c>
    </row>
    <row r="907" spans="9:32" ht="15" customHeight="1" x14ac:dyDescent="0.3">
      <c r="I907" s="201" t="str">
        <f t="shared" si="128"/>
        <v/>
      </c>
      <c r="J907" s="218">
        <f t="shared" si="129"/>
        <v>904</v>
      </c>
      <c r="K907" s="250"/>
      <c r="L907" s="219"/>
      <c r="M907" s="218"/>
      <c r="N907" s="220" t="str">
        <f>IFERROR(VLOOKUP(M907,Data!$C$4:$D$395,2,0),"")</f>
        <v/>
      </c>
      <c r="O907" s="220"/>
      <c r="P907" s="229"/>
      <c r="Q907" s="221"/>
      <c r="R907" s="222" t="str">
        <f t="shared" si="130"/>
        <v>-</v>
      </c>
      <c r="S907" s="223"/>
      <c r="T907" s="224"/>
      <c r="U907" s="225">
        <f t="shared" si="131"/>
        <v>0</v>
      </c>
      <c r="V907" s="226">
        <v>0</v>
      </c>
      <c r="W907" s="227"/>
      <c r="X907" s="228">
        <f t="shared" si="132"/>
        <v>0</v>
      </c>
      <c r="Y907" s="229"/>
      <c r="Z907" s="229"/>
      <c r="AA907" s="229"/>
      <c r="AB907" s="222">
        <f t="shared" si="133"/>
        <v>0</v>
      </c>
      <c r="AC907" s="230">
        <f t="shared" si="134"/>
        <v>0</v>
      </c>
      <c r="AD907" s="222" t="str">
        <f t="shared" si="135"/>
        <v/>
      </c>
      <c r="AE907" s="201"/>
      <c r="AF907" s="231" t="str">
        <f>+IFERROR(VLOOKUP(L907,Data!$F$4:$G$97,2,0),"")</f>
        <v/>
      </c>
    </row>
    <row r="908" spans="9:32" ht="15" customHeight="1" x14ac:dyDescent="0.3">
      <c r="I908" s="201" t="str">
        <f t="shared" si="128"/>
        <v/>
      </c>
      <c r="J908" s="218">
        <f t="shared" si="129"/>
        <v>905</v>
      </c>
      <c r="K908" s="250"/>
      <c r="L908" s="219"/>
      <c r="M908" s="218"/>
      <c r="N908" s="220" t="str">
        <f>IFERROR(VLOOKUP(M908,Data!$C$4:$D$395,2,0),"")</f>
        <v/>
      </c>
      <c r="O908" s="220"/>
      <c r="P908" s="229"/>
      <c r="Q908" s="221"/>
      <c r="R908" s="222" t="str">
        <f t="shared" si="130"/>
        <v>-</v>
      </c>
      <c r="S908" s="223"/>
      <c r="T908" s="224"/>
      <c r="U908" s="225">
        <f t="shared" si="131"/>
        <v>0</v>
      </c>
      <c r="V908" s="226">
        <v>0</v>
      </c>
      <c r="W908" s="227"/>
      <c r="X908" s="228">
        <f t="shared" si="132"/>
        <v>0</v>
      </c>
      <c r="Y908" s="229"/>
      <c r="Z908" s="229"/>
      <c r="AA908" s="229"/>
      <c r="AB908" s="222">
        <f t="shared" si="133"/>
        <v>0</v>
      </c>
      <c r="AC908" s="230">
        <f t="shared" si="134"/>
        <v>0</v>
      </c>
      <c r="AD908" s="222" t="str">
        <f t="shared" si="135"/>
        <v/>
      </c>
      <c r="AE908" s="201"/>
      <c r="AF908" s="231" t="str">
        <f>+IFERROR(VLOOKUP(L908,Data!$F$4:$G$97,2,0),"")</f>
        <v/>
      </c>
    </row>
    <row r="909" spans="9:32" ht="15" customHeight="1" x14ac:dyDescent="0.3">
      <c r="I909" s="201" t="str">
        <f t="shared" si="128"/>
        <v/>
      </c>
      <c r="J909" s="218">
        <f t="shared" si="129"/>
        <v>906</v>
      </c>
      <c r="K909" s="250"/>
      <c r="L909" s="219"/>
      <c r="M909" s="218"/>
      <c r="N909" s="220" t="str">
        <f>IFERROR(VLOOKUP(M909,Data!$C$4:$D$395,2,0),"")</f>
        <v/>
      </c>
      <c r="O909" s="220"/>
      <c r="P909" s="229"/>
      <c r="Q909" s="221"/>
      <c r="R909" s="222" t="str">
        <f t="shared" si="130"/>
        <v>-</v>
      </c>
      <c r="S909" s="223"/>
      <c r="T909" s="224"/>
      <c r="U909" s="225">
        <f t="shared" si="131"/>
        <v>0</v>
      </c>
      <c r="V909" s="226">
        <v>0</v>
      </c>
      <c r="W909" s="227"/>
      <c r="X909" s="228">
        <f t="shared" si="132"/>
        <v>0</v>
      </c>
      <c r="Y909" s="229"/>
      <c r="Z909" s="229"/>
      <c r="AA909" s="229"/>
      <c r="AB909" s="222">
        <f t="shared" si="133"/>
        <v>0</v>
      </c>
      <c r="AC909" s="230">
        <f t="shared" si="134"/>
        <v>0</v>
      </c>
      <c r="AD909" s="222" t="str">
        <f t="shared" si="135"/>
        <v/>
      </c>
      <c r="AE909" s="201"/>
      <c r="AF909" s="231" t="str">
        <f>+IFERROR(VLOOKUP(L909,Data!$F$4:$G$97,2,0),"")</f>
        <v/>
      </c>
    </row>
    <row r="910" spans="9:32" ht="15" customHeight="1" x14ac:dyDescent="0.3">
      <c r="I910" s="201" t="str">
        <f t="shared" si="128"/>
        <v/>
      </c>
      <c r="J910" s="218">
        <f t="shared" si="129"/>
        <v>907</v>
      </c>
      <c r="K910" s="250"/>
      <c r="L910" s="219"/>
      <c r="M910" s="218"/>
      <c r="N910" s="220" t="str">
        <f>IFERROR(VLOOKUP(M910,Data!$C$4:$D$395,2,0),"")</f>
        <v/>
      </c>
      <c r="O910" s="220"/>
      <c r="P910" s="229"/>
      <c r="Q910" s="221"/>
      <c r="R910" s="222" t="str">
        <f t="shared" si="130"/>
        <v>-</v>
      </c>
      <c r="S910" s="223"/>
      <c r="T910" s="224"/>
      <c r="U910" s="225">
        <f t="shared" si="131"/>
        <v>0</v>
      </c>
      <c r="V910" s="226">
        <v>0</v>
      </c>
      <c r="W910" s="227"/>
      <c r="X910" s="228">
        <f t="shared" si="132"/>
        <v>0</v>
      </c>
      <c r="Y910" s="229"/>
      <c r="Z910" s="229"/>
      <c r="AA910" s="229"/>
      <c r="AB910" s="222">
        <f t="shared" si="133"/>
        <v>0</v>
      </c>
      <c r="AC910" s="230">
        <f t="shared" si="134"/>
        <v>0</v>
      </c>
      <c r="AD910" s="222" t="str">
        <f t="shared" si="135"/>
        <v/>
      </c>
      <c r="AE910" s="201"/>
      <c r="AF910" s="231" t="str">
        <f>+IFERROR(VLOOKUP(L910,Data!$F$4:$G$97,2,0),"")</f>
        <v/>
      </c>
    </row>
    <row r="911" spans="9:32" ht="15" customHeight="1" x14ac:dyDescent="0.3">
      <c r="I911" s="201" t="str">
        <f t="shared" si="128"/>
        <v/>
      </c>
      <c r="J911" s="218">
        <f t="shared" si="129"/>
        <v>908</v>
      </c>
      <c r="K911" s="250"/>
      <c r="L911" s="219"/>
      <c r="M911" s="218"/>
      <c r="N911" s="220" t="str">
        <f>IFERROR(VLOOKUP(M911,Data!$C$4:$D$395,2,0),"")</f>
        <v/>
      </c>
      <c r="O911" s="220"/>
      <c r="P911" s="229"/>
      <c r="Q911" s="221"/>
      <c r="R911" s="222" t="str">
        <f t="shared" si="130"/>
        <v>-</v>
      </c>
      <c r="S911" s="223"/>
      <c r="T911" s="224"/>
      <c r="U911" s="225">
        <f t="shared" si="131"/>
        <v>0</v>
      </c>
      <c r="V911" s="226">
        <v>0</v>
      </c>
      <c r="W911" s="227"/>
      <c r="X911" s="228">
        <f t="shared" si="132"/>
        <v>0</v>
      </c>
      <c r="Y911" s="229"/>
      <c r="Z911" s="229"/>
      <c r="AA911" s="229"/>
      <c r="AB911" s="222">
        <f t="shared" si="133"/>
        <v>0</v>
      </c>
      <c r="AC911" s="230">
        <f t="shared" si="134"/>
        <v>0</v>
      </c>
      <c r="AD911" s="222" t="str">
        <f t="shared" si="135"/>
        <v/>
      </c>
      <c r="AE911" s="201"/>
      <c r="AF911" s="231" t="str">
        <f>+IFERROR(VLOOKUP(L911,Data!$F$4:$G$97,2,0),"")</f>
        <v/>
      </c>
    </row>
    <row r="912" spans="9:32" ht="15" customHeight="1" x14ac:dyDescent="0.3">
      <c r="I912" s="201" t="str">
        <f t="shared" si="128"/>
        <v/>
      </c>
      <c r="J912" s="218">
        <f t="shared" si="129"/>
        <v>909</v>
      </c>
      <c r="K912" s="250"/>
      <c r="L912" s="219"/>
      <c r="M912" s="218"/>
      <c r="N912" s="220" t="str">
        <f>IFERROR(VLOOKUP(M912,Data!$C$4:$D$395,2,0),"")</f>
        <v/>
      </c>
      <c r="O912" s="220"/>
      <c r="P912" s="229"/>
      <c r="Q912" s="221"/>
      <c r="R912" s="222" t="str">
        <f t="shared" si="130"/>
        <v>-</v>
      </c>
      <c r="S912" s="223"/>
      <c r="T912" s="224"/>
      <c r="U912" s="225">
        <f t="shared" si="131"/>
        <v>0</v>
      </c>
      <c r="V912" s="226">
        <v>0</v>
      </c>
      <c r="W912" s="227"/>
      <c r="X912" s="228">
        <f t="shared" si="132"/>
        <v>0</v>
      </c>
      <c r="Y912" s="229"/>
      <c r="Z912" s="229"/>
      <c r="AA912" s="229"/>
      <c r="AB912" s="222">
        <f t="shared" si="133"/>
        <v>0</v>
      </c>
      <c r="AC912" s="230">
        <f t="shared" si="134"/>
        <v>0</v>
      </c>
      <c r="AD912" s="222" t="str">
        <f t="shared" si="135"/>
        <v/>
      </c>
      <c r="AE912" s="201"/>
      <c r="AF912" s="231" t="str">
        <f>+IFERROR(VLOOKUP(L912,Data!$F$4:$G$97,2,0),"")</f>
        <v/>
      </c>
    </row>
    <row r="913" spans="9:32" ht="15" customHeight="1" x14ac:dyDescent="0.3">
      <c r="I913" s="201" t="str">
        <f t="shared" si="128"/>
        <v/>
      </c>
      <c r="J913" s="218">
        <f t="shared" si="129"/>
        <v>910</v>
      </c>
      <c r="K913" s="250"/>
      <c r="L913" s="219"/>
      <c r="M913" s="218"/>
      <c r="N913" s="220" t="str">
        <f>IFERROR(VLOOKUP(M913,Data!$C$4:$D$395,2,0),"")</f>
        <v/>
      </c>
      <c r="O913" s="220"/>
      <c r="P913" s="229"/>
      <c r="Q913" s="221"/>
      <c r="R913" s="222" t="str">
        <f t="shared" si="130"/>
        <v>-</v>
      </c>
      <c r="S913" s="223"/>
      <c r="T913" s="224"/>
      <c r="U913" s="225">
        <f t="shared" si="131"/>
        <v>0</v>
      </c>
      <c r="V913" s="226">
        <v>0</v>
      </c>
      <c r="W913" s="227"/>
      <c r="X913" s="228">
        <f t="shared" si="132"/>
        <v>0</v>
      </c>
      <c r="Y913" s="229"/>
      <c r="Z913" s="229"/>
      <c r="AA913" s="229"/>
      <c r="AB913" s="222">
        <f t="shared" si="133"/>
        <v>0</v>
      </c>
      <c r="AC913" s="230">
        <f t="shared" si="134"/>
        <v>0</v>
      </c>
      <c r="AD913" s="222" t="str">
        <f t="shared" si="135"/>
        <v/>
      </c>
      <c r="AE913" s="201"/>
      <c r="AF913" s="231" t="str">
        <f>+IFERROR(VLOOKUP(L913,Data!$F$4:$G$97,2,0),"")</f>
        <v/>
      </c>
    </row>
    <row r="914" spans="9:32" ht="15" customHeight="1" x14ac:dyDescent="0.3">
      <c r="I914" s="201" t="str">
        <f t="shared" si="128"/>
        <v/>
      </c>
      <c r="J914" s="218">
        <f t="shared" si="129"/>
        <v>911</v>
      </c>
      <c r="K914" s="250"/>
      <c r="L914" s="219"/>
      <c r="M914" s="218"/>
      <c r="N914" s="220" t="str">
        <f>IFERROR(VLOOKUP(M914,Data!$C$4:$D$395,2,0),"")</f>
        <v/>
      </c>
      <c r="O914" s="220"/>
      <c r="P914" s="229"/>
      <c r="Q914" s="221"/>
      <c r="R914" s="222" t="str">
        <f t="shared" si="130"/>
        <v>-</v>
      </c>
      <c r="S914" s="223"/>
      <c r="T914" s="224"/>
      <c r="U914" s="225">
        <f t="shared" si="131"/>
        <v>0</v>
      </c>
      <c r="V914" s="226">
        <v>0</v>
      </c>
      <c r="W914" s="227"/>
      <c r="X914" s="228">
        <f t="shared" si="132"/>
        <v>0</v>
      </c>
      <c r="Y914" s="229"/>
      <c r="Z914" s="229"/>
      <c r="AA914" s="229"/>
      <c r="AB914" s="222">
        <f t="shared" si="133"/>
        <v>0</v>
      </c>
      <c r="AC914" s="230">
        <f t="shared" si="134"/>
        <v>0</v>
      </c>
      <c r="AD914" s="222" t="str">
        <f t="shared" si="135"/>
        <v/>
      </c>
      <c r="AE914" s="201"/>
      <c r="AF914" s="231" t="str">
        <f>+IFERROR(VLOOKUP(L914,Data!$F$4:$G$97,2,0),"")</f>
        <v/>
      </c>
    </row>
    <row r="915" spans="9:32" ht="15" customHeight="1" x14ac:dyDescent="0.3">
      <c r="I915" s="201" t="str">
        <f t="shared" si="128"/>
        <v/>
      </c>
      <c r="J915" s="218">
        <f t="shared" si="129"/>
        <v>912</v>
      </c>
      <c r="K915" s="250"/>
      <c r="L915" s="219"/>
      <c r="M915" s="218"/>
      <c r="N915" s="220" t="str">
        <f>IFERROR(VLOOKUP(M915,Data!$C$4:$D$395,2,0),"")</f>
        <v/>
      </c>
      <c r="O915" s="220"/>
      <c r="P915" s="229"/>
      <c r="Q915" s="221"/>
      <c r="R915" s="222" t="str">
        <f t="shared" si="130"/>
        <v>-</v>
      </c>
      <c r="S915" s="223"/>
      <c r="T915" s="224"/>
      <c r="U915" s="225">
        <f t="shared" si="131"/>
        <v>0</v>
      </c>
      <c r="V915" s="226">
        <v>0</v>
      </c>
      <c r="W915" s="227"/>
      <c r="X915" s="228">
        <f t="shared" si="132"/>
        <v>0</v>
      </c>
      <c r="Y915" s="229"/>
      <c r="Z915" s="229"/>
      <c r="AA915" s="229"/>
      <c r="AB915" s="222">
        <f t="shared" si="133"/>
        <v>0</v>
      </c>
      <c r="AC915" s="230">
        <f t="shared" si="134"/>
        <v>0</v>
      </c>
      <c r="AD915" s="222" t="str">
        <f t="shared" si="135"/>
        <v/>
      </c>
      <c r="AE915" s="201"/>
      <c r="AF915" s="231" t="str">
        <f>+IFERROR(VLOOKUP(L915,Data!$F$4:$G$97,2,0),"")</f>
        <v/>
      </c>
    </row>
    <row r="916" spans="9:32" ht="15" customHeight="1" x14ac:dyDescent="0.3">
      <c r="I916" s="201" t="str">
        <f t="shared" si="128"/>
        <v/>
      </c>
      <c r="J916" s="218">
        <f t="shared" si="129"/>
        <v>913</v>
      </c>
      <c r="K916" s="250"/>
      <c r="L916" s="219"/>
      <c r="M916" s="218"/>
      <c r="N916" s="220" t="str">
        <f>IFERROR(VLOOKUP(M916,Data!$C$4:$D$395,2,0),"")</f>
        <v/>
      </c>
      <c r="O916" s="220"/>
      <c r="P916" s="229"/>
      <c r="Q916" s="221"/>
      <c r="R916" s="222" t="str">
        <f t="shared" si="130"/>
        <v>-</v>
      </c>
      <c r="S916" s="223"/>
      <c r="T916" s="224"/>
      <c r="U916" s="225">
        <f t="shared" si="131"/>
        <v>0</v>
      </c>
      <c r="V916" s="226">
        <v>0</v>
      </c>
      <c r="W916" s="227"/>
      <c r="X916" s="228">
        <f t="shared" si="132"/>
        <v>0</v>
      </c>
      <c r="Y916" s="229"/>
      <c r="Z916" s="229"/>
      <c r="AA916" s="229"/>
      <c r="AB916" s="222">
        <f t="shared" si="133"/>
        <v>0</v>
      </c>
      <c r="AC916" s="230">
        <f t="shared" si="134"/>
        <v>0</v>
      </c>
      <c r="AD916" s="222" t="str">
        <f t="shared" si="135"/>
        <v/>
      </c>
      <c r="AE916" s="201"/>
      <c r="AF916" s="231" t="str">
        <f>+IFERROR(VLOOKUP(L916,Data!$F$4:$G$97,2,0),"")</f>
        <v/>
      </c>
    </row>
    <row r="917" spans="9:32" ht="15" customHeight="1" x14ac:dyDescent="0.3">
      <c r="I917" s="201" t="str">
        <f t="shared" si="128"/>
        <v/>
      </c>
      <c r="J917" s="218">
        <f t="shared" si="129"/>
        <v>914</v>
      </c>
      <c r="K917" s="250"/>
      <c r="L917" s="219"/>
      <c r="M917" s="218"/>
      <c r="N917" s="220" t="str">
        <f>IFERROR(VLOOKUP(M917,Data!$C$4:$D$395,2,0),"")</f>
        <v/>
      </c>
      <c r="O917" s="220"/>
      <c r="P917" s="229"/>
      <c r="Q917" s="221"/>
      <c r="R917" s="222" t="str">
        <f t="shared" si="130"/>
        <v>-</v>
      </c>
      <c r="S917" s="223"/>
      <c r="T917" s="224"/>
      <c r="U917" s="225">
        <f t="shared" si="131"/>
        <v>0</v>
      </c>
      <c r="V917" s="226">
        <v>0</v>
      </c>
      <c r="W917" s="227"/>
      <c r="X917" s="228">
        <f t="shared" si="132"/>
        <v>0</v>
      </c>
      <c r="Y917" s="229"/>
      <c r="Z917" s="229"/>
      <c r="AA917" s="229"/>
      <c r="AB917" s="222">
        <f t="shared" si="133"/>
        <v>0</v>
      </c>
      <c r="AC917" s="230">
        <f t="shared" si="134"/>
        <v>0</v>
      </c>
      <c r="AD917" s="222" t="str">
        <f t="shared" si="135"/>
        <v/>
      </c>
      <c r="AE917" s="201"/>
      <c r="AF917" s="231" t="str">
        <f>+IFERROR(VLOOKUP(L917,Data!$F$4:$G$97,2,0),"")</f>
        <v/>
      </c>
    </row>
    <row r="918" spans="9:32" ht="15" customHeight="1" x14ac:dyDescent="0.3">
      <c r="I918" s="201" t="str">
        <f t="shared" si="128"/>
        <v/>
      </c>
      <c r="J918" s="218">
        <f t="shared" si="129"/>
        <v>915</v>
      </c>
      <c r="K918" s="250"/>
      <c r="L918" s="219"/>
      <c r="M918" s="218"/>
      <c r="N918" s="220" t="str">
        <f>IFERROR(VLOOKUP(M918,Data!$C$4:$D$395,2,0),"")</f>
        <v/>
      </c>
      <c r="O918" s="220"/>
      <c r="P918" s="229"/>
      <c r="Q918" s="221"/>
      <c r="R918" s="222" t="str">
        <f t="shared" si="130"/>
        <v>-</v>
      </c>
      <c r="S918" s="223"/>
      <c r="T918" s="224"/>
      <c r="U918" s="225">
        <f t="shared" si="131"/>
        <v>0</v>
      </c>
      <c r="V918" s="226">
        <v>0</v>
      </c>
      <c r="W918" s="227"/>
      <c r="X918" s="228">
        <f t="shared" si="132"/>
        <v>0</v>
      </c>
      <c r="Y918" s="229"/>
      <c r="Z918" s="229"/>
      <c r="AA918" s="229"/>
      <c r="AB918" s="222">
        <f t="shared" si="133"/>
        <v>0</v>
      </c>
      <c r="AC918" s="230">
        <f t="shared" si="134"/>
        <v>0</v>
      </c>
      <c r="AD918" s="222" t="str">
        <f t="shared" si="135"/>
        <v/>
      </c>
      <c r="AE918" s="201"/>
      <c r="AF918" s="231" t="str">
        <f>+IFERROR(VLOOKUP(L918,Data!$F$4:$G$97,2,0),"")</f>
        <v/>
      </c>
    </row>
    <row r="919" spans="9:32" ht="15" customHeight="1" x14ac:dyDescent="0.3">
      <c r="I919" s="201" t="str">
        <f t="shared" si="128"/>
        <v/>
      </c>
      <c r="J919" s="218">
        <f t="shared" si="129"/>
        <v>916</v>
      </c>
      <c r="K919" s="250"/>
      <c r="L919" s="219"/>
      <c r="M919" s="218"/>
      <c r="N919" s="220" t="str">
        <f>IFERROR(VLOOKUP(M919,Data!$C$4:$D$395,2,0),"")</f>
        <v/>
      </c>
      <c r="O919" s="220"/>
      <c r="P919" s="229"/>
      <c r="Q919" s="221"/>
      <c r="R919" s="222" t="str">
        <f t="shared" si="130"/>
        <v>-</v>
      </c>
      <c r="S919" s="223"/>
      <c r="T919" s="224"/>
      <c r="U919" s="225">
        <f t="shared" si="131"/>
        <v>0</v>
      </c>
      <c r="V919" s="226">
        <v>0</v>
      </c>
      <c r="W919" s="227"/>
      <c r="X919" s="228">
        <f t="shared" si="132"/>
        <v>0</v>
      </c>
      <c r="Y919" s="229"/>
      <c r="Z919" s="229"/>
      <c r="AA919" s="229"/>
      <c r="AB919" s="222">
        <f t="shared" si="133"/>
        <v>0</v>
      </c>
      <c r="AC919" s="230">
        <f t="shared" si="134"/>
        <v>0</v>
      </c>
      <c r="AD919" s="222" t="str">
        <f t="shared" si="135"/>
        <v/>
      </c>
      <c r="AE919" s="201"/>
      <c r="AF919" s="231" t="str">
        <f>+IFERROR(VLOOKUP(L919,Data!$F$4:$G$97,2,0),"")</f>
        <v/>
      </c>
    </row>
    <row r="920" spans="9:32" ht="15" customHeight="1" x14ac:dyDescent="0.3">
      <c r="I920" s="201" t="str">
        <f t="shared" si="128"/>
        <v/>
      </c>
      <c r="J920" s="218">
        <f t="shared" si="129"/>
        <v>917</v>
      </c>
      <c r="K920" s="250"/>
      <c r="L920" s="219"/>
      <c r="M920" s="218"/>
      <c r="N920" s="220" t="str">
        <f>IFERROR(VLOOKUP(M920,Data!$C$4:$D$395,2,0),"")</f>
        <v/>
      </c>
      <c r="O920" s="220"/>
      <c r="P920" s="229"/>
      <c r="Q920" s="221"/>
      <c r="R920" s="222" t="str">
        <f t="shared" si="130"/>
        <v>-</v>
      </c>
      <c r="S920" s="223"/>
      <c r="T920" s="224"/>
      <c r="U920" s="225">
        <f t="shared" si="131"/>
        <v>0</v>
      </c>
      <c r="V920" s="226">
        <v>0</v>
      </c>
      <c r="W920" s="227"/>
      <c r="X920" s="228">
        <f t="shared" si="132"/>
        <v>0</v>
      </c>
      <c r="Y920" s="229"/>
      <c r="Z920" s="229"/>
      <c r="AA920" s="229"/>
      <c r="AB920" s="222">
        <f t="shared" si="133"/>
        <v>0</v>
      </c>
      <c r="AC920" s="230">
        <f t="shared" si="134"/>
        <v>0</v>
      </c>
      <c r="AD920" s="222" t="str">
        <f t="shared" si="135"/>
        <v/>
      </c>
      <c r="AE920" s="201"/>
      <c r="AF920" s="231" t="str">
        <f>+IFERROR(VLOOKUP(L920,Data!$F$4:$G$97,2,0),"")</f>
        <v/>
      </c>
    </row>
    <row r="921" spans="9:32" ht="15" customHeight="1" x14ac:dyDescent="0.3">
      <c r="I921" s="201" t="str">
        <f t="shared" si="128"/>
        <v/>
      </c>
      <c r="J921" s="218">
        <f t="shared" si="129"/>
        <v>918</v>
      </c>
      <c r="K921" s="250"/>
      <c r="L921" s="219"/>
      <c r="M921" s="218"/>
      <c r="N921" s="220" t="str">
        <f>IFERROR(VLOOKUP(M921,Data!$C$4:$D$395,2,0),"")</f>
        <v/>
      </c>
      <c r="O921" s="220"/>
      <c r="P921" s="229"/>
      <c r="Q921" s="221"/>
      <c r="R921" s="222" t="str">
        <f t="shared" si="130"/>
        <v>-</v>
      </c>
      <c r="S921" s="223"/>
      <c r="T921" s="224"/>
      <c r="U921" s="225">
        <f t="shared" si="131"/>
        <v>0</v>
      </c>
      <c r="V921" s="226">
        <v>0</v>
      </c>
      <c r="W921" s="227"/>
      <c r="X921" s="228">
        <f t="shared" si="132"/>
        <v>0</v>
      </c>
      <c r="Y921" s="229"/>
      <c r="Z921" s="229"/>
      <c r="AA921" s="229"/>
      <c r="AB921" s="222">
        <f t="shared" si="133"/>
        <v>0</v>
      </c>
      <c r="AC921" s="230">
        <f t="shared" si="134"/>
        <v>0</v>
      </c>
      <c r="AD921" s="222" t="str">
        <f t="shared" si="135"/>
        <v/>
      </c>
      <c r="AE921" s="201"/>
      <c r="AF921" s="231" t="str">
        <f>+IFERROR(VLOOKUP(L921,Data!$F$4:$G$97,2,0),"")</f>
        <v/>
      </c>
    </row>
    <row r="922" spans="9:32" ht="15" customHeight="1" x14ac:dyDescent="0.3">
      <c r="I922" s="201" t="str">
        <f t="shared" si="128"/>
        <v/>
      </c>
      <c r="J922" s="218">
        <f t="shared" si="129"/>
        <v>919</v>
      </c>
      <c r="K922" s="250"/>
      <c r="L922" s="219"/>
      <c r="M922" s="218"/>
      <c r="N922" s="220" t="str">
        <f>IFERROR(VLOOKUP(M922,Data!$C$4:$D$395,2,0),"")</f>
        <v/>
      </c>
      <c r="O922" s="220"/>
      <c r="P922" s="229"/>
      <c r="Q922" s="221"/>
      <c r="R922" s="222" t="str">
        <f t="shared" si="130"/>
        <v>-</v>
      </c>
      <c r="S922" s="223"/>
      <c r="T922" s="224"/>
      <c r="U922" s="225">
        <f t="shared" si="131"/>
        <v>0</v>
      </c>
      <c r="V922" s="226">
        <v>0</v>
      </c>
      <c r="W922" s="227"/>
      <c r="X922" s="228">
        <f t="shared" si="132"/>
        <v>0</v>
      </c>
      <c r="Y922" s="229"/>
      <c r="Z922" s="229"/>
      <c r="AA922" s="229"/>
      <c r="AB922" s="222">
        <f t="shared" si="133"/>
        <v>0</v>
      </c>
      <c r="AC922" s="230">
        <f t="shared" si="134"/>
        <v>0</v>
      </c>
      <c r="AD922" s="222" t="str">
        <f t="shared" si="135"/>
        <v/>
      </c>
      <c r="AE922" s="201"/>
      <c r="AF922" s="231" t="str">
        <f>+IFERROR(VLOOKUP(L922,Data!$F$4:$G$97,2,0),"")</f>
        <v/>
      </c>
    </row>
    <row r="923" spans="9:32" ht="15" customHeight="1" x14ac:dyDescent="0.3">
      <c r="I923" s="201" t="str">
        <f t="shared" si="128"/>
        <v/>
      </c>
      <c r="J923" s="218">
        <f t="shared" si="129"/>
        <v>920</v>
      </c>
      <c r="K923" s="250"/>
      <c r="L923" s="219"/>
      <c r="M923" s="218"/>
      <c r="N923" s="220" t="str">
        <f>IFERROR(VLOOKUP(M923,Data!$C$4:$D$395,2,0),"")</f>
        <v/>
      </c>
      <c r="O923" s="220"/>
      <c r="P923" s="229"/>
      <c r="Q923" s="221"/>
      <c r="R923" s="222" t="str">
        <f t="shared" si="130"/>
        <v>-</v>
      </c>
      <c r="S923" s="223"/>
      <c r="T923" s="224"/>
      <c r="U923" s="225">
        <f t="shared" si="131"/>
        <v>0</v>
      </c>
      <c r="V923" s="226">
        <v>0</v>
      </c>
      <c r="W923" s="227"/>
      <c r="X923" s="228">
        <f t="shared" si="132"/>
        <v>0</v>
      </c>
      <c r="Y923" s="229"/>
      <c r="Z923" s="229"/>
      <c r="AA923" s="229"/>
      <c r="AB923" s="222">
        <f t="shared" si="133"/>
        <v>0</v>
      </c>
      <c r="AC923" s="230">
        <f t="shared" si="134"/>
        <v>0</v>
      </c>
      <c r="AD923" s="222" t="str">
        <f t="shared" si="135"/>
        <v/>
      </c>
      <c r="AE923" s="201"/>
      <c r="AF923" s="231" t="str">
        <f>+IFERROR(VLOOKUP(L923,Data!$F$4:$G$97,2,0),"")</f>
        <v/>
      </c>
    </row>
    <row r="924" spans="9:32" ht="15" customHeight="1" x14ac:dyDescent="0.3">
      <c r="I924" s="201" t="str">
        <f t="shared" si="128"/>
        <v/>
      </c>
      <c r="J924" s="218">
        <f t="shared" si="129"/>
        <v>921</v>
      </c>
      <c r="K924" s="250"/>
      <c r="L924" s="219"/>
      <c r="M924" s="218"/>
      <c r="N924" s="220" t="str">
        <f>IFERROR(VLOOKUP(M924,Data!$C$4:$D$395,2,0),"")</f>
        <v/>
      </c>
      <c r="O924" s="220"/>
      <c r="P924" s="229"/>
      <c r="Q924" s="221"/>
      <c r="R924" s="222" t="str">
        <f t="shared" si="130"/>
        <v>-</v>
      </c>
      <c r="S924" s="223"/>
      <c r="T924" s="224"/>
      <c r="U924" s="225">
        <f t="shared" si="131"/>
        <v>0</v>
      </c>
      <c r="V924" s="226">
        <v>0</v>
      </c>
      <c r="W924" s="227"/>
      <c r="X924" s="228">
        <f t="shared" si="132"/>
        <v>0</v>
      </c>
      <c r="Y924" s="229"/>
      <c r="Z924" s="229"/>
      <c r="AA924" s="229"/>
      <c r="AB924" s="222">
        <f t="shared" si="133"/>
        <v>0</v>
      </c>
      <c r="AC924" s="230">
        <f t="shared" si="134"/>
        <v>0</v>
      </c>
      <c r="AD924" s="222" t="str">
        <f t="shared" si="135"/>
        <v/>
      </c>
      <c r="AE924" s="201"/>
      <c r="AF924" s="231" t="str">
        <f>+IFERROR(VLOOKUP(L924,Data!$F$4:$G$97,2,0),"")</f>
        <v/>
      </c>
    </row>
    <row r="925" spans="9:32" ht="15" customHeight="1" x14ac:dyDescent="0.3">
      <c r="I925" s="201" t="str">
        <f t="shared" si="128"/>
        <v/>
      </c>
      <c r="J925" s="218">
        <f t="shared" si="129"/>
        <v>922</v>
      </c>
      <c r="K925" s="250"/>
      <c r="L925" s="219"/>
      <c r="M925" s="218"/>
      <c r="N925" s="220" t="str">
        <f>IFERROR(VLOOKUP(M925,Data!$C$4:$D$395,2,0),"")</f>
        <v/>
      </c>
      <c r="O925" s="220"/>
      <c r="P925" s="229"/>
      <c r="Q925" s="221"/>
      <c r="R925" s="222" t="str">
        <f t="shared" si="130"/>
        <v>-</v>
      </c>
      <c r="S925" s="223"/>
      <c r="T925" s="224"/>
      <c r="U925" s="225">
        <f t="shared" si="131"/>
        <v>0</v>
      </c>
      <c r="V925" s="226">
        <v>0</v>
      </c>
      <c r="W925" s="227"/>
      <c r="X925" s="228">
        <f t="shared" si="132"/>
        <v>0</v>
      </c>
      <c r="Y925" s="229"/>
      <c r="Z925" s="229"/>
      <c r="AA925" s="229"/>
      <c r="AB925" s="222">
        <f t="shared" si="133"/>
        <v>0</v>
      </c>
      <c r="AC925" s="230">
        <f t="shared" si="134"/>
        <v>0</v>
      </c>
      <c r="AD925" s="222" t="str">
        <f t="shared" si="135"/>
        <v/>
      </c>
      <c r="AE925" s="201"/>
      <c r="AF925" s="231" t="str">
        <f>+IFERROR(VLOOKUP(L925,Data!$F$4:$G$97,2,0),"")</f>
        <v/>
      </c>
    </row>
    <row r="926" spans="9:32" ht="15" customHeight="1" x14ac:dyDescent="0.3">
      <c r="I926" s="201" t="str">
        <f t="shared" si="128"/>
        <v/>
      </c>
      <c r="J926" s="218">
        <f t="shared" si="129"/>
        <v>923</v>
      </c>
      <c r="K926" s="250"/>
      <c r="L926" s="219"/>
      <c r="M926" s="218"/>
      <c r="N926" s="220" t="str">
        <f>IFERROR(VLOOKUP(M926,Data!$C$4:$D$395,2,0),"")</f>
        <v/>
      </c>
      <c r="O926" s="220"/>
      <c r="P926" s="229"/>
      <c r="Q926" s="221"/>
      <c r="R926" s="222" t="str">
        <f t="shared" si="130"/>
        <v>-</v>
      </c>
      <c r="S926" s="223"/>
      <c r="T926" s="224"/>
      <c r="U926" s="225">
        <f t="shared" si="131"/>
        <v>0</v>
      </c>
      <c r="V926" s="226">
        <v>0</v>
      </c>
      <c r="W926" s="227"/>
      <c r="X926" s="228">
        <f t="shared" si="132"/>
        <v>0</v>
      </c>
      <c r="Y926" s="229"/>
      <c r="Z926" s="229"/>
      <c r="AA926" s="229"/>
      <c r="AB926" s="222">
        <f t="shared" si="133"/>
        <v>0</v>
      </c>
      <c r="AC926" s="230">
        <f t="shared" si="134"/>
        <v>0</v>
      </c>
      <c r="AD926" s="222" t="str">
        <f t="shared" si="135"/>
        <v/>
      </c>
      <c r="AE926" s="201"/>
      <c r="AF926" s="231" t="str">
        <f>+IFERROR(VLOOKUP(L926,Data!$F$4:$G$97,2,0),"")</f>
        <v/>
      </c>
    </row>
    <row r="927" spans="9:32" ht="15" customHeight="1" x14ac:dyDescent="0.3">
      <c r="I927" s="201" t="str">
        <f t="shared" si="128"/>
        <v/>
      </c>
      <c r="J927" s="218">
        <f t="shared" si="129"/>
        <v>924</v>
      </c>
      <c r="K927" s="250"/>
      <c r="L927" s="219"/>
      <c r="M927" s="218"/>
      <c r="N927" s="220" t="str">
        <f>IFERROR(VLOOKUP(M927,Data!$C$4:$D$395,2,0),"")</f>
        <v/>
      </c>
      <c r="O927" s="220"/>
      <c r="P927" s="229"/>
      <c r="Q927" s="221"/>
      <c r="R927" s="222" t="str">
        <f t="shared" si="130"/>
        <v>-</v>
      </c>
      <c r="S927" s="223"/>
      <c r="T927" s="224"/>
      <c r="U927" s="225">
        <f t="shared" si="131"/>
        <v>0</v>
      </c>
      <c r="V927" s="226">
        <v>0</v>
      </c>
      <c r="W927" s="227"/>
      <c r="X927" s="228">
        <f t="shared" si="132"/>
        <v>0</v>
      </c>
      <c r="Y927" s="229"/>
      <c r="Z927" s="229"/>
      <c r="AA927" s="229"/>
      <c r="AB927" s="222">
        <f t="shared" si="133"/>
        <v>0</v>
      </c>
      <c r="AC927" s="230">
        <f t="shared" si="134"/>
        <v>0</v>
      </c>
      <c r="AD927" s="222" t="str">
        <f t="shared" si="135"/>
        <v/>
      </c>
      <c r="AE927" s="201"/>
      <c r="AF927" s="231" t="str">
        <f>+IFERROR(VLOOKUP(L927,Data!$F$4:$G$97,2,0),"")</f>
        <v/>
      </c>
    </row>
    <row r="928" spans="9:32" ht="15" customHeight="1" x14ac:dyDescent="0.3">
      <c r="I928" s="201" t="str">
        <f t="shared" si="128"/>
        <v/>
      </c>
      <c r="J928" s="218">
        <f t="shared" si="129"/>
        <v>925</v>
      </c>
      <c r="K928" s="250"/>
      <c r="L928" s="219"/>
      <c r="M928" s="218"/>
      <c r="N928" s="220" t="str">
        <f>IFERROR(VLOOKUP(M928,Data!$C$4:$D$395,2,0),"")</f>
        <v/>
      </c>
      <c r="O928" s="220"/>
      <c r="P928" s="229"/>
      <c r="Q928" s="221"/>
      <c r="R928" s="222" t="str">
        <f t="shared" si="130"/>
        <v>-</v>
      </c>
      <c r="S928" s="223"/>
      <c r="T928" s="224"/>
      <c r="U928" s="225">
        <f t="shared" si="131"/>
        <v>0</v>
      </c>
      <c r="V928" s="226">
        <v>0</v>
      </c>
      <c r="W928" s="227"/>
      <c r="X928" s="228">
        <f t="shared" si="132"/>
        <v>0</v>
      </c>
      <c r="Y928" s="229"/>
      <c r="Z928" s="229"/>
      <c r="AA928" s="229"/>
      <c r="AB928" s="222">
        <f t="shared" si="133"/>
        <v>0</v>
      </c>
      <c r="AC928" s="230">
        <f t="shared" si="134"/>
        <v>0</v>
      </c>
      <c r="AD928" s="222" t="str">
        <f t="shared" si="135"/>
        <v/>
      </c>
      <c r="AE928" s="201"/>
      <c r="AF928" s="231" t="str">
        <f>+IFERROR(VLOOKUP(L928,Data!$F$4:$G$97,2,0),"")</f>
        <v/>
      </c>
    </row>
    <row r="929" spans="9:32" ht="15" customHeight="1" x14ac:dyDescent="0.3">
      <c r="I929" s="201" t="str">
        <f t="shared" si="128"/>
        <v/>
      </c>
      <c r="J929" s="218">
        <f t="shared" si="129"/>
        <v>926</v>
      </c>
      <c r="K929" s="250"/>
      <c r="L929" s="219"/>
      <c r="M929" s="218"/>
      <c r="N929" s="220" t="str">
        <f>IFERROR(VLOOKUP(M929,Data!$C$4:$D$395,2,0),"")</f>
        <v/>
      </c>
      <c r="O929" s="220"/>
      <c r="P929" s="229"/>
      <c r="Q929" s="221"/>
      <c r="R929" s="222" t="str">
        <f t="shared" si="130"/>
        <v>-</v>
      </c>
      <c r="S929" s="223"/>
      <c r="T929" s="224"/>
      <c r="U929" s="225">
        <f t="shared" si="131"/>
        <v>0</v>
      </c>
      <c r="V929" s="226">
        <v>0</v>
      </c>
      <c r="W929" s="227"/>
      <c r="X929" s="228">
        <f t="shared" si="132"/>
        <v>0</v>
      </c>
      <c r="Y929" s="229"/>
      <c r="Z929" s="229"/>
      <c r="AA929" s="229"/>
      <c r="AB929" s="222">
        <f t="shared" si="133"/>
        <v>0</v>
      </c>
      <c r="AC929" s="230">
        <f t="shared" si="134"/>
        <v>0</v>
      </c>
      <c r="AD929" s="222" t="str">
        <f t="shared" si="135"/>
        <v/>
      </c>
      <c r="AE929" s="201"/>
      <c r="AF929" s="231" t="str">
        <f>+IFERROR(VLOOKUP(L929,Data!$F$4:$G$97,2,0),"")</f>
        <v/>
      </c>
    </row>
    <row r="930" spans="9:32" ht="15" customHeight="1" x14ac:dyDescent="0.3">
      <c r="I930" s="201" t="str">
        <f t="shared" si="128"/>
        <v/>
      </c>
      <c r="J930" s="218">
        <f t="shared" si="129"/>
        <v>927</v>
      </c>
      <c r="K930" s="250"/>
      <c r="L930" s="219"/>
      <c r="M930" s="218"/>
      <c r="N930" s="220" t="str">
        <f>IFERROR(VLOOKUP(M930,Data!$C$4:$D$395,2,0),"")</f>
        <v/>
      </c>
      <c r="O930" s="220"/>
      <c r="P930" s="229"/>
      <c r="Q930" s="221"/>
      <c r="R930" s="222" t="str">
        <f t="shared" si="130"/>
        <v>-</v>
      </c>
      <c r="S930" s="223"/>
      <c r="T930" s="224"/>
      <c r="U930" s="225">
        <f t="shared" si="131"/>
        <v>0</v>
      </c>
      <c r="V930" s="226">
        <v>0</v>
      </c>
      <c r="W930" s="227"/>
      <c r="X930" s="228">
        <f t="shared" si="132"/>
        <v>0</v>
      </c>
      <c r="Y930" s="229"/>
      <c r="Z930" s="229"/>
      <c r="AA930" s="229"/>
      <c r="AB930" s="222">
        <f t="shared" si="133"/>
        <v>0</v>
      </c>
      <c r="AC930" s="230">
        <f t="shared" si="134"/>
        <v>0</v>
      </c>
      <c r="AD930" s="222" t="str">
        <f t="shared" si="135"/>
        <v/>
      </c>
      <c r="AE930" s="201"/>
      <c r="AF930" s="231" t="str">
        <f>+IFERROR(VLOOKUP(L930,Data!$F$4:$G$97,2,0),"")</f>
        <v/>
      </c>
    </row>
    <row r="931" spans="9:32" ht="15" customHeight="1" x14ac:dyDescent="0.3">
      <c r="I931" s="201" t="str">
        <f t="shared" si="128"/>
        <v/>
      </c>
      <c r="J931" s="218">
        <f t="shared" si="129"/>
        <v>928</v>
      </c>
      <c r="K931" s="250"/>
      <c r="L931" s="219"/>
      <c r="M931" s="218"/>
      <c r="N931" s="220" t="str">
        <f>IFERROR(VLOOKUP(M931,Data!$C$4:$D$395,2,0),"")</f>
        <v/>
      </c>
      <c r="O931" s="220"/>
      <c r="P931" s="229"/>
      <c r="Q931" s="221"/>
      <c r="R931" s="222" t="str">
        <f t="shared" si="130"/>
        <v>-</v>
      </c>
      <c r="S931" s="223"/>
      <c r="T931" s="224"/>
      <c r="U931" s="225">
        <f t="shared" si="131"/>
        <v>0</v>
      </c>
      <c r="V931" s="226">
        <v>0</v>
      </c>
      <c r="W931" s="227"/>
      <c r="X931" s="228">
        <f t="shared" si="132"/>
        <v>0</v>
      </c>
      <c r="Y931" s="229"/>
      <c r="Z931" s="229"/>
      <c r="AA931" s="229"/>
      <c r="AB931" s="222">
        <f t="shared" si="133"/>
        <v>0</v>
      </c>
      <c r="AC931" s="230">
        <f t="shared" si="134"/>
        <v>0</v>
      </c>
      <c r="AD931" s="222" t="str">
        <f t="shared" si="135"/>
        <v/>
      </c>
      <c r="AE931" s="201"/>
      <c r="AF931" s="231" t="str">
        <f>+IFERROR(VLOOKUP(L931,Data!$F$4:$G$97,2,0),"")</f>
        <v/>
      </c>
    </row>
    <row r="932" spans="9:32" ht="15" customHeight="1" x14ac:dyDescent="0.3">
      <c r="I932" s="201" t="str">
        <f t="shared" si="128"/>
        <v/>
      </c>
      <c r="J932" s="218">
        <f t="shared" si="129"/>
        <v>929</v>
      </c>
      <c r="K932" s="250"/>
      <c r="L932" s="219"/>
      <c r="M932" s="218"/>
      <c r="N932" s="220" t="str">
        <f>IFERROR(VLOOKUP(M932,Data!$C$4:$D$395,2,0),"")</f>
        <v/>
      </c>
      <c r="O932" s="220"/>
      <c r="P932" s="229"/>
      <c r="Q932" s="221"/>
      <c r="R932" s="222" t="str">
        <f t="shared" si="130"/>
        <v>-</v>
      </c>
      <c r="S932" s="223"/>
      <c r="T932" s="224"/>
      <c r="U932" s="225">
        <f t="shared" si="131"/>
        <v>0</v>
      </c>
      <c r="V932" s="226">
        <v>0</v>
      </c>
      <c r="W932" s="227"/>
      <c r="X932" s="228">
        <f t="shared" si="132"/>
        <v>0</v>
      </c>
      <c r="Y932" s="229"/>
      <c r="Z932" s="229"/>
      <c r="AA932" s="229"/>
      <c r="AB932" s="222">
        <f t="shared" si="133"/>
        <v>0</v>
      </c>
      <c r="AC932" s="230">
        <f t="shared" si="134"/>
        <v>0</v>
      </c>
      <c r="AD932" s="222" t="str">
        <f t="shared" si="135"/>
        <v/>
      </c>
      <c r="AE932" s="201"/>
      <c r="AF932" s="231" t="str">
        <f>+IFERROR(VLOOKUP(L932,Data!$F$4:$G$97,2,0),"")</f>
        <v/>
      </c>
    </row>
    <row r="933" spans="9:32" ht="15" customHeight="1" x14ac:dyDescent="0.3">
      <c r="I933" s="201" t="str">
        <f t="shared" si="128"/>
        <v/>
      </c>
      <c r="J933" s="218">
        <f t="shared" si="129"/>
        <v>930</v>
      </c>
      <c r="K933" s="250"/>
      <c r="L933" s="219"/>
      <c r="M933" s="218"/>
      <c r="N933" s="220" t="str">
        <f>IFERROR(VLOOKUP(M933,Data!$C$4:$D$395,2,0),"")</f>
        <v/>
      </c>
      <c r="O933" s="220"/>
      <c r="P933" s="229"/>
      <c r="Q933" s="221"/>
      <c r="R933" s="222" t="str">
        <f t="shared" si="130"/>
        <v>-</v>
      </c>
      <c r="S933" s="223"/>
      <c r="T933" s="224"/>
      <c r="U933" s="225">
        <f t="shared" si="131"/>
        <v>0</v>
      </c>
      <c r="V933" s="226">
        <v>0</v>
      </c>
      <c r="W933" s="227"/>
      <c r="X933" s="228">
        <f t="shared" si="132"/>
        <v>0</v>
      </c>
      <c r="Y933" s="229"/>
      <c r="Z933" s="229"/>
      <c r="AA933" s="229"/>
      <c r="AB933" s="222">
        <f t="shared" si="133"/>
        <v>0</v>
      </c>
      <c r="AC933" s="230">
        <f t="shared" si="134"/>
        <v>0</v>
      </c>
      <c r="AD933" s="222" t="str">
        <f t="shared" si="135"/>
        <v/>
      </c>
      <c r="AE933" s="201"/>
      <c r="AF933" s="231" t="str">
        <f>+IFERROR(VLOOKUP(L933,Data!$F$4:$G$97,2,0),"")</f>
        <v/>
      </c>
    </row>
    <row r="934" spans="9:32" ht="15" customHeight="1" x14ac:dyDescent="0.3">
      <c r="I934" s="201" t="str">
        <f t="shared" si="128"/>
        <v/>
      </c>
      <c r="J934" s="218">
        <f t="shared" si="129"/>
        <v>931</v>
      </c>
      <c r="K934" s="250"/>
      <c r="L934" s="219"/>
      <c r="M934" s="218"/>
      <c r="N934" s="220" t="str">
        <f>IFERROR(VLOOKUP(M934,Data!$C$4:$D$395,2,0),"")</f>
        <v/>
      </c>
      <c r="O934" s="220"/>
      <c r="P934" s="229"/>
      <c r="Q934" s="221"/>
      <c r="R934" s="222" t="str">
        <f t="shared" si="130"/>
        <v>-</v>
      </c>
      <c r="S934" s="223"/>
      <c r="T934" s="224"/>
      <c r="U934" s="225">
        <f t="shared" si="131"/>
        <v>0</v>
      </c>
      <c r="V934" s="226">
        <v>0</v>
      </c>
      <c r="W934" s="227"/>
      <c r="X934" s="228">
        <f t="shared" si="132"/>
        <v>0</v>
      </c>
      <c r="Y934" s="229"/>
      <c r="Z934" s="229"/>
      <c r="AA934" s="229"/>
      <c r="AB934" s="222">
        <f t="shared" si="133"/>
        <v>0</v>
      </c>
      <c r="AC934" s="230">
        <f t="shared" si="134"/>
        <v>0</v>
      </c>
      <c r="AD934" s="222" t="str">
        <f t="shared" si="135"/>
        <v/>
      </c>
      <c r="AE934" s="201"/>
      <c r="AF934" s="231" t="str">
        <f>+IFERROR(VLOOKUP(L934,Data!$F$4:$G$97,2,0),"")</f>
        <v/>
      </c>
    </row>
    <row r="935" spans="9:32" ht="15" customHeight="1" x14ac:dyDescent="0.3">
      <c r="I935" s="201" t="str">
        <f t="shared" si="128"/>
        <v/>
      </c>
      <c r="J935" s="218">
        <f t="shared" si="129"/>
        <v>932</v>
      </c>
      <c r="K935" s="250"/>
      <c r="L935" s="219"/>
      <c r="M935" s="218"/>
      <c r="N935" s="220" t="str">
        <f>IFERROR(VLOOKUP(M935,Data!$C$4:$D$395,2,0),"")</f>
        <v/>
      </c>
      <c r="O935" s="220"/>
      <c r="P935" s="229"/>
      <c r="Q935" s="221"/>
      <c r="R935" s="222" t="str">
        <f t="shared" si="130"/>
        <v>-</v>
      </c>
      <c r="S935" s="223"/>
      <c r="T935" s="224"/>
      <c r="U935" s="225">
        <f t="shared" si="131"/>
        <v>0</v>
      </c>
      <c r="V935" s="226">
        <v>0</v>
      </c>
      <c r="W935" s="227"/>
      <c r="X935" s="228">
        <f t="shared" si="132"/>
        <v>0</v>
      </c>
      <c r="Y935" s="229"/>
      <c r="Z935" s="229"/>
      <c r="AA935" s="229"/>
      <c r="AB935" s="222">
        <f t="shared" si="133"/>
        <v>0</v>
      </c>
      <c r="AC935" s="230">
        <f t="shared" si="134"/>
        <v>0</v>
      </c>
      <c r="AD935" s="222" t="str">
        <f t="shared" si="135"/>
        <v/>
      </c>
      <c r="AE935" s="201"/>
      <c r="AF935" s="231" t="str">
        <f>+IFERROR(VLOOKUP(L935,Data!$F$4:$G$97,2,0),"")</f>
        <v/>
      </c>
    </row>
    <row r="936" spans="9:32" ht="15" customHeight="1" x14ac:dyDescent="0.3">
      <c r="I936" s="201" t="str">
        <f t="shared" si="128"/>
        <v/>
      </c>
      <c r="J936" s="218">
        <f t="shared" si="129"/>
        <v>933</v>
      </c>
      <c r="K936" s="250"/>
      <c r="L936" s="219"/>
      <c r="M936" s="218"/>
      <c r="N936" s="220" t="str">
        <f>IFERROR(VLOOKUP(M936,Data!$C$4:$D$395,2,0),"")</f>
        <v/>
      </c>
      <c r="O936" s="220"/>
      <c r="P936" s="229"/>
      <c r="Q936" s="221"/>
      <c r="R936" s="222" t="str">
        <f t="shared" si="130"/>
        <v>-</v>
      </c>
      <c r="S936" s="223"/>
      <c r="T936" s="224"/>
      <c r="U936" s="225">
        <f t="shared" si="131"/>
        <v>0</v>
      </c>
      <c r="V936" s="226">
        <v>0</v>
      </c>
      <c r="W936" s="227"/>
      <c r="X936" s="228">
        <f t="shared" si="132"/>
        <v>0</v>
      </c>
      <c r="Y936" s="229"/>
      <c r="Z936" s="229"/>
      <c r="AA936" s="229"/>
      <c r="AB936" s="222">
        <f t="shared" si="133"/>
        <v>0</v>
      </c>
      <c r="AC936" s="230">
        <f t="shared" si="134"/>
        <v>0</v>
      </c>
      <c r="AD936" s="222" t="str">
        <f t="shared" si="135"/>
        <v/>
      </c>
      <c r="AE936" s="201"/>
      <c r="AF936" s="231" t="str">
        <f>+IFERROR(VLOOKUP(L936,Data!$F$4:$G$97,2,0),"")</f>
        <v/>
      </c>
    </row>
    <row r="937" spans="9:32" ht="15" customHeight="1" x14ac:dyDescent="0.3">
      <c r="I937" s="201" t="str">
        <f t="shared" si="128"/>
        <v/>
      </c>
      <c r="J937" s="218">
        <f t="shared" si="129"/>
        <v>934</v>
      </c>
      <c r="K937" s="250"/>
      <c r="L937" s="219"/>
      <c r="M937" s="218"/>
      <c r="N937" s="220" t="str">
        <f>IFERROR(VLOOKUP(M937,Data!$C$4:$D$395,2,0),"")</f>
        <v/>
      </c>
      <c r="O937" s="220"/>
      <c r="P937" s="229"/>
      <c r="Q937" s="221"/>
      <c r="R937" s="222" t="str">
        <f t="shared" si="130"/>
        <v>-</v>
      </c>
      <c r="S937" s="223"/>
      <c r="T937" s="224"/>
      <c r="U937" s="225">
        <f t="shared" si="131"/>
        <v>0</v>
      </c>
      <c r="V937" s="226">
        <v>0</v>
      </c>
      <c r="W937" s="227"/>
      <c r="X937" s="228">
        <f t="shared" si="132"/>
        <v>0</v>
      </c>
      <c r="Y937" s="229"/>
      <c r="Z937" s="229"/>
      <c r="AA937" s="229"/>
      <c r="AB937" s="222">
        <f t="shared" si="133"/>
        <v>0</v>
      </c>
      <c r="AC937" s="230">
        <f t="shared" si="134"/>
        <v>0</v>
      </c>
      <c r="AD937" s="222" t="str">
        <f t="shared" si="135"/>
        <v/>
      </c>
      <c r="AE937" s="201"/>
      <c r="AF937" s="231" t="str">
        <f>+IFERROR(VLOOKUP(L937,Data!$F$4:$G$97,2,0),"")</f>
        <v/>
      </c>
    </row>
    <row r="938" spans="9:32" ht="15" customHeight="1" x14ac:dyDescent="0.3">
      <c r="I938" s="201" t="str">
        <f t="shared" si="128"/>
        <v/>
      </c>
      <c r="J938" s="218">
        <f t="shared" si="129"/>
        <v>935</v>
      </c>
      <c r="K938" s="250"/>
      <c r="L938" s="219"/>
      <c r="M938" s="218"/>
      <c r="N938" s="220" t="str">
        <f>IFERROR(VLOOKUP(M938,Data!$C$4:$D$395,2,0),"")</f>
        <v/>
      </c>
      <c r="O938" s="220"/>
      <c r="P938" s="229"/>
      <c r="Q938" s="221"/>
      <c r="R938" s="222" t="str">
        <f t="shared" si="130"/>
        <v>-</v>
      </c>
      <c r="S938" s="223"/>
      <c r="T938" s="224"/>
      <c r="U938" s="225">
        <f t="shared" si="131"/>
        <v>0</v>
      </c>
      <c r="V938" s="226">
        <v>0</v>
      </c>
      <c r="W938" s="227"/>
      <c r="X938" s="228">
        <f t="shared" si="132"/>
        <v>0</v>
      </c>
      <c r="Y938" s="229"/>
      <c r="Z938" s="229"/>
      <c r="AA938" s="229"/>
      <c r="AB938" s="222">
        <f t="shared" si="133"/>
        <v>0</v>
      </c>
      <c r="AC938" s="230">
        <f t="shared" si="134"/>
        <v>0</v>
      </c>
      <c r="AD938" s="222" t="str">
        <f t="shared" si="135"/>
        <v/>
      </c>
      <c r="AE938" s="201"/>
      <c r="AF938" s="231" t="str">
        <f>+IFERROR(VLOOKUP(L938,Data!$F$4:$G$97,2,0),"")</f>
        <v/>
      </c>
    </row>
    <row r="939" spans="9:32" ht="15" customHeight="1" x14ac:dyDescent="0.3">
      <c r="I939" s="201" t="str">
        <f t="shared" si="128"/>
        <v/>
      </c>
      <c r="J939" s="218">
        <f t="shared" si="129"/>
        <v>936</v>
      </c>
      <c r="K939" s="250"/>
      <c r="L939" s="219"/>
      <c r="M939" s="218"/>
      <c r="N939" s="220" t="str">
        <f>IFERROR(VLOOKUP(M939,Data!$C$4:$D$395,2,0),"")</f>
        <v/>
      </c>
      <c r="O939" s="220"/>
      <c r="P939" s="229"/>
      <c r="Q939" s="221"/>
      <c r="R939" s="222" t="str">
        <f t="shared" si="130"/>
        <v>-</v>
      </c>
      <c r="S939" s="223"/>
      <c r="T939" s="224"/>
      <c r="U939" s="225">
        <f t="shared" si="131"/>
        <v>0</v>
      </c>
      <c r="V939" s="226">
        <v>0</v>
      </c>
      <c r="W939" s="227"/>
      <c r="X939" s="228">
        <f t="shared" si="132"/>
        <v>0</v>
      </c>
      <c r="Y939" s="229"/>
      <c r="Z939" s="229"/>
      <c r="AA939" s="229"/>
      <c r="AB939" s="222">
        <f t="shared" si="133"/>
        <v>0</v>
      </c>
      <c r="AC939" s="230">
        <f t="shared" si="134"/>
        <v>0</v>
      </c>
      <c r="AD939" s="222" t="str">
        <f t="shared" si="135"/>
        <v/>
      </c>
      <c r="AE939" s="201"/>
      <c r="AF939" s="231" t="str">
        <f>+IFERROR(VLOOKUP(L939,Data!$F$4:$G$97,2,0),"")</f>
        <v/>
      </c>
    </row>
    <row r="940" spans="9:32" ht="15" customHeight="1" x14ac:dyDescent="0.3">
      <c r="I940" s="201" t="str">
        <f t="shared" si="128"/>
        <v/>
      </c>
      <c r="J940" s="218">
        <f t="shared" si="129"/>
        <v>937</v>
      </c>
      <c r="K940" s="250"/>
      <c r="L940" s="219"/>
      <c r="M940" s="218"/>
      <c r="N940" s="220" t="str">
        <f>IFERROR(VLOOKUP(M940,Data!$C$4:$D$395,2,0),"")</f>
        <v/>
      </c>
      <c r="O940" s="220"/>
      <c r="P940" s="229"/>
      <c r="Q940" s="221"/>
      <c r="R940" s="222" t="str">
        <f t="shared" si="130"/>
        <v>-</v>
      </c>
      <c r="S940" s="223"/>
      <c r="T940" s="224"/>
      <c r="U940" s="225">
        <f t="shared" si="131"/>
        <v>0</v>
      </c>
      <c r="V940" s="226">
        <v>0</v>
      </c>
      <c r="W940" s="227"/>
      <c r="X940" s="228">
        <f t="shared" si="132"/>
        <v>0</v>
      </c>
      <c r="Y940" s="229"/>
      <c r="Z940" s="229"/>
      <c r="AA940" s="229"/>
      <c r="AB940" s="222">
        <f t="shared" si="133"/>
        <v>0</v>
      </c>
      <c r="AC940" s="230">
        <f t="shared" si="134"/>
        <v>0</v>
      </c>
      <c r="AD940" s="222" t="str">
        <f t="shared" si="135"/>
        <v/>
      </c>
      <c r="AE940" s="201"/>
      <c r="AF940" s="231" t="str">
        <f>+IFERROR(VLOOKUP(L940,Data!$F$4:$G$97,2,0),"")</f>
        <v/>
      </c>
    </row>
    <row r="941" spans="9:32" ht="15" customHeight="1" x14ac:dyDescent="0.3">
      <c r="I941" s="201" t="str">
        <f t="shared" si="128"/>
        <v/>
      </c>
      <c r="J941" s="218">
        <f t="shared" si="129"/>
        <v>938</v>
      </c>
      <c r="K941" s="250"/>
      <c r="L941" s="219"/>
      <c r="M941" s="218"/>
      <c r="N941" s="220" t="str">
        <f>IFERROR(VLOOKUP(M941,Data!$C$4:$D$395,2,0),"")</f>
        <v/>
      </c>
      <c r="O941" s="220"/>
      <c r="P941" s="229"/>
      <c r="Q941" s="221"/>
      <c r="R941" s="222" t="str">
        <f t="shared" si="130"/>
        <v>-</v>
      </c>
      <c r="S941" s="223"/>
      <c r="T941" s="224"/>
      <c r="U941" s="225">
        <f t="shared" si="131"/>
        <v>0</v>
      </c>
      <c r="V941" s="226">
        <v>0</v>
      </c>
      <c r="W941" s="227"/>
      <c r="X941" s="228">
        <f t="shared" si="132"/>
        <v>0</v>
      </c>
      <c r="Y941" s="229"/>
      <c r="Z941" s="229"/>
      <c r="AA941" s="229"/>
      <c r="AB941" s="222">
        <f t="shared" si="133"/>
        <v>0</v>
      </c>
      <c r="AC941" s="230">
        <f t="shared" si="134"/>
        <v>0</v>
      </c>
      <c r="AD941" s="222" t="str">
        <f t="shared" si="135"/>
        <v/>
      </c>
      <c r="AE941" s="201"/>
      <c r="AF941" s="231" t="str">
        <f>+IFERROR(VLOOKUP(L941,Data!$F$4:$G$97,2,0),"")</f>
        <v/>
      </c>
    </row>
    <row r="942" spans="9:32" ht="15" customHeight="1" x14ac:dyDescent="0.3">
      <c r="I942" s="201" t="str">
        <f t="shared" si="128"/>
        <v/>
      </c>
      <c r="J942" s="218">
        <f t="shared" si="129"/>
        <v>939</v>
      </c>
      <c r="K942" s="250"/>
      <c r="L942" s="219"/>
      <c r="M942" s="218"/>
      <c r="N942" s="220" t="str">
        <f>IFERROR(VLOOKUP(M942,Data!$C$4:$D$395,2,0),"")</f>
        <v/>
      </c>
      <c r="O942" s="220"/>
      <c r="P942" s="229"/>
      <c r="Q942" s="221"/>
      <c r="R942" s="222" t="str">
        <f t="shared" si="130"/>
        <v>-</v>
      </c>
      <c r="S942" s="223"/>
      <c r="T942" s="224"/>
      <c r="U942" s="225">
        <f t="shared" si="131"/>
        <v>0</v>
      </c>
      <c r="V942" s="226">
        <v>0</v>
      </c>
      <c r="W942" s="227"/>
      <c r="X942" s="228">
        <f t="shared" si="132"/>
        <v>0</v>
      </c>
      <c r="Y942" s="229"/>
      <c r="Z942" s="229"/>
      <c r="AA942" s="229"/>
      <c r="AB942" s="222">
        <f t="shared" si="133"/>
        <v>0</v>
      </c>
      <c r="AC942" s="230">
        <f t="shared" si="134"/>
        <v>0</v>
      </c>
      <c r="AD942" s="222" t="str">
        <f t="shared" si="135"/>
        <v/>
      </c>
      <c r="AE942" s="201"/>
      <c r="AF942" s="231" t="str">
        <f>+IFERROR(VLOOKUP(L942,Data!$F$4:$G$97,2,0),"")</f>
        <v/>
      </c>
    </row>
    <row r="943" spans="9:32" ht="15" customHeight="1" x14ac:dyDescent="0.3">
      <c r="I943" s="201" t="str">
        <f t="shared" si="128"/>
        <v/>
      </c>
      <c r="J943" s="218">
        <f t="shared" si="129"/>
        <v>940</v>
      </c>
      <c r="K943" s="250"/>
      <c r="L943" s="219"/>
      <c r="M943" s="218"/>
      <c r="N943" s="220" t="str">
        <f>IFERROR(VLOOKUP(M943,Data!$C$4:$D$395,2,0),"")</f>
        <v/>
      </c>
      <c r="O943" s="220"/>
      <c r="P943" s="229"/>
      <c r="Q943" s="221"/>
      <c r="R943" s="222" t="str">
        <f t="shared" si="130"/>
        <v>-</v>
      </c>
      <c r="S943" s="223"/>
      <c r="T943" s="224"/>
      <c r="U943" s="225">
        <f t="shared" si="131"/>
        <v>0</v>
      </c>
      <c r="V943" s="226">
        <v>0</v>
      </c>
      <c r="W943" s="227"/>
      <c r="X943" s="228">
        <f t="shared" si="132"/>
        <v>0</v>
      </c>
      <c r="Y943" s="229"/>
      <c r="Z943" s="229"/>
      <c r="AA943" s="229"/>
      <c r="AB943" s="222">
        <f t="shared" si="133"/>
        <v>0</v>
      </c>
      <c r="AC943" s="230">
        <f t="shared" si="134"/>
        <v>0</v>
      </c>
      <c r="AD943" s="222" t="str">
        <f t="shared" si="135"/>
        <v/>
      </c>
      <c r="AE943" s="201"/>
      <c r="AF943" s="231" t="str">
        <f>+IFERROR(VLOOKUP(L943,Data!$F$4:$G$97,2,0),"")</f>
        <v/>
      </c>
    </row>
    <row r="944" spans="9:32" ht="15" customHeight="1" x14ac:dyDescent="0.3">
      <c r="I944" s="201" t="str">
        <f t="shared" si="128"/>
        <v/>
      </c>
      <c r="J944" s="218">
        <f t="shared" si="129"/>
        <v>941</v>
      </c>
      <c r="K944" s="250"/>
      <c r="L944" s="219"/>
      <c r="M944" s="218"/>
      <c r="N944" s="220" t="str">
        <f>IFERROR(VLOOKUP(M944,Data!$C$4:$D$395,2,0),"")</f>
        <v/>
      </c>
      <c r="O944" s="220"/>
      <c r="P944" s="229"/>
      <c r="Q944" s="221"/>
      <c r="R944" s="222" t="str">
        <f t="shared" si="130"/>
        <v>-</v>
      </c>
      <c r="S944" s="223"/>
      <c r="T944" s="224"/>
      <c r="U944" s="225">
        <f t="shared" si="131"/>
        <v>0</v>
      </c>
      <c r="V944" s="226">
        <v>0</v>
      </c>
      <c r="W944" s="227"/>
      <c r="X944" s="228">
        <f t="shared" si="132"/>
        <v>0</v>
      </c>
      <c r="Y944" s="229"/>
      <c r="Z944" s="229"/>
      <c r="AA944" s="229"/>
      <c r="AB944" s="222">
        <f t="shared" si="133"/>
        <v>0</v>
      </c>
      <c r="AC944" s="230">
        <f t="shared" si="134"/>
        <v>0</v>
      </c>
      <c r="AD944" s="222" t="str">
        <f t="shared" si="135"/>
        <v/>
      </c>
      <c r="AE944" s="201"/>
      <c r="AF944" s="231" t="str">
        <f>+IFERROR(VLOOKUP(L944,Data!$F$4:$G$97,2,0),"")</f>
        <v/>
      </c>
    </row>
    <row r="945" spans="9:32" ht="15" customHeight="1" x14ac:dyDescent="0.3">
      <c r="I945" s="201" t="str">
        <f t="shared" si="128"/>
        <v/>
      </c>
      <c r="J945" s="218">
        <f t="shared" si="129"/>
        <v>942</v>
      </c>
      <c r="K945" s="250"/>
      <c r="L945" s="219"/>
      <c r="M945" s="218"/>
      <c r="N945" s="220" t="str">
        <f>IFERROR(VLOOKUP(M945,Data!$C$4:$D$395,2,0),"")</f>
        <v/>
      </c>
      <c r="O945" s="220"/>
      <c r="P945" s="229"/>
      <c r="Q945" s="221"/>
      <c r="R945" s="222" t="str">
        <f t="shared" si="130"/>
        <v>-</v>
      </c>
      <c r="S945" s="223"/>
      <c r="T945" s="224"/>
      <c r="U945" s="225">
        <f t="shared" si="131"/>
        <v>0</v>
      </c>
      <c r="V945" s="226">
        <v>0</v>
      </c>
      <c r="W945" s="227"/>
      <c r="X945" s="228">
        <f t="shared" si="132"/>
        <v>0</v>
      </c>
      <c r="Y945" s="229"/>
      <c r="Z945" s="229"/>
      <c r="AA945" s="229"/>
      <c r="AB945" s="222">
        <f t="shared" si="133"/>
        <v>0</v>
      </c>
      <c r="AC945" s="230">
        <f t="shared" si="134"/>
        <v>0</v>
      </c>
      <c r="AD945" s="222" t="str">
        <f t="shared" si="135"/>
        <v/>
      </c>
      <c r="AE945" s="201"/>
      <c r="AF945" s="231" t="str">
        <f>+IFERROR(VLOOKUP(L945,Data!$F$4:$G$97,2,0),"")</f>
        <v/>
      </c>
    </row>
    <row r="946" spans="9:32" ht="15" customHeight="1" x14ac:dyDescent="0.3">
      <c r="I946" s="201" t="str">
        <f t="shared" si="128"/>
        <v/>
      </c>
      <c r="J946" s="218">
        <f t="shared" si="129"/>
        <v>943</v>
      </c>
      <c r="K946" s="250"/>
      <c r="L946" s="219"/>
      <c r="M946" s="218"/>
      <c r="N946" s="220" t="str">
        <f>IFERROR(VLOOKUP(M946,Data!$C$4:$D$395,2,0),"")</f>
        <v/>
      </c>
      <c r="O946" s="220"/>
      <c r="P946" s="229"/>
      <c r="Q946" s="221"/>
      <c r="R946" s="222" t="str">
        <f t="shared" si="130"/>
        <v>-</v>
      </c>
      <c r="S946" s="223"/>
      <c r="T946" s="224"/>
      <c r="U946" s="225">
        <f t="shared" si="131"/>
        <v>0</v>
      </c>
      <c r="V946" s="226">
        <v>0</v>
      </c>
      <c r="W946" s="227"/>
      <c r="X946" s="228">
        <f t="shared" si="132"/>
        <v>0</v>
      </c>
      <c r="Y946" s="229"/>
      <c r="Z946" s="229"/>
      <c r="AA946" s="229"/>
      <c r="AB946" s="222">
        <f t="shared" si="133"/>
        <v>0</v>
      </c>
      <c r="AC946" s="230">
        <f t="shared" si="134"/>
        <v>0</v>
      </c>
      <c r="AD946" s="222" t="str">
        <f t="shared" si="135"/>
        <v/>
      </c>
      <c r="AE946" s="201"/>
      <c r="AF946" s="231" t="str">
        <f>+IFERROR(VLOOKUP(L946,Data!$F$4:$G$97,2,0),"")</f>
        <v/>
      </c>
    </row>
    <row r="947" spans="9:32" ht="15" customHeight="1" x14ac:dyDescent="0.3">
      <c r="I947" s="201" t="str">
        <f t="shared" si="128"/>
        <v/>
      </c>
      <c r="J947" s="218">
        <f t="shared" si="129"/>
        <v>944</v>
      </c>
      <c r="K947" s="250"/>
      <c r="L947" s="219"/>
      <c r="M947" s="218"/>
      <c r="N947" s="220" t="str">
        <f>IFERROR(VLOOKUP(M947,Data!$C$4:$D$395,2,0),"")</f>
        <v/>
      </c>
      <c r="O947" s="220"/>
      <c r="P947" s="229"/>
      <c r="Q947" s="221"/>
      <c r="R947" s="222" t="str">
        <f t="shared" si="130"/>
        <v>-</v>
      </c>
      <c r="S947" s="223"/>
      <c r="T947" s="224"/>
      <c r="U947" s="225">
        <f t="shared" si="131"/>
        <v>0</v>
      </c>
      <c r="V947" s="226">
        <v>0</v>
      </c>
      <c r="W947" s="227"/>
      <c r="X947" s="228">
        <f t="shared" si="132"/>
        <v>0</v>
      </c>
      <c r="Y947" s="229"/>
      <c r="Z947" s="229"/>
      <c r="AA947" s="229"/>
      <c r="AB947" s="222">
        <f t="shared" si="133"/>
        <v>0</v>
      </c>
      <c r="AC947" s="230">
        <f t="shared" si="134"/>
        <v>0</v>
      </c>
      <c r="AD947" s="222" t="str">
        <f t="shared" si="135"/>
        <v/>
      </c>
      <c r="AE947" s="201"/>
      <c r="AF947" s="231" t="str">
        <f>+IFERROR(VLOOKUP(L947,Data!$F$4:$G$97,2,0),"")</f>
        <v/>
      </c>
    </row>
    <row r="948" spans="9:32" ht="15" customHeight="1" x14ac:dyDescent="0.3">
      <c r="I948" s="201" t="str">
        <f t="shared" si="128"/>
        <v/>
      </c>
      <c r="J948" s="218">
        <f t="shared" si="129"/>
        <v>945</v>
      </c>
      <c r="K948" s="250"/>
      <c r="L948" s="219"/>
      <c r="M948" s="218"/>
      <c r="N948" s="220" t="str">
        <f>IFERROR(VLOOKUP(M948,Data!$C$4:$D$395,2,0),"")</f>
        <v/>
      </c>
      <c r="O948" s="220"/>
      <c r="P948" s="229"/>
      <c r="Q948" s="221"/>
      <c r="R948" s="222" t="str">
        <f t="shared" si="130"/>
        <v>-</v>
      </c>
      <c r="S948" s="223"/>
      <c r="T948" s="224"/>
      <c r="U948" s="225">
        <f t="shared" si="131"/>
        <v>0</v>
      </c>
      <c r="V948" s="226">
        <v>0</v>
      </c>
      <c r="W948" s="227"/>
      <c r="X948" s="228">
        <f t="shared" si="132"/>
        <v>0</v>
      </c>
      <c r="Y948" s="229"/>
      <c r="Z948" s="229"/>
      <c r="AA948" s="229"/>
      <c r="AB948" s="222">
        <f t="shared" si="133"/>
        <v>0</v>
      </c>
      <c r="AC948" s="230">
        <f t="shared" si="134"/>
        <v>0</v>
      </c>
      <c r="AD948" s="222" t="str">
        <f t="shared" si="135"/>
        <v/>
      </c>
      <c r="AE948" s="201"/>
      <c r="AF948" s="231" t="str">
        <f>+IFERROR(VLOOKUP(L948,Data!$F$4:$G$97,2,0),"")</f>
        <v/>
      </c>
    </row>
    <row r="949" spans="9:32" ht="15" customHeight="1" x14ac:dyDescent="0.3">
      <c r="I949" s="201" t="str">
        <f t="shared" si="128"/>
        <v/>
      </c>
      <c r="J949" s="218">
        <f t="shared" si="129"/>
        <v>946</v>
      </c>
      <c r="K949" s="250"/>
      <c r="L949" s="219"/>
      <c r="M949" s="218"/>
      <c r="N949" s="220" t="str">
        <f>IFERROR(VLOOKUP(M949,Data!$C$4:$D$395,2,0),"")</f>
        <v/>
      </c>
      <c r="O949" s="220"/>
      <c r="P949" s="229"/>
      <c r="Q949" s="221"/>
      <c r="R949" s="222" t="str">
        <f t="shared" si="130"/>
        <v>-</v>
      </c>
      <c r="S949" s="223"/>
      <c r="T949" s="224"/>
      <c r="U949" s="225">
        <f t="shared" si="131"/>
        <v>0</v>
      </c>
      <c r="V949" s="226">
        <v>0</v>
      </c>
      <c r="W949" s="227"/>
      <c r="X949" s="228">
        <f t="shared" si="132"/>
        <v>0</v>
      </c>
      <c r="Y949" s="229"/>
      <c r="Z949" s="229"/>
      <c r="AA949" s="229"/>
      <c r="AB949" s="222">
        <f t="shared" si="133"/>
        <v>0</v>
      </c>
      <c r="AC949" s="230">
        <f t="shared" si="134"/>
        <v>0</v>
      </c>
      <c r="AD949" s="222" t="str">
        <f t="shared" si="135"/>
        <v/>
      </c>
      <c r="AE949" s="201"/>
      <c r="AF949" s="231" t="str">
        <f>+IFERROR(VLOOKUP(L949,Data!$F$4:$G$97,2,0),"")</f>
        <v/>
      </c>
    </row>
    <row r="950" spans="9:32" ht="15" customHeight="1" x14ac:dyDescent="0.3">
      <c r="I950" s="201" t="str">
        <f t="shared" si="128"/>
        <v/>
      </c>
      <c r="J950" s="218">
        <f t="shared" si="129"/>
        <v>947</v>
      </c>
      <c r="K950" s="250"/>
      <c r="L950" s="219"/>
      <c r="M950" s="218"/>
      <c r="N950" s="220" t="str">
        <f>IFERROR(VLOOKUP(M950,Data!$C$4:$D$395,2,0),"")</f>
        <v/>
      </c>
      <c r="O950" s="220"/>
      <c r="P950" s="229"/>
      <c r="Q950" s="221"/>
      <c r="R950" s="222" t="str">
        <f t="shared" si="130"/>
        <v>-</v>
      </c>
      <c r="S950" s="223"/>
      <c r="T950" s="224"/>
      <c r="U950" s="225">
        <f t="shared" si="131"/>
        <v>0</v>
      </c>
      <c r="V950" s="226">
        <v>0</v>
      </c>
      <c r="W950" s="227"/>
      <c r="X950" s="228">
        <f t="shared" si="132"/>
        <v>0</v>
      </c>
      <c r="Y950" s="229"/>
      <c r="Z950" s="229"/>
      <c r="AA950" s="229"/>
      <c r="AB950" s="222">
        <f t="shared" si="133"/>
        <v>0</v>
      </c>
      <c r="AC950" s="230">
        <f t="shared" si="134"/>
        <v>0</v>
      </c>
      <c r="AD950" s="222" t="str">
        <f t="shared" si="135"/>
        <v/>
      </c>
      <c r="AE950" s="201"/>
      <c r="AF950" s="231" t="str">
        <f>+IFERROR(VLOOKUP(L950,Data!$F$4:$G$97,2,0),"")</f>
        <v/>
      </c>
    </row>
    <row r="951" spans="9:32" ht="15" customHeight="1" x14ac:dyDescent="0.3">
      <c r="I951" s="201" t="str">
        <f t="shared" si="128"/>
        <v/>
      </c>
      <c r="J951" s="218">
        <f t="shared" si="129"/>
        <v>948</v>
      </c>
      <c r="K951" s="250"/>
      <c r="L951" s="219"/>
      <c r="M951" s="218"/>
      <c r="N951" s="220" t="str">
        <f>IFERROR(VLOOKUP(M951,Data!$C$4:$D$395,2,0),"")</f>
        <v/>
      </c>
      <c r="O951" s="220"/>
      <c r="P951" s="229"/>
      <c r="Q951" s="221"/>
      <c r="R951" s="222" t="str">
        <f t="shared" si="130"/>
        <v>-</v>
      </c>
      <c r="S951" s="223"/>
      <c r="T951" s="224"/>
      <c r="U951" s="225">
        <f t="shared" si="131"/>
        <v>0</v>
      </c>
      <c r="V951" s="226">
        <v>0</v>
      </c>
      <c r="W951" s="227"/>
      <c r="X951" s="228">
        <f t="shared" si="132"/>
        <v>0</v>
      </c>
      <c r="Y951" s="229"/>
      <c r="Z951" s="229"/>
      <c r="AA951" s="229"/>
      <c r="AB951" s="222">
        <f t="shared" si="133"/>
        <v>0</v>
      </c>
      <c r="AC951" s="230">
        <f t="shared" si="134"/>
        <v>0</v>
      </c>
      <c r="AD951" s="222" t="str">
        <f t="shared" si="135"/>
        <v/>
      </c>
      <c r="AE951" s="201"/>
      <c r="AF951" s="231" t="str">
        <f>+IFERROR(VLOOKUP(L951,Data!$F$4:$G$97,2,0),"")</f>
        <v/>
      </c>
    </row>
    <row r="952" spans="9:32" ht="15" customHeight="1" x14ac:dyDescent="0.3">
      <c r="I952" s="201" t="str">
        <f t="shared" si="128"/>
        <v/>
      </c>
      <c r="J952" s="218">
        <f t="shared" si="129"/>
        <v>949</v>
      </c>
      <c r="K952" s="250"/>
      <c r="L952" s="219"/>
      <c r="M952" s="218"/>
      <c r="N952" s="220" t="str">
        <f>IFERROR(VLOOKUP(M952,Data!$C$4:$D$395,2,0),"")</f>
        <v/>
      </c>
      <c r="O952" s="220"/>
      <c r="P952" s="229"/>
      <c r="Q952" s="221"/>
      <c r="R952" s="222" t="str">
        <f t="shared" si="130"/>
        <v>-</v>
      </c>
      <c r="S952" s="223"/>
      <c r="T952" s="224"/>
      <c r="U952" s="225">
        <f t="shared" si="131"/>
        <v>0</v>
      </c>
      <c r="V952" s="226">
        <v>0</v>
      </c>
      <c r="W952" s="227"/>
      <c r="X952" s="228">
        <f t="shared" si="132"/>
        <v>0</v>
      </c>
      <c r="Y952" s="229"/>
      <c r="Z952" s="229"/>
      <c r="AA952" s="229"/>
      <c r="AB952" s="222">
        <f t="shared" si="133"/>
        <v>0</v>
      </c>
      <c r="AC952" s="230">
        <f t="shared" si="134"/>
        <v>0</v>
      </c>
      <c r="AD952" s="222" t="str">
        <f t="shared" si="135"/>
        <v/>
      </c>
      <c r="AE952" s="201"/>
      <c r="AF952" s="231" t="str">
        <f>+IFERROR(VLOOKUP(L952,Data!$F$4:$G$97,2,0),"")</f>
        <v/>
      </c>
    </row>
    <row r="953" spans="9:32" ht="15" customHeight="1" x14ac:dyDescent="0.3">
      <c r="I953" s="201" t="str">
        <f t="shared" si="128"/>
        <v/>
      </c>
      <c r="J953" s="218">
        <f t="shared" si="129"/>
        <v>950</v>
      </c>
      <c r="K953" s="250"/>
      <c r="L953" s="219"/>
      <c r="M953" s="218"/>
      <c r="N953" s="220" t="str">
        <f>IFERROR(VLOOKUP(M953,Data!$C$4:$D$395,2,0),"")</f>
        <v/>
      </c>
      <c r="O953" s="220"/>
      <c r="P953" s="229"/>
      <c r="Q953" s="221"/>
      <c r="R953" s="222" t="str">
        <f t="shared" si="130"/>
        <v>-</v>
      </c>
      <c r="S953" s="223"/>
      <c r="T953" s="224"/>
      <c r="U953" s="225">
        <f t="shared" si="131"/>
        <v>0</v>
      </c>
      <c r="V953" s="226">
        <v>0</v>
      </c>
      <c r="W953" s="227"/>
      <c r="X953" s="228">
        <f t="shared" si="132"/>
        <v>0</v>
      </c>
      <c r="Y953" s="229"/>
      <c r="Z953" s="229"/>
      <c r="AA953" s="229"/>
      <c r="AB953" s="222">
        <f t="shared" si="133"/>
        <v>0</v>
      </c>
      <c r="AC953" s="230">
        <f t="shared" si="134"/>
        <v>0</v>
      </c>
      <c r="AD953" s="222" t="str">
        <f t="shared" si="135"/>
        <v/>
      </c>
      <c r="AE953" s="201"/>
      <c r="AF953" s="231" t="str">
        <f>+IFERROR(VLOOKUP(L953,Data!$F$4:$G$97,2,0),"")</f>
        <v/>
      </c>
    </row>
    <row r="954" spans="9:32" ht="15" customHeight="1" x14ac:dyDescent="0.3">
      <c r="I954" s="201" t="str">
        <f t="shared" si="128"/>
        <v/>
      </c>
      <c r="J954" s="218">
        <f t="shared" si="129"/>
        <v>951</v>
      </c>
      <c r="K954" s="250"/>
      <c r="L954" s="219"/>
      <c r="M954" s="218"/>
      <c r="N954" s="220" t="str">
        <f>IFERROR(VLOOKUP(M954,Data!$C$4:$D$395,2,0),"")</f>
        <v/>
      </c>
      <c r="O954" s="220"/>
      <c r="P954" s="229"/>
      <c r="Q954" s="221"/>
      <c r="R954" s="222" t="str">
        <f t="shared" si="130"/>
        <v>-</v>
      </c>
      <c r="S954" s="223"/>
      <c r="T954" s="224"/>
      <c r="U954" s="225">
        <f t="shared" si="131"/>
        <v>0</v>
      </c>
      <c r="V954" s="226">
        <v>0</v>
      </c>
      <c r="W954" s="227"/>
      <c r="X954" s="228">
        <f t="shared" si="132"/>
        <v>0</v>
      </c>
      <c r="Y954" s="229"/>
      <c r="Z954" s="229"/>
      <c r="AA954" s="229"/>
      <c r="AB954" s="222">
        <f t="shared" si="133"/>
        <v>0</v>
      </c>
      <c r="AC954" s="230">
        <f t="shared" si="134"/>
        <v>0</v>
      </c>
      <c r="AD954" s="222" t="str">
        <f t="shared" si="135"/>
        <v/>
      </c>
      <c r="AE954" s="201"/>
      <c r="AF954" s="231" t="str">
        <f>+IFERROR(VLOOKUP(L954,Data!$F$4:$G$97,2,0),"")</f>
        <v/>
      </c>
    </row>
    <row r="955" spans="9:32" ht="15" customHeight="1" x14ac:dyDescent="0.3">
      <c r="I955" s="201" t="str">
        <f t="shared" si="128"/>
        <v/>
      </c>
      <c r="J955" s="218">
        <f t="shared" si="129"/>
        <v>952</v>
      </c>
      <c r="K955" s="250"/>
      <c r="L955" s="219"/>
      <c r="M955" s="218"/>
      <c r="N955" s="220" t="str">
        <f>IFERROR(VLOOKUP(M955,Data!$C$4:$D$395,2,0),"")</f>
        <v/>
      </c>
      <c r="O955" s="220"/>
      <c r="P955" s="229"/>
      <c r="Q955" s="221"/>
      <c r="R955" s="222" t="str">
        <f t="shared" si="130"/>
        <v>-</v>
      </c>
      <c r="S955" s="223"/>
      <c r="T955" s="224"/>
      <c r="U955" s="225">
        <f t="shared" si="131"/>
        <v>0</v>
      </c>
      <c r="V955" s="226">
        <v>0</v>
      </c>
      <c r="W955" s="227"/>
      <c r="X955" s="228">
        <f t="shared" si="132"/>
        <v>0</v>
      </c>
      <c r="Y955" s="229"/>
      <c r="Z955" s="229"/>
      <c r="AA955" s="229"/>
      <c r="AB955" s="222">
        <f t="shared" si="133"/>
        <v>0</v>
      </c>
      <c r="AC955" s="230">
        <f t="shared" si="134"/>
        <v>0</v>
      </c>
      <c r="AD955" s="222" t="str">
        <f t="shared" si="135"/>
        <v/>
      </c>
      <c r="AE955" s="201"/>
      <c r="AF955" s="231" t="str">
        <f>+IFERROR(VLOOKUP(L955,Data!$F$4:$G$97,2,0),"")</f>
        <v/>
      </c>
    </row>
    <row r="956" spans="9:32" ht="15" customHeight="1" x14ac:dyDescent="0.3">
      <c r="I956" s="201" t="str">
        <f t="shared" si="128"/>
        <v/>
      </c>
      <c r="J956" s="218">
        <f t="shared" si="129"/>
        <v>953</v>
      </c>
      <c r="K956" s="250"/>
      <c r="L956" s="219"/>
      <c r="M956" s="218"/>
      <c r="N956" s="220" t="str">
        <f>IFERROR(VLOOKUP(M956,Data!$C$4:$D$395,2,0),"")</f>
        <v/>
      </c>
      <c r="O956" s="220"/>
      <c r="P956" s="229"/>
      <c r="Q956" s="221"/>
      <c r="R956" s="222" t="str">
        <f t="shared" si="130"/>
        <v>-</v>
      </c>
      <c r="S956" s="223"/>
      <c r="T956" s="224"/>
      <c r="U956" s="225">
        <f t="shared" si="131"/>
        <v>0</v>
      </c>
      <c r="V956" s="226">
        <v>0</v>
      </c>
      <c r="W956" s="227"/>
      <c r="X956" s="228">
        <f t="shared" si="132"/>
        <v>0</v>
      </c>
      <c r="Y956" s="229"/>
      <c r="Z956" s="229"/>
      <c r="AA956" s="229"/>
      <c r="AB956" s="222">
        <f t="shared" si="133"/>
        <v>0</v>
      </c>
      <c r="AC956" s="230">
        <f t="shared" si="134"/>
        <v>0</v>
      </c>
      <c r="AD956" s="222" t="str">
        <f t="shared" si="135"/>
        <v/>
      </c>
      <c r="AE956" s="201"/>
      <c r="AF956" s="231" t="str">
        <f>+IFERROR(VLOOKUP(L956,Data!$F$4:$G$97,2,0),"")</f>
        <v/>
      </c>
    </row>
    <row r="957" spans="9:32" ht="15" customHeight="1" x14ac:dyDescent="0.3">
      <c r="I957" s="201" t="str">
        <f t="shared" ref="I957:I1020" si="136">+AF957</f>
        <v/>
      </c>
      <c r="J957" s="218">
        <f t="shared" si="129"/>
        <v>954</v>
      </c>
      <c r="K957" s="250"/>
      <c r="L957" s="219"/>
      <c r="M957" s="218"/>
      <c r="N957" s="220" t="str">
        <f>IFERROR(VLOOKUP(M957,Data!$C$4:$D$395,2,0),"")</f>
        <v/>
      </c>
      <c r="O957" s="220"/>
      <c r="P957" s="229"/>
      <c r="Q957" s="221"/>
      <c r="R957" s="222" t="str">
        <f t="shared" si="130"/>
        <v>-</v>
      </c>
      <c r="S957" s="223"/>
      <c r="T957" s="224"/>
      <c r="U957" s="225">
        <f t="shared" si="131"/>
        <v>0</v>
      </c>
      <c r="V957" s="226">
        <v>0</v>
      </c>
      <c r="W957" s="227"/>
      <c r="X957" s="228">
        <f t="shared" si="132"/>
        <v>0</v>
      </c>
      <c r="Y957" s="229"/>
      <c r="Z957" s="229"/>
      <c r="AA957" s="229"/>
      <c r="AB957" s="222">
        <f t="shared" si="133"/>
        <v>0</v>
      </c>
      <c r="AC957" s="230">
        <f t="shared" si="134"/>
        <v>0</v>
      </c>
      <c r="AD957" s="222" t="str">
        <f t="shared" si="135"/>
        <v/>
      </c>
      <c r="AE957" s="201"/>
      <c r="AF957" s="231" t="str">
        <f>+IFERROR(VLOOKUP(L957,Data!$F$4:$G$97,2,0),"")</f>
        <v/>
      </c>
    </row>
    <row r="958" spans="9:32" ht="15" customHeight="1" x14ac:dyDescent="0.3">
      <c r="I958" s="201" t="str">
        <f t="shared" si="136"/>
        <v/>
      </c>
      <c r="J958" s="218">
        <f t="shared" ref="J958:J1021" si="137">J957+1</f>
        <v>955</v>
      </c>
      <c r="K958" s="250"/>
      <c r="L958" s="219"/>
      <c r="M958" s="218"/>
      <c r="N958" s="220" t="str">
        <f>IFERROR(VLOOKUP(M958,Data!$C$4:$D$395,2,0),"")</f>
        <v/>
      </c>
      <c r="O958" s="220"/>
      <c r="P958" s="229"/>
      <c r="Q958" s="221"/>
      <c r="R958" s="222" t="str">
        <f t="shared" si="130"/>
        <v>-</v>
      </c>
      <c r="S958" s="223"/>
      <c r="T958" s="224"/>
      <c r="U958" s="225">
        <f t="shared" si="131"/>
        <v>0</v>
      </c>
      <c r="V958" s="226">
        <v>0</v>
      </c>
      <c r="W958" s="227"/>
      <c r="X958" s="228">
        <f t="shared" si="132"/>
        <v>0</v>
      </c>
      <c r="Y958" s="229"/>
      <c r="Z958" s="229"/>
      <c r="AA958" s="229"/>
      <c r="AB958" s="222">
        <f t="shared" si="133"/>
        <v>0</v>
      </c>
      <c r="AC958" s="230">
        <f t="shared" si="134"/>
        <v>0</v>
      </c>
      <c r="AD958" s="222" t="str">
        <f t="shared" si="135"/>
        <v/>
      </c>
      <c r="AE958" s="201"/>
      <c r="AF958" s="231" t="str">
        <f>+IFERROR(VLOOKUP(L958,Data!$F$4:$G$97,2,0),"")</f>
        <v/>
      </c>
    </row>
    <row r="959" spans="9:32" ht="15" customHeight="1" x14ac:dyDescent="0.3">
      <c r="I959" s="201" t="str">
        <f t="shared" si="136"/>
        <v/>
      </c>
      <c r="J959" s="218">
        <f t="shared" si="137"/>
        <v>956</v>
      </c>
      <c r="K959" s="250"/>
      <c r="L959" s="219"/>
      <c r="M959" s="218"/>
      <c r="N959" s="220" t="str">
        <f>IFERROR(VLOOKUP(M959,Data!$C$4:$D$395,2,0),"")</f>
        <v/>
      </c>
      <c r="O959" s="220"/>
      <c r="P959" s="229"/>
      <c r="Q959" s="221"/>
      <c r="R959" s="222" t="str">
        <f t="shared" si="130"/>
        <v>-</v>
      </c>
      <c r="S959" s="223"/>
      <c r="T959" s="224"/>
      <c r="U959" s="225">
        <f t="shared" si="131"/>
        <v>0</v>
      </c>
      <c r="V959" s="226">
        <v>0</v>
      </c>
      <c r="W959" s="227"/>
      <c r="X959" s="228">
        <f t="shared" si="132"/>
        <v>0</v>
      </c>
      <c r="Y959" s="229"/>
      <c r="Z959" s="229"/>
      <c r="AA959" s="229"/>
      <c r="AB959" s="222">
        <f t="shared" si="133"/>
        <v>0</v>
      </c>
      <c r="AC959" s="230">
        <f t="shared" si="134"/>
        <v>0</v>
      </c>
      <c r="AD959" s="222" t="str">
        <f t="shared" si="135"/>
        <v/>
      </c>
      <c r="AE959" s="201"/>
      <c r="AF959" s="231" t="str">
        <f>+IFERROR(VLOOKUP(L959,Data!$F$4:$G$97,2,0),"")</f>
        <v/>
      </c>
    </row>
    <row r="960" spans="9:32" ht="15" customHeight="1" x14ac:dyDescent="0.3">
      <c r="I960" s="201" t="str">
        <f t="shared" si="136"/>
        <v/>
      </c>
      <c r="J960" s="218">
        <f t="shared" si="137"/>
        <v>957</v>
      </c>
      <c r="K960" s="250"/>
      <c r="L960" s="219"/>
      <c r="M960" s="218"/>
      <c r="N960" s="220" t="str">
        <f>IFERROR(VLOOKUP(M960,Data!$C$4:$D$395,2,0),"")</f>
        <v/>
      </c>
      <c r="O960" s="220"/>
      <c r="P960" s="229"/>
      <c r="Q960" s="221"/>
      <c r="R960" s="222" t="str">
        <f t="shared" ref="R960:R1023" si="138">IFERROR(Q960/P960, "-")</f>
        <v>-</v>
      </c>
      <c r="S960" s="223"/>
      <c r="T960" s="224"/>
      <c r="U960" s="225">
        <f t="shared" ref="U960:U1023" si="139">+Q960*S960+P960*T960</f>
        <v>0</v>
      </c>
      <c r="V960" s="226">
        <v>0</v>
      </c>
      <c r="W960" s="227"/>
      <c r="X960" s="228">
        <f t="shared" ref="X960:X1023" si="140">+Q960*V960+P960*W960</f>
        <v>0</v>
      </c>
      <c r="Y960" s="229"/>
      <c r="Z960" s="229"/>
      <c r="AA960" s="229"/>
      <c r="AB960" s="222">
        <f t="shared" ref="AB960:AB1023" si="141">+Y960+Z960+AA960</f>
        <v>0</v>
      </c>
      <c r="AC960" s="230">
        <f t="shared" ref="AC960:AC1023" si="142">IF((U960-Y960-Z960-AA960)&lt;0,"",(U960-Y960-Z960-AA960))</f>
        <v>0</v>
      </c>
      <c r="AD960" s="222" t="str">
        <f t="shared" ref="AD960:AD1023" si="143">IF((U960-Y960-Z960-AA960)&lt;0,(Y960+Z960+AA960-U960),"")</f>
        <v/>
      </c>
      <c r="AE960" s="201"/>
      <c r="AF960" s="231" t="str">
        <f>+IFERROR(VLOOKUP(L960,Data!$F$4:$G$97,2,0),"")</f>
        <v/>
      </c>
    </row>
    <row r="961" spans="9:32" ht="15" customHeight="1" x14ac:dyDescent="0.3">
      <c r="I961" s="201" t="str">
        <f t="shared" si="136"/>
        <v/>
      </c>
      <c r="J961" s="218">
        <f t="shared" si="137"/>
        <v>958</v>
      </c>
      <c r="K961" s="250"/>
      <c r="L961" s="219"/>
      <c r="M961" s="218"/>
      <c r="N961" s="220" t="str">
        <f>IFERROR(VLOOKUP(M961,Data!$C$4:$D$395,2,0),"")</f>
        <v/>
      </c>
      <c r="O961" s="220"/>
      <c r="P961" s="229"/>
      <c r="Q961" s="221"/>
      <c r="R961" s="222" t="str">
        <f t="shared" si="138"/>
        <v>-</v>
      </c>
      <c r="S961" s="223"/>
      <c r="T961" s="224"/>
      <c r="U961" s="225">
        <f t="shared" si="139"/>
        <v>0</v>
      </c>
      <c r="V961" s="226">
        <v>0</v>
      </c>
      <c r="W961" s="227"/>
      <c r="X961" s="228">
        <f t="shared" si="140"/>
        <v>0</v>
      </c>
      <c r="Y961" s="229"/>
      <c r="Z961" s="229"/>
      <c r="AA961" s="229"/>
      <c r="AB961" s="222">
        <f t="shared" si="141"/>
        <v>0</v>
      </c>
      <c r="AC961" s="230">
        <f t="shared" si="142"/>
        <v>0</v>
      </c>
      <c r="AD961" s="222" t="str">
        <f t="shared" si="143"/>
        <v/>
      </c>
      <c r="AE961" s="201"/>
      <c r="AF961" s="231" t="str">
        <f>+IFERROR(VLOOKUP(L961,Data!$F$4:$G$97,2,0),"")</f>
        <v/>
      </c>
    </row>
    <row r="962" spans="9:32" ht="15" customHeight="1" x14ac:dyDescent="0.3">
      <c r="I962" s="201" t="str">
        <f t="shared" si="136"/>
        <v/>
      </c>
      <c r="J962" s="218">
        <f t="shared" si="137"/>
        <v>959</v>
      </c>
      <c r="K962" s="250"/>
      <c r="L962" s="219"/>
      <c r="M962" s="218"/>
      <c r="N962" s="220" t="str">
        <f>IFERROR(VLOOKUP(M962,Data!$C$4:$D$395,2,0),"")</f>
        <v/>
      </c>
      <c r="O962" s="220"/>
      <c r="P962" s="229"/>
      <c r="Q962" s="221"/>
      <c r="R962" s="222" t="str">
        <f t="shared" si="138"/>
        <v>-</v>
      </c>
      <c r="S962" s="223"/>
      <c r="T962" s="224"/>
      <c r="U962" s="225">
        <f t="shared" si="139"/>
        <v>0</v>
      </c>
      <c r="V962" s="226">
        <v>0</v>
      </c>
      <c r="W962" s="227"/>
      <c r="X962" s="228">
        <f t="shared" si="140"/>
        <v>0</v>
      </c>
      <c r="Y962" s="229"/>
      <c r="Z962" s="229"/>
      <c r="AA962" s="229"/>
      <c r="AB962" s="222">
        <f t="shared" si="141"/>
        <v>0</v>
      </c>
      <c r="AC962" s="230">
        <f t="shared" si="142"/>
        <v>0</v>
      </c>
      <c r="AD962" s="222" t="str">
        <f t="shared" si="143"/>
        <v/>
      </c>
      <c r="AE962" s="201"/>
      <c r="AF962" s="231" t="str">
        <f>+IFERROR(VLOOKUP(L962,Data!$F$4:$G$97,2,0),"")</f>
        <v/>
      </c>
    </row>
    <row r="963" spans="9:32" ht="15" customHeight="1" x14ac:dyDescent="0.3">
      <c r="I963" s="201" t="str">
        <f t="shared" si="136"/>
        <v/>
      </c>
      <c r="J963" s="218">
        <f t="shared" si="137"/>
        <v>960</v>
      </c>
      <c r="K963" s="250"/>
      <c r="L963" s="219"/>
      <c r="M963" s="218"/>
      <c r="N963" s="220" t="str">
        <f>IFERROR(VLOOKUP(M963,Data!$C$4:$D$395,2,0),"")</f>
        <v/>
      </c>
      <c r="O963" s="220"/>
      <c r="P963" s="229"/>
      <c r="Q963" s="221"/>
      <c r="R963" s="222" t="str">
        <f t="shared" si="138"/>
        <v>-</v>
      </c>
      <c r="S963" s="223"/>
      <c r="T963" s="224"/>
      <c r="U963" s="225">
        <f t="shared" si="139"/>
        <v>0</v>
      </c>
      <c r="V963" s="226">
        <v>0</v>
      </c>
      <c r="W963" s="227"/>
      <c r="X963" s="228">
        <f t="shared" si="140"/>
        <v>0</v>
      </c>
      <c r="Y963" s="229"/>
      <c r="Z963" s="229"/>
      <c r="AA963" s="229"/>
      <c r="AB963" s="222">
        <f t="shared" si="141"/>
        <v>0</v>
      </c>
      <c r="AC963" s="230">
        <f t="shared" si="142"/>
        <v>0</v>
      </c>
      <c r="AD963" s="222" t="str">
        <f t="shared" si="143"/>
        <v/>
      </c>
      <c r="AE963" s="201"/>
      <c r="AF963" s="231" t="str">
        <f>+IFERROR(VLOOKUP(L963,Data!$F$4:$G$97,2,0),"")</f>
        <v/>
      </c>
    </row>
    <row r="964" spans="9:32" ht="15" customHeight="1" x14ac:dyDescent="0.3">
      <c r="I964" s="201" t="str">
        <f t="shared" si="136"/>
        <v/>
      </c>
      <c r="J964" s="218">
        <f t="shared" si="137"/>
        <v>961</v>
      </c>
      <c r="K964" s="250"/>
      <c r="L964" s="219"/>
      <c r="M964" s="218"/>
      <c r="N964" s="220" t="str">
        <f>IFERROR(VLOOKUP(M964,Data!$C$4:$D$395,2,0),"")</f>
        <v/>
      </c>
      <c r="O964" s="220"/>
      <c r="P964" s="229"/>
      <c r="Q964" s="221"/>
      <c r="R964" s="222" t="str">
        <f t="shared" si="138"/>
        <v>-</v>
      </c>
      <c r="S964" s="223"/>
      <c r="T964" s="224"/>
      <c r="U964" s="225">
        <f t="shared" si="139"/>
        <v>0</v>
      </c>
      <c r="V964" s="226">
        <v>0</v>
      </c>
      <c r="W964" s="227"/>
      <c r="X964" s="228">
        <f t="shared" si="140"/>
        <v>0</v>
      </c>
      <c r="Y964" s="229"/>
      <c r="Z964" s="229"/>
      <c r="AA964" s="229"/>
      <c r="AB964" s="222">
        <f t="shared" si="141"/>
        <v>0</v>
      </c>
      <c r="AC964" s="230">
        <f t="shared" si="142"/>
        <v>0</v>
      </c>
      <c r="AD964" s="222" t="str">
        <f t="shared" si="143"/>
        <v/>
      </c>
      <c r="AE964" s="201"/>
      <c r="AF964" s="231" t="str">
        <f>+IFERROR(VLOOKUP(L964,Data!$F$4:$G$97,2,0),"")</f>
        <v/>
      </c>
    </row>
    <row r="965" spans="9:32" ht="15" customHeight="1" x14ac:dyDescent="0.3">
      <c r="I965" s="201" t="str">
        <f t="shared" si="136"/>
        <v/>
      </c>
      <c r="J965" s="218">
        <f t="shared" si="137"/>
        <v>962</v>
      </c>
      <c r="K965" s="250"/>
      <c r="L965" s="219"/>
      <c r="M965" s="218"/>
      <c r="N965" s="220" t="str">
        <f>IFERROR(VLOOKUP(M965,Data!$C$4:$D$395,2,0),"")</f>
        <v/>
      </c>
      <c r="O965" s="220"/>
      <c r="P965" s="229"/>
      <c r="Q965" s="221"/>
      <c r="R965" s="222" t="str">
        <f t="shared" si="138"/>
        <v>-</v>
      </c>
      <c r="S965" s="223"/>
      <c r="T965" s="224"/>
      <c r="U965" s="225">
        <f t="shared" si="139"/>
        <v>0</v>
      </c>
      <c r="V965" s="226">
        <v>0</v>
      </c>
      <c r="W965" s="227"/>
      <c r="X965" s="228">
        <f t="shared" si="140"/>
        <v>0</v>
      </c>
      <c r="Y965" s="229"/>
      <c r="Z965" s="229"/>
      <c r="AA965" s="229"/>
      <c r="AB965" s="222">
        <f t="shared" si="141"/>
        <v>0</v>
      </c>
      <c r="AC965" s="230">
        <f t="shared" si="142"/>
        <v>0</v>
      </c>
      <c r="AD965" s="222" t="str">
        <f t="shared" si="143"/>
        <v/>
      </c>
      <c r="AE965" s="201"/>
      <c r="AF965" s="231" t="str">
        <f>+IFERROR(VLOOKUP(L965,Data!$F$4:$G$97,2,0),"")</f>
        <v/>
      </c>
    </row>
    <row r="966" spans="9:32" ht="15" customHeight="1" x14ac:dyDescent="0.3">
      <c r="I966" s="201" t="str">
        <f t="shared" si="136"/>
        <v/>
      </c>
      <c r="J966" s="218">
        <f t="shared" si="137"/>
        <v>963</v>
      </c>
      <c r="K966" s="250"/>
      <c r="L966" s="219"/>
      <c r="M966" s="218"/>
      <c r="N966" s="220" t="str">
        <f>IFERROR(VLOOKUP(M966,Data!$C$4:$D$395,2,0),"")</f>
        <v/>
      </c>
      <c r="O966" s="220"/>
      <c r="P966" s="229"/>
      <c r="Q966" s="221"/>
      <c r="R966" s="222" t="str">
        <f t="shared" si="138"/>
        <v>-</v>
      </c>
      <c r="S966" s="223"/>
      <c r="T966" s="224"/>
      <c r="U966" s="225">
        <f t="shared" si="139"/>
        <v>0</v>
      </c>
      <c r="V966" s="226">
        <v>0</v>
      </c>
      <c r="W966" s="227"/>
      <c r="X966" s="228">
        <f t="shared" si="140"/>
        <v>0</v>
      </c>
      <c r="Y966" s="229"/>
      <c r="Z966" s="229"/>
      <c r="AA966" s="229"/>
      <c r="AB966" s="222">
        <f t="shared" si="141"/>
        <v>0</v>
      </c>
      <c r="AC966" s="230">
        <f t="shared" si="142"/>
        <v>0</v>
      </c>
      <c r="AD966" s="222" t="str">
        <f t="shared" si="143"/>
        <v/>
      </c>
      <c r="AE966" s="201"/>
      <c r="AF966" s="231" t="str">
        <f>+IFERROR(VLOOKUP(L966,Data!$F$4:$G$97,2,0),"")</f>
        <v/>
      </c>
    </row>
    <row r="967" spans="9:32" ht="15" customHeight="1" x14ac:dyDescent="0.3">
      <c r="I967" s="201" t="str">
        <f t="shared" si="136"/>
        <v/>
      </c>
      <c r="J967" s="218">
        <f t="shared" si="137"/>
        <v>964</v>
      </c>
      <c r="K967" s="250"/>
      <c r="L967" s="219"/>
      <c r="M967" s="218"/>
      <c r="N967" s="220" t="str">
        <f>IFERROR(VLOOKUP(M967,Data!$C$4:$D$395,2,0),"")</f>
        <v/>
      </c>
      <c r="O967" s="220"/>
      <c r="P967" s="229"/>
      <c r="Q967" s="221"/>
      <c r="R967" s="222" t="str">
        <f t="shared" si="138"/>
        <v>-</v>
      </c>
      <c r="S967" s="223"/>
      <c r="T967" s="224"/>
      <c r="U967" s="225">
        <f t="shared" si="139"/>
        <v>0</v>
      </c>
      <c r="V967" s="226">
        <v>0</v>
      </c>
      <c r="W967" s="227"/>
      <c r="X967" s="228">
        <f t="shared" si="140"/>
        <v>0</v>
      </c>
      <c r="Y967" s="229"/>
      <c r="Z967" s="229"/>
      <c r="AA967" s="229"/>
      <c r="AB967" s="222">
        <f t="shared" si="141"/>
        <v>0</v>
      </c>
      <c r="AC967" s="230">
        <f t="shared" si="142"/>
        <v>0</v>
      </c>
      <c r="AD967" s="222" t="str">
        <f t="shared" si="143"/>
        <v/>
      </c>
      <c r="AE967" s="201"/>
      <c r="AF967" s="231" t="str">
        <f>+IFERROR(VLOOKUP(L967,Data!$F$4:$G$97,2,0),"")</f>
        <v/>
      </c>
    </row>
    <row r="968" spans="9:32" ht="15" customHeight="1" x14ac:dyDescent="0.3">
      <c r="I968" s="201" t="str">
        <f t="shared" si="136"/>
        <v/>
      </c>
      <c r="J968" s="218">
        <f t="shared" si="137"/>
        <v>965</v>
      </c>
      <c r="K968" s="250"/>
      <c r="L968" s="219"/>
      <c r="M968" s="218"/>
      <c r="N968" s="220" t="str">
        <f>IFERROR(VLOOKUP(M968,Data!$C$4:$D$395,2,0),"")</f>
        <v/>
      </c>
      <c r="O968" s="220"/>
      <c r="P968" s="229"/>
      <c r="Q968" s="221"/>
      <c r="R968" s="222" t="str">
        <f t="shared" si="138"/>
        <v>-</v>
      </c>
      <c r="S968" s="223"/>
      <c r="T968" s="224"/>
      <c r="U968" s="225">
        <f t="shared" si="139"/>
        <v>0</v>
      </c>
      <c r="V968" s="226">
        <v>0</v>
      </c>
      <c r="W968" s="227"/>
      <c r="X968" s="228">
        <f t="shared" si="140"/>
        <v>0</v>
      </c>
      <c r="Y968" s="229"/>
      <c r="Z968" s="229"/>
      <c r="AA968" s="229"/>
      <c r="AB968" s="222">
        <f t="shared" si="141"/>
        <v>0</v>
      </c>
      <c r="AC968" s="230">
        <f t="shared" si="142"/>
        <v>0</v>
      </c>
      <c r="AD968" s="222" t="str">
        <f t="shared" si="143"/>
        <v/>
      </c>
      <c r="AE968" s="201"/>
      <c r="AF968" s="231" t="str">
        <f>+IFERROR(VLOOKUP(L968,Data!$F$4:$G$97,2,0),"")</f>
        <v/>
      </c>
    </row>
    <row r="969" spans="9:32" ht="15" customHeight="1" x14ac:dyDescent="0.3">
      <c r="I969" s="201" t="str">
        <f t="shared" si="136"/>
        <v/>
      </c>
      <c r="J969" s="218">
        <f t="shared" si="137"/>
        <v>966</v>
      </c>
      <c r="K969" s="250"/>
      <c r="L969" s="219"/>
      <c r="M969" s="218"/>
      <c r="N969" s="220" t="str">
        <f>IFERROR(VLOOKUP(M969,Data!$C$4:$D$395,2,0),"")</f>
        <v/>
      </c>
      <c r="O969" s="220"/>
      <c r="P969" s="229"/>
      <c r="Q969" s="221"/>
      <c r="R969" s="222" t="str">
        <f t="shared" si="138"/>
        <v>-</v>
      </c>
      <c r="S969" s="223"/>
      <c r="T969" s="224"/>
      <c r="U969" s="225">
        <f t="shared" si="139"/>
        <v>0</v>
      </c>
      <c r="V969" s="226">
        <v>0</v>
      </c>
      <c r="W969" s="227"/>
      <c r="X969" s="228">
        <f t="shared" si="140"/>
        <v>0</v>
      </c>
      <c r="Y969" s="229"/>
      <c r="Z969" s="229"/>
      <c r="AA969" s="229"/>
      <c r="AB969" s="222">
        <f t="shared" si="141"/>
        <v>0</v>
      </c>
      <c r="AC969" s="230">
        <f t="shared" si="142"/>
        <v>0</v>
      </c>
      <c r="AD969" s="222" t="str">
        <f t="shared" si="143"/>
        <v/>
      </c>
      <c r="AE969" s="201"/>
      <c r="AF969" s="231" t="str">
        <f>+IFERROR(VLOOKUP(L969,Data!$F$4:$G$97,2,0),"")</f>
        <v/>
      </c>
    </row>
    <row r="970" spans="9:32" ht="15" customHeight="1" x14ac:dyDescent="0.3">
      <c r="I970" s="201" t="str">
        <f t="shared" si="136"/>
        <v/>
      </c>
      <c r="J970" s="218">
        <f t="shared" si="137"/>
        <v>967</v>
      </c>
      <c r="K970" s="250"/>
      <c r="L970" s="219"/>
      <c r="M970" s="218"/>
      <c r="N970" s="220" t="str">
        <f>IFERROR(VLOOKUP(M970,Data!$C$4:$D$395,2,0),"")</f>
        <v/>
      </c>
      <c r="O970" s="220"/>
      <c r="P970" s="229"/>
      <c r="Q970" s="221"/>
      <c r="R970" s="222" t="str">
        <f t="shared" si="138"/>
        <v>-</v>
      </c>
      <c r="S970" s="223"/>
      <c r="T970" s="224"/>
      <c r="U970" s="225">
        <f t="shared" si="139"/>
        <v>0</v>
      </c>
      <c r="V970" s="226">
        <v>0</v>
      </c>
      <c r="W970" s="227"/>
      <c r="X970" s="228">
        <f t="shared" si="140"/>
        <v>0</v>
      </c>
      <c r="Y970" s="229"/>
      <c r="Z970" s="229"/>
      <c r="AA970" s="229"/>
      <c r="AB970" s="222">
        <f t="shared" si="141"/>
        <v>0</v>
      </c>
      <c r="AC970" s="230">
        <f t="shared" si="142"/>
        <v>0</v>
      </c>
      <c r="AD970" s="222" t="str">
        <f t="shared" si="143"/>
        <v/>
      </c>
      <c r="AE970" s="201"/>
      <c r="AF970" s="231" t="str">
        <f>+IFERROR(VLOOKUP(L970,Data!$F$4:$G$97,2,0),"")</f>
        <v/>
      </c>
    </row>
    <row r="971" spans="9:32" ht="15" customHeight="1" x14ac:dyDescent="0.3">
      <c r="I971" s="201" t="str">
        <f t="shared" si="136"/>
        <v/>
      </c>
      <c r="J971" s="218">
        <f t="shared" si="137"/>
        <v>968</v>
      </c>
      <c r="K971" s="250"/>
      <c r="L971" s="219"/>
      <c r="M971" s="218"/>
      <c r="N971" s="220" t="str">
        <f>IFERROR(VLOOKUP(M971,Data!$C$4:$D$395,2,0),"")</f>
        <v/>
      </c>
      <c r="O971" s="220"/>
      <c r="P971" s="229"/>
      <c r="Q971" s="221"/>
      <c r="R971" s="222" t="str">
        <f t="shared" si="138"/>
        <v>-</v>
      </c>
      <c r="S971" s="223"/>
      <c r="T971" s="224"/>
      <c r="U971" s="225">
        <f t="shared" si="139"/>
        <v>0</v>
      </c>
      <c r="V971" s="226">
        <v>0</v>
      </c>
      <c r="W971" s="227"/>
      <c r="X971" s="228">
        <f t="shared" si="140"/>
        <v>0</v>
      </c>
      <c r="Y971" s="229"/>
      <c r="Z971" s="229"/>
      <c r="AA971" s="229"/>
      <c r="AB971" s="222">
        <f t="shared" si="141"/>
        <v>0</v>
      </c>
      <c r="AC971" s="230">
        <f t="shared" si="142"/>
        <v>0</v>
      </c>
      <c r="AD971" s="222" t="str">
        <f t="shared" si="143"/>
        <v/>
      </c>
      <c r="AE971" s="201"/>
      <c r="AF971" s="231" t="str">
        <f>+IFERROR(VLOOKUP(L971,Data!$F$4:$G$97,2,0),"")</f>
        <v/>
      </c>
    </row>
    <row r="972" spans="9:32" ht="15" customHeight="1" x14ac:dyDescent="0.3">
      <c r="I972" s="201" t="str">
        <f t="shared" si="136"/>
        <v/>
      </c>
      <c r="J972" s="218">
        <f t="shared" si="137"/>
        <v>969</v>
      </c>
      <c r="K972" s="250"/>
      <c r="L972" s="219"/>
      <c r="M972" s="218"/>
      <c r="N972" s="220" t="str">
        <f>IFERROR(VLOOKUP(M972,Data!$C$4:$D$395,2,0),"")</f>
        <v/>
      </c>
      <c r="O972" s="220"/>
      <c r="P972" s="229"/>
      <c r="Q972" s="221"/>
      <c r="R972" s="222" t="str">
        <f t="shared" si="138"/>
        <v>-</v>
      </c>
      <c r="S972" s="223"/>
      <c r="T972" s="224"/>
      <c r="U972" s="225">
        <f t="shared" si="139"/>
        <v>0</v>
      </c>
      <c r="V972" s="226">
        <v>0</v>
      </c>
      <c r="W972" s="227"/>
      <c r="X972" s="228">
        <f t="shared" si="140"/>
        <v>0</v>
      </c>
      <c r="Y972" s="229"/>
      <c r="Z972" s="229"/>
      <c r="AA972" s="229"/>
      <c r="AB972" s="222">
        <f t="shared" si="141"/>
        <v>0</v>
      </c>
      <c r="AC972" s="230">
        <f t="shared" si="142"/>
        <v>0</v>
      </c>
      <c r="AD972" s="222" t="str">
        <f t="shared" si="143"/>
        <v/>
      </c>
      <c r="AE972" s="201"/>
      <c r="AF972" s="231" t="str">
        <f>+IFERROR(VLOOKUP(L972,Data!$F$4:$G$97,2,0),"")</f>
        <v/>
      </c>
    </row>
    <row r="973" spans="9:32" ht="15" customHeight="1" x14ac:dyDescent="0.3">
      <c r="I973" s="201" t="str">
        <f t="shared" si="136"/>
        <v/>
      </c>
      <c r="J973" s="218">
        <f t="shared" si="137"/>
        <v>970</v>
      </c>
      <c r="K973" s="250"/>
      <c r="L973" s="219"/>
      <c r="M973" s="218"/>
      <c r="N973" s="220" t="str">
        <f>IFERROR(VLOOKUP(M973,Data!$C$4:$D$395,2,0),"")</f>
        <v/>
      </c>
      <c r="O973" s="220"/>
      <c r="P973" s="229"/>
      <c r="Q973" s="221"/>
      <c r="R973" s="222" t="str">
        <f t="shared" si="138"/>
        <v>-</v>
      </c>
      <c r="S973" s="223"/>
      <c r="T973" s="224"/>
      <c r="U973" s="225">
        <f t="shared" si="139"/>
        <v>0</v>
      </c>
      <c r="V973" s="226">
        <v>0</v>
      </c>
      <c r="W973" s="227"/>
      <c r="X973" s="228">
        <f t="shared" si="140"/>
        <v>0</v>
      </c>
      <c r="Y973" s="229"/>
      <c r="Z973" s="229"/>
      <c r="AA973" s="229"/>
      <c r="AB973" s="222">
        <f t="shared" si="141"/>
        <v>0</v>
      </c>
      <c r="AC973" s="230">
        <f t="shared" si="142"/>
        <v>0</v>
      </c>
      <c r="AD973" s="222" t="str">
        <f t="shared" si="143"/>
        <v/>
      </c>
      <c r="AE973" s="201"/>
      <c r="AF973" s="231" t="str">
        <f>+IFERROR(VLOOKUP(L973,Data!$F$4:$G$97,2,0),"")</f>
        <v/>
      </c>
    </row>
    <row r="974" spans="9:32" ht="15" customHeight="1" x14ac:dyDescent="0.3">
      <c r="I974" s="201" t="str">
        <f t="shared" si="136"/>
        <v/>
      </c>
      <c r="J974" s="218">
        <f t="shared" si="137"/>
        <v>971</v>
      </c>
      <c r="K974" s="250"/>
      <c r="L974" s="219"/>
      <c r="M974" s="218"/>
      <c r="N974" s="220" t="str">
        <f>IFERROR(VLOOKUP(M974,Data!$C$4:$D$395,2,0),"")</f>
        <v/>
      </c>
      <c r="O974" s="220"/>
      <c r="P974" s="229"/>
      <c r="Q974" s="221"/>
      <c r="R974" s="222" t="str">
        <f t="shared" si="138"/>
        <v>-</v>
      </c>
      <c r="S974" s="223"/>
      <c r="T974" s="224"/>
      <c r="U974" s="225">
        <f t="shared" si="139"/>
        <v>0</v>
      </c>
      <c r="V974" s="226">
        <v>0</v>
      </c>
      <c r="W974" s="227"/>
      <c r="X974" s="228">
        <f t="shared" si="140"/>
        <v>0</v>
      </c>
      <c r="Y974" s="229"/>
      <c r="Z974" s="229"/>
      <c r="AA974" s="229"/>
      <c r="AB974" s="222">
        <f t="shared" si="141"/>
        <v>0</v>
      </c>
      <c r="AC974" s="230">
        <f t="shared" si="142"/>
        <v>0</v>
      </c>
      <c r="AD974" s="222" t="str">
        <f t="shared" si="143"/>
        <v/>
      </c>
      <c r="AE974" s="201"/>
      <c r="AF974" s="231" t="str">
        <f>+IFERROR(VLOOKUP(L974,Data!$F$4:$G$97,2,0),"")</f>
        <v/>
      </c>
    </row>
    <row r="975" spans="9:32" ht="15" customHeight="1" x14ac:dyDescent="0.3">
      <c r="I975" s="201" t="str">
        <f t="shared" si="136"/>
        <v/>
      </c>
      <c r="J975" s="218">
        <f t="shared" si="137"/>
        <v>972</v>
      </c>
      <c r="K975" s="250"/>
      <c r="L975" s="219"/>
      <c r="M975" s="218"/>
      <c r="N975" s="220" t="str">
        <f>IFERROR(VLOOKUP(M975,Data!$C$4:$D$395,2,0),"")</f>
        <v/>
      </c>
      <c r="O975" s="220"/>
      <c r="P975" s="229"/>
      <c r="Q975" s="221"/>
      <c r="R975" s="222" t="str">
        <f t="shared" si="138"/>
        <v>-</v>
      </c>
      <c r="S975" s="223"/>
      <c r="T975" s="224"/>
      <c r="U975" s="225">
        <f t="shared" si="139"/>
        <v>0</v>
      </c>
      <c r="V975" s="226">
        <v>0</v>
      </c>
      <c r="W975" s="227"/>
      <c r="X975" s="228">
        <f t="shared" si="140"/>
        <v>0</v>
      </c>
      <c r="Y975" s="229"/>
      <c r="Z975" s="229"/>
      <c r="AA975" s="229"/>
      <c r="AB975" s="222">
        <f t="shared" si="141"/>
        <v>0</v>
      </c>
      <c r="AC975" s="230">
        <f t="shared" si="142"/>
        <v>0</v>
      </c>
      <c r="AD975" s="222" t="str">
        <f t="shared" si="143"/>
        <v/>
      </c>
      <c r="AE975" s="201"/>
      <c r="AF975" s="231" t="str">
        <f>+IFERROR(VLOOKUP(L975,Data!$F$4:$G$97,2,0),"")</f>
        <v/>
      </c>
    </row>
    <row r="976" spans="9:32" ht="15" customHeight="1" x14ac:dyDescent="0.3">
      <c r="I976" s="201" t="str">
        <f t="shared" si="136"/>
        <v/>
      </c>
      <c r="J976" s="218">
        <f t="shared" si="137"/>
        <v>973</v>
      </c>
      <c r="K976" s="250"/>
      <c r="L976" s="219"/>
      <c r="M976" s="218"/>
      <c r="N976" s="220" t="str">
        <f>IFERROR(VLOOKUP(M976,Data!$C$4:$D$395,2,0),"")</f>
        <v/>
      </c>
      <c r="O976" s="220"/>
      <c r="P976" s="229"/>
      <c r="Q976" s="221"/>
      <c r="R976" s="222" t="str">
        <f t="shared" si="138"/>
        <v>-</v>
      </c>
      <c r="S976" s="223"/>
      <c r="T976" s="224"/>
      <c r="U976" s="225">
        <f t="shared" si="139"/>
        <v>0</v>
      </c>
      <c r="V976" s="226">
        <v>0</v>
      </c>
      <c r="W976" s="227"/>
      <c r="X976" s="228">
        <f t="shared" si="140"/>
        <v>0</v>
      </c>
      <c r="Y976" s="229"/>
      <c r="Z976" s="229"/>
      <c r="AA976" s="229"/>
      <c r="AB976" s="222">
        <f t="shared" si="141"/>
        <v>0</v>
      </c>
      <c r="AC976" s="230">
        <f t="shared" si="142"/>
        <v>0</v>
      </c>
      <c r="AD976" s="222" t="str">
        <f t="shared" si="143"/>
        <v/>
      </c>
      <c r="AE976" s="201"/>
      <c r="AF976" s="231" t="str">
        <f>+IFERROR(VLOOKUP(L976,Data!$F$4:$G$97,2,0),"")</f>
        <v/>
      </c>
    </row>
    <row r="977" spans="9:32" ht="15" customHeight="1" x14ac:dyDescent="0.3">
      <c r="I977" s="201" t="str">
        <f t="shared" si="136"/>
        <v/>
      </c>
      <c r="J977" s="218">
        <f t="shared" si="137"/>
        <v>974</v>
      </c>
      <c r="K977" s="250"/>
      <c r="L977" s="219"/>
      <c r="M977" s="218"/>
      <c r="N977" s="220" t="str">
        <f>IFERROR(VLOOKUP(M977,Data!$C$4:$D$395,2,0),"")</f>
        <v/>
      </c>
      <c r="O977" s="220"/>
      <c r="P977" s="229"/>
      <c r="Q977" s="221"/>
      <c r="R977" s="222" t="str">
        <f t="shared" si="138"/>
        <v>-</v>
      </c>
      <c r="S977" s="223"/>
      <c r="T977" s="224"/>
      <c r="U977" s="225">
        <f t="shared" si="139"/>
        <v>0</v>
      </c>
      <c r="V977" s="226">
        <v>0</v>
      </c>
      <c r="W977" s="227"/>
      <c r="X977" s="228">
        <f t="shared" si="140"/>
        <v>0</v>
      </c>
      <c r="Y977" s="229"/>
      <c r="Z977" s="229"/>
      <c r="AA977" s="229"/>
      <c r="AB977" s="222">
        <f t="shared" si="141"/>
        <v>0</v>
      </c>
      <c r="AC977" s="230">
        <f t="shared" si="142"/>
        <v>0</v>
      </c>
      <c r="AD977" s="222" t="str">
        <f t="shared" si="143"/>
        <v/>
      </c>
      <c r="AE977" s="201"/>
      <c r="AF977" s="231" t="str">
        <f>+IFERROR(VLOOKUP(L977,Data!$F$4:$G$97,2,0),"")</f>
        <v/>
      </c>
    </row>
    <row r="978" spans="9:32" ht="15" customHeight="1" x14ac:dyDescent="0.3">
      <c r="I978" s="201" t="str">
        <f t="shared" si="136"/>
        <v/>
      </c>
      <c r="J978" s="218">
        <f t="shared" si="137"/>
        <v>975</v>
      </c>
      <c r="K978" s="250"/>
      <c r="L978" s="219"/>
      <c r="M978" s="218"/>
      <c r="N978" s="220" t="str">
        <f>IFERROR(VLOOKUP(M978,Data!$C$4:$D$395,2,0),"")</f>
        <v/>
      </c>
      <c r="O978" s="220"/>
      <c r="P978" s="229"/>
      <c r="Q978" s="221"/>
      <c r="R978" s="222" t="str">
        <f t="shared" si="138"/>
        <v>-</v>
      </c>
      <c r="S978" s="223"/>
      <c r="T978" s="224"/>
      <c r="U978" s="225">
        <f t="shared" si="139"/>
        <v>0</v>
      </c>
      <c r="V978" s="226">
        <v>0</v>
      </c>
      <c r="W978" s="227"/>
      <c r="X978" s="228">
        <f t="shared" si="140"/>
        <v>0</v>
      </c>
      <c r="Y978" s="229"/>
      <c r="Z978" s="229"/>
      <c r="AA978" s="229"/>
      <c r="AB978" s="222">
        <f t="shared" si="141"/>
        <v>0</v>
      </c>
      <c r="AC978" s="230">
        <f t="shared" si="142"/>
        <v>0</v>
      </c>
      <c r="AD978" s="222" t="str">
        <f t="shared" si="143"/>
        <v/>
      </c>
      <c r="AE978" s="201"/>
      <c r="AF978" s="231" t="str">
        <f>+IFERROR(VLOOKUP(L978,Data!$F$4:$G$97,2,0),"")</f>
        <v/>
      </c>
    </row>
    <row r="979" spans="9:32" ht="15" customHeight="1" x14ac:dyDescent="0.3">
      <c r="I979" s="201" t="str">
        <f t="shared" si="136"/>
        <v/>
      </c>
      <c r="J979" s="218">
        <f t="shared" si="137"/>
        <v>976</v>
      </c>
      <c r="K979" s="250"/>
      <c r="L979" s="219"/>
      <c r="M979" s="218"/>
      <c r="N979" s="220" t="str">
        <f>IFERROR(VLOOKUP(M979,Data!$C$4:$D$395,2,0),"")</f>
        <v/>
      </c>
      <c r="O979" s="220"/>
      <c r="P979" s="229"/>
      <c r="Q979" s="221"/>
      <c r="R979" s="222" t="str">
        <f t="shared" si="138"/>
        <v>-</v>
      </c>
      <c r="S979" s="223"/>
      <c r="T979" s="224"/>
      <c r="U979" s="225">
        <f t="shared" si="139"/>
        <v>0</v>
      </c>
      <c r="V979" s="226">
        <v>0</v>
      </c>
      <c r="W979" s="227"/>
      <c r="X979" s="228">
        <f t="shared" si="140"/>
        <v>0</v>
      </c>
      <c r="Y979" s="229"/>
      <c r="Z979" s="229"/>
      <c r="AA979" s="229"/>
      <c r="AB979" s="222">
        <f t="shared" si="141"/>
        <v>0</v>
      </c>
      <c r="AC979" s="230">
        <f t="shared" si="142"/>
        <v>0</v>
      </c>
      <c r="AD979" s="222" t="str">
        <f t="shared" si="143"/>
        <v/>
      </c>
      <c r="AE979" s="201"/>
      <c r="AF979" s="231" t="str">
        <f>+IFERROR(VLOOKUP(L979,Data!$F$4:$G$97,2,0),"")</f>
        <v/>
      </c>
    </row>
    <row r="980" spans="9:32" ht="15" customHeight="1" x14ac:dyDescent="0.3">
      <c r="I980" s="201" t="str">
        <f t="shared" si="136"/>
        <v/>
      </c>
      <c r="J980" s="218">
        <f t="shared" si="137"/>
        <v>977</v>
      </c>
      <c r="K980" s="250"/>
      <c r="L980" s="219"/>
      <c r="M980" s="218"/>
      <c r="N980" s="220" t="str">
        <f>IFERROR(VLOOKUP(M980,Data!$C$4:$D$395,2,0),"")</f>
        <v/>
      </c>
      <c r="O980" s="220"/>
      <c r="P980" s="229"/>
      <c r="Q980" s="221"/>
      <c r="R980" s="222" t="str">
        <f t="shared" si="138"/>
        <v>-</v>
      </c>
      <c r="S980" s="223"/>
      <c r="T980" s="224"/>
      <c r="U980" s="225">
        <f t="shared" si="139"/>
        <v>0</v>
      </c>
      <c r="V980" s="226">
        <v>0</v>
      </c>
      <c r="W980" s="227"/>
      <c r="X980" s="228">
        <f t="shared" si="140"/>
        <v>0</v>
      </c>
      <c r="Y980" s="229"/>
      <c r="Z980" s="229"/>
      <c r="AA980" s="229"/>
      <c r="AB980" s="222">
        <f t="shared" si="141"/>
        <v>0</v>
      </c>
      <c r="AC980" s="230">
        <f t="shared" si="142"/>
        <v>0</v>
      </c>
      <c r="AD980" s="222" t="str">
        <f t="shared" si="143"/>
        <v/>
      </c>
      <c r="AE980" s="201"/>
      <c r="AF980" s="231" t="str">
        <f>+IFERROR(VLOOKUP(L980,Data!$F$4:$G$97,2,0),"")</f>
        <v/>
      </c>
    </row>
    <row r="981" spans="9:32" ht="15" customHeight="1" x14ac:dyDescent="0.3">
      <c r="I981" s="201" t="str">
        <f t="shared" si="136"/>
        <v/>
      </c>
      <c r="J981" s="218">
        <f t="shared" si="137"/>
        <v>978</v>
      </c>
      <c r="K981" s="250"/>
      <c r="L981" s="219"/>
      <c r="M981" s="218"/>
      <c r="N981" s="220" t="str">
        <f>IFERROR(VLOOKUP(M981,Data!$C$4:$D$395,2,0),"")</f>
        <v/>
      </c>
      <c r="O981" s="220"/>
      <c r="P981" s="229"/>
      <c r="Q981" s="221"/>
      <c r="R981" s="222" t="str">
        <f t="shared" si="138"/>
        <v>-</v>
      </c>
      <c r="S981" s="223"/>
      <c r="T981" s="224"/>
      <c r="U981" s="225">
        <f t="shared" si="139"/>
        <v>0</v>
      </c>
      <c r="V981" s="226">
        <v>0</v>
      </c>
      <c r="W981" s="227"/>
      <c r="X981" s="228">
        <f t="shared" si="140"/>
        <v>0</v>
      </c>
      <c r="Y981" s="229"/>
      <c r="Z981" s="229"/>
      <c r="AA981" s="229"/>
      <c r="AB981" s="222">
        <f t="shared" si="141"/>
        <v>0</v>
      </c>
      <c r="AC981" s="230">
        <f t="shared" si="142"/>
        <v>0</v>
      </c>
      <c r="AD981" s="222" t="str">
        <f t="shared" si="143"/>
        <v/>
      </c>
      <c r="AE981" s="201"/>
      <c r="AF981" s="231" t="str">
        <f>+IFERROR(VLOOKUP(L981,Data!$F$4:$G$97,2,0),"")</f>
        <v/>
      </c>
    </row>
    <row r="982" spans="9:32" ht="15" customHeight="1" x14ac:dyDescent="0.3">
      <c r="I982" s="201" t="str">
        <f t="shared" si="136"/>
        <v/>
      </c>
      <c r="J982" s="218">
        <f t="shared" si="137"/>
        <v>979</v>
      </c>
      <c r="K982" s="250"/>
      <c r="L982" s="219"/>
      <c r="M982" s="218"/>
      <c r="N982" s="220" t="str">
        <f>IFERROR(VLOOKUP(M982,Data!$C$4:$D$395,2,0),"")</f>
        <v/>
      </c>
      <c r="O982" s="220"/>
      <c r="P982" s="229"/>
      <c r="Q982" s="221"/>
      <c r="R982" s="222" t="str">
        <f t="shared" si="138"/>
        <v>-</v>
      </c>
      <c r="S982" s="223"/>
      <c r="T982" s="224"/>
      <c r="U982" s="225">
        <f t="shared" si="139"/>
        <v>0</v>
      </c>
      <c r="V982" s="226">
        <v>0</v>
      </c>
      <c r="W982" s="227"/>
      <c r="X982" s="228">
        <f t="shared" si="140"/>
        <v>0</v>
      </c>
      <c r="Y982" s="229"/>
      <c r="Z982" s="229"/>
      <c r="AA982" s="229"/>
      <c r="AB982" s="222">
        <f t="shared" si="141"/>
        <v>0</v>
      </c>
      <c r="AC982" s="230">
        <f t="shared" si="142"/>
        <v>0</v>
      </c>
      <c r="AD982" s="222" t="str">
        <f t="shared" si="143"/>
        <v/>
      </c>
      <c r="AE982" s="201"/>
      <c r="AF982" s="231" t="str">
        <f>+IFERROR(VLOOKUP(L982,Data!$F$4:$G$97,2,0),"")</f>
        <v/>
      </c>
    </row>
    <row r="983" spans="9:32" ht="15" customHeight="1" x14ac:dyDescent="0.3">
      <c r="I983" s="201" t="str">
        <f t="shared" si="136"/>
        <v/>
      </c>
      <c r="J983" s="218">
        <f t="shared" si="137"/>
        <v>980</v>
      </c>
      <c r="K983" s="250"/>
      <c r="L983" s="219"/>
      <c r="M983" s="218"/>
      <c r="N983" s="220" t="str">
        <f>IFERROR(VLOOKUP(M983,Data!$C$4:$D$395,2,0),"")</f>
        <v/>
      </c>
      <c r="O983" s="220"/>
      <c r="P983" s="229"/>
      <c r="Q983" s="221"/>
      <c r="R983" s="222" t="str">
        <f t="shared" si="138"/>
        <v>-</v>
      </c>
      <c r="S983" s="223"/>
      <c r="T983" s="224"/>
      <c r="U983" s="225">
        <f t="shared" si="139"/>
        <v>0</v>
      </c>
      <c r="V983" s="226">
        <v>0</v>
      </c>
      <c r="W983" s="227"/>
      <c r="X983" s="228">
        <f t="shared" si="140"/>
        <v>0</v>
      </c>
      <c r="Y983" s="229"/>
      <c r="Z983" s="229"/>
      <c r="AA983" s="229"/>
      <c r="AB983" s="222">
        <f t="shared" si="141"/>
        <v>0</v>
      </c>
      <c r="AC983" s="230">
        <f t="shared" si="142"/>
        <v>0</v>
      </c>
      <c r="AD983" s="222" t="str">
        <f t="shared" si="143"/>
        <v/>
      </c>
      <c r="AE983" s="201"/>
      <c r="AF983" s="231" t="str">
        <f>+IFERROR(VLOOKUP(L983,Data!$F$4:$G$97,2,0),"")</f>
        <v/>
      </c>
    </row>
    <row r="984" spans="9:32" ht="15" customHeight="1" x14ac:dyDescent="0.3">
      <c r="I984" s="201" t="str">
        <f t="shared" si="136"/>
        <v/>
      </c>
      <c r="J984" s="218">
        <f t="shared" si="137"/>
        <v>981</v>
      </c>
      <c r="K984" s="250"/>
      <c r="L984" s="219"/>
      <c r="M984" s="218"/>
      <c r="N984" s="220" t="str">
        <f>IFERROR(VLOOKUP(M984,Data!$C$4:$D$395,2,0),"")</f>
        <v/>
      </c>
      <c r="O984" s="220"/>
      <c r="P984" s="229"/>
      <c r="Q984" s="221"/>
      <c r="R984" s="222" t="str">
        <f t="shared" si="138"/>
        <v>-</v>
      </c>
      <c r="S984" s="223"/>
      <c r="T984" s="224"/>
      <c r="U984" s="225">
        <f t="shared" si="139"/>
        <v>0</v>
      </c>
      <c r="V984" s="226">
        <v>0</v>
      </c>
      <c r="W984" s="227"/>
      <c r="X984" s="228">
        <f t="shared" si="140"/>
        <v>0</v>
      </c>
      <c r="Y984" s="229"/>
      <c r="Z984" s="229"/>
      <c r="AA984" s="229"/>
      <c r="AB984" s="222">
        <f t="shared" si="141"/>
        <v>0</v>
      </c>
      <c r="AC984" s="230">
        <f t="shared" si="142"/>
        <v>0</v>
      </c>
      <c r="AD984" s="222" t="str">
        <f t="shared" si="143"/>
        <v/>
      </c>
      <c r="AE984" s="201"/>
      <c r="AF984" s="231" t="str">
        <f>+IFERROR(VLOOKUP(L984,Data!$F$4:$G$97,2,0),"")</f>
        <v/>
      </c>
    </row>
    <row r="985" spans="9:32" ht="15" customHeight="1" x14ac:dyDescent="0.3">
      <c r="I985" s="201" t="str">
        <f t="shared" si="136"/>
        <v/>
      </c>
      <c r="J985" s="218">
        <f t="shared" si="137"/>
        <v>982</v>
      </c>
      <c r="K985" s="250"/>
      <c r="L985" s="219"/>
      <c r="M985" s="218"/>
      <c r="N985" s="220" t="str">
        <f>IFERROR(VLOOKUP(M985,Data!$C$4:$D$395,2,0),"")</f>
        <v/>
      </c>
      <c r="O985" s="220"/>
      <c r="P985" s="229"/>
      <c r="Q985" s="221"/>
      <c r="R985" s="222" t="str">
        <f t="shared" si="138"/>
        <v>-</v>
      </c>
      <c r="S985" s="223"/>
      <c r="T985" s="224"/>
      <c r="U985" s="225">
        <f t="shared" si="139"/>
        <v>0</v>
      </c>
      <c r="V985" s="226">
        <v>0</v>
      </c>
      <c r="W985" s="227"/>
      <c r="X985" s="228">
        <f t="shared" si="140"/>
        <v>0</v>
      </c>
      <c r="Y985" s="229"/>
      <c r="Z985" s="229"/>
      <c r="AA985" s="229"/>
      <c r="AB985" s="222">
        <f t="shared" si="141"/>
        <v>0</v>
      </c>
      <c r="AC985" s="230">
        <f t="shared" si="142"/>
        <v>0</v>
      </c>
      <c r="AD985" s="222" t="str">
        <f t="shared" si="143"/>
        <v/>
      </c>
      <c r="AE985" s="201"/>
      <c r="AF985" s="231" t="str">
        <f>+IFERROR(VLOOKUP(L985,Data!$F$4:$G$97,2,0),"")</f>
        <v/>
      </c>
    </row>
    <row r="986" spans="9:32" ht="15" customHeight="1" x14ac:dyDescent="0.3">
      <c r="I986" s="201" t="str">
        <f t="shared" si="136"/>
        <v/>
      </c>
      <c r="J986" s="218">
        <f t="shared" si="137"/>
        <v>983</v>
      </c>
      <c r="K986" s="250"/>
      <c r="L986" s="219"/>
      <c r="M986" s="218"/>
      <c r="N986" s="220" t="str">
        <f>IFERROR(VLOOKUP(M986,Data!$C$4:$D$395,2,0),"")</f>
        <v/>
      </c>
      <c r="O986" s="220"/>
      <c r="P986" s="229"/>
      <c r="Q986" s="221"/>
      <c r="R986" s="222" t="str">
        <f t="shared" si="138"/>
        <v>-</v>
      </c>
      <c r="S986" s="223"/>
      <c r="T986" s="224"/>
      <c r="U986" s="225">
        <f t="shared" si="139"/>
        <v>0</v>
      </c>
      <c r="V986" s="226">
        <v>0</v>
      </c>
      <c r="W986" s="227"/>
      <c r="X986" s="228">
        <f t="shared" si="140"/>
        <v>0</v>
      </c>
      <c r="Y986" s="229"/>
      <c r="Z986" s="229"/>
      <c r="AA986" s="229"/>
      <c r="AB986" s="222">
        <f t="shared" si="141"/>
        <v>0</v>
      </c>
      <c r="AC986" s="230">
        <f t="shared" si="142"/>
        <v>0</v>
      </c>
      <c r="AD986" s="222" t="str">
        <f t="shared" si="143"/>
        <v/>
      </c>
      <c r="AE986" s="201"/>
      <c r="AF986" s="231" t="str">
        <f>+IFERROR(VLOOKUP(L986,Data!$F$4:$G$97,2,0),"")</f>
        <v/>
      </c>
    </row>
    <row r="987" spans="9:32" ht="15" customHeight="1" x14ac:dyDescent="0.3">
      <c r="I987" s="201" t="str">
        <f t="shared" si="136"/>
        <v/>
      </c>
      <c r="J987" s="218">
        <f t="shared" si="137"/>
        <v>984</v>
      </c>
      <c r="K987" s="250"/>
      <c r="L987" s="219"/>
      <c r="M987" s="218"/>
      <c r="N987" s="220" t="str">
        <f>IFERROR(VLOOKUP(M987,Data!$C$4:$D$395,2,0),"")</f>
        <v/>
      </c>
      <c r="O987" s="220"/>
      <c r="P987" s="229"/>
      <c r="Q987" s="221"/>
      <c r="R987" s="222" t="str">
        <f t="shared" si="138"/>
        <v>-</v>
      </c>
      <c r="S987" s="223"/>
      <c r="T987" s="224"/>
      <c r="U987" s="225">
        <f t="shared" si="139"/>
        <v>0</v>
      </c>
      <c r="V987" s="226">
        <v>0</v>
      </c>
      <c r="W987" s="227"/>
      <c r="X987" s="228">
        <f t="shared" si="140"/>
        <v>0</v>
      </c>
      <c r="Y987" s="229"/>
      <c r="Z987" s="229"/>
      <c r="AA987" s="229"/>
      <c r="AB987" s="222">
        <f t="shared" si="141"/>
        <v>0</v>
      </c>
      <c r="AC987" s="230">
        <f t="shared" si="142"/>
        <v>0</v>
      </c>
      <c r="AD987" s="222" t="str">
        <f t="shared" si="143"/>
        <v/>
      </c>
      <c r="AE987" s="201"/>
      <c r="AF987" s="231" t="str">
        <f>+IFERROR(VLOOKUP(L987,Data!$F$4:$G$97,2,0),"")</f>
        <v/>
      </c>
    </row>
    <row r="988" spans="9:32" ht="15" customHeight="1" x14ac:dyDescent="0.3">
      <c r="I988" s="201" t="str">
        <f t="shared" si="136"/>
        <v/>
      </c>
      <c r="J988" s="218">
        <f t="shared" si="137"/>
        <v>985</v>
      </c>
      <c r="K988" s="250"/>
      <c r="L988" s="219"/>
      <c r="M988" s="218"/>
      <c r="N988" s="220" t="str">
        <f>IFERROR(VLOOKUP(M988,Data!$C$4:$D$395,2,0),"")</f>
        <v/>
      </c>
      <c r="O988" s="220"/>
      <c r="P988" s="229"/>
      <c r="Q988" s="221"/>
      <c r="R988" s="222" t="str">
        <f t="shared" si="138"/>
        <v>-</v>
      </c>
      <c r="S988" s="223"/>
      <c r="T988" s="224"/>
      <c r="U988" s="225">
        <f t="shared" si="139"/>
        <v>0</v>
      </c>
      <c r="V988" s="226">
        <v>0</v>
      </c>
      <c r="W988" s="227"/>
      <c r="X988" s="228">
        <f t="shared" si="140"/>
        <v>0</v>
      </c>
      <c r="Y988" s="229"/>
      <c r="Z988" s="229"/>
      <c r="AA988" s="229"/>
      <c r="AB988" s="222">
        <f t="shared" si="141"/>
        <v>0</v>
      </c>
      <c r="AC988" s="230">
        <f t="shared" si="142"/>
        <v>0</v>
      </c>
      <c r="AD988" s="222" t="str">
        <f t="shared" si="143"/>
        <v/>
      </c>
      <c r="AE988" s="201"/>
      <c r="AF988" s="231" t="str">
        <f>+IFERROR(VLOOKUP(L988,Data!$F$4:$G$97,2,0),"")</f>
        <v/>
      </c>
    </row>
    <row r="989" spans="9:32" ht="15" customHeight="1" x14ac:dyDescent="0.3">
      <c r="I989" s="201" t="str">
        <f t="shared" si="136"/>
        <v/>
      </c>
      <c r="J989" s="218">
        <f t="shared" si="137"/>
        <v>986</v>
      </c>
      <c r="K989" s="250"/>
      <c r="L989" s="219"/>
      <c r="M989" s="218"/>
      <c r="N989" s="220" t="str">
        <f>IFERROR(VLOOKUP(M989,Data!$C$4:$D$395,2,0),"")</f>
        <v/>
      </c>
      <c r="O989" s="220"/>
      <c r="P989" s="229"/>
      <c r="Q989" s="221"/>
      <c r="R989" s="222" t="str">
        <f t="shared" si="138"/>
        <v>-</v>
      </c>
      <c r="S989" s="223"/>
      <c r="T989" s="224"/>
      <c r="U989" s="225">
        <f t="shared" si="139"/>
        <v>0</v>
      </c>
      <c r="V989" s="226">
        <v>0</v>
      </c>
      <c r="W989" s="227"/>
      <c r="X989" s="228">
        <f t="shared" si="140"/>
        <v>0</v>
      </c>
      <c r="Y989" s="229"/>
      <c r="Z989" s="229"/>
      <c r="AA989" s="229"/>
      <c r="AB989" s="222">
        <f t="shared" si="141"/>
        <v>0</v>
      </c>
      <c r="AC989" s="230">
        <f t="shared" si="142"/>
        <v>0</v>
      </c>
      <c r="AD989" s="222" t="str">
        <f t="shared" si="143"/>
        <v/>
      </c>
      <c r="AE989" s="201"/>
      <c r="AF989" s="231" t="str">
        <f>+IFERROR(VLOOKUP(L989,Data!$F$4:$G$97,2,0),"")</f>
        <v/>
      </c>
    </row>
    <row r="990" spans="9:32" ht="15" customHeight="1" x14ac:dyDescent="0.3">
      <c r="I990" s="201" t="str">
        <f t="shared" si="136"/>
        <v/>
      </c>
      <c r="J990" s="218">
        <f t="shared" si="137"/>
        <v>987</v>
      </c>
      <c r="K990" s="250"/>
      <c r="L990" s="219"/>
      <c r="M990" s="218"/>
      <c r="N990" s="220" t="str">
        <f>IFERROR(VLOOKUP(M990,Data!$C$4:$D$395,2,0),"")</f>
        <v/>
      </c>
      <c r="O990" s="220"/>
      <c r="P990" s="229"/>
      <c r="Q990" s="221"/>
      <c r="R990" s="222" t="str">
        <f t="shared" si="138"/>
        <v>-</v>
      </c>
      <c r="S990" s="223"/>
      <c r="T990" s="224"/>
      <c r="U990" s="225">
        <f t="shared" si="139"/>
        <v>0</v>
      </c>
      <c r="V990" s="226">
        <v>0</v>
      </c>
      <c r="W990" s="227"/>
      <c r="X990" s="228">
        <f t="shared" si="140"/>
        <v>0</v>
      </c>
      <c r="Y990" s="229"/>
      <c r="Z990" s="229"/>
      <c r="AA990" s="229"/>
      <c r="AB990" s="222">
        <f t="shared" si="141"/>
        <v>0</v>
      </c>
      <c r="AC990" s="230">
        <f t="shared" si="142"/>
        <v>0</v>
      </c>
      <c r="AD990" s="222" t="str">
        <f t="shared" si="143"/>
        <v/>
      </c>
      <c r="AE990" s="201"/>
      <c r="AF990" s="231" t="str">
        <f>+IFERROR(VLOOKUP(L990,Data!$F$4:$G$97,2,0),"")</f>
        <v/>
      </c>
    </row>
    <row r="991" spans="9:32" ht="15" customHeight="1" x14ac:dyDescent="0.3">
      <c r="I991" s="201" t="str">
        <f t="shared" si="136"/>
        <v/>
      </c>
      <c r="J991" s="218">
        <f t="shared" si="137"/>
        <v>988</v>
      </c>
      <c r="K991" s="250"/>
      <c r="L991" s="219"/>
      <c r="M991" s="218"/>
      <c r="N991" s="220" t="str">
        <f>IFERROR(VLOOKUP(M991,Data!$C$4:$D$395,2,0),"")</f>
        <v/>
      </c>
      <c r="O991" s="220"/>
      <c r="P991" s="229"/>
      <c r="Q991" s="221"/>
      <c r="R991" s="222" t="str">
        <f t="shared" si="138"/>
        <v>-</v>
      </c>
      <c r="S991" s="223"/>
      <c r="T991" s="224"/>
      <c r="U991" s="225">
        <f t="shared" si="139"/>
        <v>0</v>
      </c>
      <c r="V991" s="226">
        <v>0</v>
      </c>
      <c r="W991" s="227"/>
      <c r="X991" s="228">
        <f t="shared" si="140"/>
        <v>0</v>
      </c>
      <c r="Y991" s="229"/>
      <c r="Z991" s="229"/>
      <c r="AA991" s="229"/>
      <c r="AB991" s="222">
        <f t="shared" si="141"/>
        <v>0</v>
      </c>
      <c r="AC991" s="230">
        <f t="shared" si="142"/>
        <v>0</v>
      </c>
      <c r="AD991" s="222" t="str">
        <f t="shared" si="143"/>
        <v/>
      </c>
      <c r="AE991" s="201"/>
      <c r="AF991" s="231" t="str">
        <f>+IFERROR(VLOOKUP(L991,Data!$F$4:$G$97,2,0),"")</f>
        <v/>
      </c>
    </row>
    <row r="992" spans="9:32" ht="15" customHeight="1" x14ac:dyDescent="0.3">
      <c r="I992" s="201" t="str">
        <f t="shared" si="136"/>
        <v/>
      </c>
      <c r="J992" s="218">
        <f t="shared" si="137"/>
        <v>989</v>
      </c>
      <c r="K992" s="250"/>
      <c r="L992" s="219"/>
      <c r="M992" s="218"/>
      <c r="N992" s="220" t="str">
        <f>IFERROR(VLOOKUP(M992,Data!$C$4:$D$395,2,0),"")</f>
        <v/>
      </c>
      <c r="O992" s="220"/>
      <c r="P992" s="229"/>
      <c r="Q992" s="221"/>
      <c r="R992" s="222" t="str">
        <f t="shared" si="138"/>
        <v>-</v>
      </c>
      <c r="S992" s="223"/>
      <c r="T992" s="224"/>
      <c r="U992" s="225">
        <f t="shared" si="139"/>
        <v>0</v>
      </c>
      <c r="V992" s="226">
        <v>0</v>
      </c>
      <c r="W992" s="227"/>
      <c r="X992" s="228">
        <f t="shared" si="140"/>
        <v>0</v>
      </c>
      <c r="Y992" s="229"/>
      <c r="Z992" s="229"/>
      <c r="AA992" s="229"/>
      <c r="AB992" s="222">
        <f t="shared" si="141"/>
        <v>0</v>
      </c>
      <c r="AC992" s="230">
        <f t="shared" si="142"/>
        <v>0</v>
      </c>
      <c r="AD992" s="222" t="str">
        <f t="shared" si="143"/>
        <v/>
      </c>
      <c r="AE992" s="201"/>
      <c r="AF992" s="231" t="str">
        <f>+IFERROR(VLOOKUP(L992,Data!$F$4:$G$97,2,0),"")</f>
        <v/>
      </c>
    </row>
    <row r="993" spans="9:32" ht="15" customHeight="1" x14ac:dyDescent="0.3">
      <c r="I993" s="201" t="str">
        <f t="shared" si="136"/>
        <v/>
      </c>
      <c r="J993" s="218">
        <f t="shared" si="137"/>
        <v>990</v>
      </c>
      <c r="K993" s="250"/>
      <c r="L993" s="219"/>
      <c r="M993" s="218"/>
      <c r="N993" s="220" t="str">
        <f>IFERROR(VLOOKUP(M993,Data!$C$4:$D$395,2,0),"")</f>
        <v/>
      </c>
      <c r="O993" s="220"/>
      <c r="P993" s="229"/>
      <c r="Q993" s="221"/>
      <c r="R993" s="222" t="str">
        <f t="shared" si="138"/>
        <v>-</v>
      </c>
      <c r="S993" s="223"/>
      <c r="T993" s="224"/>
      <c r="U993" s="225">
        <f t="shared" si="139"/>
        <v>0</v>
      </c>
      <c r="V993" s="226">
        <v>0</v>
      </c>
      <c r="W993" s="227"/>
      <c r="X993" s="228">
        <f t="shared" si="140"/>
        <v>0</v>
      </c>
      <c r="Y993" s="229"/>
      <c r="Z993" s="229"/>
      <c r="AA993" s="229"/>
      <c r="AB993" s="222">
        <f t="shared" si="141"/>
        <v>0</v>
      </c>
      <c r="AC993" s="230">
        <f t="shared" si="142"/>
        <v>0</v>
      </c>
      <c r="AD993" s="222" t="str">
        <f t="shared" si="143"/>
        <v/>
      </c>
      <c r="AE993" s="201"/>
      <c r="AF993" s="231" t="str">
        <f>+IFERROR(VLOOKUP(L993,Data!$F$4:$G$97,2,0),"")</f>
        <v/>
      </c>
    </row>
    <row r="994" spans="9:32" ht="15" customHeight="1" x14ac:dyDescent="0.3">
      <c r="I994" s="201" t="str">
        <f t="shared" si="136"/>
        <v/>
      </c>
      <c r="J994" s="218">
        <f t="shared" si="137"/>
        <v>991</v>
      </c>
      <c r="K994" s="250"/>
      <c r="L994" s="219"/>
      <c r="M994" s="218"/>
      <c r="N994" s="220" t="str">
        <f>IFERROR(VLOOKUP(M994,Data!$C$4:$D$395,2,0),"")</f>
        <v/>
      </c>
      <c r="O994" s="220"/>
      <c r="P994" s="229"/>
      <c r="Q994" s="221"/>
      <c r="R994" s="222" t="str">
        <f t="shared" si="138"/>
        <v>-</v>
      </c>
      <c r="S994" s="223"/>
      <c r="T994" s="224"/>
      <c r="U994" s="225">
        <f t="shared" si="139"/>
        <v>0</v>
      </c>
      <c r="V994" s="226">
        <v>0</v>
      </c>
      <c r="W994" s="227"/>
      <c r="X994" s="228">
        <f t="shared" si="140"/>
        <v>0</v>
      </c>
      <c r="Y994" s="229"/>
      <c r="Z994" s="229"/>
      <c r="AA994" s="229"/>
      <c r="AB994" s="222">
        <f t="shared" si="141"/>
        <v>0</v>
      </c>
      <c r="AC994" s="230">
        <f t="shared" si="142"/>
        <v>0</v>
      </c>
      <c r="AD994" s="222" t="str">
        <f t="shared" si="143"/>
        <v/>
      </c>
      <c r="AE994" s="201"/>
      <c r="AF994" s="231" t="str">
        <f>+IFERROR(VLOOKUP(L994,Data!$F$4:$G$97,2,0),"")</f>
        <v/>
      </c>
    </row>
    <row r="995" spans="9:32" ht="15" customHeight="1" x14ac:dyDescent="0.3">
      <c r="I995" s="201" t="str">
        <f t="shared" si="136"/>
        <v/>
      </c>
      <c r="J995" s="218">
        <f t="shared" si="137"/>
        <v>992</v>
      </c>
      <c r="K995" s="250"/>
      <c r="L995" s="219"/>
      <c r="M995" s="218"/>
      <c r="N995" s="220" t="str">
        <f>IFERROR(VLOOKUP(M995,Data!$C$4:$D$395,2,0),"")</f>
        <v/>
      </c>
      <c r="O995" s="220"/>
      <c r="P995" s="229"/>
      <c r="Q995" s="221"/>
      <c r="R995" s="222" t="str">
        <f t="shared" si="138"/>
        <v>-</v>
      </c>
      <c r="S995" s="223"/>
      <c r="T995" s="224"/>
      <c r="U995" s="225">
        <f t="shared" si="139"/>
        <v>0</v>
      </c>
      <c r="V995" s="226">
        <v>0</v>
      </c>
      <c r="W995" s="227"/>
      <c r="X995" s="228">
        <f t="shared" si="140"/>
        <v>0</v>
      </c>
      <c r="Y995" s="229"/>
      <c r="Z995" s="229"/>
      <c r="AA995" s="229"/>
      <c r="AB995" s="222">
        <f t="shared" si="141"/>
        <v>0</v>
      </c>
      <c r="AC995" s="230">
        <f t="shared" si="142"/>
        <v>0</v>
      </c>
      <c r="AD995" s="222" t="str">
        <f t="shared" si="143"/>
        <v/>
      </c>
      <c r="AE995" s="201"/>
      <c r="AF995" s="231" t="str">
        <f>+IFERROR(VLOOKUP(L995,Data!$F$4:$G$97,2,0),"")</f>
        <v/>
      </c>
    </row>
    <row r="996" spans="9:32" ht="15" customHeight="1" x14ac:dyDescent="0.3">
      <c r="I996" s="201" t="str">
        <f t="shared" si="136"/>
        <v/>
      </c>
      <c r="J996" s="218">
        <f t="shared" si="137"/>
        <v>993</v>
      </c>
      <c r="K996" s="250"/>
      <c r="L996" s="219"/>
      <c r="M996" s="218"/>
      <c r="N996" s="220" t="str">
        <f>IFERROR(VLOOKUP(M996,Data!$C$4:$D$395,2,0),"")</f>
        <v/>
      </c>
      <c r="O996" s="220"/>
      <c r="P996" s="229"/>
      <c r="Q996" s="221"/>
      <c r="R996" s="222" t="str">
        <f t="shared" si="138"/>
        <v>-</v>
      </c>
      <c r="S996" s="223"/>
      <c r="T996" s="224"/>
      <c r="U996" s="225">
        <f t="shared" si="139"/>
        <v>0</v>
      </c>
      <c r="V996" s="226">
        <v>0</v>
      </c>
      <c r="W996" s="227"/>
      <c r="X996" s="228">
        <f t="shared" si="140"/>
        <v>0</v>
      </c>
      <c r="Y996" s="229"/>
      <c r="Z996" s="229"/>
      <c r="AA996" s="229"/>
      <c r="AB996" s="222">
        <f t="shared" si="141"/>
        <v>0</v>
      </c>
      <c r="AC996" s="230">
        <f t="shared" si="142"/>
        <v>0</v>
      </c>
      <c r="AD996" s="222" t="str">
        <f t="shared" si="143"/>
        <v/>
      </c>
      <c r="AE996" s="201"/>
      <c r="AF996" s="231" t="str">
        <f>+IFERROR(VLOOKUP(L996,Data!$F$4:$G$97,2,0),"")</f>
        <v/>
      </c>
    </row>
    <row r="997" spans="9:32" ht="15" customHeight="1" x14ac:dyDescent="0.3">
      <c r="I997" s="201" t="str">
        <f t="shared" si="136"/>
        <v/>
      </c>
      <c r="J997" s="218">
        <f t="shared" si="137"/>
        <v>994</v>
      </c>
      <c r="K997" s="250"/>
      <c r="L997" s="219"/>
      <c r="M997" s="218"/>
      <c r="N997" s="220" t="str">
        <f>IFERROR(VLOOKUP(M997,Data!$C$4:$D$395,2,0),"")</f>
        <v/>
      </c>
      <c r="O997" s="220"/>
      <c r="P997" s="229"/>
      <c r="Q997" s="221"/>
      <c r="R997" s="222" t="str">
        <f t="shared" si="138"/>
        <v>-</v>
      </c>
      <c r="S997" s="223"/>
      <c r="T997" s="224"/>
      <c r="U997" s="225">
        <f t="shared" si="139"/>
        <v>0</v>
      </c>
      <c r="V997" s="226">
        <v>0</v>
      </c>
      <c r="W997" s="227"/>
      <c r="X997" s="228">
        <f t="shared" si="140"/>
        <v>0</v>
      </c>
      <c r="Y997" s="229"/>
      <c r="Z997" s="229"/>
      <c r="AA997" s="229"/>
      <c r="AB997" s="222">
        <f t="shared" si="141"/>
        <v>0</v>
      </c>
      <c r="AC997" s="230">
        <f t="shared" si="142"/>
        <v>0</v>
      </c>
      <c r="AD997" s="222" t="str">
        <f t="shared" si="143"/>
        <v/>
      </c>
      <c r="AE997" s="201"/>
      <c r="AF997" s="231" t="str">
        <f>+IFERROR(VLOOKUP(L997,Data!$F$4:$G$97,2,0),"")</f>
        <v/>
      </c>
    </row>
    <row r="998" spans="9:32" ht="15" customHeight="1" x14ac:dyDescent="0.3">
      <c r="I998" s="201" t="str">
        <f t="shared" si="136"/>
        <v/>
      </c>
      <c r="J998" s="218">
        <f t="shared" si="137"/>
        <v>995</v>
      </c>
      <c r="K998" s="250"/>
      <c r="L998" s="219"/>
      <c r="M998" s="218"/>
      <c r="N998" s="220" t="str">
        <f>IFERROR(VLOOKUP(M998,Data!$C$4:$D$395,2,0),"")</f>
        <v/>
      </c>
      <c r="O998" s="220"/>
      <c r="P998" s="229"/>
      <c r="Q998" s="221"/>
      <c r="R998" s="222" t="str">
        <f t="shared" si="138"/>
        <v>-</v>
      </c>
      <c r="S998" s="223"/>
      <c r="T998" s="224"/>
      <c r="U998" s="225">
        <f t="shared" si="139"/>
        <v>0</v>
      </c>
      <c r="V998" s="226">
        <v>0</v>
      </c>
      <c r="W998" s="227"/>
      <c r="X998" s="228">
        <f t="shared" si="140"/>
        <v>0</v>
      </c>
      <c r="Y998" s="229"/>
      <c r="Z998" s="229"/>
      <c r="AA998" s="229"/>
      <c r="AB998" s="222">
        <f t="shared" si="141"/>
        <v>0</v>
      </c>
      <c r="AC998" s="230">
        <f t="shared" si="142"/>
        <v>0</v>
      </c>
      <c r="AD998" s="222" t="str">
        <f t="shared" si="143"/>
        <v/>
      </c>
      <c r="AE998" s="201"/>
      <c r="AF998" s="231" t="str">
        <f>+IFERROR(VLOOKUP(L998,Data!$F$4:$G$97,2,0),"")</f>
        <v/>
      </c>
    </row>
    <row r="999" spans="9:32" ht="15" customHeight="1" x14ac:dyDescent="0.3">
      <c r="I999" s="201" t="str">
        <f t="shared" si="136"/>
        <v/>
      </c>
      <c r="J999" s="218">
        <f t="shared" si="137"/>
        <v>996</v>
      </c>
      <c r="K999" s="250"/>
      <c r="L999" s="219"/>
      <c r="M999" s="218"/>
      <c r="N999" s="220" t="str">
        <f>IFERROR(VLOOKUP(M999,Data!$C$4:$D$395,2,0),"")</f>
        <v/>
      </c>
      <c r="O999" s="220"/>
      <c r="P999" s="229"/>
      <c r="Q999" s="221"/>
      <c r="R999" s="222" t="str">
        <f t="shared" si="138"/>
        <v>-</v>
      </c>
      <c r="S999" s="223"/>
      <c r="T999" s="224"/>
      <c r="U999" s="225">
        <f t="shared" si="139"/>
        <v>0</v>
      </c>
      <c r="V999" s="226">
        <v>0</v>
      </c>
      <c r="W999" s="227"/>
      <c r="X999" s="228">
        <f t="shared" si="140"/>
        <v>0</v>
      </c>
      <c r="Y999" s="229"/>
      <c r="Z999" s="229"/>
      <c r="AA999" s="229"/>
      <c r="AB999" s="222">
        <f t="shared" si="141"/>
        <v>0</v>
      </c>
      <c r="AC999" s="230">
        <f t="shared" si="142"/>
        <v>0</v>
      </c>
      <c r="AD999" s="222" t="str">
        <f t="shared" si="143"/>
        <v/>
      </c>
      <c r="AE999" s="201"/>
      <c r="AF999" s="231" t="str">
        <f>+IFERROR(VLOOKUP(L999,Data!$F$4:$G$97,2,0),"")</f>
        <v/>
      </c>
    </row>
    <row r="1000" spans="9:32" ht="15" customHeight="1" x14ac:dyDescent="0.3">
      <c r="I1000" s="201" t="str">
        <f t="shared" si="136"/>
        <v/>
      </c>
      <c r="J1000" s="218">
        <f t="shared" si="137"/>
        <v>997</v>
      </c>
      <c r="K1000" s="250"/>
      <c r="L1000" s="219"/>
      <c r="M1000" s="218"/>
      <c r="N1000" s="220" t="str">
        <f>IFERROR(VLOOKUP(M1000,Data!$C$4:$D$395,2,0),"")</f>
        <v/>
      </c>
      <c r="O1000" s="220"/>
      <c r="P1000" s="229"/>
      <c r="Q1000" s="221"/>
      <c r="R1000" s="222" t="str">
        <f t="shared" si="138"/>
        <v>-</v>
      </c>
      <c r="S1000" s="223"/>
      <c r="T1000" s="224"/>
      <c r="U1000" s="225">
        <f t="shared" si="139"/>
        <v>0</v>
      </c>
      <c r="V1000" s="226">
        <v>0</v>
      </c>
      <c r="W1000" s="227"/>
      <c r="X1000" s="228">
        <f t="shared" si="140"/>
        <v>0</v>
      </c>
      <c r="Y1000" s="229"/>
      <c r="Z1000" s="229"/>
      <c r="AA1000" s="229"/>
      <c r="AB1000" s="222">
        <f t="shared" si="141"/>
        <v>0</v>
      </c>
      <c r="AC1000" s="230">
        <f t="shared" si="142"/>
        <v>0</v>
      </c>
      <c r="AD1000" s="222" t="str">
        <f t="shared" si="143"/>
        <v/>
      </c>
      <c r="AE1000" s="201"/>
      <c r="AF1000" s="231" t="str">
        <f>+IFERROR(VLOOKUP(L1000,Data!$F$4:$G$97,2,0),"")</f>
        <v/>
      </c>
    </row>
    <row r="1001" spans="9:32" ht="15" customHeight="1" x14ac:dyDescent="0.3">
      <c r="I1001" s="201" t="str">
        <f t="shared" si="136"/>
        <v/>
      </c>
      <c r="J1001" s="218">
        <f t="shared" si="137"/>
        <v>998</v>
      </c>
      <c r="K1001" s="250"/>
      <c r="L1001" s="219"/>
      <c r="M1001" s="218"/>
      <c r="N1001" s="220" t="str">
        <f>IFERROR(VLOOKUP(M1001,Data!$C$4:$D$395,2,0),"")</f>
        <v/>
      </c>
      <c r="O1001" s="220"/>
      <c r="P1001" s="229"/>
      <c r="Q1001" s="221"/>
      <c r="R1001" s="222" t="str">
        <f t="shared" si="138"/>
        <v>-</v>
      </c>
      <c r="S1001" s="223"/>
      <c r="T1001" s="224"/>
      <c r="U1001" s="225">
        <f t="shared" si="139"/>
        <v>0</v>
      </c>
      <c r="V1001" s="226">
        <v>0</v>
      </c>
      <c r="W1001" s="227"/>
      <c r="X1001" s="228">
        <f t="shared" si="140"/>
        <v>0</v>
      </c>
      <c r="Y1001" s="229"/>
      <c r="Z1001" s="229"/>
      <c r="AA1001" s="229"/>
      <c r="AB1001" s="222">
        <f t="shared" si="141"/>
        <v>0</v>
      </c>
      <c r="AC1001" s="230">
        <f t="shared" si="142"/>
        <v>0</v>
      </c>
      <c r="AD1001" s="222" t="str">
        <f t="shared" si="143"/>
        <v/>
      </c>
      <c r="AE1001" s="201"/>
      <c r="AF1001" s="231" t="str">
        <f>+IFERROR(VLOOKUP(L1001,Data!$F$4:$G$97,2,0),"")</f>
        <v/>
      </c>
    </row>
    <row r="1002" spans="9:32" ht="15" customHeight="1" x14ac:dyDescent="0.3">
      <c r="I1002" s="201" t="str">
        <f t="shared" si="136"/>
        <v/>
      </c>
      <c r="J1002" s="218">
        <f t="shared" si="137"/>
        <v>999</v>
      </c>
      <c r="K1002" s="250"/>
      <c r="L1002" s="219"/>
      <c r="M1002" s="218"/>
      <c r="N1002" s="220" t="str">
        <f>IFERROR(VLOOKUP(M1002,Data!$C$4:$D$395,2,0),"")</f>
        <v/>
      </c>
      <c r="O1002" s="220"/>
      <c r="P1002" s="229"/>
      <c r="Q1002" s="221"/>
      <c r="R1002" s="222" t="str">
        <f t="shared" si="138"/>
        <v>-</v>
      </c>
      <c r="S1002" s="223"/>
      <c r="T1002" s="224"/>
      <c r="U1002" s="225">
        <f t="shared" si="139"/>
        <v>0</v>
      </c>
      <c r="V1002" s="226">
        <v>0</v>
      </c>
      <c r="W1002" s="227"/>
      <c r="X1002" s="228">
        <f t="shared" si="140"/>
        <v>0</v>
      </c>
      <c r="Y1002" s="229"/>
      <c r="Z1002" s="229"/>
      <c r="AA1002" s="229"/>
      <c r="AB1002" s="222">
        <f t="shared" si="141"/>
        <v>0</v>
      </c>
      <c r="AC1002" s="230">
        <f t="shared" si="142"/>
        <v>0</v>
      </c>
      <c r="AD1002" s="222" t="str">
        <f t="shared" si="143"/>
        <v/>
      </c>
      <c r="AE1002" s="201"/>
      <c r="AF1002" s="231" t="str">
        <f>+IFERROR(VLOOKUP(L1002,Data!$F$4:$G$97,2,0),"")</f>
        <v/>
      </c>
    </row>
    <row r="1003" spans="9:32" ht="15" customHeight="1" x14ac:dyDescent="0.3">
      <c r="I1003" s="201" t="str">
        <f t="shared" si="136"/>
        <v/>
      </c>
      <c r="J1003" s="218">
        <f t="shared" si="137"/>
        <v>1000</v>
      </c>
      <c r="K1003" s="250"/>
      <c r="L1003" s="219"/>
      <c r="M1003" s="218"/>
      <c r="N1003" s="220" t="str">
        <f>IFERROR(VLOOKUP(M1003,Data!$C$4:$D$395,2,0),"")</f>
        <v/>
      </c>
      <c r="O1003" s="220"/>
      <c r="P1003" s="229"/>
      <c r="Q1003" s="221"/>
      <c r="R1003" s="222" t="str">
        <f t="shared" si="138"/>
        <v>-</v>
      </c>
      <c r="S1003" s="223"/>
      <c r="T1003" s="224"/>
      <c r="U1003" s="225">
        <f t="shared" si="139"/>
        <v>0</v>
      </c>
      <c r="V1003" s="226">
        <v>0</v>
      </c>
      <c r="W1003" s="227"/>
      <c r="X1003" s="228">
        <f t="shared" si="140"/>
        <v>0</v>
      </c>
      <c r="Y1003" s="229"/>
      <c r="Z1003" s="229"/>
      <c r="AA1003" s="229"/>
      <c r="AB1003" s="222">
        <f t="shared" si="141"/>
        <v>0</v>
      </c>
      <c r="AC1003" s="230">
        <f t="shared" si="142"/>
        <v>0</v>
      </c>
      <c r="AD1003" s="222" t="str">
        <f t="shared" si="143"/>
        <v/>
      </c>
      <c r="AE1003" s="201"/>
      <c r="AF1003" s="231" t="str">
        <f>+IFERROR(VLOOKUP(L1003,Data!$F$4:$G$97,2,0),"")</f>
        <v/>
      </c>
    </row>
    <row r="1004" spans="9:32" ht="15" customHeight="1" x14ac:dyDescent="0.3">
      <c r="I1004" s="201" t="str">
        <f t="shared" si="136"/>
        <v/>
      </c>
      <c r="J1004" s="218">
        <f t="shared" si="137"/>
        <v>1001</v>
      </c>
      <c r="K1004" s="250"/>
      <c r="L1004" s="219"/>
      <c r="M1004" s="218"/>
      <c r="N1004" s="220" t="str">
        <f>IFERROR(VLOOKUP(M1004,Data!$C$4:$D$395,2,0),"")</f>
        <v/>
      </c>
      <c r="O1004" s="220"/>
      <c r="P1004" s="229"/>
      <c r="Q1004" s="221"/>
      <c r="R1004" s="222" t="str">
        <f t="shared" si="138"/>
        <v>-</v>
      </c>
      <c r="S1004" s="223"/>
      <c r="T1004" s="224"/>
      <c r="U1004" s="225">
        <f t="shared" si="139"/>
        <v>0</v>
      </c>
      <c r="V1004" s="226">
        <v>0</v>
      </c>
      <c r="W1004" s="227"/>
      <c r="X1004" s="228">
        <f t="shared" si="140"/>
        <v>0</v>
      </c>
      <c r="Y1004" s="229"/>
      <c r="Z1004" s="229"/>
      <c r="AA1004" s="229"/>
      <c r="AB1004" s="222">
        <f t="shared" si="141"/>
        <v>0</v>
      </c>
      <c r="AC1004" s="230">
        <f t="shared" si="142"/>
        <v>0</v>
      </c>
      <c r="AD1004" s="222" t="str">
        <f t="shared" si="143"/>
        <v/>
      </c>
      <c r="AE1004" s="201"/>
      <c r="AF1004" s="231" t="str">
        <f>+IFERROR(VLOOKUP(L1004,Data!$F$4:$G$97,2,0),"")</f>
        <v/>
      </c>
    </row>
    <row r="1005" spans="9:32" ht="15" customHeight="1" x14ac:dyDescent="0.3">
      <c r="I1005" s="201" t="str">
        <f t="shared" si="136"/>
        <v/>
      </c>
      <c r="J1005" s="218">
        <f t="shared" si="137"/>
        <v>1002</v>
      </c>
      <c r="K1005" s="250"/>
      <c r="L1005" s="219"/>
      <c r="M1005" s="218"/>
      <c r="N1005" s="220" t="str">
        <f>IFERROR(VLOOKUP(M1005,Data!$C$4:$D$395,2,0),"")</f>
        <v/>
      </c>
      <c r="O1005" s="220"/>
      <c r="P1005" s="229"/>
      <c r="Q1005" s="221"/>
      <c r="R1005" s="222" t="str">
        <f t="shared" si="138"/>
        <v>-</v>
      </c>
      <c r="S1005" s="223"/>
      <c r="T1005" s="224"/>
      <c r="U1005" s="225">
        <f t="shared" si="139"/>
        <v>0</v>
      </c>
      <c r="V1005" s="226">
        <v>0</v>
      </c>
      <c r="W1005" s="227"/>
      <c r="X1005" s="228">
        <f t="shared" si="140"/>
        <v>0</v>
      </c>
      <c r="Y1005" s="229"/>
      <c r="Z1005" s="229"/>
      <c r="AA1005" s="229"/>
      <c r="AB1005" s="222">
        <f t="shared" si="141"/>
        <v>0</v>
      </c>
      <c r="AC1005" s="230">
        <f t="shared" si="142"/>
        <v>0</v>
      </c>
      <c r="AD1005" s="222" t="str">
        <f t="shared" si="143"/>
        <v/>
      </c>
      <c r="AE1005" s="201"/>
      <c r="AF1005" s="231" t="str">
        <f>+IFERROR(VLOOKUP(L1005,Data!$F$4:$G$97,2,0),"")</f>
        <v/>
      </c>
    </row>
    <row r="1006" spans="9:32" ht="15" customHeight="1" x14ac:dyDescent="0.3">
      <c r="I1006" s="201" t="str">
        <f t="shared" si="136"/>
        <v/>
      </c>
      <c r="J1006" s="218">
        <f t="shared" si="137"/>
        <v>1003</v>
      </c>
      <c r="K1006" s="250"/>
      <c r="L1006" s="219"/>
      <c r="M1006" s="218"/>
      <c r="N1006" s="220" t="str">
        <f>IFERROR(VLOOKUP(M1006,Data!$C$4:$D$395,2,0),"")</f>
        <v/>
      </c>
      <c r="O1006" s="220"/>
      <c r="P1006" s="229"/>
      <c r="Q1006" s="221"/>
      <c r="R1006" s="222" t="str">
        <f t="shared" si="138"/>
        <v>-</v>
      </c>
      <c r="S1006" s="223"/>
      <c r="T1006" s="224"/>
      <c r="U1006" s="225">
        <f t="shared" si="139"/>
        <v>0</v>
      </c>
      <c r="V1006" s="226">
        <v>0</v>
      </c>
      <c r="W1006" s="227"/>
      <c r="X1006" s="228">
        <f t="shared" si="140"/>
        <v>0</v>
      </c>
      <c r="Y1006" s="229"/>
      <c r="Z1006" s="229"/>
      <c r="AA1006" s="229"/>
      <c r="AB1006" s="222">
        <f t="shared" si="141"/>
        <v>0</v>
      </c>
      <c r="AC1006" s="230">
        <f t="shared" si="142"/>
        <v>0</v>
      </c>
      <c r="AD1006" s="222" t="str">
        <f t="shared" si="143"/>
        <v/>
      </c>
      <c r="AE1006" s="201"/>
      <c r="AF1006" s="231" t="str">
        <f>+IFERROR(VLOOKUP(L1006,Data!$F$4:$G$97,2,0),"")</f>
        <v/>
      </c>
    </row>
    <row r="1007" spans="9:32" ht="15" customHeight="1" x14ac:dyDescent="0.3">
      <c r="I1007" s="201" t="str">
        <f t="shared" si="136"/>
        <v/>
      </c>
      <c r="J1007" s="218">
        <f t="shared" si="137"/>
        <v>1004</v>
      </c>
      <c r="K1007" s="250"/>
      <c r="L1007" s="219"/>
      <c r="M1007" s="218"/>
      <c r="N1007" s="220" t="str">
        <f>IFERROR(VLOOKUP(M1007,Data!$C$4:$D$395,2,0),"")</f>
        <v/>
      </c>
      <c r="O1007" s="220"/>
      <c r="P1007" s="229"/>
      <c r="Q1007" s="221"/>
      <c r="R1007" s="222" t="str">
        <f t="shared" si="138"/>
        <v>-</v>
      </c>
      <c r="S1007" s="223"/>
      <c r="T1007" s="224"/>
      <c r="U1007" s="225">
        <f t="shared" si="139"/>
        <v>0</v>
      </c>
      <c r="V1007" s="226">
        <v>0</v>
      </c>
      <c r="W1007" s="227"/>
      <c r="X1007" s="228">
        <f t="shared" si="140"/>
        <v>0</v>
      </c>
      <c r="Y1007" s="229"/>
      <c r="Z1007" s="229"/>
      <c r="AA1007" s="229"/>
      <c r="AB1007" s="222">
        <f t="shared" si="141"/>
        <v>0</v>
      </c>
      <c r="AC1007" s="230">
        <f t="shared" si="142"/>
        <v>0</v>
      </c>
      <c r="AD1007" s="222" t="str">
        <f t="shared" si="143"/>
        <v/>
      </c>
      <c r="AE1007" s="201"/>
      <c r="AF1007" s="231" t="str">
        <f>+IFERROR(VLOOKUP(L1007,Data!$F$4:$G$97,2,0),"")</f>
        <v/>
      </c>
    </row>
    <row r="1008" spans="9:32" ht="15" customHeight="1" x14ac:dyDescent="0.3">
      <c r="I1008" s="201" t="str">
        <f t="shared" si="136"/>
        <v/>
      </c>
      <c r="J1008" s="218">
        <f t="shared" si="137"/>
        <v>1005</v>
      </c>
      <c r="K1008" s="250"/>
      <c r="L1008" s="219"/>
      <c r="M1008" s="218"/>
      <c r="N1008" s="220" t="str">
        <f>IFERROR(VLOOKUP(M1008,Data!$C$4:$D$395,2,0),"")</f>
        <v/>
      </c>
      <c r="O1008" s="220"/>
      <c r="P1008" s="229"/>
      <c r="Q1008" s="221"/>
      <c r="R1008" s="222" t="str">
        <f t="shared" si="138"/>
        <v>-</v>
      </c>
      <c r="S1008" s="223"/>
      <c r="T1008" s="224"/>
      <c r="U1008" s="225">
        <f t="shared" si="139"/>
        <v>0</v>
      </c>
      <c r="V1008" s="226">
        <v>0</v>
      </c>
      <c r="W1008" s="227"/>
      <c r="X1008" s="228">
        <f t="shared" si="140"/>
        <v>0</v>
      </c>
      <c r="Y1008" s="229"/>
      <c r="Z1008" s="229"/>
      <c r="AA1008" s="229"/>
      <c r="AB1008" s="222">
        <f t="shared" si="141"/>
        <v>0</v>
      </c>
      <c r="AC1008" s="230">
        <f t="shared" si="142"/>
        <v>0</v>
      </c>
      <c r="AD1008" s="222" t="str">
        <f t="shared" si="143"/>
        <v/>
      </c>
      <c r="AE1008" s="201"/>
      <c r="AF1008" s="231" t="str">
        <f>+IFERROR(VLOOKUP(L1008,Data!$F$4:$G$97,2,0),"")</f>
        <v/>
      </c>
    </row>
    <row r="1009" spans="9:32" ht="15" customHeight="1" x14ac:dyDescent="0.3">
      <c r="I1009" s="201" t="str">
        <f t="shared" si="136"/>
        <v/>
      </c>
      <c r="J1009" s="218">
        <f t="shared" si="137"/>
        <v>1006</v>
      </c>
      <c r="K1009" s="250"/>
      <c r="L1009" s="219"/>
      <c r="M1009" s="218"/>
      <c r="N1009" s="220" t="str">
        <f>IFERROR(VLOOKUP(M1009,Data!$C$4:$D$395,2,0),"")</f>
        <v/>
      </c>
      <c r="O1009" s="220"/>
      <c r="P1009" s="229"/>
      <c r="Q1009" s="221"/>
      <c r="R1009" s="222" t="str">
        <f t="shared" si="138"/>
        <v>-</v>
      </c>
      <c r="S1009" s="223"/>
      <c r="T1009" s="224"/>
      <c r="U1009" s="225">
        <f t="shared" si="139"/>
        <v>0</v>
      </c>
      <c r="V1009" s="226">
        <v>0</v>
      </c>
      <c r="W1009" s="227"/>
      <c r="X1009" s="228">
        <f t="shared" si="140"/>
        <v>0</v>
      </c>
      <c r="Y1009" s="229"/>
      <c r="Z1009" s="229"/>
      <c r="AA1009" s="229"/>
      <c r="AB1009" s="222">
        <f t="shared" si="141"/>
        <v>0</v>
      </c>
      <c r="AC1009" s="230">
        <f t="shared" si="142"/>
        <v>0</v>
      </c>
      <c r="AD1009" s="222" t="str">
        <f t="shared" si="143"/>
        <v/>
      </c>
      <c r="AE1009" s="201"/>
      <c r="AF1009" s="231" t="str">
        <f>+IFERROR(VLOOKUP(L1009,Data!$F$4:$G$97,2,0),"")</f>
        <v/>
      </c>
    </row>
    <row r="1010" spans="9:32" ht="15" customHeight="1" x14ac:dyDescent="0.3">
      <c r="I1010" s="201" t="str">
        <f t="shared" si="136"/>
        <v/>
      </c>
      <c r="J1010" s="218">
        <f t="shared" si="137"/>
        <v>1007</v>
      </c>
      <c r="K1010" s="250"/>
      <c r="L1010" s="219"/>
      <c r="M1010" s="218"/>
      <c r="N1010" s="220" t="str">
        <f>IFERROR(VLOOKUP(M1010,Data!$C$4:$D$395,2,0),"")</f>
        <v/>
      </c>
      <c r="O1010" s="220"/>
      <c r="P1010" s="229"/>
      <c r="Q1010" s="221"/>
      <c r="R1010" s="222" t="str">
        <f t="shared" si="138"/>
        <v>-</v>
      </c>
      <c r="S1010" s="223"/>
      <c r="T1010" s="224"/>
      <c r="U1010" s="225">
        <f t="shared" si="139"/>
        <v>0</v>
      </c>
      <c r="V1010" s="226">
        <v>0</v>
      </c>
      <c r="W1010" s="227"/>
      <c r="X1010" s="228">
        <f t="shared" si="140"/>
        <v>0</v>
      </c>
      <c r="Y1010" s="229"/>
      <c r="Z1010" s="229"/>
      <c r="AA1010" s="229"/>
      <c r="AB1010" s="222">
        <f t="shared" si="141"/>
        <v>0</v>
      </c>
      <c r="AC1010" s="230">
        <f t="shared" si="142"/>
        <v>0</v>
      </c>
      <c r="AD1010" s="222" t="str">
        <f t="shared" si="143"/>
        <v/>
      </c>
      <c r="AE1010" s="201"/>
      <c r="AF1010" s="231" t="str">
        <f>+IFERROR(VLOOKUP(L1010,Data!$F$4:$G$97,2,0),"")</f>
        <v/>
      </c>
    </row>
    <row r="1011" spans="9:32" ht="15" customHeight="1" x14ac:dyDescent="0.3">
      <c r="I1011" s="201" t="str">
        <f t="shared" si="136"/>
        <v/>
      </c>
      <c r="J1011" s="218">
        <f t="shared" si="137"/>
        <v>1008</v>
      </c>
      <c r="K1011" s="250"/>
      <c r="L1011" s="219"/>
      <c r="M1011" s="218"/>
      <c r="N1011" s="220" t="str">
        <f>IFERROR(VLOOKUP(M1011,Data!$C$4:$D$395,2,0),"")</f>
        <v/>
      </c>
      <c r="O1011" s="220"/>
      <c r="P1011" s="229"/>
      <c r="Q1011" s="221"/>
      <c r="R1011" s="222" t="str">
        <f t="shared" si="138"/>
        <v>-</v>
      </c>
      <c r="S1011" s="223"/>
      <c r="T1011" s="224"/>
      <c r="U1011" s="225">
        <f t="shared" si="139"/>
        <v>0</v>
      </c>
      <c r="V1011" s="226">
        <v>0</v>
      </c>
      <c r="W1011" s="227"/>
      <c r="X1011" s="228">
        <f t="shared" si="140"/>
        <v>0</v>
      </c>
      <c r="Y1011" s="229"/>
      <c r="Z1011" s="229"/>
      <c r="AA1011" s="229"/>
      <c r="AB1011" s="222">
        <f t="shared" si="141"/>
        <v>0</v>
      </c>
      <c r="AC1011" s="230">
        <f t="shared" si="142"/>
        <v>0</v>
      </c>
      <c r="AD1011" s="222" t="str">
        <f t="shared" si="143"/>
        <v/>
      </c>
      <c r="AE1011" s="201"/>
      <c r="AF1011" s="231" t="str">
        <f>+IFERROR(VLOOKUP(L1011,Data!$F$4:$G$97,2,0),"")</f>
        <v/>
      </c>
    </row>
    <row r="1012" spans="9:32" ht="15" customHeight="1" x14ac:dyDescent="0.3">
      <c r="I1012" s="201" t="str">
        <f t="shared" si="136"/>
        <v/>
      </c>
      <c r="J1012" s="218">
        <f t="shared" si="137"/>
        <v>1009</v>
      </c>
      <c r="K1012" s="250"/>
      <c r="L1012" s="219"/>
      <c r="M1012" s="218"/>
      <c r="N1012" s="220" t="str">
        <f>IFERROR(VLOOKUP(M1012,Data!$C$4:$D$395,2,0),"")</f>
        <v/>
      </c>
      <c r="O1012" s="220"/>
      <c r="P1012" s="229"/>
      <c r="Q1012" s="221"/>
      <c r="R1012" s="222" t="str">
        <f t="shared" si="138"/>
        <v>-</v>
      </c>
      <c r="S1012" s="223"/>
      <c r="T1012" s="224"/>
      <c r="U1012" s="225">
        <f t="shared" si="139"/>
        <v>0</v>
      </c>
      <c r="V1012" s="226">
        <v>0</v>
      </c>
      <c r="W1012" s="227"/>
      <c r="X1012" s="228">
        <f t="shared" si="140"/>
        <v>0</v>
      </c>
      <c r="Y1012" s="229"/>
      <c r="Z1012" s="229"/>
      <c r="AA1012" s="229"/>
      <c r="AB1012" s="222">
        <f t="shared" si="141"/>
        <v>0</v>
      </c>
      <c r="AC1012" s="230">
        <f t="shared" si="142"/>
        <v>0</v>
      </c>
      <c r="AD1012" s="222" t="str">
        <f t="shared" si="143"/>
        <v/>
      </c>
      <c r="AE1012" s="201"/>
      <c r="AF1012" s="231" t="str">
        <f>+IFERROR(VLOOKUP(L1012,Data!$F$4:$G$97,2,0),"")</f>
        <v/>
      </c>
    </row>
    <row r="1013" spans="9:32" ht="15" customHeight="1" x14ac:dyDescent="0.3">
      <c r="I1013" s="201" t="str">
        <f t="shared" si="136"/>
        <v/>
      </c>
      <c r="J1013" s="218">
        <f t="shared" si="137"/>
        <v>1010</v>
      </c>
      <c r="K1013" s="250"/>
      <c r="L1013" s="219"/>
      <c r="M1013" s="218"/>
      <c r="N1013" s="220" t="str">
        <f>IFERROR(VLOOKUP(M1013,Data!$C$4:$D$395,2,0),"")</f>
        <v/>
      </c>
      <c r="O1013" s="220"/>
      <c r="P1013" s="229"/>
      <c r="Q1013" s="221"/>
      <c r="R1013" s="222" t="str">
        <f t="shared" si="138"/>
        <v>-</v>
      </c>
      <c r="S1013" s="223"/>
      <c r="T1013" s="224"/>
      <c r="U1013" s="225">
        <f t="shared" si="139"/>
        <v>0</v>
      </c>
      <c r="V1013" s="226">
        <v>0</v>
      </c>
      <c r="W1013" s="227"/>
      <c r="X1013" s="228">
        <f t="shared" si="140"/>
        <v>0</v>
      </c>
      <c r="Y1013" s="229"/>
      <c r="Z1013" s="229"/>
      <c r="AA1013" s="229"/>
      <c r="AB1013" s="222">
        <f t="shared" si="141"/>
        <v>0</v>
      </c>
      <c r="AC1013" s="230">
        <f t="shared" si="142"/>
        <v>0</v>
      </c>
      <c r="AD1013" s="222" t="str">
        <f t="shared" si="143"/>
        <v/>
      </c>
      <c r="AE1013" s="201"/>
      <c r="AF1013" s="231" t="str">
        <f>+IFERROR(VLOOKUP(L1013,Data!$F$4:$G$97,2,0),"")</f>
        <v/>
      </c>
    </row>
    <row r="1014" spans="9:32" ht="15" customHeight="1" x14ac:dyDescent="0.3">
      <c r="I1014" s="201" t="str">
        <f t="shared" si="136"/>
        <v/>
      </c>
      <c r="J1014" s="218">
        <f t="shared" si="137"/>
        <v>1011</v>
      </c>
      <c r="K1014" s="250"/>
      <c r="L1014" s="219"/>
      <c r="M1014" s="218"/>
      <c r="N1014" s="220" t="str">
        <f>IFERROR(VLOOKUP(M1014,Data!$C$4:$D$395,2,0),"")</f>
        <v/>
      </c>
      <c r="O1014" s="220"/>
      <c r="P1014" s="229"/>
      <c r="Q1014" s="221"/>
      <c r="R1014" s="222" t="str">
        <f t="shared" si="138"/>
        <v>-</v>
      </c>
      <c r="S1014" s="223"/>
      <c r="T1014" s="224"/>
      <c r="U1014" s="225">
        <f t="shared" si="139"/>
        <v>0</v>
      </c>
      <c r="V1014" s="226">
        <v>0</v>
      </c>
      <c r="W1014" s="227"/>
      <c r="X1014" s="228">
        <f t="shared" si="140"/>
        <v>0</v>
      </c>
      <c r="Y1014" s="229"/>
      <c r="Z1014" s="229"/>
      <c r="AA1014" s="229"/>
      <c r="AB1014" s="222">
        <f t="shared" si="141"/>
        <v>0</v>
      </c>
      <c r="AC1014" s="230">
        <f t="shared" si="142"/>
        <v>0</v>
      </c>
      <c r="AD1014" s="222" t="str">
        <f t="shared" si="143"/>
        <v/>
      </c>
      <c r="AE1014" s="201"/>
      <c r="AF1014" s="231" t="str">
        <f>+IFERROR(VLOOKUP(L1014,Data!$F$4:$G$97,2,0),"")</f>
        <v/>
      </c>
    </row>
    <row r="1015" spans="9:32" ht="15" customHeight="1" x14ac:dyDescent="0.3">
      <c r="I1015" s="201" t="str">
        <f t="shared" si="136"/>
        <v/>
      </c>
      <c r="J1015" s="218">
        <f t="shared" si="137"/>
        <v>1012</v>
      </c>
      <c r="K1015" s="250"/>
      <c r="L1015" s="219"/>
      <c r="M1015" s="218"/>
      <c r="N1015" s="220" t="str">
        <f>IFERROR(VLOOKUP(M1015,Data!$C$4:$D$395,2,0),"")</f>
        <v/>
      </c>
      <c r="O1015" s="220"/>
      <c r="P1015" s="229"/>
      <c r="Q1015" s="221"/>
      <c r="R1015" s="222" t="str">
        <f t="shared" si="138"/>
        <v>-</v>
      </c>
      <c r="S1015" s="223"/>
      <c r="T1015" s="224"/>
      <c r="U1015" s="225">
        <f t="shared" si="139"/>
        <v>0</v>
      </c>
      <c r="V1015" s="226">
        <v>0</v>
      </c>
      <c r="W1015" s="227"/>
      <c r="X1015" s="228">
        <f t="shared" si="140"/>
        <v>0</v>
      </c>
      <c r="Y1015" s="229"/>
      <c r="Z1015" s="229"/>
      <c r="AA1015" s="229"/>
      <c r="AB1015" s="222">
        <f t="shared" si="141"/>
        <v>0</v>
      </c>
      <c r="AC1015" s="230">
        <f t="shared" si="142"/>
        <v>0</v>
      </c>
      <c r="AD1015" s="222" t="str">
        <f t="shared" si="143"/>
        <v/>
      </c>
      <c r="AE1015" s="201"/>
      <c r="AF1015" s="231" t="str">
        <f>+IFERROR(VLOOKUP(L1015,Data!$F$4:$G$97,2,0),"")</f>
        <v/>
      </c>
    </row>
    <row r="1016" spans="9:32" ht="15" customHeight="1" x14ac:dyDescent="0.3">
      <c r="I1016" s="201" t="str">
        <f t="shared" si="136"/>
        <v/>
      </c>
      <c r="J1016" s="218">
        <f t="shared" si="137"/>
        <v>1013</v>
      </c>
      <c r="K1016" s="250"/>
      <c r="L1016" s="219"/>
      <c r="M1016" s="218"/>
      <c r="N1016" s="220" t="str">
        <f>IFERROR(VLOOKUP(M1016,Data!$C$4:$D$395,2,0),"")</f>
        <v/>
      </c>
      <c r="O1016" s="220"/>
      <c r="P1016" s="229"/>
      <c r="Q1016" s="221"/>
      <c r="R1016" s="222" t="str">
        <f t="shared" si="138"/>
        <v>-</v>
      </c>
      <c r="S1016" s="223"/>
      <c r="T1016" s="224"/>
      <c r="U1016" s="225">
        <f t="shared" si="139"/>
        <v>0</v>
      </c>
      <c r="V1016" s="226">
        <v>0</v>
      </c>
      <c r="W1016" s="227"/>
      <c r="X1016" s="228">
        <f t="shared" si="140"/>
        <v>0</v>
      </c>
      <c r="Y1016" s="229"/>
      <c r="Z1016" s="229"/>
      <c r="AA1016" s="229"/>
      <c r="AB1016" s="222">
        <f t="shared" si="141"/>
        <v>0</v>
      </c>
      <c r="AC1016" s="230">
        <f t="shared" si="142"/>
        <v>0</v>
      </c>
      <c r="AD1016" s="222" t="str">
        <f t="shared" si="143"/>
        <v/>
      </c>
      <c r="AE1016" s="201"/>
      <c r="AF1016" s="231" t="str">
        <f>+IFERROR(VLOOKUP(L1016,Data!$F$4:$G$97,2,0),"")</f>
        <v/>
      </c>
    </row>
    <row r="1017" spans="9:32" ht="15" customHeight="1" x14ac:dyDescent="0.3">
      <c r="I1017" s="201" t="str">
        <f t="shared" si="136"/>
        <v/>
      </c>
      <c r="J1017" s="218">
        <f t="shared" si="137"/>
        <v>1014</v>
      </c>
      <c r="K1017" s="250"/>
      <c r="L1017" s="219"/>
      <c r="M1017" s="218"/>
      <c r="N1017" s="220" t="str">
        <f>IFERROR(VLOOKUP(M1017,Data!$C$4:$D$395,2,0),"")</f>
        <v/>
      </c>
      <c r="O1017" s="220"/>
      <c r="P1017" s="229"/>
      <c r="Q1017" s="221"/>
      <c r="R1017" s="222" t="str">
        <f t="shared" si="138"/>
        <v>-</v>
      </c>
      <c r="S1017" s="223"/>
      <c r="T1017" s="224"/>
      <c r="U1017" s="225">
        <f t="shared" si="139"/>
        <v>0</v>
      </c>
      <c r="V1017" s="226">
        <v>0</v>
      </c>
      <c r="W1017" s="227"/>
      <c r="X1017" s="228">
        <f t="shared" si="140"/>
        <v>0</v>
      </c>
      <c r="Y1017" s="229"/>
      <c r="Z1017" s="229"/>
      <c r="AA1017" s="229"/>
      <c r="AB1017" s="222">
        <f t="shared" si="141"/>
        <v>0</v>
      </c>
      <c r="AC1017" s="230">
        <f t="shared" si="142"/>
        <v>0</v>
      </c>
      <c r="AD1017" s="222" t="str">
        <f t="shared" si="143"/>
        <v/>
      </c>
      <c r="AE1017" s="201"/>
      <c r="AF1017" s="231" t="str">
        <f>+IFERROR(VLOOKUP(L1017,Data!$F$4:$G$97,2,0),"")</f>
        <v/>
      </c>
    </row>
    <row r="1018" spans="9:32" ht="15" customHeight="1" x14ac:dyDescent="0.3">
      <c r="I1018" s="201" t="str">
        <f t="shared" si="136"/>
        <v/>
      </c>
      <c r="J1018" s="218">
        <f t="shared" si="137"/>
        <v>1015</v>
      </c>
      <c r="K1018" s="250"/>
      <c r="L1018" s="219"/>
      <c r="M1018" s="218"/>
      <c r="N1018" s="220" t="str">
        <f>IFERROR(VLOOKUP(M1018,Data!$C$4:$D$395,2,0),"")</f>
        <v/>
      </c>
      <c r="O1018" s="220"/>
      <c r="P1018" s="229"/>
      <c r="Q1018" s="221"/>
      <c r="R1018" s="222" t="str">
        <f t="shared" si="138"/>
        <v>-</v>
      </c>
      <c r="S1018" s="223"/>
      <c r="T1018" s="224"/>
      <c r="U1018" s="225">
        <f t="shared" si="139"/>
        <v>0</v>
      </c>
      <c r="V1018" s="226">
        <v>0</v>
      </c>
      <c r="W1018" s="227"/>
      <c r="X1018" s="228">
        <f t="shared" si="140"/>
        <v>0</v>
      </c>
      <c r="Y1018" s="229"/>
      <c r="Z1018" s="229"/>
      <c r="AA1018" s="229"/>
      <c r="AB1018" s="222">
        <f t="shared" si="141"/>
        <v>0</v>
      </c>
      <c r="AC1018" s="230">
        <f t="shared" si="142"/>
        <v>0</v>
      </c>
      <c r="AD1018" s="222" t="str">
        <f t="shared" si="143"/>
        <v/>
      </c>
      <c r="AE1018" s="201"/>
      <c r="AF1018" s="231" t="str">
        <f>+IFERROR(VLOOKUP(L1018,Data!$F$4:$G$97,2,0),"")</f>
        <v/>
      </c>
    </row>
    <row r="1019" spans="9:32" ht="15" customHeight="1" x14ac:dyDescent="0.3">
      <c r="I1019" s="201" t="str">
        <f t="shared" si="136"/>
        <v/>
      </c>
      <c r="J1019" s="218">
        <f t="shared" si="137"/>
        <v>1016</v>
      </c>
      <c r="K1019" s="250"/>
      <c r="L1019" s="219"/>
      <c r="M1019" s="218"/>
      <c r="N1019" s="220" t="str">
        <f>IFERROR(VLOOKUP(M1019,Data!$C$4:$D$395,2,0),"")</f>
        <v/>
      </c>
      <c r="O1019" s="220"/>
      <c r="P1019" s="229"/>
      <c r="Q1019" s="221"/>
      <c r="R1019" s="222" t="str">
        <f t="shared" si="138"/>
        <v>-</v>
      </c>
      <c r="S1019" s="223"/>
      <c r="T1019" s="224"/>
      <c r="U1019" s="225">
        <f t="shared" si="139"/>
        <v>0</v>
      </c>
      <c r="V1019" s="226">
        <v>0</v>
      </c>
      <c r="W1019" s="227"/>
      <c r="X1019" s="228">
        <f t="shared" si="140"/>
        <v>0</v>
      </c>
      <c r="Y1019" s="229"/>
      <c r="Z1019" s="229"/>
      <c r="AA1019" s="229"/>
      <c r="AB1019" s="222">
        <f t="shared" si="141"/>
        <v>0</v>
      </c>
      <c r="AC1019" s="230">
        <f t="shared" si="142"/>
        <v>0</v>
      </c>
      <c r="AD1019" s="222" t="str">
        <f t="shared" si="143"/>
        <v/>
      </c>
      <c r="AE1019" s="201"/>
      <c r="AF1019" s="231" t="str">
        <f>+IFERROR(VLOOKUP(L1019,Data!$F$4:$G$97,2,0),"")</f>
        <v/>
      </c>
    </row>
    <row r="1020" spans="9:32" ht="15" customHeight="1" x14ac:dyDescent="0.3">
      <c r="I1020" s="201" t="str">
        <f t="shared" si="136"/>
        <v/>
      </c>
      <c r="J1020" s="218">
        <f t="shared" si="137"/>
        <v>1017</v>
      </c>
      <c r="K1020" s="250"/>
      <c r="L1020" s="219"/>
      <c r="M1020" s="218"/>
      <c r="N1020" s="220" t="str">
        <f>IFERROR(VLOOKUP(M1020,Data!$C$4:$D$395,2,0),"")</f>
        <v/>
      </c>
      <c r="O1020" s="220"/>
      <c r="P1020" s="229"/>
      <c r="Q1020" s="221"/>
      <c r="R1020" s="222" t="str">
        <f t="shared" si="138"/>
        <v>-</v>
      </c>
      <c r="S1020" s="223"/>
      <c r="T1020" s="224"/>
      <c r="U1020" s="225">
        <f t="shared" si="139"/>
        <v>0</v>
      </c>
      <c r="V1020" s="226">
        <v>0</v>
      </c>
      <c r="W1020" s="227"/>
      <c r="X1020" s="228">
        <f t="shared" si="140"/>
        <v>0</v>
      </c>
      <c r="Y1020" s="229"/>
      <c r="Z1020" s="229"/>
      <c r="AA1020" s="229"/>
      <c r="AB1020" s="222">
        <f t="shared" si="141"/>
        <v>0</v>
      </c>
      <c r="AC1020" s="230">
        <f t="shared" si="142"/>
        <v>0</v>
      </c>
      <c r="AD1020" s="222" t="str">
        <f t="shared" si="143"/>
        <v/>
      </c>
      <c r="AE1020" s="201"/>
      <c r="AF1020" s="231" t="str">
        <f>+IFERROR(VLOOKUP(L1020,Data!$F$4:$G$97,2,0),"")</f>
        <v/>
      </c>
    </row>
    <row r="1021" spans="9:32" ht="15" customHeight="1" x14ac:dyDescent="0.3">
      <c r="I1021" s="201" t="str">
        <f t="shared" ref="I1021:I1084" si="144">+AF1021</f>
        <v/>
      </c>
      <c r="J1021" s="218">
        <f t="shared" si="137"/>
        <v>1018</v>
      </c>
      <c r="K1021" s="250"/>
      <c r="L1021" s="219"/>
      <c r="M1021" s="218"/>
      <c r="N1021" s="220" t="str">
        <f>IFERROR(VLOOKUP(M1021,Data!$C$4:$D$395,2,0),"")</f>
        <v/>
      </c>
      <c r="O1021" s="220"/>
      <c r="P1021" s="229"/>
      <c r="Q1021" s="221"/>
      <c r="R1021" s="222" t="str">
        <f t="shared" si="138"/>
        <v>-</v>
      </c>
      <c r="S1021" s="223"/>
      <c r="T1021" s="224"/>
      <c r="U1021" s="225">
        <f t="shared" si="139"/>
        <v>0</v>
      </c>
      <c r="V1021" s="226">
        <v>0</v>
      </c>
      <c r="W1021" s="227"/>
      <c r="X1021" s="228">
        <f t="shared" si="140"/>
        <v>0</v>
      </c>
      <c r="Y1021" s="229"/>
      <c r="Z1021" s="229"/>
      <c r="AA1021" s="229"/>
      <c r="AB1021" s="222">
        <f t="shared" si="141"/>
        <v>0</v>
      </c>
      <c r="AC1021" s="230">
        <f t="shared" si="142"/>
        <v>0</v>
      </c>
      <c r="AD1021" s="222" t="str">
        <f t="shared" si="143"/>
        <v/>
      </c>
      <c r="AE1021" s="201"/>
      <c r="AF1021" s="231" t="str">
        <f>+IFERROR(VLOOKUP(L1021,Data!$F$4:$G$97,2,0),"")</f>
        <v/>
      </c>
    </row>
    <row r="1022" spans="9:32" ht="15" customHeight="1" x14ac:dyDescent="0.3">
      <c r="I1022" s="201" t="str">
        <f t="shared" si="144"/>
        <v/>
      </c>
      <c r="J1022" s="218">
        <f t="shared" ref="J1022:J1085" si="145">J1021+1</f>
        <v>1019</v>
      </c>
      <c r="K1022" s="250"/>
      <c r="L1022" s="219"/>
      <c r="M1022" s="218"/>
      <c r="N1022" s="220" t="str">
        <f>IFERROR(VLOOKUP(M1022,Data!$C$4:$D$395,2,0),"")</f>
        <v/>
      </c>
      <c r="O1022" s="220"/>
      <c r="P1022" s="229"/>
      <c r="Q1022" s="221"/>
      <c r="R1022" s="222" t="str">
        <f t="shared" si="138"/>
        <v>-</v>
      </c>
      <c r="S1022" s="223"/>
      <c r="T1022" s="224"/>
      <c r="U1022" s="225">
        <f t="shared" si="139"/>
        <v>0</v>
      </c>
      <c r="V1022" s="226">
        <v>0</v>
      </c>
      <c r="W1022" s="227"/>
      <c r="X1022" s="228">
        <f t="shared" si="140"/>
        <v>0</v>
      </c>
      <c r="Y1022" s="229"/>
      <c r="Z1022" s="229"/>
      <c r="AA1022" s="229"/>
      <c r="AB1022" s="222">
        <f t="shared" si="141"/>
        <v>0</v>
      </c>
      <c r="AC1022" s="230">
        <f t="shared" si="142"/>
        <v>0</v>
      </c>
      <c r="AD1022" s="222" t="str">
        <f t="shared" si="143"/>
        <v/>
      </c>
      <c r="AE1022" s="201"/>
      <c r="AF1022" s="231" t="str">
        <f>+IFERROR(VLOOKUP(L1022,Data!$F$4:$G$97,2,0),"")</f>
        <v/>
      </c>
    </row>
    <row r="1023" spans="9:32" ht="15" customHeight="1" x14ac:dyDescent="0.3">
      <c r="I1023" s="201" t="str">
        <f t="shared" si="144"/>
        <v/>
      </c>
      <c r="J1023" s="218">
        <f t="shared" si="145"/>
        <v>1020</v>
      </c>
      <c r="K1023" s="250"/>
      <c r="L1023" s="219"/>
      <c r="M1023" s="218"/>
      <c r="N1023" s="220" t="str">
        <f>IFERROR(VLOOKUP(M1023,Data!$C$4:$D$395,2,0),"")</f>
        <v/>
      </c>
      <c r="O1023" s="220"/>
      <c r="P1023" s="229"/>
      <c r="Q1023" s="221"/>
      <c r="R1023" s="222" t="str">
        <f t="shared" si="138"/>
        <v>-</v>
      </c>
      <c r="S1023" s="223"/>
      <c r="T1023" s="224"/>
      <c r="U1023" s="225">
        <f t="shared" si="139"/>
        <v>0</v>
      </c>
      <c r="V1023" s="226">
        <v>0</v>
      </c>
      <c r="W1023" s="227"/>
      <c r="X1023" s="228">
        <f t="shared" si="140"/>
        <v>0</v>
      </c>
      <c r="Y1023" s="229"/>
      <c r="Z1023" s="229"/>
      <c r="AA1023" s="229"/>
      <c r="AB1023" s="222">
        <f t="shared" si="141"/>
        <v>0</v>
      </c>
      <c r="AC1023" s="230">
        <f t="shared" si="142"/>
        <v>0</v>
      </c>
      <c r="AD1023" s="222" t="str">
        <f t="shared" si="143"/>
        <v/>
      </c>
      <c r="AE1023" s="201"/>
      <c r="AF1023" s="231" t="str">
        <f>+IFERROR(VLOOKUP(L1023,Data!$F$4:$G$97,2,0),"")</f>
        <v/>
      </c>
    </row>
    <row r="1024" spans="9:32" ht="15" customHeight="1" x14ac:dyDescent="0.3">
      <c r="I1024" s="201" t="str">
        <f t="shared" si="144"/>
        <v/>
      </c>
      <c r="J1024" s="218">
        <f t="shared" si="145"/>
        <v>1021</v>
      </c>
      <c r="K1024" s="250"/>
      <c r="L1024" s="219"/>
      <c r="M1024" s="218"/>
      <c r="N1024" s="220" t="str">
        <f>IFERROR(VLOOKUP(M1024,Data!$C$4:$D$395,2,0),"")</f>
        <v/>
      </c>
      <c r="O1024" s="220"/>
      <c r="P1024" s="229"/>
      <c r="Q1024" s="221"/>
      <c r="R1024" s="222" t="str">
        <f t="shared" ref="R1024:R1087" si="146">IFERROR(Q1024/P1024, "-")</f>
        <v>-</v>
      </c>
      <c r="S1024" s="223"/>
      <c r="T1024" s="224"/>
      <c r="U1024" s="225">
        <f t="shared" ref="U1024:U1087" si="147">+Q1024*S1024+P1024*T1024</f>
        <v>0</v>
      </c>
      <c r="V1024" s="226">
        <v>0</v>
      </c>
      <c r="W1024" s="227"/>
      <c r="X1024" s="228">
        <f t="shared" ref="X1024:X1087" si="148">+Q1024*V1024+P1024*W1024</f>
        <v>0</v>
      </c>
      <c r="Y1024" s="229"/>
      <c r="Z1024" s="229"/>
      <c r="AA1024" s="229"/>
      <c r="AB1024" s="222">
        <f t="shared" ref="AB1024:AB1087" si="149">+Y1024+Z1024+AA1024</f>
        <v>0</v>
      </c>
      <c r="AC1024" s="230">
        <f t="shared" ref="AC1024:AC1087" si="150">IF((U1024-Y1024-Z1024-AA1024)&lt;0,"",(U1024-Y1024-Z1024-AA1024))</f>
        <v>0</v>
      </c>
      <c r="AD1024" s="222" t="str">
        <f t="shared" ref="AD1024:AD1087" si="151">IF((U1024-Y1024-Z1024-AA1024)&lt;0,(Y1024+Z1024+AA1024-U1024),"")</f>
        <v/>
      </c>
      <c r="AE1024" s="201"/>
      <c r="AF1024" s="231" t="str">
        <f>+IFERROR(VLOOKUP(L1024,Data!$F$4:$G$97,2,0),"")</f>
        <v/>
      </c>
    </row>
    <row r="1025" spans="9:32" ht="15" customHeight="1" x14ac:dyDescent="0.3">
      <c r="I1025" s="201" t="str">
        <f t="shared" si="144"/>
        <v/>
      </c>
      <c r="J1025" s="218">
        <f t="shared" si="145"/>
        <v>1022</v>
      </c>
      <c r="K1025" s="250"/>
      <c r="L1025" s="219"/>
      <c r="M1025" s="218"/>
      <c r="N1025" s="220" t="str">
        <f>IFERROR(VLOOKUP(M1025,Data!$C$4:$D$395,2,0),"")</f>
        <v/>
      </c>
      <c r="O1025" s="220"/>
      <c r="P1025" s="229"/>
      <c r="Q1025" s="221"/>
      <c r="R1025" s="222" t="str">
        <f t="shared" si="146"/>
        <v>-</v>
      </c>
      <c r="S1025" s="223"/>
      <c r="T1025" s="224"/>
      <c r="U1025" s="225">
        <f t="shared" si="147"/>
        <v>0</v>
      </c>
      <c r="V1025" s="226">
        <v>0</v>
      </c>
      <c r="W1025" s="227"/>
      <c r="X1025" s="228">
        <f t="shared" si="148"/>
        <v>0</v>
      </c>
      <c r="Y1025" s="229"/>
      <c r="Z1025" s="229"/>
      <c r="AA1025" s="229"/>
      <c r="AB1025" s="222">
        <f t="shared" si="149"/>
        <v>0</v>
      </c>
      <c r="AC1025" s="230">
        <f t="shared" si="150"/>
        <v>0</v>
      </c>
      <c r="AD1025" s="222" t="str">
        <f t="shared" si="151"/>
        <v/>
      </c>
      <c r="AE1025" s="201"/>
      <c r="AF1025" s="231" t="str">
        <f>+IFERROR(VLOOKUP(L1025,Data!$F$4:$G$97,2,0),"")</f>
        <v/>
      </c>
    </row>
    <row r="1026" spans="9:32" ht="15" customHeight="1" x14ac:dyDescent="0.3">
      <c r="I1026" s="201" t="str">
        <f t="shared" si="144"/>
        <v/>
      </c>
      <c r="J1026" s="218">
        <f t="shared" si="145"/>
        <v>1023</v>
      </c>
      <c r="K1026" s="250"/>
      <c r="L1026" s="219"/>
      <c r="M1026" s="218"/>
      <c r="N1026" s="220" t="str">
        <f>IFERROR(VLOOKUP(M1026,Data!$C$4:$D$395,2,0),"")</f>
        <v/>
      </c>
      <c r="O1026" s="220"/>
      <c r="P1026" s="229"/>
      <c r="Q1026" s="221"/>
      <c r="R1026" s="222" t="str">
        <f t="shared" si="146"/>
        <v>-</v>
      </c>
      <c r="S1026" s="223"/>
      <c r="T1026" s="224"/>
      <c r="U1026" s="225">
        <f t="shared" si="147"/>
        <v>0</v>
      </c>
      <c r="V1026" s="226">
        <v>0</v>
      </c>
      <c r="W1026" s="227"/>
      <c r="X1026" s="228">
        <f t="shared" si="148"/>
        <v>0</v>
      </c>
      <c r="Y1026" s="229"/>
      <c r="Z1026" s="229"/>
      <c r="AA1026" s="229"/>
      <c r="AB1026" s="222">
        <f t="shared" si="149"/>
        <v>0</v>
      </c>
      <c r="AC1026" s="230">
        <f t="shared" si="150"/>
        <v>0</v>
      </c>
      <c r="AD1026" s="222" t="str">
        <f t="shared" si="151"/>
        <v/>
      </c>
      <c r="AE1026" s="201"/>
      <c r="AF1026" s="231" t="str">
        <f>+IFERROR(VLOOKUP(L1026,Data!$F$4:$G$97,2,0),"")</f>
        <v/>
      </c>
    </row>
    <row r="1027" spans="9:32" ht="15" customHeight="1" x14ac:dyDescent="0.3">
      <c r="I1027" s="201" t="str">
        <f t="shared" si="144"/>
        <v/>
      </c>
      <c r="J1027" s="218">
        <f t="shared" si="145"/>
        <v>1024</v>
      </c>
      <c r="K1027" s="250"/>
      <c r="L1027" s="219"/>
      <c r="M1027" s="218"/>
      <c r="N1027" s="220" t="str">
        <f>IFERROR(VLOOKUP(M1027,Data!$C$4:$D$395,2,0),"")</f>
        <v/>
      </c>
      <c r="O1027" s="220"/>
      <c r="P1027" s="229"/>
      <c r="Q1027" s="221"/>
      <c r="R1027" s="222" t="str">
        <f t="shared" si="146"/>
        <v>-</v>
      </c>
      <c r="S1027" s="223"/>
      <c r="T1027" s="224"/>
      <c r="U1027" s="225">
        <f t="shared" si="147"/>
        <v>0</v>
      </c>
      <c r="V1027" s="226">
        <v>0</v>
      </c>
      <c r="W1027" s="227"/>
      <c r="X1027" s="228">
        <f t="shared" si="148"/>
        <v>0</v>
      </c>
      <c r="Y1027" s="229"/>
      <c r="Z1027" s="229"/>
      <c r="AA1027" s="229"/>
      <c r="AB1027" s="222">
        <f t="shared" si="149"/>
        <v>0</v>
      </c>
      <c r="AC1027" s="230">
        <f t="shared" si="150"/>
        <v>0</v>
      </c>
      <c r="AD1027" s="222" t="str">
        <f t="shared" si="151"/>
        <v/>
      </c>
      <c r="AE1027" s="201"/>
      <c r="AF1027" s="231" t="str">
        <f>+IFERROR(VLOOKUP(L1027,Data!$F$4:$G$97,2,0),"")</f>
        <v/>
      </c>
    </row>
    <row r="1028" spans="9:32" ht="15" customHeight="1" x14ac:dyDescent="0.3">
      <c r="I1028" s="201" t="str">
        <f t="shared" si="144"/>
        <v/>
      </c>
      <c r="J1028" s="218">
        <f t="shared" si="145"/>
        <v>1025</v>
      </c>
      <c r="K1028" s="250"/>
      <c r="L1028" s="219"/>
      <c r="M1028" s="218"/>
      <c r="N1028" s="220" t="str">
        <f>IFERROR(VLOOKUP(M1028,Data!$C$4:$D$395,2,0),"")</f>
        <v/>
      </c>
      <c r="O1028" s="220"/>
      <c r="P1028" s="229"/>
      <c r="Q1028" s="221"/>
      <c r="R1028" s="222" t="str">
        <f t="shared" si="146"/>
        <v>-</v>
      </c>
      <c r="S1028" s="223"/>
      <c r="T1028" s="224"/>
      <c r="U1028" s="225">
        <f t="shared" si="147"/>
        <v>0</v>
      </c>
      <c r="V1028" s="226">
        <v>0</v>
      </c>
      <c r="W1028" s="227"/>
      <c r="X1028" s="228">
        <f t="shared" si="148"/>
        <v>0</v>
      </c>
      <c r="Y1028" s="229"/>
      <c r="Z1028" s="229"/>
      <c r="AA1028" s="229"/>
      <c r="AB1028" s="222">
        <f t="shared" si="149"/>
        <v>0</v>
      </c>
      <c r="AC1028" s="230">
        <f t="shared" si="150"/>
        <v>0</v>
      </c>
      <c r="AD1028" s="222" t="str">
        <f t="shared" si="151"/>
        <v/>
      </c>
      <c r="AE1028" s="201"/>
      <c r="AF1028" s="231" t="str">
        <f>+IFERROR(VLOOKUP(L1028,Data!$F$4:$G$97,2,0),"")</f>
        <v/>
      </c>
    </row>
    <row r="1029" spans="9:32" ht="15" customHeight="1" x14ac:dyDescent="0.3">
      <c r="I1029" s="201" t="str">
        <f t="shared" si="144"/>
        <v/>
      </c>
      <c r="J1029" s="218">
        <f t="shared" si="145"/>
        <v>1026</v>
      </c>
      <c r="K1029" s="250"/>
      <c r="L1029" s="219"/>
      <c r="M1029" s="218"/>
      <c r="N1029" s="220" t="str">
        <f>IFERROR(VLOOKUP(M1029,Data!$C$4:$D$395,2,0),"")</f>
        <v/>
      </c>
      <c r="O1029" s="220"/>
      <c r="P1029" s="229"/>
      <c r="Q1029" s="221"/>
      <c r="R1029" s="222" t="str">
        <f t="shared" si="146"/>
        <v>-</v>
      </c>
      <c r="S1029" s="223"/>
      <c r="T1029" s="224"/>
      <c r="U1029" s="225">
        <f t="shared" si="147"/>
        <v>0</v>
      </c>
      <c r="V1029" s="226">
        <v>0</v>
      </c>
      <c r="W1029" s="227"/>
      <c r="X1029" s="228">
        <f t="shared" si="148"/>
        <v>0</v>
      </c>
      <c r="Y1029" s="229"/>
      <c r="Z1029" s="229"/>
      <c r="AA1029" s="229"/>
      <c r="AB1029" s="222">
        <f t="shared" si="149"/>
        <v>0</v>
      </c>
      <c r="AC1029" s="230">
        <f t="shared" si="150"/>
        <v>0</v>
      </c>
      <c r="AD1029" s="222" t="str">
        <f t="shared" si="151"/>
        <v/>
      </c>
      <c r="AE1029" s="201"/>
      <c r="AF1029" s="231" t="str">
        <f>+IFERROR(VLOOKUP(L1029,Data!$F$4:$G$97,2,0),"")</f>
        <v/>
      </c>
    </row>
    <row r="1030" spans="9:32" ht="15" customHeight="1" x14ac:dyDescent="0.3">
      <c r="I1030" s="201" t="str">
        <f t="shared" si="144"/>
        <v/>
      </c>
      <c r="J1030" s="218">
        <f t="shared" si="145"/>
        <v>1027</v>
      </c>
      <c r="K1030" s="250"/>
      <c r="L1030" s="219"/>
      <c r="M1030" s="218"/>
      <c r="N1030" s="220" t="str">
        <f>IFERROR(VLOOKUP(M1030,Data!$C$4:$D$395,2,0),"")</f>
        <v/>
      </c>
      <c r="O1030" s="220"/>
      <c r="P1030" s="229"/>
      <c r="Q1030" s="221"/>
      <c r="R1030" s="222" t="str">
        <f t="shared" si="146"/>
        <v>-</v>
      </c>
      <c r="S1030" s="223"/>
      <c r="T1030" s="224"/>
      <c r="U1030" s="225">
        <f t="shared" si="147"/>
        <v>0</v>
      </c>
      <c r="V1030" s="226">
        <v>0</v>
      </c>
      <c r="W1030" s="227"/>
      <c r="X1030" s="228">
        <f t="shared" si="148"/>
        <v>0</v>
      </c>
      <c r="Y1030" s="229"/>
      <c r="Z1030" s="229"/>
      <c r="AA1030" s="229"/>
      <c r="AB1030" s="222">
        <f t="shared" si="149"/>
        <v>0</v>
      </c>
      <c r="AC1030" s="230">
        <f t="shared" si="150"/>
        <v>0</v>
      </c>
      <c r="AD1030" s="222" t="str">
        <f t="shared" si="151"/>
        <v/>
      </c>
      <c r="AE1030" s="201"/>
      <c r="AF1030" s="231" t="str">
        <f>+IFERROR(VLOOKUP(L1030,Data!$F$4:$G$97,2,0),"")</f>
        <v/>
      </c>
    </row>
    <row r="1031" spans="9:32" ht="15" customHeight="1" x14ac:dyDescent="0.3">
      <c r="I1031" s="201" t="str">
        <f t="shared" si="144"/>
        <v/>
      </c>
      <c r="J1031" s="218">
        <f t="shared" si="145"/>
        <v>1028</v>
      </c>
      <c r="K1031" s="250"/>
      <c r="L1031" s="219"/>
      <c r="M1031" s="218"/>
      <c r="N1031" s="220" t="str">
        <f>IFERROR(VLOOKUP(M1031,Data!$C$4:$D$395,2,0),"")</f>
        <v/>
      </c>
      <c r="O1031" s="220"/>
      <c r="P1031" s="229"/>
      <c r="Q1031" s="221"/>
      <c r="R1031" s="222" t="str">
        <f t="shared" si="146"/>
        <v>-</v>
      </c>
      <c r="S1031" s="223"/>
      <c r="T1031" s="224"/>
      <c r="U1031" s="225">
        <f t="shared" si="147"/>
        <v>0</v>
      </c>
      <c r="V1031" s="226">
        <v>0</v>
      </c>
      <c r="W1031" s="227"/>
      <c r="X1031" s="228">
        <f t="shared" si="148"/>
        <v>0</v>
      </c>
      <c r="Y1031" s="229"/>
      <c r="Z1031" s="229"/>
      <c r="AA1031" s="229"/>
      <c r="AB1031" s="222">
        <f t="shared" si="149"/>
        <v>0</v>
      </c>
      <c r="AC1031" s="230">
        <f t="shared" si="150"/>
        <v>0</v>
      </c>
      <c r="AD1031" s="222" t="str">
        <f t="shared" si="151"/>
        <v/>
      </c>
      <c r="AE1031" s="201"/>
      <c r="AF1031" s="231" t="str">
        <f>+IFERROR(VLOOKUP(L1031,Data!$F$4:$G$97,2,0),"")</f>
        <v/>
      </c>
    </row>
    <row r="1032" spans="9:32" ht="15" customHeight="1" x14ac:dyDescent="0.3">
      <c r="I1032" s="201" t="str">
        <f t="shared" si="144"/>
        <v/>
      </c>
      <c r="J1032" s="218">
        <f t="shared" si="145"/>
        <v>1029</v>
      </c>
      <c r="K1032" s="250"/>
      <c r="L1032" s="219"/>
      <c r="M1032" s="218"/>
      <c r="N1032" s="220" t="str">
        <f>IFERROR(VLOOKUP(M1032,Data!$C$4:$D$395,2,0),"")</f>
        <v/>
      </c>
      <c r="O1032" s="220"/>
      <c r="P1032" s="229"/>
      <c r="Q1032" s="221"/>
      <c r="R1032" s="222" t="str">
        <f t="shared" si="146"/>
        <v>-</v>
      </c>
      <c r="S1032" s="223"/>
      <c r="T1032" s="224"/>
      <c r="U1032" s="225">
        <f t="shared" si="147"/>
        <v>0</v>
      </c>
      <c r="V1032" s="226">
        <v>0</v>
      </c>
      <c r="W1032" s="227"/>
      <c r="X1032" s="228">
        <f t="shared" si="148"/>
        <v>0</v>
      </c>
      <c r="Y1032" s="229"/>
      <c r="Z1032" s="229"/>
      <c r="AA1032" s="229"/>
      <c r="AB1032" s="222">
        <f t="shared" si="149"/>
        <v>0</v>
      </c>
      <c r="AC1032" s="230">
        <f t="shared" si="150"/>
        <v>0</v>
      </c>
      <c r="AD1032" s="222" t="str">
        <f t="shared" si="151"/>
        <v/>
      </c>
      <c r="AE1032" s="201"/>
      <c r="AF1032" s="231" t="str">
        <f>+IFERROR(VLOOKUP(L1032,Data!$F$4:$G$97,2,0),"")</f>
        <v/>
      </c>
    </row>
    <row r="1033" spans="9:32" ht="15" customHeight="1" x14ac:dyDescent="0.3">
      <c r="I1033" s="201" t="str">
        <f t="shared" si="144"/>
        <v/>
      </c>
      <c r="J1033" s="218">
        <f t="shared" si="145"/>
        <v>1030</v>
      </c>
      <c r="K1033" s="250"/>
      <c r="L1033" s="219"/>
      <c r="M1033" s="218"/>
      <c r="N1033" s="220" t="str">
        <f>IFERROR(VLOOKUP(M1033,Data!$C$4:$D$395,2,0),"")</f>
        <v/>
      </c>
      <c r="O1033" s="220"/>
      <c r="P1033" s="229"/>
      <c r="Q1033" s="221"/>
      <c r="R1033" s="222" t="str">
        <f t="shared" si="146"/>
        <v>-</v>
      </c>
      <c r="S1033" s="223"/>
      <c r="T1033" s="224"/>
      <c r="U1033" s="225">
        <f t="shared" si="147"/>
        <v>0</v>
      </c>
      <c r="V1033" s="226">
        <v>0</v>
      </c>
      <c r="W1033" s="227"/>
      <c r="X1033" s="228">
        <f t="shared" si="148"/>
        <v>0</v>
      </c>
      <c r="Y1033" s="229"/>
      <c r="Z1033" s="229"/>
      <c r="AA1033" s="229"/>
      <c r="AB1033" s="222">
        <f t="shared" si="149"/>
        <v>0</v>
      </c>
      <c r="AC1033" s="230">
        <f t="shared" si="150"/>
        <v>0</v>
      </c>
      <c r="AD1033" s="222" t="str">
        <f t="shared" si="151"/>
        <v/>
      </c>
      <c r="AE1033" s="201"/>
      <c r="AF1033" s="231" t="str">
        <f>+IFERROR(VLOOKUP(L1033,Data!$F$4:$G$97,2,0),"")</f>
        <v/>
      </c>
    </row>
    <row r="1034" spans="9:32" ht="15" customHeight="1" x14ac:dyDescent="0.3">
      <c r="I1034" s="201" t="str">
        <f t="shared" si="144"/>
        <v/>
      </c>
      <c r="J1034" s="218">
        <f t="shared" si="145"/>
        <v>1031</v>
      </c>
      <c r="K1034" s="250"/>
      <c r="L1034" s="219"/>
      <c r="M1034" s="218"/>
      <c r="N1034" s="220" t="str">
        <f>IFERROR(VLOOKUP(M1034,Data!$C$4:$D$395,2,0),"")</f>
        <v/>
      </c>
      <c r="O1034" s="220"/>
      <c r="P1034" s="229"/>
      <c r="Q1034" s="221"/>
      <c r="R1034" s="222" t="str">
        <f t="shared" si="146"/>
        <v>-</v>
      </c>
      <c r="S1034" s="223"/>
      <c r="T1034" s="224"/>
      <c r="U1034" s="225">
        <f t="shared" si="147"/>
        <v>0</v>
      </c>
      <c r="V1034" s="226">
        <v>0</v>
      </c>
      <c r="W1034" s="227"/>
      <c r="X1034" s="228">
        <f t="shared" si="148"/>
        <v>0</v>
      </c>
      <c r="Y1034" s="229"/>
      <c r="Z1034" s="229"/>
      <c r="AA1034" s="229"/>
      <c r="AB1034" s="222">
        <f t="shared" si="149"/>
        <v>0</v>
      </c>
      <c r="AC1034" s="230">
        <f t="shared" si="150"/>
        <v>0</v>
      </c>
      <c r="AD1034" s="222" t="str">
        <f t="shared" si="151"/>
        <v/>
      </c>
      <c r="AE1034" s="201"/>
      <c r="AF1034" s="231" t="str">
        <f>+IFERROR(VLOOKUP(L1034,Data!$F$4:$G$97,2,0),"")</f>
        <v/>
      </c>
    </row>
    <row r="1035" spans="9:32" ht="15" customHeight="1" x14ac:dyDescent="0.3">
      <c r="I1035" s="201" t="str">
        <f t="shared" si="144"/>
        <v/>
      </c>
      <c r="J1035" s="218">
        <f t="shared" si="145"/>
        <v>1032</v>
      </c>
      <c r="K1035" s="250"/>
      <c r="L1035" s="219"/>
      <c r="M1035" s="218"/>
      <c r="N1035" s="220" t="str">
        <f>IFERROR(VLOOKUP(M1035,Data!$C$4:$D$395,2,0),"")</f>
        <v/>
      </c>
      <c r="O1035" s="220"/>
      <c r="P1035" s="229"/>
      <c r="Q1035" s="221"/>
      <c r="R1035" s="222" t="str">
        <f t="shared" si="146"/>
        <v>-</v>
      </c>
      <c r="S1035" s="223"/>
      <c r="T1035" s="224"/>
      <c r="U1035" s="225">
        <f t="shared" si="147"/>
        <v>0</v>
      </c>
      <c r="V1035" s="226">
        <v>0</v>
      </c>
      <c r="W1035" s="227"/>
      <c r="X1035" s="228">
        <f t="shared" si="148"/>
        <v>0</v>
      </c>
      <c r="Y1035" s="229"/>
      <c r="Z1035" s="229"/>
      <c r="AA1035" s="229"/>
      <c r="AB1035" s="222">
        <f t="shared" si="149"/>
        <v>0</v>
      </c>
      <c r="AC1035" s="230">
        <f t="shared" si="150"/>
        <v>0</v>
      </c>
      <c r="AD1035" s="222" t="str">
        <f t="shared" si="151"/>
        <v/>
      </c>
      <c r="AE1035" s="201"/>
      <c r="AF1035" s="231" t="str">
        <f>+IFERROR(VLOOKUP(L1035,Data!$F$4:$G$97,2,0),"")</f>
        <v/>
      </c>
    </row>
    <row r="1036" spans="9:32" ht="15" customHeight="1" x14ac:dyDescent="0.3">
      <c r="I1036" s="201" t="str">
        <f t="shared" si="144"/>
        <v/>
      </c>
      <c r="J1036" s="218">
        <f t="shared" si="145"/>
        <v>1033</v>
      </c>
      <c r="K1036" s="250"/>
      <c r="L1036" s="219"/>
      <c r="M1036" s="218"/>
      <c r="N1036" s="220" t="str">
        <f>IFERROR(VLOOKUP(M1036,Data!$C$4:$D$395,2,0),"")</f>
        <v/>
      </c>
      <c r="O1036" s="220"/>
      <c r="P1036" s="229"/>
      <c r="Q1036" s="221"/>
      <c r="R1036" s="222" t="str">
        <f t="shared" si="146"/>
        <v>-</v>
      </c>
      <c r="S1036" s="223"/>
      <c r="T1036" s="224"/>
      <c r="U1036" s="225">
        <f t="shared" si="147"/>
        <v>0</v>
      </c>
      <c r="V1036" s="226">
        <v>0</v>
      </c>
      <c r="W1036" s="227"/>
      <c r="X1036" s="228">
        <f t="shared" si="148"/>
        <v>0</v>
      </c>
      <c r="Y1036" s="229"/>
      <c r="Z1036" s="229"/>
      <c r="AA1036" s="229"/>
      <c r="AB1036" s="222">
        <f t="shared" si="149"/>
        <v>0</v>
      </c>
      <c r="AC1036" s="230">
        <f t="shared" si="150"/>
        <v>0</v>
      </c>
      <c r="AD1036" s="222" t="str">
        <f t="shared" si="151"/>
        <v/>
      </c>
      <c r="AE1036" s="201"/>
      <c r="AF1036" s="231" t="str">
        <f>+IFERROR(VLOOKUP(L1036,Data!$F$4:$G$97,2,0),"")</f>
        <v/>
      </c>
    </row>
    <row r="1037" spans="9:32" ht="15" customHeight="1" x14ac:dyDescent="0.3">
      <c r="I1037" s="201" t="str">
        <f t="shared" si="144"/>
        <v/>
      </c>
      <c r="J1037" s="218">
        <f t="shared" si="145"/>
        <v>1034</v>
      </c>
      <c r="K1037" s="250"/>
      <c r="L1037" s="219"/>
      <c r="M1037" s="218"/>
      <c r="N1037" s="220" t="str">
        <f>IFERROR(VLOOKUP(M1037,Data!$C$4:$D$395,2,0),"")</f>
        <v/>
      </c>
      <c r="O1037" s="220"/>
      <c r="P1037" s="229"/>
      <c r="Q1037" s="221"/>
      <c r="R1037" s="222" t="str">
        <f t="shared" si="146"/>
        <v>-</v>
      </c>
      <c r="S1037" s="223"/>
      <c r="T1037" s="224"/>
      <c r="U1037" s="225">
        <f t="shared" si="147"/>
        <v>0</v>
      </c>
      <c r="V1037" s="226">
        <v>0</v>
      </c>
      <c r="W1037" s="227"/>
      <c r="X1037" s="228">
        <f t="shared" si="148"/>
        <v>0</v>
      </c>
      <c r="Y1037" s="229"/>
      <c r="Z1037" s="229"/>
      <c r="AA1037" s="229"/>
      <c r="AB1037" s="222">
        <f t="shared" si="149"/>
        <v>0</v>
      </c>
      <c r="AC1037" s="230">
        <f t="shared" si="150"/>
        <v>0</v>
      </c>
      <c r="AD1037" s="222" t="str">
        <f t="shared" si="151"/>
        <v/>
      </c>
      <c r="AE1037" s="201"/>
      <c r="AF1037" s="231" t="str">
        <f>+IFERROR(VLOOKUP(L1037,Data!$F$4:$G$97,2,0),"")</f>
        <v/>
      </c>
    </row>
    <row r="1038" spans="9:32" ht="15" customHeight="1" x14ac:dyDescent="0.3">
      <c r="I1038" s="201" t="str">
        <f t="shared" si="144"/>
        <v/>
      </c>
      <c r="J1038" s="218">
        <f t="shared" si="145"/>
        <v>1035</v>
      </c>
      <c r="K1038" s="250"/>
      <c r="L1038" s="219"/>
      <c r="M1038" s="218"/>
      <c r="N1038" s="220" t="str">
        <f>IFERROR(VLOOKUP(M1038,Data!$C$4:$D$395,2,0),"")</f>
        <v/>
      </c>
      <c r="O1038" s="220"/>
      <c r="P1038" s="229"/>
      <c r="Q1038" s="221"/>
      <c r="R1038" s="222" t="str">
        <f t="shared" si="146"/>
        <v>-</v>
      </c>
      <c r="S1038" s="223"/>
      <c r="T1038" s="224"/>
      <c r="U1038" s="225">
        <f t="shared" si="147"/>
        <v>0</v>
      </c>
      <c r="V1038" s="226">
        <v>0</v>
      </c>
      <c r="W1038" s="227"/>
      <c r="X1038" s="228">
        <f t="shared" si="148"/>
        <v>0</v>
      </c>
      <c r="Y1038" s="229"/>
      <c r="Z1038" s="229"/>
      <c r="AA1038" s="229"/>
      <c r="AB1038" s="222">
        <f t="shared" si="149"/>
        <v>0</v>
      </c>
      <c r="AC1038" s="230">
        <f t="shared" si="150"/>
        <v>0</v>
      </c>
      <c r="AD1038" s="222" t="str">
        <f t="shared" si="151"/>
        <v/>
      </c>
      <c r="AE1038" s="201"/>
      <c r="AF1038" s="231" t="str">
        <f>+IFERROR(VLOOKUP(L1038,Data!$F$4:$G$97,2,0),"")</f>
        <v/>
      </c>
    </row>
    <row r="1039" spans="9:32" ht="15" customHeight="1" x14ac:dyDescent="0.3">
      <c r="I1039" s="201" t="str">
        <f t="shared" si="144"/>
        <v/>
      </c>
      <c r="J1039" s="218">
        <f t="shared" si="145"/>
        <v>1036</v>
      </c>
      <c r="K1039" s="250"/>
      <c r="L1039" s="219"/>
      <c r="M1039" s="218"/>
      <c r="N1039" s="220" t="str">
        <f>IFERROR(VLOOKUP(M1039,Data!$C$4:$D$395,2,0),"")</f>
        <v/>
      </c>
      <c r="O1039" s="220"/>
      <c r="P1039" s="229"/>
      <c r="Q1039" s="221"/>
      <c r="R1039" s="222" t="str">
        <f t="shared" si="146"/>
        <v>-</v>
      </c>
      <c r="S1039" s="223"/>
      <c r="T1039" s="224"/>
      <c r="U1039" s="225">
        <f t="shared" si="147"/>
        <v>0</v>
      </c>
      <c r="V1039" s="226">
        <v>0</v>
      </c>
      <c r="W1039" s="227"/>
      <c r="X1039" s="228">
        <f t="shared" si="148"/>
        <v>0</v>
      </c>
      <c r="Y1039" s="229"/>
      <c r="Z1039" s="229"/>
      <c r="AA1039" s="229"/>
      <c r="AB1039" s="222">
        <f t="shared" si="149"/>
        <v>0</v>
      </c>
      <c r="AC1039" s="230">
        <f t="shared" si="150"/>
        <v>0</v>
      </c>
      <c r="AD1039" s="222" t="str">
        <f t="shared" si="151"/>
        <v/>
      </c>
      <c r="AE1039" s="201"/>
      <c r="AF1039" s="231" t="str">
        <f>+IFERROR(VLOOKUP(L1039,Data!$F$4:$G$97,2,0),"")</f>
        <v/>
      </c>
    </row>
    <row r="1040" spans="9:32" ht="15" customHeight="1" x14ac:dyDescent="0.3">
      <c r="I1040" s="201" t="str">
        <f t="shared" si="144"/>
        <v/>
      </c>
      <c r="J1040" s="218">
        <f t="shared" si="145"/>
        <v>1037</v>
      </c>
      <c r="K1040" s="250"/>
      <c r="L1040" s="219"/>
      <c r="M1040" s="218"/>
      <c r="N1040" s="220" t="str">
        <f>IFERROR(VLOOKUP(M1040,Data!$C$4:$D$395,2,0),"")</f>
        <v/>
      </c>
      <c r="O1040" s="220"/>
      <c r="P1040" s="229"/>
      <c r="Q1040" s="221"/>
      <c r="R1040" s="222" t="str">
        <f t="shared" si="146"/>
        <v>-</v>
      </c>
      <c r="S1040" s="223"/>
      <c r="T1040" s="224"/>
      <c r="U1040" s="225">
        <f t="shared" si="147"/>
        <v>0</v>
      </c>
      <c r="V1040" s="226">
        <v>0</v>
      </c>
      <c r="W1040" s="227"/>
      <c r="X1040" s="228">
        <f t="shared" si="148"/>
        <v>0</v>
      </c>
      <c r="Y1040" s="229"/>
      <c r="Z1040" s="229"/>
      <c r="AA1040" s="229"/>
      <c r="AB1040" s="222">
        <f t="shared" si="149"/>
        <v>0</v>
      </c>
      <c r="AC1040" s="230">
        <f t="shared" si="150"/>
        <v>0</v>
      </c>
      <c r="AD1040" s="222" t="str">
        <f t="shared" si="151"/>
        <v/>
      </c>
      <c r="AE1040" s="201"/>
      <c r="AF1040" s="231" t="str">
        <f>+IFERROR(VLOOKUP(L1040,Data!$F$4:$G$97,2,0),"")</f>
        <v/>
      </c>
    </row>
    <row r="1041" spans="9:32" ht="15" customHeight="1" x14ac:dyDescent="0.3">
      <c r="I1041" s="201" t="str">
        <f t="shared" si="144"/>
        <v/>
      </c>
      <c r="J1041" s="218">
        <f t="shared" si="145"/>
        <v>1038</v>
      </c>
      <c r="K1041" s="250"/>
      <c r="L1041" s="219"/>
      <c r="M1041" s="218"/>
      <c r="N1041" s="220" t="str">
        <f>IFERROR(VLOOKUP(M1041,Data!$C$4:$D$395,2,0),"")</f>
        <v/>
      </c>
      <c r="O1041" s="220"/>
      <c r="P1041" s="229"/>
      <c r="Q1041" s="221"/>
      <c r="R1041" s="222" t="str">
        <f t="shared" si="146"/>
        <v>-</v>
      </c>
      <c r="S1041" s="223"/>
      <c r="T1041" s="224"/>
      <c r="U1041" s="225">
        <f t="shared" si="147"/>
        <v>0</v>
      </c>
      <c r="V1041" s="226">
        <v>0</v>
      </c>
      <c r="W1041" s="227"/>
      <c r="X1041" s="228">
        <f t="shared" si="148"/>
        <v>0</v>
      </c>
      <c r="Y1041" s="229"/>
      <c r="Z1041" s="229"/>
      <c r="AA1041" s="229"/>
      <c r="AB1041" s="222">
        <f t="shared" si="149"/>
        <v>0</v>
      </c>
      <c r="AC1041" s="230">
        <f t="shared" si="150"/>
        <v>0</v>
      </c>
      <c r="AD1041" s="222" t="str">
        <f t="shared" si="151"/>
        <v/>
      </c>
      <c r="AE1041" s="201"/>
      <c r="AF1041" s="231" t="str">
        <f>+IFERROR(VLOOKUP(L1041,Data!$F$4:$G$97,2,0),"")</f>
        <v/>
      </c>
    </row>
    <row r="1042" spans="9:32" ht="15" customHeight="1" x14ac:dyDescent="0.3">
      <c r="I1042" s="201" t="str">
        <f t="shared" si="144"/>
        <v/>
      </c>
      <c r="J1042" s="218">
        <f t="shared" si="145"/>
        <v>1039</v>
      </c>
      <c r="K1042" s="250"/>
      <c r="L1042" s="219"/>
      <c r="M1042" s="218"/>
      <c r="N1042" s="220" t="str">
        <f>IFERROR(VLOOKUP(M1042,Data!$C$4:$D$395,2,0),"")</f>
        <v/>
      </c>
      <c r="O1042" s="220"/>
      <c r="P1042" s="229"/>
      <c r="Q1042" s="221"/>
      <c r="R1042" s="222" t="str">
        <f t="shared" si="146"/>
        <v>-</v>
      </c>
      <c r="S1042" s="223"/>
      <c r="T1042" s="224"/>
      <c r="U1042" s="225">
        <f t="shared" si="147"/>
        <v>0</v>
      </c>
      <c r="V1042" s="226">
        <v>0</v>
      </c>
      <c r="W1042" s="227"/>
      <c r="X1042" s="228">
        <f t="shared" si="148"/>
        <v>0</v>
      </c>
      <c r="Y1042" s="229"/>
      <c r="Z1042" s="229"/>
      <c r="AA1042" s="229"/>
      <c r="AB1042" s="222">
        <f t="shared" si="149"/>
        <v>0</v>
      </c>
      <c r="AC1042" s="230">
        <f t="shared" si="150"/>
        <v>0</v>
      </c>
      <c r="AD1042" s="222" t="str">
        <f t="shared" si="151"/>
        <v/>
      </c>
      <c r="AE1042" s="201"/>
      <c r="AF1042" s="231" t="str">
        <f>+IFERROR(VLOOKUP(L1042,Data!$F$4:$G$97,2,0),"")</f>
        <v/>
      </c>
    </row>
    <row r="1043" spans="9:32" ht="15" customHeight="1" x14ac:dyDescent="0.3">
      <c r="I1043" s="201" t="str">
        <f t="shared" si="144"/>
        <v/>
      </c>
      <c r="J1043" s="218">
        <f t="shared" si="145"/>
        <v>1040</v>
      </c>
      <c r="K1043" s="250"/>
      <c r="L1043" s="219"/>
      <c r="M1043" s="218"/>
      <c r="N1043" s="220" t="str">
        <f>IFERROR(VLOOKUP(M1043,Data!$C$4:$D$395,2,0),"")</f>
        <v/>
      </c>
      <c r="O1043" s="220"/>
      <c r="P1043" s="229"/>
      <c r="Q1043" s="221"/>
      <c r="R1043" s="222" t="str">
        <f t="shared" si="146"/>
        <v>-</v>
      </c>
      <c r="S1043" s="223"/>
      <c r="T1043" s="224"/>
      <c r="U1043" s="225">
        <f t="shared" si="147"/>
        <v>0</v>
      </c>
      <c r="V1043" s="226">
        <v>0</v>
      </c>
      <c r="W1043" s="227"/>
      <c r="X1043" s="228">
        <f t="shared" si="148"/>
        <v>0</v>
      </c>
      <c r="Y1043" s="229"/>
      <c r="Z1043" s="229"/>
      <c r="AA1043" s="229"/>
      <c r="AB1043" s="222">
        <f t="shared" si="149"/>
        <v>0</v>
      </c>
      <c r="AC1043" s="230">
        <f t="shared" si="150"/>
        <v>0</v>
      </c>
      <c r="AD1043" s="222" t="str">
        <f t="shared" si="151"/>
        <v/>
      </c>
      <c r="AE1043" s="201"/>
      <c r="AF1043" s="231" t="str">
        <f>+IFERROR(VLOOKUP(L1043,Data!$F$4:$G$97,2,0),"")</f>
        <v/>
      </c>
    </row>
    <row r="1044" spans="9:32" ht="15" customHeight="1" x14ac:dyDescent="0.3">
      <c r="I1044" s="201" t="str">
        <f t="shared" si="144"/>
        <v/>
      </c>
      <c r="J1044" s="218">
        <f t="shared" si="145"/>
        <v>1041</v>
      </c>
      <c r="K1044" s="250"/>
      <c r="L1044" s="219"/>
      <c r="M1044" s="218"/>
      <c r="N1044" s="220" t="str">
        <f>IFERROR(VLOOKUP(M1044,Data!$C$4:$D$395,2,0),"")</f>
        <v/>
      </c>
      <c r="O1044" s="220"/>
      <c r="P1044" s="229"/>
      <c r="Q1044" s="221"/>
      <c r="R1044" s="222" t="str">
        <f t="shared" si="146"/>
        <v>-</v>
      </c>
      <c r="S1044" s="223"/>
      <c r="T1044" s="224"/>
      <c r="U1044" s="225">
        <f t="shared" si="147"/>
        <v>0</v>
      </c>
      <c r="V1044" s="226">
        <v>0</v>
      </c>
      <c r="W1044" s="227"/>
      <c r="X1044" s="228">
        <f t="shared" si="148"/>
        <v>0</v>
      </c>
      <c r="Y1044" s="229"/>
      <c r="Z1044" s="229"/>
      <c r="AA1044" s="229"/>
      <c r="AB1044" s="222">
        <f t="shared" si="149"/>
        <v>0</v>
      </c>
      <c r="AC1044" s="230">
        <f t="shared" si="150"/>
        <v>0</v>
      </c>
      <c r="AD1044" s="222" t="str">
        <f t="shared" si="151"/>
        <v/>
      </c>
      <c r="AE1044" s="201"/>
      <c r="AF1044" s="231" t="str">
        <f>+IFERROR(VLOOKUP(L1044,Data!$F$4:$G$97,2,0),"")</f>
        <v/>
      </c>
    </row>
    <row r="1045" spans="9:32" ht="15" customHeight="1" x14ac:dyDescent="0.3">
      <c r="I1045" s="201" t="str">
        <f t="shared" si="144"/>
        <v/>
      </c>
      <c r="J1045" s="218">
        <f t="shared" si="145"/>
        <v>1042</v>
      </c>
      <c r="K1045" s="250"/>
      <c r="L1045" s="219"/>
      <c r="M1045" s="218"/>
      <c r="N1045" s="220" t="str">
        <f>IFERROR(VLOOKUP(M1045,Data!$C$4:$D$395,2,0),"")</f>
        <v/>
      </c>
      <c r="O1045" s="220"/>
      <c r="P1045" s="229"/>
      <c r="Q1045" s="221"/>
      <c r="R1045" s="222" t="str">
        <f t="shared" si="146"/>
        <v>-</v>
      </c>
      <c r="S1045" s="223"/>
      <c r="T1045" s="224"/>
      <c r="U1045" s="225">
        <f t="shared" si="147"/>
        <v>0</v>
      </c>
      <c r="V1045" s="226">
        <v>0</v>
      </c>
      <c r="W1045" s="227"/>
      <c r="X1045" s="228">
        <f t="shared" si="148"/>
        <v>0</v>
      </c>
      <c r="Y1045" s="229"/>
      <c r="Z1045" s="229"/>
      <c r="AA1045" s="229"/>
      <c r="AB1045" s="222">
        <f t="shared" si="149"/>
        <v>0</v>
      </c>
      <c r="AC1045" s="230">
        <f t="shared" si="150"/>
        <v>0</v>
      </c>
      <c r="AD1045" s="222" t="str">
        <f t="shared" si="151"/>
        <v/>
      </c>
      <c r="AE1045" s="201"/>
      <c r="AF1045" s="231" t="str">
        <f>+IFERROR(VLOOKUP(L1045,Data!$F$4:$G$97,2,0),"")</f>
        <v/>
      </c>
    </row>
    <row r="1046" spans="9:32" ht="15" customHeight="1" x14ac:dyDescent="0.3">
      <c r="I1046" s="201" t="str">
        <f t="shared" si="144"/>
        <v/>
      </c>
      <c r="J1046" s="218">
        <f t="shared" si="145"/>
        <v>1043</v>
      </c>
      <c r="K1046" s="250"/>
      <c r="L1046" s="219"/>
      <c r="M1046" s="218"/>
      <c r="N1046" s="220" t="str">
        <f>IFERROR(VLOOKUP(M1046,Data!$C$4:$D$395,2,0),"")</f>
        <v/>
      </c>
      <c r="O1046" s="220"/>
      <c r="P1046" s="229"/>
      <c r="Q1046" s="221"/>
      <c r="R1046" s="222" t="str">
        <f t="shared" si="146"/>
        <v>-</v>
      </c>
      <c r="S1046" s="223"/>
      <c r="T1046" s="224"/>
      <c r="U1046" s="225">
        <f t="shared" si="147"/>
        <v>0</v>
      </c>
      <c r="V1046" s="226">
        <v>0</v>
      </c>
      <c r="W1046" s="227"/>
      <c r="X1046" s="228">
        <f t="shared" si="148"/>
        <v>0</v>
      </c>
      <c r="Y1046" s="229"/>
      <c r="Z1046" s="229"/>
      <c r="AA1046" s="229"/>
      <c r="AB1046" s="222">
        <f t="shared" si="149"/>
        <v>0</v>
      </c>
      <c r="AC1046" s="230">
        <f t="shared" si="150"/>
        <v>0</v>
      </c>
      <c r="AD1046" s="222" t="str">
        <f t="shared" si="151"/>
        <v/>
      </c>
      <c r="AE1046" s="201"/>
      <c r="AF1046" s="231" t="str">
        <f>+IFERROR(VLOOKUP(L1046,Data!$F$4:$G$97,2,0),"")</f>
        <v/>
      </c>
    </row>
    <row r="1047" spans="9:32" ht="15" customHeight="1" x14ac:dyDescent="0.3">
      <c r="I1047" s="201" t="str">
        <f t="shared" si="144"/>
        <v/>
      </c>
      <c r="J1047" s="218">
        <f t="shared" si="145"/>
        <v>1044</v>
      </c>
      <c r="K1047" s="250"/>
      <c r="L1047" s="219"/>
      <c r="M1047" s="218"/>
      <c r="N1047" s="220" t="str">
        <f>IFERROR(VLOOKUP(M1047,Data!$C$4:$D$395,2,0),"")</f>
        <v/>
      </c>
      <c r="O1047" s="220"/>
      <c r="P1047" s="229"/>
      <c r="Q1047" s="221"/>
      <c r="R1047" s="222" t="str">
        <f t="shared" si="146"/>
        <v>-</v>
      </c>
      <c r="S1047" s="223"/>
      <c r="T1047" s="224"/>
      <c r="U1047" s="225">
        <f t="shared" si="147"/>
        <v>0</v>
      </c>
      <c r="V1047" s="226">
        <v>0</v>
      </c>
      <c r="W1047" s="227"/>
      <c r="X1047" s="228">
        <f t="shared" si="148"/>
        <v>0</v>
      </c>
      <c r="Y1047" s="229"/>
      <c r="Z1047" s="229"/>
      <c r="AA1047" s="229"/>
      <c r="AB1047" s="222">
        <f t="shared" si="149"/>
        <v>0</v>
      </c>
      <c r="AC1047" s="230">
        <f t="shared" si="150"/>
        <v>0</v>
      </c>
      <c r="AD1047" s="222" t="str">
        <f t="shared" si="151"/>
        <v/>
      </c>
      <c r="AE1047" s="201"/>
      <c r="AF1047" s="231" t="str">
        <f>+IFERROR(VLOOKUP(L1047,Data!$F$4:$G$97,2,0),"")</f>
        <v/>
      </c>
    </row>
    <row r="1048" spans="9:32" ht="15" customHeight="1" x14ac:dyDescent="0.3">
      <c r="I1048" s="201" t="str">
        <f t="shared" si="144"/>
        <v/>
      </c>
      <c r="J1048" s="218">
        <f t="shared" si="145"/>
        <v>1045</v>
      </c>
      <c r="K1048" s="250"/>
      <c r="L1048" s="219"/>
      <c r="M1048" s="218"/>
      <c r="N1048" s="220" t="str">
        <f>IFERROR(VLOOKUP(M1048,Data!$C$4:$D$395,2,0),"")</f>
        <v/>
      </c>
      <c r="O1048" s="220"/>
      <c r="P1048" s="229"/>
      <c r="Q1048" s="221"/>
      <c r="R1048" s="222" t="str">
        <f t="shared" si="146"/>
        <v>-</v>
      </c>
      <c r="S1048" s="223"/>
      <c r="T1048" s="224"/>
      <c r="U1048" s="225">
        <f t="shared" si="147"/>
        <v>0</v>
      </c>
      <c r="V1048" s="226">
        <v>0</v>
      </c>
      <c r="W1048" s="227"/>
      <c r="X1048" s="228">
        <f t="shared" si="148"/>
        <v>0</v>
      </c>
      <c r="Y1048" s="229"/>
      <c r="Z1048" s="229"/>
      <c r="AA1048" s="229"/>
      <c r="AB1048" s="222">
        <f t="shared" si="149"/>
        <v>0</v>
      </c>
      <c r="AC1048" s="230">
        <f t="shared" si="150"/>
        <v>0</v>
      </c>
      <c r="AD1048" s="222" t="str">
        <f t="shared" si="151"/>
        <v/>
      </c>
      <c r="AE1048" s="201"/>
      <c r="AF1048" s="231" t="str">
        <f>+IFERROR(VLOOKUP(L1048,Data!$F$4:$G$97,2,0),"")</f>
        <v/>
      </c>
    </row>
    <row r="1049" spans="9:32" ht="15" customHeight="1" x14ac:dyDescent="0.3">
      <c r="I1049" s="201" t="str">
        <f t="shared" si="144"/>
        <v/>
      </c>
      <c r="J1049" s="218">
        <f t="shared" si="145"/>
        <v>1046</v>
      </c>
      <c r="K1049" s="250"/>
      <c r="L1049" s="219"/>
      <c r="M1049" s="218"/>
      <c r="N1049" s="220" t="str">
        <f>IFERROR(VLOOKUP(M1049,Data!$C$4:$D$395,2,0),"")</f>
        <v/>
      </c>
      <c r="O1049" s="220"/>
      <c r="P1049" s="229"/>
      <c r="Q1049" s="221"/>
      <c r="R1049" s="222" t="str">
        <f t="shared" si="146"/>
        <v>-</v>
      </c>
      <c r="S1049" s="223"/>
      <c r="T1049" s="224"/>
      <c r="U1049" s="225">
        <f t="shared" si="147"/>
        <v>0</v>
      </c>
      <c r="V1049" s="226">
        <v>0</v>
      </c>
      <c r="W1049" s="227"/>
      <c r="X1049" s="228">
        <f t="shared" si="148"/>
        <v>0</v>
      </c>
      <c r="Y1049" s="229"/>
      <c r="Z1049" s="229"/>
      <c r="AA1049" s="229"/>
      <c r="AB1049" s="222">
        <f t="shared" si="149"/>
        <v>0</v>
      </c>
      <c r="AC1049" s="230">
        <f t="shared" si="150"/>
        <v>0</v>
      </c>
      <c r="AD1049" s="222" t="str">
        <f t="shared" si="151"/>
        <v/>
      </c>
      <c r="AE1049" s="201"/>
      <c r="AF1049" s="231" t="str">
        <f>+IFERROR(VLOOKUP(L1049,Data!$F$4:$G$97,2,0),"")</f>
        <v/>
      </c>
    </row>
    <row r="1050" spans="9:32" ht="15" customHeight="1" x14ac:dyDescent="0.3">
      <c r="I1050" s="201" t="str">
        <f t="shared" si="144"/>
        <v/>
      </c>
      <c r="J1050" s="218">
        <f t="shared" si="145"/>
        <v>1047</v>
      </c>
      <c r="K1050" s="250"/>
      <c r="L1050" s="219"/>
      <c r="M1050" s="218"/>
      <c r="N1050" s="220" t="str">
        <f>IFERROR(VLOOKUP(M1050,Data!$C$4:$D$395,2,0),"")</f>
        <v/>
      </c>
      <c r="O1050" s="220"/>
      <c r="P1050" s="229"/>
      <c r="Q1050" s="221"/>
      <c r="R1050" s="222" t="str">
        <f t="shared" si="146"/>
        <v>-</v>
      </c>
      <c r="S1050" s="223"/>
      <c r="T1050" s="224"/>
      <c r="U1050" s="225">
        <f t="shared" si="147"/>
        <v>0</v>
      </c>
      <c r="V1050" s="226">
        <v>0</v>
      </c>
      <c r="W1050" s="227"/>
      <c r="X1050" s="228">
        <f t="shared" si="148"/>
        <v>0</v>
      </c>
      <c r="Y1050" s="229"/>
      <c r="Z1050" s="229"/>
      <c r="AA1050" s="229"/>
      <c r="AB1050" s="222">
        <f t="shared" si="149"/>
        <v>0</v>
      </c>
      <c r="AC1050" s="230">
        <f t="shared" si="150"/>
        <v>0</v>
      </c>
      <c r="AD1050" s="222" t="str">
        <f t="shared" si="151"/>
        <v/>
      </c>
      <c r="AE1050" s="201"/>
      <c r="AF1050" s="231" t="str">
        <f>+IFERROR(VLOOKUP(L1050,Data!$F$4:$G$97,2,0),"")</f>
        <v/>
      </c>
    </row>
    <row r="1051" spans="9:32" ht="15" customHeight="1" x14ac:dyDescent="0.3">
      <c r="I1051" s="201" t="str">
        <f t="shared" si="144"/>
        <v/>
      </c>
      <c r="J1051" s="218">
        <f t="shared" si="145"/>
        <v>1048</v>
      </c>
      <c r="K1051" s="250"/>
      <c r="L1051" s="219"/>
      <c r="M1051" s="218"/>
      <c r="N1051" s="220" t="str">
        <f>IFERROR(VLOOKUP(M1051,Data!$C$4:$D$395,2,0),"")</f>
        <v/>
      </c>
      <c r="O1051" s="220"/>
      <c r="P1051" s="229"/>
      <c r="Q1051" s="221"/>
      <c r="R1051" s="222" t="str">
        <f t="shared" si="146"/>
        <v>-</v>
      </c>
      <c r="S1051" s="223"/>
      <c r="T1051" s="224"/>
      <c r="U1051" s="225">
        <f t="shared" si="147"/>
        <v>0</v>
      </c>
      <c r="V1051" s="226">
        <v>0</v>
      </c>
      <c r="W1051" s="227"/>
      <c r="X1051" s="228">
        <f t="shared" si="148"/>
        <v>0</v>
      </c>
      <c r="Y1051" s="229"/>
      <c r="Z1051" s="229"/>
      <c r="AA1051" s="229"/>
      <c r="AB1051" s="222">
        <f t="shared" si="149"/>
        <v>0</v>
      </c>
      <c r="AC1051" s="230">
        <f t="shared" si="150"/>
        <v>0</v>
      </c>
      <c r="AD1051" s="222" t="str">
        <f t="shared" si="151"/>
        <v/>
      </c>
      <c r="AE1051" s="201"/>
      <c r="AF1051" s="231" t="str">
        <f>+IFERROR(VLOOKUP(L1051,Data!$F$4:$G$97,2,0),"")</f>
        <v/>
      </c>
    </row>
    <row r="1052" spans="9:32" ht="15" customHeight="1" x14ac:dyDescent="0.3">
      <c r="I1052" s="201" t="str">
        <f t="shared" si="144"/>
        <v/>
      </c>
      <c r="J1052" s="218">
        <f t="shared" si="145"/>
        <v>1049</v>
      </c>
      <c r="K1052" s="250"/>
      <c r="L1052" s="219"/>
      <c r="M1052" s="218"/>
      <c r="N1052" s="220" t="str">
        <f>IFERROR(VLOOKUP(M1052,Data!$C$4:$D$395,2,0),"")</f>
        <v/>
      </c>
      <c r="O1052" s="220"/>
      <c r="P1052" s="229"/>
      <c r="Q1052" s="221"/>
      <c r="R1052" s="222" t="str">
        <f t="shared" si="146"/>
        <v>-</v>
      </c>
      <c r="S1052" s="223"/>
      <c r="T1052" s="224"/>
      <c r="U1052" s="225">
        <f t="shared" si="147"/>
        <v>0</v>
      </c>
      <c r="V1052" s="226">
        <v>0</v>
      </c>
      <c r="W1052" s="227"/>
      <c r="X1052" s="228">
        <f t="shared" si="148"/>
        <v>0</v>
      </c>
      <c r="Y1052" s="229"/>
      <c r="Z1052" s="229"/>
      <c r="AA1052" s="229"/>
      <c r="AB1052" s="222">
        <f t="shared" si="149"/>
        <v>0</v>
      </c>
      <c r="AC1052" s="230">
        <f t="shared" si="150"/>
        <v>0</v>
      </c>
      <c r="AD1052" s="222" t="str">
        <f t="shared" si="151"/>
        <v/>
      </c>
      <c r="AE1052" s="201"/>
      <c r="AF1052" s="231" t="str">
        <f>+IFERROR(VLOOKUP(L1052,Data!$F$4:$G$97,2,0),"")</f>
        <v/>
      </c>
    </row>
    <row r="1053" spans="9:32" ht="15" customHeight="1" x14ac:dyDescent="0.3">
      <c r="I1053" s="201" t="str">
        <f t="shared" si="144"/>
        <v/>
      </c>
      <c r="J1053" s="218">
        <f t="shared" si="145"/>
        <v>1050</v>
      </c>
      <c r="K1053" s="250"/>
      <c r="L1053" s="219"/>
      <c r="M1053" s="218"/>
      <c r="N1053" s="220" t="str">
        <f>IFERROR(VLOOKUP(M1053,Data!$C$4:$D$395,2,0),"")</f>
        <v/>
      </c>
      <c r="O1053" s="220"/>
      <c r="P1053" s="229"/>
      <c r="Q1053" s="221"/>
      <c r="R1053" s="222" t="str">
        <f t="shared" si="146"/>
        <v>-</v>
      </c>
      <c r="S1053" s="223"/>
      <c r="T1053" s="224"/>
      <c r="U1053" s="225">
        <f t="shared" si="147"/>
        <v>0</v>
      </c>
      <c r="V1053" s="226">
        <v>0</v>
      </c>
      <c r="W1053" s="227"/>
      <c r="X1053" s="228">
        <f t="shared" si="148"/>
        <v>0</v>
      </c>
      <c r="Y1053" s="229"/>
      <c r="Z1053" s="229"/>
      <c r="AA1053" s="229"/>
      <c r="AB1053" s="222">
        <f t="shared" si="149"/>
        <v>0</v>
      </c>
      <c r="AC1053" s="230">
        <f t="shared" si="150"/>
        <v>0</v>
      </c>
      <c r="AD1053" s="222" t="str">
        <f t="shared" si="151"/>
        <v/>
      </c>
      <c r="AE1053" s="201"/>
      <c r="AF1053" s="231" t="str">
        <f>+IFERROR(VLOOKUP(L1053,Data!$F$4:$G$97,2,0),"")</f>
        <v/>
      </c>
    </row>
    <row r="1054" spans="9:32" ht="15" customHeight="1" x14ac:dyDescent="0.3">
      <c r="I1054" s="201" t="str">
        <f t="shared" si="144"/>
        <v/>
      </c>
      <c r="J1054" s="218">
        <f t="shared" si="145"/>
        <v>1051</v>
      </c>
      <c r="K1054" s="250"/>
      <c r="L1054" s="219"/>
      <c r="M1054" s="218"/>
      <c r="N1054" s="220" t="str">
        <f>IFERROR(VLOOKUP(M1054,Data!$C$4:$D$395,2,0),"")</f>
        <v/>
      </c>
      <c r="O1054" s="220"/>
      <c r="P1054" s="229"/>
      <c r="Q1054" s="221"/>
      <c r="R1054" s="222" t="str">
        <f t="shared" si="146"/>
        <v>-</v>
      </c>
      <c r="S1054" s="223"/>
      <c r="T1054" s="224"/>
      <c r="U1054" s="225">
        <f t="shared" si="147"/>
        <v>0</v>
      </c>
      <c r="V1054" s="226">
        <v>0</v>
      </c>
      <c r="W1054" s="227"/>
      <c r="X1054" s="228">
        <f t="shared" si="148"/>
        <v>0</v>
      </c>
      <c r="Y1054" s="229"/>
      <c r="Z1054" s="229"/>
      <c r="AA1054" s="229"/>
      <c r="AB1054" s="222">
        <f t="shared" si="149"/>
        <v>0</v>
      </c>
      <c r="AC1054" s="230">
        <f t="shared" si="150"/>
        <v>0</v>
      </c>
      <c r="AD1054" s="222" t="str">
        <f t="shared" si="151"/>
        <v/>
      </c>
      <c r="AE1054" s="201"/>
      <c r="AF1054" s="231" t="str">
        <f>+IFERROR(VLOOKUP(L1054,Data!$F$4:$G$97,2,0),"")</f>
        <v/>
      </c>
    </row>
    <row r="1055" spans="9:32" ht="15" customHeight="1" x14ac:dyDescent="0.3">
      <c r="I1055" s="201" t="str">
        <f t="shared" si="144"/>
        <v/>
      </c>
      <c r="J1055" s="218">
        <f t="shared" si="145"/>
        <v>1052</v>
      </c>
      <c r="K1055" s="250"/>
      <c r="L1055" s="219"/>
      <c r="M1055" s="218"/>
      <c r="N1055" s="220" t="str">
        <f>IFERROR(VLOOKUP(M1055,Data!$C$4:$D$395,2,0),"")</f>
        <v/>
      </c>
      <c r="O1055" s="220"/>
      <c r="P1055" s="229"/>
      <c r="Q1055" s="221"/>
      <c r="R1055" s="222" t="str">
        <f t="shared" si="146"/>
        <v>-</v>
      </c>
      <c r="S1055" s="223"/>
      <c r="T1055" s="224"/>
      <c r="U1055" s="225">
        <f t="shared" si="147"/>
        <v>0</v>
      </c>
      <c r="V1055" s="226">
        <v>0</v>
      </c>
      <c r="W1055" s="227"/>
      <c r="X1055" s="228">
        <f t="shared" si="148"/>
        <v>0</v>
      </c>
      <c r="Y1055" s="229"/>
      <c r="Z1055" s="229"/>
      <c r="AA1055" s="229"/>
      <c r="AB1055" s="222">
        <f t="shared" si="149"/>
        <v>0</v>
      </c>
      <c r="AC1055" s="230">
        <f t="shared" si="150"/>
        <v>0</v>
      </c>
      <c r="AD1055" s="222" t="str">
        <f t="shared" si="151"/>
        <v/>
      </c>
      <c r="AE1055" s="201"/>
      <c r="AF1055" s="231" t="str">
        <f>+IFERROR(VLOOKUP(L1055,Data!$F$4:$G$97,2,0),"")</f>
        <v/>
      </c>
    </row>
    <row r="1056" spans="9:32" ht="15" customHeight="1" x14ac:dyDescent="0.3">
      <c r="I1056" s="201" t="str">
        <f t="shared" si="144"/>
        <v/>
      </c>
      <c r="J1056" s="218">
        <f t="shared" si="145"/>
        <v>1053</v>
      </c>
      <c r="K1056" s="250"/>
      <c r="L1056" s="219"/>
      <c r="M1056" s="218"/>
      <c r="N1056" s="220" t="str">
        <f>IFERROR(VLOOKUP(M1056,Data!$C$4:$D$395,2,0),"")</f>
        <v/>
      </c>
      <c r="O1056" s="220"/>
      <c r="P1056" s="229"/>
      <c r="Q1056" s="221"/>
      <c r="R1056" s="222" t="str">
        <f t="shared" si="146"/>
        <v>-</v>
      </c>
      <c r="S1056" s="223"/>
      <c r="T1056" s="224"/>
      <c r="U1056" s="225">
        <f t="shared" si="147"/>
        <v>0</v>
      </c>
      <c r="V1056" s="226">
        <v>0</v>
      </c>
      <c r="W1056" s="227"/>
      <c r="X1056" s="228">
        <f t="shared" si="148"/>
        <v>0</v>
      </c>
      <c r="Y1056" s="229"/>
      <c r="Z1056" s="229"/>
      <c r="AA1056" s="229"/>
      <c r="AB1056" s="222">
        <f t="shared" si="149"/>
        <v>0</v>
      </c>
      <c r="AC1056" s="230">
        <f t="shared" si="150"/>
        <v>0</v>
      </c>
      <c r="AD1056" s="222" t="str">
        <f t="shared" si="151"/>
        <v/>
      </c>
      <c r="AE1056" s="201"/>
      <c r="AF1056" s="231" t="str">
        <f>+IFERROR(VLOOKUP(L1056,Data!$F$4:$G$97,2,0),"")</f>
        <v/>
      </c>
    </row>
    <row r="1057" spans="9:32" ht="15" customHeight="1" x14ac:dyDescent="0.3">
      <c r="I1057" s="201" t="str">
        <f t="shared" si="144"/>
        <v/>
      </c>
      <c r="J1057" s="218">
        <f t="shared" si="145"/>
        <v>1054</v>
      </c>
      <c r="K1057" s="250"/>
      <c r="L1057" s="219"/>
      <c r="M1057" s="218"/>
      <c r="N1057" s="220" t="str">
        <f>IFERROR(VLOOKUP(M1057,Data!$C$4:$D$395,2,0),"")</f>
        <v/>
      </c>
      <c r="O1057" s="220"/>
      <c r="P1057" s="229"/>
      <c r="Q1057" s="221"/>
      <c r="R1057" s="222" t="str">
        <f t="shared" si="146"/>
        <v>-</v>
      </c>
      <c r="S1057" s="223"/>
      <c r="T1057" s="224"/>
      <c r="U1057" s="225">
        <f t="shared" si="147"/>
        <v>0</v>
      </c>
      <c r="V1057" s="226">
        <v>0</v>
      </c>
      <c r="W1057" s="227"/>
      <c r="X1057" s="228">
        <f t="shared" si="148"/>
        <v>0</v>
      </c>
      <c r="Y1057" s="229"/>
      <c r="Z1057" s="229"/>
      <c r="AA1057" s="229"/>
      <c r="AB1057" s="222">
        <f t="shared" si="149"/>
        <v>0</v>
      </c>
      <c r="AC1057" s="230">
        <f t="shared" si="150"/>
        <v>0</v>
      </c>
      <c r="AD1057" s="222" t="str">
        <f t="shared" si="151"/>
        <v/>
      </c>
      <c r="AE1057" s="201"/>
      <c r="AF1057" s="231" t="str">
        <f>+IFERROR(VLOOKUP(L1057,Data!$F$4:$G$97,2,0),"")</f>
        <v/>
      </c>
    </row>
    <row r="1058" spans="9:32" ht="15" customHeight="1" x14ac:dyDescent="0.3">
      <c r="I1058" s="201" t="str">
        <f t="shared" si="144"/>
        <v/>
      </c>
      <c r="J1058" s="218">
        <f t="shared" si="145"/>
        <v>1055</v>
      </c>
      <c r="K1058" s="250"/>
      <c r="L1058" s="219"/>
      <c r="M1058" s="218"/>
      <c r="N1058" s="220" t="str">
        <f>IFERROR(VLOOKUP(M1058,Data!$C$4:$D$395,2,0),"")</f>
        <v/>
      </c>
      <c r="O1058" s="220"/>
      <c r="P1058" s="229"/>
      <c r="Q1058" s="221"/>
      <c r="R1058" s="222" t="str">
        <f t="shared" si="146"/>
        <v>-</v>
      </c>
      <c r="S1058" s="223"/>
      <c r="T1058" s="224"/>
      <c r="U1058" s="225">
        <f t="shared" si="147"/>
        <v>0</v>
      </c>
      <c r="V1058" s="226">
        <v>0</v>
      </c>
      <c r="W1058" s="227"/>
      <c r="X1058" s="228">
        <f t="shared" si="148"/>
        <v>0</v>
      </c>
      <c r="Y1058" s="229"/>
      <c r="Z1058" s="229"/>
      <c r="AA1058" s="229"/>
      <c r="AB1058" s="222">
        <f t="shared" si="149"/>
        <v>0</v>
      </c>
      <c r="AC1058" s="230">
        <f t="shared" si="150"/>
        <v>0</v>
      </c>
      <c r="AD1058" s="222" t="str">
        <f t="shared" si="151"/>
        <v/>
      </c>
      <c r="AE1058" s="201"/>
      <c r="AF1058" s="231" t="str">
        <f>+IFERROR(VLOOKUP(L1058,Data!$F$4:$G$97,2,0),"")</f>
        <v/>
      </c>
    </row>
    <row r="1059" spans="9:32" ht="15" customHeight="1" x14ac:dyDescent="0.3">
      <c r="I1059" s="201" t="str">
        <f t="shared" si="144"/>
        <v/>
      </c>
      <c r="J1059" s="218">
        <f t="shared" si="145"/>
        <v>1056</v>
      </c>
      <c r="K1059" s="250"/>
      <c r="L1059" s="219"/>
      <c r="M1059" s="218"/>
      <c r="N1059" s="220" t="str">
        <f>IFERROR(VLOOKUP(M1059,Data!$C$4:$D$395,2,0),"")</f>
        <v/>
      </c>
      <c r="O1059" s="220"/>
      <c r="P1059" s="229"/>
      <c r="Q1059" s="221"/>
      <c r="R1059" s="222" t="str">
        <f t="shared" si="146"/>
        <v>-</v>
      </c>
      <c r="S1059" s="223"/>
      <c r="T1059" s="224"/>
      <c r="U1059" s="225">
        <f t="shared" si="147"/>
        <v>0</v>
      </c>
      <c r="V1059" s="226">
        <v>0</v>
      </c>
      <c r="W1059" s="227"/>
      <c r="X1059" s="228">
        <f t="shared" si="148"/>
        <v>0</v>
      </c>
      <c r="Y1059" s="229"/>
      <c r="Z1059" s="229"/>
      <c r="AA1059" s="229"/>
      <c r="AB1059" s="222">
        <f t="shared" si="149"/>
        <v>0</v>
      </c>
      <c r="AC1059" s="230">
        <f t="shared" si="150"/>
        <v>0</v>
      </c>
      <c r="AD1059" s="222" t="str">
        <f t="shared" si="151"/>
        <v/>
      </c>
      <c r="AE1059" s="201"/>
      <c r="AF1059" s="231" t="str">
        <f>+IFERROR(VLOOKUP(L1059,Data!$F$4:$G$97,2,0),"")</f>
        <v/>
      </c>
    </row>
    <row r="1060" spans="9:32" ht="15" customHeight="1" x14ac:dyDescent="0.3">
      <c r="I1060" s="201" t="str">
        <f t="shared" si="144"/>
        <v/>
      </c>
      <c r="J1060" s="218">
        <f t="shared" si="145"/>
        <v>1057</v>
      </c>
      <c r="K1060" s="250"/>
      <c r="L1060" s="219"/>
      <c r="M1060" s="218"/>
      <c r="N1060" s="220" t="str">
        <f>IFERROR(VLOOKUP(M1060,Data!$C$4:$D$395,2,0),"")</f>
        <v/>
      </c>
      <c r="O1060" s="220"/>
      <c r="P1060" s="229"/>
      <c r="Q1060" s="221"/>
      <c r="R1060" s="222" t="str">
        <f t="shared" si="146"/>
        <v>-</v>
      </c>
      <c r="S1060" s="223"/>
      <c r="T1060" s="224"/>
      <c r="U1060" s="225">
        <f t="shared" si="147"/>
        <v>0</v>
      </c>
      <c r="V1060" s="226">
        <v>0</v>
      </c>
      <c r="W1060" s="227"/>
      <c r="X1060" s="228">
        <f t="shared" si="148"/>
        <v>0</v>
      </c>
      <c r="Y1060" s="229"/>
      <c r="Z1060" s="229"/>
      <c r="AA1060" s="229"/>
      <c r="AB1060" s="222">
        <f t="shared" si="149"/>
        <v>0</v>
      </c>
      <c r="AC1060" s="230">
        <f t="shared" si="150"/>
        <v>0</v>
      </c>
      <c r="AD1060" s="222" t="str">
        <f t="shared" si="151"/>
        <v/>
      </c>
      <c r="AE1060" s="201"/>
      <c r="AF1060" s="231" t="str">
        <f>+IFERROR(VLOOKUP(L1060,Data!$F$4:$G$97,2,0),"")</f>
        <v/>
      </c>
    </row>
    <row r="1061" spans="9:32" ht="15" customHeight="1" x14ac:dyDescent="0.3">
      <c r="I1061" s="201" t="str">
        <f t="shared" si="144"/>
        <v/>
      </c>
      <c r="J1061" s="218">
        <f t="shared" si="145"/>
        <v>1058</v>
      </c>
      <c r="K1061" s="250"/>
      <c r="L1061" s="219"/>
      <c r="M1061" s="218"/>
      <c r="N1061" s="220" t="str">
        <f>IFERROR(VLOOKUP(M1061,Data!$C$4:$D$395,2,0),"")</f>
        <v/>
      </c>
      <c r="O1061" s="220"/>
      <c r="P1061" s="229"/>
      <c r="Q1061" s="221"/>
      <c r="R1061" s="222" t="str">
        <f t="shared" si="146"/>
        <v>-</v>
      </c>
      <c r="S1061" s="223"/>
      <c r="T1061" s="224"/>
      <c r="U1061" s="225">
        <f t="shared" si="147"/>
        <v>0</v>
      </c>
      <c r="V1061" s="226">
        <v>0</v>
      </c>
      <c r="W1061" s="227"/>
      <c r="X1061" s="228">
        <f t="shared" si="148"/>
        <v>0</v>
      </c>
      <c r="Y1061" s="229"/>
      <c r="Z1061" s="229"/>
      <c r="AA1061" s="229"/>
      <c r="AB1061" s="222">
        <f t="shared" si="149"/>
        <v>0</v>
      </c>
      <c r="AC1061" s="230">
        <f t="shared" si="150"/>
        <v>0</v>
      </c>
      <c r="AD1061" s="222" t="str">
        <f t="shared" si="151"/>
        <v/>
      </c>
      <c r="AE1061" s="201"/>
      <c r="AF1061" s="231" t="str">
        <f>+IFERROR(VLOOKUP(L1061,Data!$F$4:$G$97,2,0),"")</f>
        <v/>
      </c>
    </row>
    <row r="1062" spans="9:32" ht="15" customHeight="1" x14ac:dyDescent="0.3">
      <c r="I1062" s="201" t="str">
        <f t="shared" si="144"/>
        <v/>
      </c>
      <c r="J1062" s="218">
        <f t="shared" si="145"/>
        <v>1059</v>
      </c>
      <c r="K1062" s="250"/>
      <c r="L1062" s="219"/>
      <c r="M1062" s="218"/>
      <c r="N1062" s="220" t="str">
        <f>IFERROR(VLOOKUP(M1062,Data!$C$4:$D$395,2,0),"")</f>
        <v/>
      </c>
      <c r="O1062" s="220"/>
      <c r="P1062" s="229"/>
      <c r="Q1062" s="221"/>
      <c r="R1062" s="222" t="str">
        <f t="shared" si="146"/>
        <v>-</v>
      </c>
      <c r="S1062" s="223"/>
      <c r="T1062" s="224"/>
      <c r="U1062" s="225">
        <f t="shared" si="147"/>
        <v>0</v>
      </c>
      <c r="V1062" s="226">
        <v>0</v>
      </c>
      <c r="W1062" s="227"/>
      <c r="X1062" s="228">
        <f t="shared" si="148"/>
        <v>0</v>
      </c>
      <c r="Y1062" s="229"/>
      <c r="Z1062" s="229"/>
      <c r="AA1062" s="229"/>
      <c r="AB1062" s="222">
        <f t="shared" si="149"/>
        <v>0</v>
      </c>
      <c r="AC1062" s="230">
        <f t="shared" si="150"/>
        <v>0</v>
      </c>
      <c r="AD1062" s="222" t="str">
        <f t="shared" si="151"/>
        <v/>
      </c>
      <c r="AE1062" s="201"/>
      <c r="AF1062" s="231" t="str">
        <f>+IFERROR(VLOOKUP(L1062,Data!$F$4:$G$97,2,0),"")</f>
        <v/>
      </c>
    </row>
    <row r="1063" spans="9:32" ht="15" customHeight="1" x14ac:dyDescent="0.3">
      <c r="I1063" s="201" t="str">
        <f t="shared" si="144"/>
        <v/>
      </c>
      <c r="J1063" s="218">
        <f t="shared" si="145"/>
        <v>1060</v>
      </c>
      <c r="K1063" s="250"/>
      <c r="L1063" s="219"/>
      <c r="M1063" s="218"/>
      <c r="N1063" s="220" t="str">
        <f>IFERROR(VLOOKUP(M1063,Data!$C$4:$D$395,2,0),"")</f>
        <v/>
      </c>
      <c r="O1063" s="220"/>
      <c r="P1063" s="229"/>
      <c r="Q1063" s="221"/>
      <c r="R1063" s="222" t="str">
        <f t="shared" si="146"/>
        <v>-</v>
      </c>
      <c r="S1063" s="223"/>
      <c r="T1063" s="224"/>
      <c r="U1063" s="225">
        <f t="shared" si="147"/>
        <v>0</v>
      </c>
      <c r="V1063" s="226">
        <v>0</v>
      </c>
      <c r="W1063" s="227"/>
      <c r="X1063" s="228">
        <f t="shared" si="148"/>
        <v>0</v>
      </c>
      <c r="Y1063" s="229"/>
      <c r="Z1063" s="229"/>
      <c r="AA1063" s="229"/>
      <c r="AB1063" s="222">
        <f t="shared" si="149"/>
        <v>0</v>
      </c>
      <c r="AC1063" s="230">
        <f t="shared" si="150"/>
        <v>0</v>
      </c>
      <c r="AD1063" s="222" t="str">
        <f t="shared" si="151"/>
        <v/>
      </c>
      <c r="AE1063" s="201"/>
      <c r="AF1063" s="231" t="str">
        <f>+IFERROR(VLOOKUP(L1063,Data!$F$4:$G$97,2,0),"")</f>
        <v/>
      </c>
    </row>
    <row r="1064" spans="9:32" ht="15" customHeight="1" x14ac:dyDescent="0.3">
      <c r="I1064" s="201" t="str">
        <f t="shared" si="144"/>
        <v/>
      </c>
      <c r="J1064" s="218">
        <f t="shared" si="145"/>
        <v>1061</v>
      </c>
      <c r="K1064" s="250"/>
      <c r="L1064" s="219"/>
      <c r="M1064" s="218"/>
      <c r="N1064" s="220" t="str">
        <f>IFERROR(VLOOKUP(M1064,Data!$C$4:$D$395,2,0),"")</f>
        <v/>
      </c>
      <c r="O1064" s="220"/>
      <c r="P1064" s="229"/>
      <c r="Q1064" s="221"/>
      <c r="R1064" s="222" t="str">
        <f t="shared" si="146"/>
        <v>-</v>
      </c>
      <c r="S1064" s="223"/>
      <c r="T1064" s="224"/>
      <c r="U1064" s="225">
        <f t="shared" si="147"/>
        <v>0</v>
      </c>
      <c r="V1064" s="226">
        <v>0</v>
      </c>
      <c r="W1064" s="227"/>
      <c r="X1064" s="228">
        <f t="shared" si="148"/>
        <v>0</v>
      </c>
      <c r="Y1064" s="229"/>
      <c r="Z1064" s="229"/>
      <c r="AA1064" s="229"/>
      <c r="AB1064" s="222">
        <f t="shared" si="149"/>
        <v>0</v>
      </c>
      <c r="AC1064" s="230">
        <f t="shared" si="150"/>
        <v>0</v>
      </c>
      <c r="AD1064" s="222" t="str">
        <f t="shared" si="151"/>
        <v/>
      </c>
      <c r="AE1064" s="201"/>
      <c r="AF1064" s="231" t="str">
        <f>+IFERROR(VLOOKUP(L1064,Data!$F$4:$G$97,2,0),"")</f>
        <v/>
      </c>
    </row>
    <row r="1065" spans="9:32" ht="15" customHeight="1" x14ac:dyDescent="0.3">
      <c r="I1065" s="201" t="str">
        <f t="shared" si="144"/>
        <v/>
      </c>
      <c r="J1065" s="218">
        <f t="shared" si="145"/>
        <v>1062</v>
      </c>
      <c r="K1065" s="250"/>
      <c r="L1065" s="219"/>
      <c r="M1065" s="218"/>
      <c r="N1065" s="220" t="str">
        <f>IFERROR(VLOOKUP(M1065,Data!$C$4:$D$395,2,0),"")</f>
        <v/>
      </c>
      <c r="O1065" s="220"/>
      <c r="P1065" s="229"/>
      <c r="Q1065" s="221"/>
      <c r="R1065" s="222" t="str">
        <f t="shared" si="146"/>
        <v>-</v>
      </c>
      <c r="S1065" s="223"/>
      <c r="T1065" s="224"/>
      <c r="U1065" s="225">
        <f t="shared" si="147"/>
        <v>0</v>
      </c>
      <c r="V1065" s="226">
        <v>0</v>
      </c>
      <c r="W1065" s="227"/>
      <c r="X1065" s="228">
        <f t="shared" si="148"/>
        <v>0</v>
      </c>
      <c r="Y1065" s="229"/>
      <c r="Z1065" s="229"/>
      <c r="AA1065" s="229"/>
      <c r="AB1065" s="222">
        <f t="shared" si="149"/>
        <v>0</v>
      </c>
      <c r="AC1065" s="230">
        <f t="shared" si="150"/>
        <v>0</v>
      </c>
      <c r="AD1065" s="222" t="str">
        <f t="shared" si="151"/>
        <v/>
      </c>
      <c r="AE1065" s="201"/>
      <c r="AF1065" s="231" t="str">
        <f>+IFERROR(VLOOKUP(L1065,Data!$F$4:$G$97,2,0),"")</f>
        <v/>
      </c>
    </row>
    <row r="1066" spans="9:32" ht="15" customHeight="1" x14ac:dyDescent="0.3">
      <c r="I1066" s="201" t="str">
        <f t="shared" si="144"/>
        <v/>
      </c>
      <c r="J1066" s="218">
        <f t="shared" si="145"/>
        <v>1063</v>
      </c>
      <c r="K1066" s="250"/>
      <c r="L1066" s="219"/>
      <c r="M1066" s="218"/>
      <c r="N1066" s="220" t="str">
        <f>IFERROR(VLOOKUP(M1066,Data!$C$4:$D$395,2,0),"")</f>
        <v/>
      </c>
      <c r="O1066" s="220"/>
      <c r="P1066" s="229"/>
      <c r="Q1066" s="221"/>
      <c r="R1066" s="222" t="str">
        <f t="shared" si="146"/>
        <v>-</v>
      </c>
      <c r="S1066" s="223"/>
      <c r="T1066" s="224"/>
      <c r="U1066" s="225">
        <f t="shared" si="147"/>
        <v>0</v>
      </c>
      <c r="V1066" s="226">
        <v>0</v>
      </c>
      <c r="W1066" s="227"/>
      <c r="X1066" s="228">
        <f t="shared" si="148"/>
        <v>0</v>
      </c>
      <c r="Y1066" s="229"/>
      <c r="Z1066" s="229"/>
      <c r="AA1066" s="229"/>
      <c r="AB1066" s="222">
        <f t="shared" si="149"/>
        <v>0</v>
      </c>
      <c r="AC1066" s="230">
        <f t="shared" si="150"/>
        <v>0</v>
      </c>
      <c r="AD1066" s="222" t="str">
        <f t="shared" si="151"/>
        <v/>
      </c>
      <c r="AE1066" s="201"/>
      <c r="AF1066" s="231" t="str">
        <f>+IFERROR(VLOOKUP(L1066,Data!$F$4:$G$97,2,0),"")</f>
        <v/>
      </c>
    </row>
    <row r="1067" spans="9:32" ht="15" customHeight="1" x14ac:dyDescent="0.3">
      <c r="I1067" s="201" t="str">
        <f t="shared" si="144"/>
        <v/>
      </c>
      <c r="J1067" s="218">
        <f t="shared" si="145"/>
        <v>1064</v>
      </c>
      <c r="K1067" s="250"/>
      <c r="L1067" s="219"/>
      <c r="M1067" s="218"/>
      <c r="N1067" s="220" t="str">
        <f>IFERROR(VLOOKUP(M1067,Data!$C$4:$D$395,2,0),"")</f>
        <v/>
      </c>
      <c r="O1067" s="220"/>
      <c r="P1067" s="229"/>
      <c r="Q1067" s="221"/>
      <c r="R1067" s="222" t="str">
        <f t="shared" si="146"/>
        <v>-</v>
      </c>
      <c r="S1067" s="223"/>
      <c r="T1067" s="224"/>
      <c r="U1067" s="225">
        <f t="shared" si="147"/>
        <v>0</v>
      </c>
      <c r="V1067" s="226">
        <v>0</v>
      </c>
      <c r="W1067" s="227"/>
      <c r="X1067" s="228">
        <f t="shared" si="148"/>
        <v>0</v>
      </c>
      <c r="Y1067" s="229"/>
      <c r="Z1067" s="229"/>
      <c r="AA1067" s="229"/>
      <c r="AB1067" s="222">
        <f t="shared" si="149"/>
        <v>0</v>
      </c>
      <c r="AC1067" s="230">
        <f t="shared" si="150"/>
        <v>0</v>
      </c>
      <c r="AD1067" s="222" t="str">
        <f t="shared" si="151"/>
        <v/>
      </c>
      <c r="AE1067" s="201"/>
      <c r="AF1067" s="231" t="str">
        <f>+IFERROR(VLOOKUP(L1067,Data!$F$4:$G$97,2,0),"")</f>
        <v/>
      </c>
    </row>
    <row r="1068" spans="9:32" ht="15" customHeight="1" x14ac:dyDescent="0.3">
      <c r="I1068" s="201" t="str">
        <f t="shared" si="144"/>
        <v/>
      </c>
      <c r="J1068" s="218">
        <f t="shared" si="145"/>
        <v>1065</v>
      </c>
      <c r="K1068" s="250"/>
      <c r="L1068" s="219"/>
      <c r="M1068" s="218"/>
      <c r="N1068" s="220" t="str">
        <f>IFERROR(VLOOKUP(M1068,Data!$C$4:$D$395,2,0),"")</f>
        <v/>
      </c>
      <c r="O1068" s="220"/>
      <c r="P1068" s="229"/>
      <c r="Q1068" s="221"/>
      <c r="R1068" s="222" t="str">
        <f t="shared" si="146"/>
        <v>-</v>
      </c>
      <c r="S1068" s="223"/>
      <c r="T1068" s="224"/>
      <c r="U1068" s="225">
        <f t="shared" si="147"/>
        <v>0</v>
      </c>
      <c r="V1068" s="226">
        <v>0</v>
      </c>
      <c r="W1068" s="227"/>
      <c r="X1068" s="228">
        <f t="shared" si="148"/>
        <v>0</v>
      </c>
      <c r="Y1068" s="229"/>
      <c r="Z1068" s="229"/>
      <c r="AA1068" s="229"/>
      <c r="AB1068" s="222">
        <f t="shared" si="149"/>
        <v>0</v>
      </c>
      <c r="AC1068" s="230">
        <f t="shared" si="150"/>
        <v>0</v>
      </c>
      <c r="AD1068" s="222" t="str">
        <f t="shared" si="151"/>
        <v/>
      </c>
      <c r="AE1068" s="201"/>
      <c r="AF1068" s="231" t="str">
        <f>+IFERROR(VLOOKUP(L1068,Data!$F$4:$G$97,2,0),"")</f>
        <v/>
      </c>
    </row>
    <row r="1069" spans="9:32" ht="15" customHeight="1" x14ac:dyDescent="0.3">
      <c r="I1069" s="201" t="str">
        <f t="shared" si="144"/>
        <v/>
      </c>
      <c r="J1069" s="218">
        <f t="shared" si="145"/>
        <v>1066</v>
      </c>
      <c r="K1069" s="250"/>
      <c r="L1069" s="219"/>
      <c r="M1069" s="218"/>
      <c r="N1069" s="220" t="str">
        <f>IFERROR(VLOOKUP(M1069,Data!$C$4:$D$395,2,0),"")</f>
        <v/>
      </c>
      <c r="O1069" s="220"/>
      <c r="P1069" s="229"/>
      <c r="Q1069" s="221"/>
      <c r="R1069" s="222" t="str">
        <f t="shared" si="146"/>
        <v>-</v>
      </c>
      <c r="S1069" s="223"/>
      <c r="T1069" s="224"/>
      <c r="U1069" s="225">
        <f t="shared" si="147"/>
        <v>0</v>
      </c>
      <c r="V1069" s="226">
        <v>0</v>
      </c>
      <c r="W1069" s="227"/>
      <c r="X1069" s="228">
        <f t="shared" si="148"/>
        <v>0</v>
      </c>
      <c r="Y1069" s="229"/>
      <c r="Z1069" s="229"/>
      <c r="AA1069" s="229"/>
      <c r="AB1069" s="222">
        <f t="shared" si="149"/>
        <v>0</v>
      </c>
      <c r="AC1069" s="230">
        <f t="shared" si="150"/>
        <v>0</v>
      </c>
      <c r="AD1069" s="222" t="str">
        <f t="shared" si="151"/>
        <v/>
      </c>
      <c r="AE1069" s="201"/>
      <c r="AF1069" s="231" t="str">
        <f>+IFERROR(VLOOKUP(L1069,Data!$F$4:$G$97,2,0),"")</f>
        <v/>
      </c>
    </row>
    <row r="1070" spans="9:32" ht="15" customHeight="1" x14ac:dyDescent="0.3">
      <c r="I1070" s="201" t="str">
        <f t="shared" si="144"/>
        <v/>
      </c>
      <c r="J1070" s="218">
        <f t="shared" si="145"/>
        <v>1067</v>
      </c>
      <c r="K1070" s="250"/>
      <c r="L1070" s="219"/>
      <c r="M1070" s="218"/>
      <c r="N1070" s="220" t="str">
        <f>IFERROR(VLOOKUP(M1070,Data!$C$4:$D$395,2,0),"")</f>
        <v/>
      </c>
      <c r="O1070" s="220"/>
      <c r="P1070" s="229"/>
      <c r="Q1070" s="221"/>
      <c r="R1070" s="222" t="str">
        <f t="shared" si="146"/>
        <v>-</v>
      </c>
      <c r="S1070" s="223"/>
      <c r="T1070" s="224"/>
      <c r="U1070" s="225">
        <f t="shared" si="147"/>
        <v>0</v>
      </c>
      <c r="V1070" s="226">
        <v>0</v>
      </c>
      <c r="W1070" s="227"/>
      <c r="X1070" s="228">
        <f t="shared" si="148"/>
        <v>0</v>
      </c>
      <c r="Y1070" s="229"/>
      <c r="Z1070" s="229"/>
      <c r="AA1070" s="229"/>
      <c r="AB1070" s="222">
        <f t="shared" si="149"/>
        <v>0</v>
      </c>
      <c r="AC1070" s="230">
        <f t="shared" si="150"/>
        <v>0</v>
      </c>
      <c r="AD1070" s="222" t="str">
        <f t="shared" si="151"/>
        <v/>
      </c>
      <c r="AE1070" s="201"/>
      <c r="AF1070" s="231" t="str">
        <f>+IFERROR(VLOOKUP(L1070,Data!$F$4:$G$97,2,0),"")</f>
        <v/>
      </c>
    </row>
    <row r="1071" spans="9:32" ht="15" customHeight="1" x14ac:dyDescent="0.3">
      <c r="I1071" s="201" t="str">
        <f t="shared" si="144"/>
        <v/>
      </c>
      <c r="J1071" s="218">
        <f t="shared" si="145"/>
        <v>1068</v>
      </c>
      <c r="K1071" s="250"/>
      <c r="L1071" s="219"/>
      <c r="M1071" s="218"/>
      <c r="N1071" s="220" t="str">
        <f>IFERROR(VLOOKUP(M1071,Data!$C$4:$D$395,2,0),"")</f>
        <v/>
      </c>
      <c r="O1071" s="220"/>
      <c r="P1071" s="229"/>
      <c r="Q1071" s="221"/>
      <c r="R1071" s="222" t="str">
        <f t="shared" si="146"/>
        <v>-</v>
      </c>
      <c r="S1071" s="223"/>
      <c r="T1071" s="224"/>
      <c r="U1071" s="225">
        <f t="shared" si="147"/>
        <v>0</v>
      </c>
      <c r="V1071" s="226">
        <v>0</v>
      </c>
      <c r="W1071" s="227"/>
      <c r="X1071" s="228">
        <f t="shared" si="148"/>
        <v>0</v>
      </c>
      <c r="Y1071" s="229"/>
      <c r="Z1071" s="229"/>
      <c r="AA1071" s="229"/>
      <c r="AB1071" s="222">
        <f t="shared" si="149"/>
        <v>0</v>
      </c>
      <c r="AC1071" s="230">
        <f t="shared" si="150"/>
        <v>0</v>
      </c>
      <c r="AD1071" s="222" t="str">
        <f t="shared" si="151"/>
        <v/>
      </c>
      <c r="AE1071" s="201"/>
      <c r="AF1071" s="231" t="str">
        <f>+IFERROR(VLOOKUP(L1071,Data!$F$4:$G$97,2,0),"")</f>
        <v/>
      </c>
    </row>
    <row r="1072" spans="9:32" ht="15" customHeight="1" x14ac:dyDescent="0.3">
      <c r="I1072" s="201" t="str">
        <f t="shared" si="144"/>
        <v/>
      </c>
      <c r="J1072" s="218">
        <f t="shared" si="145"/>
        <v>1069</v>
      </c>
      <c r="K1072" s="250"/>
      <c r="L1072" s="219"/>
      <c r="M1072" s="218"/>
      <c r="N1072" s="220" t="str">
        <f>IFERROR(VLOOKUP(M1072,Data!$C$4:$D$395,2,0),"")</f>
        <v/>
      </c>
      <c r="O1072" s="220"/>
      <c r="P1072" s="229"/>
      <c r="Q1072" s="221"/>
      <c r="R1072" s="222" t="str">
        <f t="shared" si="146"/>
        <v>-</v>
      </c>
      <c r="S1072" s="223"/>
      <c r="T1072" s="224"/>
      <c r="U1072" s="225">
        <f t="shared" si="147"/>
        <v>0</v>
      </c>
      <c r="V1072" s="226">
        <v>0</v>
      </c>
      <c r="W1072" s="227"/>
      <c r="X1072" s="228">
        <f t="shared" si="148"/>
        <v>0</v>
      </c>
      <c r="Y1072" s="229"/>
      <c r="Z1072" s="229"/>
      <c r="AA1072" s="229"/>
      <c r="AB1072" s="222">
        <f t="shared" si="149"/>
        <v>0</v>
      </c>
      <c r="AC1072" s="230">
        <f t="shared" si="150"/>
        <v>0</v>
      </c>
      <c r="AD1072" s="222" t="str">
        <f t="shared" si="151"/>
        <v/>
      </c>
      <c r="AE1072" s="201"/>
      <c r="AF1072" s="231" t="str">
        <f>+IFERROR(VLOOKUP(L1072,Data!$F$4:$G$97,2,0),"")</f>
        <v/>
      </c>
    </row>
    <row r="1073" spans="9:32" ht="15" customHeight="1" x14ac:dyDescent="0.3">
      <c r="I1073" s="201" t="str">
        <f t="shared" si="144"/>
        <v/>
      </c>
      <c r="J1073" s="218">
        <f t="shared" si="145"/>
        <v>1070</v>
      </c>
      <c r="K1073" s="250"/>
      <c r="L1073" s="219"/>
      <c r="M1073" s="218"/>
      <c r="N1073" s="220" t="str">
        <f>IFERROR(VLOOKUP(M1073,Data!$C$4:$D$395,2,0),"")</f>
        <v/>
      </c>
      <c r="O1073" s="220"/>
      <c r="P1073" s="229"/>
      <c r="Q1073" s="221"/>
      <c r="R1073" s="222" t="str">
        <f t="shared" si="146"/>
        <v>-</v>
      </c>
      <c r="S1073" s="223"/>
      <c r="T1073" s="224"/>
      <c r="U1073" s="225">
        <f t="shared" si="147"/>
        <v>0</v>
      </c>
      <c r="V1073" s="226">
        <v>0</v>
      </c>
      <c r="W1073" s="227"/>
      <c r="X1073" s="228">
        <f t="shared" si="148"/>
        <v>0</v>
      </c>
      <c r="Y1073" s="229"/>
      <c r="Z1073" s="229"/>
      <c r="AA1073" s="229"/>
      <c r="AB1073" s="222">
        <f t="shared" si="149"/>
        <v>0</v>
      </c>
      <c r="AC1073" s="230">
        <f t="shared" si="150"/>
        <v>0</v>
      </c>
      <c r="AD1073" s="222" t="str">
        <f t="shared" si="151"/>
        <v/>
      </c>
      <c r="AE1073" s="201"/>
      <c r="AF1073" s="231" t="str">
        <f>+IFERROR(VLOOKUP(L1073,Data!$F$4:$G$97,2,0),"")</f>
        <v/>
      </c>
    </row>
    <row r="1074" spans="9:32" ht="15" customHeight="1" x14ac:dyDescent="0.3">
      <c r="I1074" s="201" t="str">
        <f t="shared" si="144"/>
        <v/>
      </c>
      <c r="J1074" s="218">
        <f t="shared" si="145"/>
        <v>1071</v>
      </c>
      <c r="K1074" s="250"/>
      <c r="L1074" s="219"/>
      <c r="M1074" s="218"/>
      <c r="N1074" s="220" t="str">
        <f>IFERROR(VLOOKUP(M1074,Data!$C$4:$D$395,2,0),"")</f>
        <v/>
      </c>
      <c r="O1074" s="220"/>
      <c r="P1074" s="229"/>
      <c r="Q1074" s="221"/>
      <c r="R1074" s="222" t="str">
        <f t="shared" si="146"/>
        <v>-</v>
      </c>
      <c r="S1074" s="223"/>
      <c r="T1074" s="224"/>
      <c r="U1074" s="225">
        <f t="shared" si="147"/>
        <v>0</v>
      </c>
      <c r="V1074" s="226">
        <v>0</v>
      </c>
      <c r="W1074" s="227"/>
      <c r="X1074" s="228">
        <f t="shared" si="148"/>
        <v>0</v>
      </c>
      <c r="Y1074" s="229"/>
      <c r="Z1074" s="229"/>
      <c r="AA1074" s="229"/>
      <c r="AB1074" s="222">
        <f t="shared" si="149"/>
        <v>0</v>
      </c>
      <c r="AC1074" s="230">
        <f t="shared" si="150"/>
        <v>0</v>
      </c>
      <c r="AD1074" s="222" t="str">
        <f t="shared" si="151"/>
        <v/>
      </c>
      <c r="AE1074" s="201"/>
      <c r="AF1074" s="231" t="str">
        <f>+IFERROR(VLOOKUP(L1074,Data!$F$4:$G$97,2,0),"")</f>
        <v/>
      </c>
    </row>
    <row r="1075" spans="9:32" ht="15" customHeight="1" x14ac:dyDescent="0.3">
      <c r="I1075" s="201" t="str">
        <f t="shared" si="144"/>
        <v/>
      </c>
      <c r="J1075" s="218">
        <f t="shared" si="145"/>
        <v>1072</v>
      </c>
      <c r="K1075" s="250"/>
      <c r="L1075" s="219"/>
      <c r="M1075" s="218"/>
      <c r="N1075" s="220" t="str">
        <f>IFERROR(VLOOKUP(M1075,Data!$C$4:$D$395,2,0),"")</f>
        <v/>
      </c>
      <c r="O1075" s="220"/>
      <c r="P1075" s="229"/>
      <c r="Q1075" s="221"/>
      <c r="R1075" s="222" t="str">
        <f t="shared" si="146"/>
        <v>-</v>
      </c>
      <c r="S1075" s="223"/>
      <c r="T1075" s="224"/>
      <c r="U1075" s="225">
        <f t="shared" si="147"/>
        <v>0</v>
      </c>
      <c r="V1075" s="226">
        <v>0</v>
      </c>
      <c r="W1075" s="227"/>
      <c r="X1075" s="228">
        <f t="shared" si="148"/>
        <v>0</v>
      </c>
      <c r="Y1075" s="229"/>
      <c r="Z1075" s="229"/>
      <c r="AA1075" s="229"/>
      <c r="AB1075" s="222">
        <f t="shared" si="149"/>
        <v>0</v>
      </c>
      <c r="AC1075" s="230">
        <f t="shared" si="150"/>
        <v>0</v>
      </c>
      <c r="AD1075" s="222" t="str">
        <f t="shared" si="151"/>
        <v/>
      </c>
      <c r="AE1075" s="201"/>
      <c r="AF1075" s="231" t="str">
        <f>+IFERROR(VLOOKUP(L1075,Data!$F$4:$G$97,2,0),"")</f>
        <v/>
      </c>
    </row>
    <row r="1076" spans="9:32" ht="15" customHeight="1" x14ac:dyDescent="0.3">
      <c r="I1076" s="201" t="str">
        <f t="shared" si="144"/>
        <v/>
      </c>
      <c r="J1076" s="218">
        <f t="shared" si="145"/>
        <v>1073</v>
      </c>
      <c r="K1076" s="250"/>
      <c r="L1076" s="219"/>
      <c r="M1076" s="218"/>
      <c r="N1076" s="220" t="str">
        <f>IFERROR(VLOOKUP(M1076,Data!$C$4:$D$395,2,0),"")</f>
        <v/>
      </c>
      <c r="O1076" s="220"/>
      <c r="P1076" s="229"/>
      <c r="Q1076" s="221"/>
      <c r="R1076" s="222" t="str">
        <f t="shared" si="146"/>
        <v>-</v>
      </c>
      <c r="S1076" s="223"/>
      <c r="T1076" s="224"/>
      <c r="U1076" s="225">
        <f t="shared" si="147"/>
        <v>0</v>
      </c>
      <c r="V1076" s="226">
        <v>0</v>
      </c>
      <c r="W1076" s="227"/>
      <c r="X1076" s="228">
        <f t="shared" si="148"/>
        <v>0</v>
      </c>
      <c r="Y1076" s="229"/>
      <c r="Z1076" s="229"/>
      <c r="AA1076" s="229"/>
      <c r="AB1076" s="222">
        <f t="shared" si="149"/>
        <v>0</v>
      </c>
      <c r="AC1076" s="230">
        <f t="shared" si="150"/>
        <v>0</v>
      </c>
      <c r="AD1076" s="222" t="str">
        <f t="shared" si="151"/>
        <v/>
      </c>
      <c r="AE1076" s="201"/>
      <c r="AF1076" s="231" t="str">
        <f>+IFERROR(VLOOKUP(L1076,Data!$F$4:$G$97,2,0),"")</f>
        <v/>
      </c>
    </row>
    <row r="1077" spans="9:32" ht="15" customHeight="1" x14ac:dyDescent="0.3">
      <c r="I1077" s="201" t="str">
        <f t="shared" si="144"/>
        <v/>
      </c>
      <c r="J1077" s="218">
        <f t="shared" si="145"/>
        <v>1074</v>
      </c>
      <c r="K1077" s="250"/>
      <c r="L1077" s="219"/>
      <c r="M1077" s="218"/>
      <c r="N1077" s="220" t="str">
        <f>IFERROR(VLOOKUP(M1077,Data!$C$4:$D$395,2,0),"")</f>
        <v/>
      </c>
      <c r="O1077" s="220"/>
      <c r="P1077" s="229"/>
      <c r="Q1077" s="221"/>
      <c r="R1077" s="222" t="str">
        <f t="shared" si="146"/>
        <v>-</v>
      </c>
      <c r="S1077" s="223"/>
      <c r="T1077" s="224"/>
      <c r="U1077" s="225">
        <f t="shared" si="147"/>
        <v>0</v>
      </c>
      <c r="V1077" s="226">
        <v>0</v>
      </c>
      <c r="W1077" s="227"/>
      <c r="X1077" s="228">
        <f t="shared" si="148"/>
        <v>0</v>
      </c>
      <c r="Y1077" s="229"/>
      <c r="Z1077" s="229"/>
      <c r="AA1077" s="229"/>
      <c r="AB1077" s="222">
        <f t="shared" si="149"/>
        <v>0</v>
      </c>
      <c r="AC1077" s="230">
        <f t="shared" si="150"/>
        <v>0</v>
      </c>
      <c r="AD1077" s="222" t="str">
        <f t="shared" si="151"/>
        <v/>
      </c>
      <c r="AE1077" s="201"/>
      <c r="AF1077" s="231" t="str">
        <f>+IFERROR(VLOOKUP(L1077,Data!$F$4:$G$97,2,0),"")</f>
        <v/>
      </c>
    </row>
    <row r="1078" spans="9:32" ht="15" customHeight="1" x14ac:dyDescent="0.3">
      <c r="I1078" s="201" t="str">
        <f t="shared" si="144"/>
        <v/>
      </c>
      <c r="J1078" s="218">
        <f t="shared" si="145"/>
        <v>1075</v>
      </c>
      <c r="K1078" s="250"/>
      <c r="L1078" s="219"/>
      <c r="M1078" s="218"/>
      <c r="N1078" s="220" t="str">
        <f>IFERROR(VLOOKUP(M1078,Data!$C$4:$D$395,2,0),"")</f>
        <v/>
      </c>
      <c r="O1078" s="220"/>
      <c r="P1078" s="229"/>
      <c r="Q1078" s="221"/>
      <c r="R1078" s="222" t="str">
        <f t="shared" si="146"/>
        <v>-</v>
      </c>
      <c r="S1078" s="223"/>
      <c r="T1078" s="224"/>
      <c r="U1078" s="225">
        <f t="shared" si="147"/>
        <v>0</v>
      </c>
      <c r="V1078" s="226">
        <v>0</v>
      </c>
      <c r="W1078" s="227"/>
      <c r="X1078" s="228">
        <f t="shared" si="148"/>
        <v>0</v>
      </c>
      <c r="Y1078" s="229"/>
      <c r="Z1078" s="229"/>
      <c r="AA1078" s="229"/>
      <c r="AB1078" s="222">
        <f t="shared" si="149"/>
        <v>0</v>
      </c>
      <c r="AC1078" s="230">
        <f t="shared" si="150"/>
        <v>0</v>
      </c>
      <c r="AD1078" s="222" t="str">
        <f t="shared" si="151"/>
        <v/>
      </c>
      <c r="AE1078" s="201"/>
      <c r="AF1078" s="231" t="str">
        <f>+IFERROR(VLOOKUP(L1078,Data!$F$4:$G$97,2,0),"")</f>
        <v/>
      </c>
    </row>
    <row r="1079" spans="9:32" ht="15" customHeight="1" x14ac:dyDescent="0.3">
      <c r="I1079" s="201" t="str">
        <f t="shared" si="144"/>
        <v/>
      </c>
      <c r="J1079" s="218">
        <f t="shared" si="145"/>
        <v>1076</v>
      </c>
      <c r="K1079" s="250"/>
      <c r="L1079" s="219"/>
      <c r="M1079" s="218"/>
      <c r="N1079" s="220" t="str">
        <f>IFERROR(VLOOKUP(M1079,Data!$C$4:$D$395,2,0),"")</f>
        <v/>
      </c>
      <c r="O1079" s="220"/>
      <c r="P1079" s="229"/>
      <c r="Q1079" s="221"/>
      <c r="R1079" s="222" t="str">
        <f t="shared" si="146"/>
        <v>-</v>
      </c>
      <c r="S1079" s="223"/>
      <c r="T1079" s="224"/>
      <c r="U1079" s="225">
        <f t="shared" si="147"/>
        <v>0</v>
      </c>
      <c r="V1079" s="226">
        <v>0</v>
      </c>
      <c r="W1079" s="227"/>
      <c r="X1079" s="228">
        <f t="shared" si="148"/>
        <v>0</v>
      </c>
      <c r="Y1079" s="229"/>
      <c r="Z1079" s="229"/>
      <c r="AA1079" s="229"/>
      <c r="AB1079" s="222">
        <f t="shared" si="149"/>
        <v>0</v>
      </c>
      <c r="AC1079" s="230">
        <f t="shared" si="150"/>
        <v>0</v>
      </c>
      <c r="AD1079" s="222" t="str">
        <f t="shared" si="151"/>
        <v/>
      </c>
      <c r="AE1079" s="201"/>
      <c r="AF1079" s="231" t="str">
        <f>+IFERROR(VLOOKUP(L1079,Data!$F$4:$G$97,2,0),"")</f>
        <v/>
      </c>
    </row>
    <row r="1080" spans="9:32" ht="15" customHeight="1" x14ac:dyDescent="0.3">
      <c r="I1080" s="201" t="str">
        <f t="shared" si="144"/>
        <v/>
      </c>
      <c r="J1080" s="218">
        <f t="shared" si="145"/>
        <v>1077</v>
      </c>
      <c r="K1080" s="250"/>
      <c r="L1080" s="219"/>
      <c r="M1080" s="218"/>
      <c r="N1080" s="220" t="str">
        <f>IFERROR(VLOOKUP(M1080,Data!$C$4:$D$395,2,0),"")</f>
        <v/>
      </c>
      <c r="O1080" s="220"/>
      <c r="P1080" s="229"/>
      <c r="Q1080" s="221"/>
      <c r="R1080" s="222" t="str">
        <f t="shared" si="146"/>
        <v>-</v>
      </c>
      <c r="S1080" s="223"/>
      <c r="T1080" s="224"/>
      <c r="U1080" s="225">
        <f t="shared" si="147"/>
        <v>0</v>
      </c>
      <c r="V1080" s="226">
        <v>0</v>
      </c>
      <c r="W1080" s="227"/>
      <c r="X1080" s="228">
        <f t="shared" si="148"/>
        <v>0</v>
      </c>
      <c r="Y1080" s="229"/>
      <c r="Z1080" s="229"/>
      <c r="AA1080" s="229"/>
      <c r="AB1080" s="222">
        <f t="shared" si="149"/>
        <v>0</v>
      </c>
      <c r="AC1080" s="230">
        <f t="shared" si="150"/>
        <v>0</v>
      </c>
      <c r="AD1080" s="222" t="str">
        <f t="shared" si="151"/>
        <v/>
      </c>
      <c r="AE1080" s="201"/>
      <c r="AF1080" s="231" t="str">
        <f>+IFERROR(VLOOKUP(L1080,Data!$F$4:$G$97,2,0),"")</f>
        <v/>
      </c>
    </row>
    <row r="1081" spans="9:32" ht="15" customHeight="1" x14ac:dyDescent="0.3">
      <c r="I1081" s="201" t="str">
        <f t="shared" si="144"/>
        <v/>
      </c>
      <c r="J1081" s="218">
        <f t="shared" si="145"/>
        <v>1078</v>
      </c>
      <c r="K1081" s="250"/>
      <c r="L1081" s="219"/>
      <c r="M1081" s="218"/>
      <c r="N1081" s="220" t="str">
        <f>IFERROR(VLOOKUP(M1081,Data!$C$4:$D$395,2,0),"")</f>
        <v/>
      </c>
      <c r="O1081" s="220"/>
      <c r="P1081" s="229"/>
      <c r="Q1081" s="221"/>
      <c r="R1081" s="222" t="str">
        <f t="shared" si="146"/>
        <v>-</v>
      </c>
      <c r="S1081" s="223"/>
      <c r="T1081" s="224"/>
      <c r="U1081" s="225">
        <f t="shared" si="147"/>
        <v>0</v>
      </c>
      <c r="V1081" s="226">
        <v>0</v>
      </c>
      <c r="W1081" s="227"/>
      <c r="X1081" s="228">
        <f t="shared" si="148"/>
        <v>0</v>
      </c>
      <c r="Y1081" s="229"/>
      <c r="Z1081" s="229"/>
      <c r="AA1081" s="229"/>
      <c r="AB1081" s="222">
        <f t="shared" si="149"/>
        <v>0</v>
      </c>
      <c r="AC1081" s="230">
        <f t="shared" si="150"/>
        <v>0</v>
      </c>
      <c r="AD1081" s="222" t="str">
        <f t="shared" si="151"/>
        <v/>
      </c>
      <c r="AE1081" s="201"/>
      <c r="AF1081" s="231" t="str">
        <f>+IFERROR(VLOOKUP(L1081,Data!$F$4:$G$97,2,0),"")</f>
        <v/>
      </c>
    </row>
    <row r="1082" spans="9:32" ht="15" customHeight="1" x14ac:dyDescent="0.3">
      <c r="I1082" s="201" t="str">
        <f t="shared" si="144"/>
        <v/>
      </c>
      <c r="J1082" s="218">
        <f t="shared" si="145"/>
        <v>1079</v>
      </c>
      <c r="K1082" s="250"/>
      <c r="L1082" s="219"/>
      <c r="M1082" s="218"/>
      <c r="N1082" s="220" t="str">
        <f>IFERROR(VLOOKUP(M1082,Data!$C$4:$D$395,2,0),"")</f>
        <v/>
      </c>
      <c r="O1082" s="220"/>
      <c r="P1082" s="229"/>
      <c r="Q1082" s="221"/>
      <c r="R1082" s="222" t="str">
        <f t="shared" si="146"/>
        <v>-</v>
      </c>
      <c r="S1082" s="223"/>
      <c r="T1082" s="224"/>
      <c r="U1082" s="225">
        <f t="shared" si="147"/>
        <v>0</v>
      </c>
      <c r="V1082" s="226">
        <v>0</v>
      </c>
      <c r="W1082" s="227"/>
      <c r="X1082" s="228">
        <f t="shared" si="148"/>
        <v>0</v>
      </c>
      <c r="Y1082" s="229"/>
      <c r="Z1082" s="229"/>
      <c r="AA1082" s="229"/>
      <c r="AB1082" s="222">
        <f t="shared" si="149"/>
        <v>0</v>
      </c>
      <c r="AC1082" s="230">
        <f t="shared" si="150"/>
        <v>0</v>
      </c>
      <c r="AD1082" s="222" t="str">
        <f t="shared" si="151"/>
        <v/>
      </c>
      <c r="AE1082" s="201"/>
      <c r="AF1082" s="231" t="str">
        <f>+IFERROR(VLOOKUP(L1082,Data!$F$4:$G$97,2,0),"")</f>
        <v/>
      </c>
    </row>
    <row r="1083" spans="9:32" ht="15" customHeight="1" x14ac:dyDescent="0.3">
      <c r="I1083" s="201" t="str">
        <f t="shared" si="144"/>
        <v/>
      </c>
      <c r="J1083" s="218">
        <f t="shared" si="145"/>
        <v>1080</v>
      </c>
      <c r="K1083" s="250"/>
      <c r="L1083" s="219"/>
      <c r="M1083" s="218"/>
      <c r="N1083" s="220" t="str">
        <f>IFERROR(VLOOKUP(M1083,Data!$C$4:$D$395,2,0),"")</f>
        <v/>
      </c>
      <c r="O1083" s="220"/>
      <c r="P1083" s="229"/>
      <c r="Q1083" s="221"/>
      <c r="R1083" s="222" t="str">
        <f t="shared" si="146"/>
        <v>-</v>
      </c>
      <c r="S1083" s="223"/>
      <c r="T1083" s="224"/>
      <c r="U1083" s="225">
        <f t="shared" si="147"/>
        <v>0</v>
      </c>
      <c r="V1083" s="226">
        <v>0</v>
      </c>
      <c r="W1083" s="227"/>
      <c r="X1083" s="228">
        <f t="shared" si="148"/>
        <v>0</v>
      </c>
      <c r="Y1083" s="229"/>
      <c r="Z1083" s="229"/>
      <c r="AA1083" s="229"/>
      <c r="AB1083" s="222">
        <f t="shared" si="149"/>
        <v>0</v>
      </c>
      <c r="AC1083" s="230">
        <f t="shared" si="150"/>
        <v>0</v>
      </c>
      <c r="AD1083" s="222" t="str">
        <f t="shared" si="151"/>
        <v/>
      </c>
      <c r="AE1083" s="201"/>
      <c r="AF1083" s="231" t="str">
        <f>+IFERROR(VLOOKUP(L1083,Data!$F$4:$G$97,2,0),"")</f>
        <v/>
      </c>
    </row>
    <row r="1084" spans="9:32" ht="15" customHeight="1" x14ac:dyDescent="0.3">
      <c r="I1084" s="201" t="str">
        <f t="shared" si="144"/>
        <v/>
      </c>
      <c r="J1084" s="218">
        <f t="shared" si="145"/>
        <v>1081</v>
      </c>
      <c r="K1084" s="250"/>
      <c r="L1084" s="219"/>
      <c r="M1084" s="218"/>
      <c r="N1084" s="220" t="str">
        <f>IFERROR(VLOOKUP(M1084,Data!$C$4:$D$395,2,0),"")</f>
        <v/>
      </c>
      <c r="O1084" s="220"/>
      <c r="P1084" s="229"/>
      <c r="Q1084" s="221"/>
      <c r="R1084" s="222" t="str">
        <f t="shared" si="146"/>
        <v>-</v>
      </c>
      <c r="S1084" s="223"/>
      <c r="T1084" s="224"/>
      <c r="U1084" s="225">
        <f t="shared" si="147"/>
        <v>0</v>
      </c>
      <c r="V1084" s="226">
        <v>0</v>
      </c>
      <c r="W1084" s="227"/>
      <c r="X1084" s="228">
        <f t="shared" si="148"/>
        <v>0</v>
      </c>
      <c r="Y1084" s="229"/>
      <c r="Z1084" s="229"/>
      <c r="AA1084" s="229"/>
      <c r="AB1084" s="222">
        <f t="shared" si="149"/>
        <v>0</v>
      </c>
      <c r="AC1084" s="230">
        <f t="shared" si="150"/>
        <v>0</v>
      </c>
      <c r="AD1084" s="222" t="str">
        <f t="shared" si="151"/>
        <v/>
      </c>
      <c r="AE1084" s="201"/>
      <c r="AF1084" s="231" t="str">
        <f>+IFERROR(VLOOKUP(L1084,Data!$F$4:$G$97,2,0),"")</f>
        <v/>
      </c>
    </row>
    <row r="1085" spans="9:32" ht="15" customHeight="1" x14ac:dyDescent="0.3">
      <c r="I1085" s="201" t="str">
        <f t="shared" ref="I1085:I1148" si="152">+AF1085</f>
        <v/>
      </c>
      <c r="J1085" s="218">
        <f t="shared" si="145"/>
        <v>1082</v>
      </c>
      <c r="K1085" s="250"/>
      <c r="L1085" s="219"/>
      <c r="M1085" s="218"/>
      <c r="N1085" s="220" t="str">
        <f>IFERROR(VLOOKUP(M1085,Data!$C$4:$D$395,2,0),"")</f>
        <v/>
      </c>
      <c r="O1085" s="220"/>
      <c r="P1085" s="229"/>
      <c r="Q1085" s="221"/>
      <c r="R1085" s="222" t="str">
        <f t="shared" si="146"/>
        <v>-</v>
      </c>
      <c r="S1085" s="223"/>
      <c r="T1085" s="224"/>
      <c r="U1085" s="225">
        <f t="shared" si="147"/>
        <v>0</v>
      </c>
      <c r="V1085" s="226">
        <v>0</v>
      </c>
      <c r="W1085" s="227"/>
      <c r="X1085" s="228">
        <f t="shared" si="148"/>
        <v>0</v>
      </c>
      <c r="Y1085" s="229"/>
      <c r="Z1085" s="229"/>
      <c r="AA1085" s="229"/>
      <c r="AB1085" s="222">
        <f t="shared" si="149"/>
        <v>0</v>
      </c>
      <c r="AC1085" s="230">
        <f t="shared" si="150"/>
        <v>0</v>
      </c>
      <c r="AD1085" s="222" t="str">
        <f t="shared" si="151"/>
        <v/>
      </c>
      <c r="AE1085" s="201"/>
      <c r="AF1085" s="231" t="str">
        <f>+IFERROR(VLOOKUP(L1085,Data!$F$4:$G$97,2,0),"")</f>
        <v/>
      </c>
    </row>
    <row r="1086" spans="9:32" ht="15" customHeight="1" x14ac:dyDescent="0.3">
      <c r="I1086" s="201" t="str">
        <f t="shared" si="152"/>
        <v/>
      </c>
      <c r="J1086" s="218">
        <f t="shared" ref="J1086:J1149" si="153">J1085+1</f>
        <v>1083</v>
      </c>
      <c r="K1086" s="250"/>
      <c r="L1086" s="219"/>
      <c r="M1086" s="218"/>
      <c r="N1086" s="220" t="str">
        <f>IFERROR(VLOOKUP(M1086,Data!$C$4:$D$395,2,0),"")</f>
        <v/>
      </c>
      <c r="O1086" s="220"/>
      <c r="P1086" s="229"/>
      <c r="Q1086" s="221"/>
      <c r="R1086" s="222" t="str">
        <f t="shared" si="146"/>
        <v>-</v>
      </c>
      <c r="S1086" s="223"/>
      <c r="T1086" s="224"/>
      <c r="U1086" s="225">
        <f t="shared" si="147"/>
        <v>0</v>
      </c>
      <c r="V1086" s="226">
        <v>0</v>
      </c>
      <c r="W1086" s="227"/>
      <c r="X1086" s="228">
        <f t="shared" si="148"/>
        <v>0</v>
      </c>
      <c r="Y1086" s="229"/>
      <c r="Z1086" s="229"/>
      <c r="AA1086" s="229"/>
      <c r="AB1086" s="222">
        <f t="shared" si="149"/>
        <v>0</v>
      </c>
      <c r="AC1086" s="230">
        <f t="shared" si="150"/>
        <v>0</v>
      </c>
      <c r="AD1086" s="222" t="str">
        <f t="shared" si="151"/>
        <v/>
      </c>
      <c r="AE1086" s="201"/>
      <c r="AF1086" s="231" t="str">
        <f>+IFERROR(VLOOKUP(L1086,Data!$F$4:$G$97,2,0),"")</f>
        <v/>
      </c>
    </row>
    <row r="1087" spans="9:32" ht="15" customHeight="1" x14ac:dyDescent="0.3">
      <c r="I1087" s="201" t="str">
        <f t="shared" si="152"/>
        <v/>
      </c>
      <c r="J1087" s="218">
        <f t="shared" si="153"/>
        <v>1084</v>
      </c>
      <c r="K1087" s="250"/>
      <c r="L1087" s="219"/>
      <c r="M1087" s="218"/>
      <c r="N1087" s="220" t="str">
        <f>IFERROR(VLOOKUP(M1087,Data!$C$4:$D$395,2,0),"")</f>
        <v/>
      </c>
      <c r="O1087" s="220"/>
      <c r="P1087" s="229"/>
      <c r="Q1087" s="221"/>
      <c r="R1087" s="222" t="str">
        <f t="shared" si="146"/>
        <v>-</v>
      </c>
      <c r="S1087" s="223"/>
      <c r="T1087" s="224"/>
      <c r="U1087" s="225">
        <f t="shared" si="147"/>
        <v>0</v>
      </c>
      <c r="V1087" s="226">
        <v>0</v>
      </c>
      <c r="W1087" s="227"/>
      <c r="X1087" s="228">
        <f t="shared" si="148"/>
        <v>0</v>
      </c>
      <c r="Y1087" s="229"/>
      <c r="Z1087" s="229"/>
      <c r="AA1087" s="229"/>
      <c r="AB1087" s="222">
        <f t="shared" si="149"/>
        <v>0</v>
      </c>
      <c r="AC1087" s="230">
        <f t="shared" si="150"/>
        <v>0</v>
      </c>
      <c r="AD1087" s="222" t="str">
        <f t="shared" si="151"/>
        <v/>
      </c>
      <c r="AE1087" s="201"/>
      <c r="AF1087" s="231" t="str">
        <f>+IFERROR(VLOOKUP(L1087,Data!$F$4:$G$97,2,0),"")</f>
        <v/>
      </c>
    </row>
    <row r="1088" spans="9:32" ht="15" customHeight="1" x14ac:dyDescent="0.3">
      <c r="I1088" s="201" t="str">
        <f t="shared" si="152"/>
        <v/>
      </c>
      <c r="J1088" s="218">
        <f t="shared" si="153"/>
        <v>1085</v>
      </c>
      <c r="K1088" s="250"/>
      <c r="L1088" s="219"/>
      <c r="M1088" s="218"/>
      <c r="N1088" s="220" t="str">
        <f>IFERROR(VLOOKUP(M1088,Data!$C$4:$D$395,2,0),"")</f>
        <v/>
      </c>
      <c r="O1088" s="220"/>
      <c r="P1088" s="229"/>
      <c r="Q1088" s="221"/>
      <c r="R1088" s="222" t="str">
        <f t="shared" ref="R1088:R1151" si="154">IFERROR(Q1088/P1088, "-")</f>
        <v>-</v>
      </c>
      <c r="S1088" s="223"/>
      <c r="T1088" s="224"/>
      <c r="U1088" s="225">
        <f t="shared" ref="U1088:U1151" si="155">+Q1088*S1088+P1088*T1088</f>
        <v>0</v>
      </c>
      <c r="V1088" s="226">
        <v>0</v>
      </c>
      <c r="W1088" s="227"/>
      <c r="X1088" s="228">
        <f t="shared" ref="X1088:X1151" si="156">+Q1088*V1088+P1088*W1088</f>
        <v>0</v>
      </c>
      <c r="Y1088" s="229"/>
      <c r="Z1088" s="229"/>
      <c r="AA1088" s="229"/>
      <c r="AB1088" s="222">
        <f t="shared" ref="AB1088:AB1151" si="157">+Y1088+Z1088+AA1088</f>
        <v>0</v>
      </c>
      <c r="AC1088" s="230">
        <f t="shared" ref="AC1088:AC1151" si="158">IF((U1088-Y1088-Z1088-AA1088)&lt;0,"",(U1088-Y1088-Z1088-AA1088))</f>
        <v>0</v>
      </c>
      <c r="AD1088" s="222" t="str">
        <f t="shared" ref="AD1088:AD1151" si="159">IF((U1088-Y1088-Z1088-AA1088)&lt;0,(Y1088+Z1088+AA1088-U1088),"")</f>
        <v/>
      </c>
      <c r="AE1088" s="201"/>
      <c r="AF1088" s="231" t="str">
        <f>+IFERROR(VLOOKUP(L1088,Data!$F$4:$G$97,2,0),"")</f>
        <v/>
      </c>
    </row>
    <row r="1089" spans="9:32" ht="15" customHeight="1" x14ac:dyDescent="0.3">
      <c r="I1089" s="201" t="str">
        <f t="shared" si="152"/>
        <v/>
      </c>
      <c r="J1089" s="218">
        <f t="shared" si="153"/>
        <v>1086</v>
      </c>
      <c r="K1089" s="250"/>
      <c r="L1089" s="219"/>
      <c r="M1089" s="218"/>
      <c r="N1089" s="220" t="str">
        <f>IFERROR(VLOOKUP(M1089,Data!$C$4:$D$395,2,0),"")</f>
        <v/>
      </c>
      <c r="O1089" s="220"/>
      <c r="P1089" s="229"/>
      <c r="Q1089" s="221"/>
      <c r="R1089" s="222" t="str">
        <f t="shared" si="154"/>
        <v>-</v>
      </c>
      <c r="S1089" s="223"/>
      <c r="T1089" s="224"/>
      <c r="U1089" s="225">
        <f t="shared" si="155"/>
        <v>0</v>
      </c>
      <c r="V1089" s="226">
        <v>0</v>
      </c>
      <c r="W1089" s="227"/>
      <c r="X1089" s="228">
        <f t="shared" si="156"/>
        <v>0</v>
      </c>
      <c r="Y1089" s="229"/>
      <c r="Z1089" s="229"/>
      <c r="AA1089" s="229"/>
      <c r="AB1089" s="222">
        <f t="shared" si="157"/>
        <v>0</v>
      </c>
      <c r="AC1089" s="230">
        <f t="shared" si="158"/>
        <v>0</v>
      </c>
      <c r="AD1089" s="222" t="str">
        <f t="shared" si="159"/>
        <v/>
      </c>
      <c r="AE1089" s="201"/>
      <c r="AF1089" s="231" t="str">
        <f>+IFERROR(VLOOKUP(L1089,Data!$F$4:$G$97,2,0),"")</f>
        <v/>
      </c>
    </row>
    <row r="1090" spans="9:32" ht="15" customHeight="1" x14ac:dyDescent="0.3">
      <c r="I1090" s="201" t="str">
        <f t="shared" si="152"/>
        <v/>
      </c>
      <c r="J1090" s="218">
        <f t="shared" si="153"/>
        <v>1087</v>
      </c>
      <c r="K1090" s="250"/>
      <c r="L1090" s="219"/>
      <c r="M1090" s="218"/>
      <c r="N1090" s="220" t="str">
        <f>IFERROR(VLOOKUP(M1090,Data!$C$4:$D$395,2,0),"")</f>
        <v/>
      </c>
      <c r="O1090" s="220"/>
      <c r="P1090" s="229"/>
      <c r="Q1090" s="221"/>
      <c r="R1090" s="222" t="str">
        <f t="shared" si="154"/>
        <v>-</v>
      </c>
      <c r="S1090" s="223"/>
      <c r="T1090" s="224"/>
      <c r="U1090" s="225">
        <f t="shared" si="155"/>
        <v>0</v>
      </c>
      <c r="V1090" s="226">
        <v>0</v>
      </c>
      <c r="W1090" s="227"/>
      <c r="X1090" s="228">
        <f t="shared" si="156"/>
        <v>0</v>
      </c>
      <c r="Y1090" s="229"/>
      <c r="Z1090" s="229"/>
      <c r="AA1090" s="229"/>
      <c r="AB1090" s="222">
        <f t="shared" si="157"/>
        <v>0</v>
      </c>
      <c r="AC1090" s="230">
        <f t="shared" si="158"/>
        <v>0</v>
      </c>
      <c r="AD1090" s="222" t="str">
        <f t="shared" si="159"/>
        <v/>
      </c>
      <c r="AE1090" s="201"/>
      <c r="AF1090" s="231" t="str">
        <f>+IFERROR(VLOOKUP(L1090,Data!$F$4:$G$97,2,0),"")</f>
        <v/>
      </c>
    </row>
    <row r="1091" spans="9:32" ht="15" customHeight="1" x14ac:dyDescent="0.3">
      <c r="I1091" s="201" t="str">
        <f t="shared" si="152"/>
        <v/>
      </c>
      <c r="J1091" s="218">
        <f t="shared" si="153"/>
        <v>1088</v>
      </c>
      <c r="K1091" s="250"/>
      <c r="L1091" s="219"/>
      <c r="M1091" s="218"/>
      <c r="N1091" s="220" t="str">
        <f>IFERROR(VLOOKUP(M1091,Data!$C$4:$D$395,2,0),"")</f>
        <v/>
      </c>
      <c r="O1091" s="220"/>
      <c r="P1091" s="229"/>
      <c r="Q1091" s="221"/>
      <c r="R1091" s="222" t="str">
        <f t="shared" si="154"/>
        <v>-</v>
      </c>
      <c r="S1091" s="223"/>
      <c r="T1091" s="224"/>
      <c r="U1091" s="225">
        <f t="shared" si="155"/>
        <v>0</v>
      </c>
      <c r="V1091" s="226">
        <v>0</v>
      </c>
      <c r="W1091" s="227"/>
      <c r="X1091" s="228">
        <f t="shared" si="156"/>
        <v>0</v>
      </c>
      <c r="Y1091" s="229"/>
      <c r="Z1091" s="229"/>
      <c r="AA1091" s="229"/>
      <c r="AB1091" s="222">
        <f t="shared" si="157"/>
        <v>0</v>
      </c>
      <c r="AC1091" s="230">
        <f t="shared" si="158"/>
        <v>0</v>
      </c>
      <c r="AD1091" s="222" t="str">
        <f t="shared" si="159"/>
        <v/>
      </c>
      <c r="AE1091" s="201"/>
      <c r="AF1091" s="231" t="str">
        <f>+IFERROR(VLOOKUP(L1091,Data!$F$4:$G$97,2,0),"")</f>
        <v/>
      </c>
    </row>
    <row r="1092" spans="9:32" ht="15" customHeight="1" x14ac:dyDescent="0.3">
      <c r="I1092" s="201" t="str">
        <f t="shared" si="152"/>
        <v/>
      </c>
      <c r="J1092" s="218">
        <f t="shared" si="153"/>
        <v>1089</v>
      </c>
      <c r="K1092" s="250"/>
      <c r="L1092" s="219"/>
      <c r="M1092" s="218"/>
      <c r="N1092" s="220" t="str">
        <f>IFERROR(VLOOKUP(M1092,Data!$C$4:$D$395,2,0),"")</f>
        <v/>
      </c>
      <c r="O1092" s="220"/>
      <c r="P1092" s="229"/>
      <c r="Q1092" s="221"/>
      <c r="R1092" s="222" t="str">
        <f t="shared" si="154"/>
        <v>-</v>
      </c>
      <c r="S1092" s="223"/>
      <c r="T1092" s="224"/>
      <c r="U1092" s="225">
        <f t="shared" si="155"/>
        <v>0</v>
      </c>
      <c r="V1092" s="226">
        <v>0</v>
      </c>
      <c r="W1092" s="227"/>
      <c r="X1092" s="228">
        <f t="shared" si="156"/>
        <v>0</v>
      </c>
      <c r="Y1092" s="229"/>
      <c r="Z1092" s="229"/>
      <c r="AA1092" s="229"/>
      <c r="AB1092" s="222">
        <f t="shared" si="157"/>
        <v>0</v>
      </c>
      <c r="AC1092" s="230">
        <f t="shared" si="158"/>
        <v>0</v>
      </c>
      <c r="AD1092" s="222" t="str">
        <f t="shared" si="159"/>
        <v/>
      </c>
      <c r="AE1092" s="201"/>
      <c r="AF1092" s="231" t="str">
        <f>+IFERROR(VLOOKUP(L1092,Data!$F$4:$G$97,2,0),"")</f>
        <v/>
      </c>
    </row>
    <row r="1093" spans="9:32" ht="15" customHeight="1" x14ac:dyDescent="0.3">
      <c r="I1093" s="201" t="str">
        <f t="shared" si="152"/>
        <v/>
      </c>
      <c r="J1093" s="218">
        <f t="shared" si="153"/>
        <v>1090</v>
      </c>
      <c r="K1093" s="250"/>
      <c r="L1093" s="219"/>
      <c r="M1093" s="218"/>
      <c r="N1093" s="220" t="str">
        <f>IFERROR(VLOOKUP(M1093,Data!$C$4:$D$395,2,0),"")</f>
        <v/>
      </c>
      <c r="O1093" s="220"/>
      <c r="P1093" s="229"/>
      <c r="Q1093" s="221"/>
      <c r="R1093" s="222" t="str">
        <f t="shared" si="154"/>
        <v>-</v>
      </c>
      <c r="S1093" s="223"/>
      <c r="T1093" s="224"/>
      <c r="U1093" s="225">
        <f t="shared" si="155"/>
        <v>0</v>
      </c>
      <c r="V1093" s="226">
        <v>0</v>
      </c>
      <c r="W1093" s="227"/>
      <c r="X1093" s="228">
        <f t="shared" si="156"/>
        <v>0</v>
      </c>
      <c r="Y1093" s="229"/>
      <c r="Z1093" s="229"/>
      <c r="AA1093" s="229"/>
      <c r="AB1093" s="222">
        <f t="shared" si="157"/>
        <v>0</v>
      </c>
      <c r="AC1093" s="230">
        <f t="shared" si="158"/>
        <v>0</v>
      </c>
      <c r="AD1093" s="222" t="str">
        <f t="shared" si="159"/>
        <v/>
      </c>
      <c r="AE1093" s="201"/>
      <c r="AF1093" s="231" t="str">
        <f>+IFERROR(VLOOKUP(L1093,Data!$F$4:$G$97,2,0),"")</f>
        <v/>
      </c>
    </row>
    <row r="1094" spans="9:32" ht="15" customHeight="1" x14ac:dyDescent="0.3">
      <c r="I1094" s="201" t="str">
        <f t="shared" si="152"/>
        <v/>
      </c>
      <c r="J1094" s="218">
        <f t="shared" si="153"/>
        <v>1091</v>
      </c>
      <c r="K1094" s="250"/>
      <c r="L1094" s="219"/>
      <c r="M1094" s="218"/>
      <c r="N1094" s="220" t="str">
        <f>IFERROR(VLOOKUP(M1094,Data!$C$4:$D$395,2,0),"")</f>
        <v/>
      </c>
      <c r="O1094" s="220"/>
      <c r="P1094" s="229"/>
      <c r="Q1094" s="221"/>
      <c r="R1094" s="222" t="str">
        <f t="shared" si="154"/>
        <v>-</v>
      </c>
      <c r="S1094" s="223"/>
      <c r="T1094" s="224"/>
      <c r="U1094" s="225">
        <f t="shared" si="155"/>
        <v>0</v>
      </c>
      <c r="V1094" s="226">
        <v>0</v>
      </c>
      <c r="W1094" s="227"/>
      <c r="X1094" s="228">
        <f t="shared" si="156"/>
        <v>0</v>
      </c>
      <c r="Y1094" s="229"/>
      <c r="Z1094" s="229"/>
      <c r="AA1094" s="229"/>
      <c r="AB1094" s="222">
        <f t="shared" si="157"/>
        <v>0</v>
      </c>
      <c r="AC1094" s="230">
        <f t="shared" si="158"/>
        <v>0</v>
      </c>
      <c r="AD1094" s="222" t="str">
        <f t="shared" si="159"/>
        <v/>
      </c>
      <c r="AE1094" s="201"/>
      <c r="AF1094" s="231" t="str">
        <f>+IFERROR(VLOOKUP(L1094,Data!$F$4:$G$97,2,0),"")</f>
        <v/>
      </c>
    </row>
    <row r="1095" spans="9:32" ht="15" customHeight="1" x14ac:dyDescent="0.3">
      <c r="I1095" s="201" t="str">
        <f t="shared" si="152"/>
        <v/>
      </c>
      <c r="J1095" s="218">
        <f t="shared" si="153"/>
        <v>1092</v>
      </c>
      <c r="K1095" s="250"/>
      <c r="L1095" s="219"/>
      <c r="M1095" s="218"/>
      <c r="N1095" s="220" t="str">
        <f>IFERROR(VLOOKUP(M1095,Data!$C$4:$D$395,2,0),"")</f>
        <v/>
      </c>
      <c r="O1095" s="220"/>
      <c r="P1095" s="229"/>
      <c r="Q1095" s="221"/>
      <c r="R1095" s="222" t="str">
        <f t="shared" si="154"/>
        <v>-</v>
      </c>
      <c r="S1095" s="223"/>
      <c r="T1095" s="224"/>
      <c r="U1095" s="225">
        <f t="shared" si="155"/>
        <v>0</v>
      </c>
      <c r="V1095" s="226">
        <v>0</v>
      </c>
      <c r="W1095" s="227"/>
      <c r="X1095" s="228">
        <f t="shared" si="156"/>
        <v>0</v>
      </c>
      <c r="Y1095" s="229"/>
      <c r="Z1095" s="229"/>
      <c r="AA1095" s="229"/>
      <c r="AB1095" s="222">
        <f t="shared" si="157"/>
        <v>0</v>
      </c>
      <c r="AC1095" s="230">
        <f t="shared" si="158"/>
        <v>0</v>
      </c>
      <c r="AD1095" s="222" t="str">
        <f t="shared" si="159"/>
        <v/>
      </c>
      <c r="AE1095" s="201"/>
      <c r="AF1095" s="231" t="str">
        <f>+IFERROR(VLOOKUP(L1095,Data!$F$4:$G$97,2,0),"")</f>
        <v/>
      </c>
    </row>
    <row r="1096" spans="9:32" ht="15" customHeight="1" x14ac:dyDescent="0.3">
      <c r="I1096" s="201" t="str">
        <f t="shared" si="152"/>
        <v/>
      </c>
      <c r="J1096" s="218">
        <f t="shared" si="153"/>
        <v>1093</v>
      </c>
      <c r="K1096" s="250"/>
      <c r="L1096" s="219"/>
      <c r="M1096" s="218"/>
      <c r="N1096" s="220" t="str">
        <f>IFERROR(VLOOKUP(M1096,Data!$C$4:$D$395,2,0),"")</f>
        <v/>
      </c>
      <c r="O1096" s="220"/>
      <c r="P1096" s="229"/>
      <c r="Q1096" s="221"/>
      <c r="R1096" s="222" t="str">
        <f t="shared" si="154"/>
        <v>-</v>
      </c>
      <c r="S1096" s="223"/>
      <c r="T1096" s="224"/>
      <c r="U1096" s="225">
        <f t="shared" si="155"/>
        <v>0</v>
      </c>
      <c r="V1096" s="226">
        <v>0</v>
      </c>
      <c r="W1096" s="227"/>
      <c r="X1096" s="228">
        <f t="shared" si="156"/>
        <v>0</v>
      </c>
      <c r="Y1096" s="229"/>
      <c r="Z1096" s="229"/>
      <c r="AA1096" s="229"/>
      <c r="AB1096" s="222">
        <f t="shared" si="157"/>
        <v>0</v>
      </c>
      <c r="AC1096" s="230">
        <f t="shared" si="158"/>
        <v>0</v>
      </c>
      <c r="AD1096" s="222" t="str">
        <f t="shared" si="159"/>
        <v/>
      </c>
      <c r="AE1096" s="201"/>
      <c r="AF1096" s="231" t="str">
        <f>+IFERROR(VLOOKUP(L1096,Data!$F$4:$G$97,2,0),"")</f>
        <v/>
      </c>
    </row>
    <row r="1097" spans="9:32" ht="15" customHeight="1" x14ac:dyDescent="0.3">
      <c r="I1097" s="201" t="str">
        <f t="shared" si="152"/>
        <v/>
      </c>
      <c r="J1097" s="218">
        <f t="shared" si="153"/>
        <v>1094</v>
      </c>
      <c r="K1097" s="250"/>
      <c r="L1097" s="219"/>
      <c r="M1097" s="218"/>
      <c r="N1097" s="220" t="str">
        <f>IFERROR(VLOOKUP(M1097,Data!$C$4:$D$395,2,0),"")</f>
        <v/>
      </c>
      <c r="O1097" s="220"/>
      <c r="P1097" s="229"/>
      <c r="Q1097" s="221"/>
      <c r="R1097" s="222" t="str">
        <f t="shared" si="154"/>
        <v>-</v>
      </c>
      <c r="S1097" s="223"/>
      <c r="T1097" s="224"/>
      <c r="U1097" s="225">
        <f t="shared" si="155"/>
        <v>0</v>
      </c>
      <c r="V1097" s="226">
        <v>0</v>
      </c>
      <c r="W1097" s="227"/>
      <c r="X1097" s="228">
        <f t="shared" si="156"/>
        <v>0</v>
      </c>
      <c r="Y1097" s="229"/>
      <c r="Z1097" s="229"/>
      <c r="AA1097" s="229"/>
      <c r="AB1097" s="222">
        <f t="shared" si="157"/>
        <v>0</v>
      </c>
      <c r="AC1097" s="230">
        <f t="shared" si="158"/>
        <v>0</v>
      </c>
      <c r="AD1097" s="222" t="str">
        <f t="shared" si="159"/>
        <v/>
      </c>
      <c r="AE1097" s="201"/>
      <c r="AF1097" s="231" t="str">
        <f>+IFERROR(VLOOKUP(L1097,Data!$F$4:$G$97,2,0),"")</f>
        <v/>
      </c>
    </row>
    <row r="1098" spans="9:32" ht="15" customHeight="1" x14ac:dyDescent="0.3">
      <c r="I1098" s="201" t="str">
        <f t="shared" si="152"/>
        <v/>
      </c>
      <c r="J1098" s="218">
        <f t="shared" si="153"/>
        <v>1095</v>
      </c>
      <c r="K1098" s="250"/>
      <c r="L1098" s="219"/>
      <c r="M1098" s="218"/>
      <c r="N1098" s="220" t="str">
        <f>IFERROR(VLOOKUP(M1098,Data!$C$4:$D$395,2,0),"")</f>
        <v/>
      </c>
      <c r="O1098" s="220"/>
      <c r="P1098" s="229"/>
      <c r="Q1098" s="221"/>
      <c r="R1098" s="222" t="str">
        <f t="shared" si="154"/>
        <v>-</v>
      </c>
      <c r="S1098" s="223"/>
      <c r="T1098" s="224"/>
      <c r="U1098" s="225">
        <f t="shared" si="155"/>
        <v>0</v>
      </c>
      <c r="V1098" s="226">
        <v>0</v>
      </c>
      <c r="W1098" s="227"/>
      <c r="X1098" s="228">
        <f t="shared" si="156"/>
        <v>0</v>
      </c>
      <c r="Y1098" s="229"/>
      <c r="Z1098" s="229"/>
      <c r="AA1098" s="229"/>
      <c r="AB1098" s="222">
        <f t="shared" si="157"/>
        <v>0</v>
      </c>
      <c r="AC1098" s="230">
        <f t="shared" si="158"/>
        <v>0</v>
      </c>
      <c r="AD1098" s="222" t="str">
        <f t="shared" si="159"/>
        <v/>
      </c>
      <c r="AE1098" s="201"/>
      <c r="AF1098" s="231" t="str">
        <f>+IFERROR(VLOOKUP(L1098,Data!$F$4:$G$97,2,0),"")</f>
        <v/>
      </c>
    </row>
    <row r="1099" spans="9:32" ht="15" customHeight="1" x14ac:dyDescent="0.3">
      <c r="I1099" s="201" t="str">
        <f t="shared" si="152"/>
        <v/>
      </c>
      <c r="J1099" s="218">
        <f t="shared" si="153"/>
        <v>1096</v>
      </c>
      <c r="K1099" s="250"/>
      <c r="L1099" s="219"/>
      <c r="M1099" s="218"/>
      <c r="N1099" s="220" t="str">
        <f>IFERROR(VLOOKUP(M1099,Data!$C$4:$D$395,2,0),"")</f>
        <v/>
      </c>
      <c r="O1099" s="220"/>
      <c r="P1099" s="229"/>
      <c r="Q1099" s="221"/>
      <c r="R1099" s="222" t="str">
        <f t="shared" si="154"/>
        <v>-</v>
      </c>
      <c r="S1099" s="223"/>
      <c r="T1099" s="224"/>
      <c r="U1099" s="225">
        <f t="shared" si="155"/>
        <v>0</v>
      </c>
      <c r="V1099" s="226">
        <v>0</v>
      </c>
      <c r="W1099" s="227"/>
      <c r="X1099" s="228">
        <f t="shared" si="156"/>
        <v>0</v>
      </c>
      <c r="Y1099" s="229"/>
      <c r="Z1099" s="229"/>
      <c r="AA1099" s="229"/>
      <c r="AB1099" s="222">
        <f t="shared" si="157"/>
        <v>0</v>
      </c>
      <c r="AC1099" s="230">
        <f t="shared" si="158"/>
        <v>0</v>
      </c>
      <c r="AD1099" s="222" t="str">
        <f t="shared" si="159"/>
        <v/>
      </c>
      <c r="AE1099" s="201"/>
      <c r="AF1099" s="231" t="str">
        <f>+IFERROR(VLOOKUP(L1099,Data!$F$4:$G$97,2,0),"")</f>
        <v/>
      </c>
    </row>
    <row r="1100" spans="9:32" ht="15" customHeight="1" x14ac:dyDescent="0.3">
      <c r="I1100" s="201" t="str">
        <f t="shared" si="152"/>
        <v/>
      </c>
      <c r="J1100" s="218">
        <f t="shared" si="153"/>
        <v>1097</v>
      </c>
      <c r="K1100" s="250"/>
      <c r="L1100" s="219"/>
      <c r="M1100" s="218"/>
      <c r="N1100" s="220" t="str">
        <f>IFERROR(VLOOKUP(M1100,Data!$C$4:$D$395,2,0),"")</f>
        <v/>
      </c>
      <c r="O1100" s="220"/>
      <c r="P1100" s="229"/>
      <c r="Q1100" s="221"/>
      <c r="R1100" s="222" t="str">
        <f t="shared" si="154"/>
        <v>-</v>
      </c>
      <c r="S1100" s="223"/>
      <c r="T1100" s="224"/>
      <c r="U1100" s="225">
        <f t="shared" si="155"/>
        <v>0</v>
      </c>
      <c r="V1100" s="226">
        <v>0</v>
      </c>
      <c r="W1100" s="227"/>
      <c r="X1100" s="228">
        <f t="shared" si="156"/>
        <v>0</v>
      </c>
      <c r="Y1100" s="229"/>
      <c r="Z1100" s="229"/>
      <c r="AA1100" s="229"/>
      <c r="AB1100" s="222">
        <f t="shared" si="157"/>
        <v>0</v>
      </c>
      <c r="AC1100" s="230">
        <f t="shared" si="158"/>
        <v>0</v>
      </c>
      <c r="AD1100" s="222" t="str">
        <f t="shared" si="159"/>
        <v/>
      </c>
      <c r="AE1100" s="201"/>
      <c r="AF1100" s="231" t="str">
        <f>+IFERROR(VLOOKUP(L1100,Data!$F$4:$G$97,2,0),"")</f>
        <v/>
      </c>
    </row>
    <row r="1101" spans="9:32" ht="15" customHeight="1" x14ac:dyDescent="0.3">
      <c r="I1101" s="201" t="str">
        <f t="shared" si="152"/>
        <v/>
      </c>
      <c r="J1101" s="218">
        <f t="shared" si="153"/>
        <v>1098</v>
      </c>
      <c r="K1101" s="250"/>
      <c r="L1101" s="219"/>
      <c r="M1101" s="218"/>
      <c r="N1101" s="220" t="str">
        <f>IFERROR(VLOOKUP(M1101,Data!$C$4:$D$395,2,0),"")</f>
        <v/>
      </c>
      <c r="O1101" s="220"/>
      <c r="P1101" s="229"/>
      <c r="Q1101" s="221"/>
      <c r="R1101" s="222" t="str">
        <f t="shared" si="154"/>
        <v>-</v>
      </c>
      <c r="S1101" s="223"/>
      <c r="T1101" s="224"/>
      <c r="U1101" s="225">
        <f t="shared" si="155"/>
        <v>0</v>
      </c>
      <c r="V1101" s="226">
        <v>0</v>
      </c>
      <c r="W1101" s="227"/>
      <c r="X1101" s="228">
        <f t="shared" si="156"/>
        <v>0</v>
      </c>
      <c r="Y1101" s="229"/>
      <c r="Z1101" s="229"/>
      <c r="AA1101" s="229"/>
      <c r="AB1101" s="222">
        <f t="shared" si="157"/>
        <v>0</v>
      </c>
      <c r="AC1101" s="230">
        <f t="shared" si="158"/>
        <v>0</v>
      </c>
      <c r="AD1101" s="222" t="str">
        <f t="shared" si="159"/>
        <v/>
      </c>
      <c r="AE1101" s="201"/>
      <c r="AF1101" s="231" t="str">
        <f>+IFERROR(VLOOKUP(L1101,Data!$F$4:$G$97,2,0),"")</f>
        <v/>
      </c>
    </row>
    <row r="1102" spans="9:32" ht="15" customHeight="1" x14ac:dyDescent="0.3">
      <c r="I1102" s="201" t="str">
        <f t="shared" si="152"/>
        <v/>
      </c>
      <c r="J1102" s="218">
        <f t="shared" si="153"/>
        <v>1099</v>
      </c>
      <c r="K1102" s="250"/>
      <c r="L1102" s="219"/>
      <c r="M1102" s="218"/>
      <c r="N1102" s="220" t="str">
        <f>IFERROR(VLOOKUP(M1102,Data!$C$4:$D$395,2,0),"")</f>
        <v/>
      </c>
      <c r="O1102" s="220"/>
      <c r="P1102" s="229"/>
      <c r="Q1102" s="221"/>
      <c r="R1102" s="222" t="str">
        <f t="shared" si="154"/>
        <v>-</v>
      </c>
      <c r="S1102" s="223"/>
      <c r="T1102" s="224"/>
      <c r="U1102" s="225">
        <f t="shared" si="155"/>
        <v>0</v>
      </c>
      <c r="V1102" s="226">
        <v>0</v>
      </c>
      <c r="W1102" s="227"/>
      <c r="X1102" s="228">
        <f t="shared" si="156"/>
        <v>0</v>
      </c>
      <c r="Y1102" s="229"/>
      <c r="Z1102" s="229"/>
      <c r="AA1102" s="229"/>
      <c r="AB1102" s="222">
        <f t="shared" si="157"/>
        <v>0</v>
      </c>
      <c r="AC1102" s="230">
        <f t="shared" si="158"/>
        <v>0</v>
      </c>
      <c r="AD1102" s="222" t="str">
        <f t="shared" si="159"/>
        <v/>
      </c>
      <c r="AE1102" s="201"/>
      <c r="AF1102" s="231" t="str">
        <f>+IFERROR(VLOOKUP(L1102,Data!$F$4:$G$97,2,0),"")</f>
        <v/>
      </c>
    </row>
    <row r="1103" spans="9:32" ht="15" customHeight="1" x14ac:dyDescent="0.3">
      <c r="I1103" s="201" t="str">
        <f t="shared" si="152"/>
        <v/>
      </c>
      <c r="J1103" s="218">
        <f t="shared" si="153"/>
        <v>1100</v>
      </c>
      <c r="K1103" s="250"/>
      <c r="L1103" s="219"/>
      <c r="M1103" s="218"/>
      <c r="N1103" s="220" t="str">
        <f>IFERROR(VLOOKUP(M1103,Data!$C$4:$D$395,2,0),"")</f>
        <v/>
      </c>
      <c r="O1103" s="220"/>
      <c r="P1103" s="229"/>
      <c r="Q1103" s="221"/>
      <c r="R1103" s="222" t="str">
        <f t="shared" si="154"/>
        <v>-</v>
      </c>
      <c r="S1103" s="223"/>
      <c r="T1103" s="224"/>
      <c r="U1103" s="225">
        <f t="shared" si="155"/>
        <v>0</v>
      </c>
      <c r="V1103" s="226">
        <v>0</v>
      </c>
      <c r="W1103" s="227"/>
      <c r="X1103" s="228">
        <f t="shared" si="156"/>
        <v>0</v>
      </c>
      <c r="Y1103" s="229"/>
      <c r="Z1103" s="229"/>
      <c r="AA1103" s="229"/>
      <c r="AB1103" s="222">
        <f t="shared" si="157"/>
        <v>0</v>
      </c>
      <c r="AC1103" s="230">
        <f t="shared" si="158"/>
        <v>0</v>
      </c>
      <c r="AD1103" s="222" t="str">
        <f t="shared" si="159"/>
        <v/>
      </c>
      <c r="AE1103" s="201"/>
      <c r="AF1103" s="231" t="str">
        <f>+IFERROR(VLOOKUP(L1103,Data!$F$4:$G$97,2,0),"")</f>
        <v/>
      </c>
    </row>
    <row r="1104" spans="9:32" ht="15" customHeight="1" x14ac:dyDescent="0.3">
      <c r="I1104" s="201" t="str">
        <f t="shared" si="152"/>
        <v/>
      </c>
      <c r="J1104" s="218">
        <f t="shared" si="153"/>
        <v>1101</v>
      </c>
      <c r="K1104" s="250"/>
      <c r="L1104" s="219"/>
      <c r="M1104" s="218"/>
      <c r="N1104" s="220" t="str">
        <f>IFERROR(VLOOKUP(M1104,Data!$C$4:$D$395,2,0),"")</f>
        <v/>
      </c>
      <c r="O1104" s="220"/>
      <c r="P1104" s="229"/>
      <c r="Q1104" s="221"/>
      <c r="R1104" s="222" t="str">
        <f t="shared" si="154"/>
        <v>-</v>
      </c>
      <c r="S1104" s="223"/>
      <c r="T1104" s="224"/>
      <c r="U1104" s="225">
        <f t="shared" si="155"/>
        <v>0</v>
      </c>
      <c r="V1104" s="226">
        <v>0</v>
      </c>
      <c r="W1104" s="227"/>
      <c r="X1104" s="228">
        <f t="shared" si="156"/>
        <v>0</v>
      </c>
      <c r="Y1104" s="229"/>
      <c r="Z1104" s="229"/>
      <c r="AA1104" s="229"/>
      <c r="AB1104" s="222">
        <f t="shared" si="157"/>
        <v>0</v>
      </c>
      <c r="AC1104" s="230">
        <f t="shared" si="158"/>
        <v>0</v>
      </c>
      <c r="AD1104" s="222" t="str">
        <f t="shared" si="159"/>
        <v/>
      </c>
      <c r="AE1104" s="201"/>
      <c r="AF1104" s="231" t="str">
        <f>+IFERROR(VLOOKUP(L1104,Data!$F$4:$G$97,2,0),"")</f>
        <v/>
      </c>
    </row>
    <row r="1105" spans="9:32" ht="15" customHeight="1" x14ac:dyDescent="0.3">
      <c r="I1105" s="201" t="str">
        <f t="shared" si="152"/>
        <v/>
      </c>
      <c r="J1105" s="218">
        <f t="shared" si="153"/>
        <v>1102</v>
      </c>
      <c r="K1105" s="250"/>
      <c r="L1105" s="219"/>
      <c r="M1105" s="218"/>
      <c r="N1105" s="220" t="str">
        <f>IFERROR(VLOOKUP(M1105,Data!$C$4:$D$395,2,0),"")</f>
        <v/>
      </c>
      <c r="O1105" s="220"/>
      <c r="P1105" s="229"/>
      <c r="Q1105" s="221"/>
      <c r="R1105" s="222" t="str">
        <f t="shared" si="154"/>
        <v>-</v>
      </c>
      <c r="S1105" s="223"/>
      <c r="T1105" s="224"/>
      <c r="U1105" s="225">
        <f t="shared" si="155"/>
        <v>0</v>
      </c>
      <c r="V1105" s="226">
        <v>0</v>
      </c>
      <c r="W1105" s="227"/>
      <c r="X1105" s="228">
        <f t="shared" si="156"/>
        <v>0</v>
      </c>
      <c r="Y1105" s="229"/>
      <c r="Z1105" s="229"/>
      <c r="AA1105" s="229"/>
      <c r="AB1105" s="222">
        <f t="shared" si="157"/>
        <v>0</v>
      </c>
      <c r="AC1105" s="230">
        <f t="shared" si="158"/>
        <v>0</v>
      </c>
      <c r="AD1105" s="222" t="str">
        <f t="shared" si="159"/>
        <v/>
      </c>
      <c r="AE1105" s="201"/>
      <c r="AF1105" s="231" t="str">
        <f>+IFERROR(VLOOKUP(L1105,Data!$F$4:$G$97,2,0),"")</f>
        <v/>
      </c>
    </row>
    <row r="1106" spans="9:32" ht="15" customHeight="1" x14ac:dyDescent="0.3">
      <c r="I1106" s="201" t="str">
        <f t="shared" si="152"/>
        <v/>
      </c>
      <c r="J1106" s="218">
        <f t="shared" si="153"/>
        <v>1103</v>
      </c>
      <c r="K1106" s="250"/>
      <c r="L1106" s="219"/>
      <c r="M1106" s="218"/>
      <c r="N1106" s="220" t="str">
        <f>IFERROR(VLOOKUP(M1106,Data!$C$4:$D$395,2,0),"")</f>
        <v/>
      </c>
      <c r="O1106" s="220"/>
      <c r="P1106" s="229"/>
      <c r="Q1106" s="221"/>
      <c r="R1106" s="222" t="str">
        <f t="shared" si="154"/>
        <v>-</v>
      </c>
      <c r="S1106" s="223"/>
      <c r="T1106" s="224"/>
      <c r="U1106" s="225">
        <f t="shared" si="155"/>
        <v>0</v>
      </c>
      <c r="V1106" s="226">
        <v>0</v>
      </c>
      <c r="W1106" s="227"/>
      <c r="X1106" s="228">
        <f t="shared" si="156"/>
        <v>0</v>
      </c>
      <c r="Y1106" s="229"/>
      <c r="Z1106" s="229"/>
      <c r="AA1106" s="229"/>
      <c r="AB1106" s="222">
        <f t="shared" si="157"/>
        <v>0</v>
      </c>
      <c r="AC1106" s="230">
        <f t="shared" si="158"/>
        <v>0</v>
      </c>
      <c r="AD1106" s="222" t="str">
        <f t="shared" si="159"/>
        <v/>
      </c>
      <c r="AE1106" s="201"/>
      <c r="AF1106" s="231" t="str">
        <f>+IFERROR(VLOOKUP(L1106,Data!$F$4:$G$97,2,0),"")</f>
        <v/>
      </c>
    </row>
    <row r="1107" spans="9:32" ht="15" customHeight="1" x14ac:dyDescent="0.3">
      <c r="I1107" s="201" t="str">
        <f t="shared" si="152"/>
        <v/>
      </c>
      <c r="J1107" s="218">
        <f t="shared" si="153"/>
        <v>1104</v>
      </c>
      <c r="K1107" s="250"/>
      <c r="L1107" s="219"/>
      <c r="M1107" s="218"/>
      <c r="N1107" s="220" t="str">
        <f>IFERROR(VLOOKUP(M1107,Data!$C$4:$D$395,2,0),"")</f>
        <v/>
      </c>
      <c r="O1107" s="220"/>
      <c r="P1107" s="229"/>
      <c r="Q1107" s="221"/>
      <c r="R1107" s="222" t="str">
        <f t="shared" si="154"/>
        <v>-</v>
      </c>
      <c r="S1107" s="223"/>
      <c r="T1107" s="224"/>
      <c r="U1107" s="225">
        <f t="shared" si="155"/>
        <v>0</v>
      </c>
      <c r="V1107" s="226">
        <v>0</v>
      </c>
      <c r="W1107" s="227"/>
      <c r="X1107" s="228">
        <f t="shared" si="156"/>
        <v>0</v>
      </c>
      <c r="Y1107" s="229"/>
      <c r="Z1107" s="229"/>
      <c r="AA1107" s="229"/>
      <c r="AB1107" s="222">
        <f t="shared" si="157"/>
        <v>0</v>
      </c>
      <c r="AC1107" s="230">
        <f t="shared" si="158"/>
        <v>0</v>
      </c>
      <c r="AD1107" s="222" t="str">
        <f t="shared" si="159"/>
        <v/>
      </c>
      <c r="AE1107" s="201"/>
      <c r="AF1107" s="231" t="str">
        <f>+IFERROR(VLOOKUP(L1107,Data!$F$4:$G$97,2,0),"")</f>
        <v/>
      </c>
    </row>
    <row r="1108" spans="9:32" ht="15" customHeight="1" x14ac:dyDescent="0.3">
      <c r="I1108" s="201" t="str">
        <f t="shared" si="152"/>
        <v/>
      </c>
      <c r="J1108" s="218">
        <f t="shared" si="153"/>
        <v>1105</v>
      </c>
      <c r="K1108" s="250"/>
      <c r="L1108" s="219"/>
      <c r="M1108" s="218"/>
      <c r="N1108" s="220" t="str">
        <f>IFERROR(VLOOKUP(M1108,Data!$C$4:$D$395,2,0),"")</f>
        <v/>
      </c>
      <c r="O1108" s="220"/>
      <c r="P1108" s="229"/>
      <c r="Q1108" s="221"/>
      <c r="R1108" s="222" t="str">
        <f t="shared" si="154"/>
        <v>-</v>
      </c>
      <c r="S1108" s="223"/>
      <c r="T1108" s="224"/>
      <c r="U1108" s="225">
        <f t="shared" si="155"/>
        <v>0</v>
      </c>
      <c r="V1108" s="226">
        <v>0</v>
      </c>
      <c r="W1108" s="227"/>
      <c r="X1108" s="228">
        <f t="shared" si="156"/>
        <v>0</v>
      </c>
      <c r="Y1108" s="229"/>
      <c r="Z1108" s="229"/>
      <c r="AA1108" s="229"/>
      <c r="AB1108" s="222">
        <f t="shared" si="157"/>
        <v>0</v>
      </c>
      <c r="AC1108" s="230">
        <f t="shared" si="158"/>
        <v>0</v>
      </c>
      <c r="AD1108" s="222" t="str">
        <f t="shared" si="159"/>
        <v/>
      </c>
      <c r="AE1108" s="201"/>
      <c r="AF1108" s="231" t="str">
        <f>+IFERROR(VLOOKUP(L1108,Data!$F$4:$G$97,2,0),"")</f>
        <v/>
      </c>
    </row>
    <row r="1109" spans="9:32" ht="15" customHeight="1" x14ac:dyDescent="0.3">
      <c r="I1109" s="201" t="str">
        <f t="shared" si="152"/>
        <v/>
      </c>
      <c r="J1109" s="218">
        <f t="shared" si="153"/>
        <v>1106</v>
      </c>
      <c r="K1109" s="250"/>
      <c r="L1109" s="219"/>
      <c r="M1109" s="218"/>
      <c r="N1109" s="220" t="str">
        <f>IFERROR(VLOOKUP(M1109,Data!$C$4:$D$395,2,0),"")</f>
        <v/>
      </c>
      <c r="O1109" s="220"/>
      <c r="P1109" s="229"/>
      <c r="Q1109" s="221"/>
      <c r="R1109" s="222" t="str">
        <f t="shared" si="154"/>
        <v>-</v>
      </c>
      <c r="S1109" s="223"/>
      <c r="T1109" s="224"/>
      <c r="U1109" s="225">
        <f t="shared" si="155"/>
        <v>0</v>
      </c>
      <c r="V1109" s="226">
        <v>0</v>
      </c>
      <c r="W1109" s="227"/>
      <c r="X1109" s="228">
        <f t="shared" si="156"/>
        <v>0</v>
      </c>
      <c r="Y1109" s="229"/>
      <c r="Z1109" s="229"/>
      <c r="AA1109" s="229"/>
      <c r="AB1109" s="222">
        <f t="shared" si="157"/>
        <v>0</v>
      </c>
      <c r="AC1109" s="230">
        <f t="shared" si="158"/>
        <v>0</v>
      </c>
      <c r="AD1109" s="222" t="str">
        <f t="shared" si="159"/>
        <v/>
      </c>
      <c r="AE1109" s="201"/>
      <c r="AF1109" s="231" t="str">
        <f>+IFERROR(VLOOKUP(L1109,Data!$F$4:$G$97,2,0),"")</f>
        <v/>
      </c>
    </row>
    <row r="1110" spans="9:32" ht="15" customHeight="1" x14ac:dyDescent="0.3">
      <c r="I1110" s="201" t="str">
        <f t="shared" si="152"/>
        <v/>
      </c>
      <c r="J1110" s="218">
        <f t="shared" si="153"/>
        <v>1107</v>
      </c>
      <c r="K1110" s="250"/>
      <c r="L1110" s="219"/>
      <c r="M1110" s="218"/>
      <c r="N1110" s="220" t="str">
        <f>IFERROR(VLOOKUP(M1110,Data!$C$4:$D$395,2,0),"")</f>
        <v/>
      </c>
      <c r="O1110" s="220"/>
      <c r="P1110" s="229"/>
      <c r="Q1110" s="221"/>
      <c r="R1110" s="222" t="str">
        <f t="shared" si="154"/>
        <v>-</v>
      </c>
      <c r="S1110" s="223"/>
      <c r="T1110" s="224"/>
      <c r="U1110" s="225">
        <f t="shared" si="155"/>
        <v>0</v>
      </c>
      <c r="V1110" s="226">
        <v>0</v>
      </c>
      <c r="W1110" s="227"/>
      <c r="X1110" s="228">
        <f t="shared" si="156"/>
        <v>0</v>
      </c>
      <c r="Y1110" s="229"/>
      <c r="Z1110" s="229"/>
      <c r="AA1110" s="229"/>
      <c r="AB1110" s="222">
        <f t="shared" si="157"/>
        <v>0</v>
      </c>
      <c r="AC1110" s="230">
        <f t="shared" si="158"/>
        <v>0</v>
      </c>
      <c r="AD1110" s="222" t="str">
        <f t="shared" si="159"/>
        <v/>
      </c>
      <c r="AE1110" s="201"/>
      <c r="AF1110" s="231" t="str">
        <f>+IFERROR(VLOOKUP(L1110,Data!$F$4:$G$97,2,0),"")</f>
        <v/>
      </c>
    </row>
    <row r="1111" spans="9:32" ht="15" customHeight="1" x14ac:dyDescent="0.3">
      <c r="I1111" s="201" t="str">
        <f t="shared" si="152"/>
        <v/>
      </c>
      <c r="J1111" s="218">
        <f t="shared" si="153"/>
        <v>1108</v>
      </c>
      <c r="K1111" s="250"/>
      <c r="L1111" s="219"/>
      <c r="M1111" s="218"/>
      <c r="N1111" s="220" t="str">
        <f>IFERROR(VLOOKUP(M1111,Data!$C$4:$D$395,2,0),"")</f>
        <v/>
      </c>
      <c r="O1111" s="220"/>
      <c r="P1111" s="229"/>
      <c r="Q1111" s="221"/>
      <c r="R1111" s="222" t="str">
        <f t="shared" si="154"/>
        <v>-</v>
      </c>
      <c r="S1111" s="223"/>
      <c r="T1111" s="224"/>
      <c r="U1111" s="225">
        <f t="shared" si="155"/>
        <v>0</v>
      </c>
      <c r="V1111" s="226">
        <v>0</v>
      </c>
      <c r="W1111" s="227"/>
      <c r="X1111" s="228">
        <f t="shared" si="156"/>
        <v>0</v>
      </c>
      <c r="Y1111" s="229"/>
      <c r="Z1111" s="229"/>
      <c r="AA1111" s="229"/>
      <c r="AB1111" s="222">
        <f t="shared" si="157"/>
        <v>0</v>
      </c>
      <c r="AC1111" s="230">
        <f t="shared" si="158"/>
        <v>0</v>
      </c>
      <c r="AD1111" s="222" t="str">
        <f t="shared" si="159"/>
        <v/>
      </c>
      <c r="AE1111" s="201"/>
      <c r="AF1111" s="231" t="str">
        <f>+IFERROR(VLOOKUP(L1111,Data!$F$4:$G$97,2,0),"")</f>
        <v/>
      </c>
    </row>
    <row r="1112" spans="9:32" ht="15" customHeight="1" x14ac:dyDescent="0.3">
      <c r="I1112" s="201" t="str">
        <f t="shared" si="152"/>
        <v/>
      </c>
      <c r="J1112" s="218">
        <f t="shared" si="153"/>
        <v>1109</v>
      </c>
      <c r="K1112" s="250"/>
      <c r="L1112" s="219"/>
      <c r="M1112" s="218"/>
      <c r="N1112" s="220" t="str">
        <f>IFERROR(VLOOKUP(M1112,Data!$C$4:$D$395,2,0),"")</f>
        <v/>
      </c>
      <c r="O1112" s="220"/>
      <c r="P1112" s="229"/>
      <c r="Q1112" s="221"/>
      <c r="R1112" s="222" t="str">
        <f t="shared" si="154"/>
        <v>-</v>
      </c>
      <c r="S1112" s="223"/>
      <c r="T1112" s="224"/>
      <c r="U1112" s="225">
        <f t="shared" si="155"/>
        <v>0</v>
      </c>
      <c r="V1112" s="226">
        <v>0</v>
      </c>
      <c r="W1112" s="227"/>
      <c r="X1112" s="228">
        <f t="shared" si="156"/>
        <v>0</v>
      </c>
      <c r="Y1112" s="229"/>
      <c r="Z1112" s="229"/>
      <c r="AA1112" s="229"/>
      <c r="AB1112" s="222">
        <f t="shared" si="157"/>
        <v>0</v>
      </c>
      <c r="AC1112" s="230">
        <f t="shared" si="158"/>
        <v>0</v>
      </c>
      <c r="AD1112" s="222" t="str">
        <f t="shared" si="159"/>
        <v/>
      </c>
      <c r="AE1112" s="201"/>
      <c r="AF1112" s="231" t="str">
        <f>+IFERROR(VLOOKUP(L1112,Data!$F$4:$G$97,2,0),"")</f>
        <v/>
      </c>
    </row>
    <row r="1113" spans="9:32" ht="15" customHeight="1" x14ac:dyDescent="0.3">
      <c r="I1113" s="201" t="str">
        <f t="shared" si="152"/>
        <v/>
      </c>
      <c r="J1113" s="218">
        <f t="shared" si="153"/>
        <v>1110</v>
      </c>
      <c r="K1113" s="250"/>
      <c r="L1113" s="219"/>
      <c r="M1113" s="218"/>
      <c r="N1113" s="220" t="str">
        <f>IFERROR(VLOOKUP(M1113,Data!$C$4:$D$395,2,0),"")</f>
        <v/>
      </c>
      <c r="O1113" s="220"/>
      <c r="P1113" s="229"/>
      <c r="Q1113" s="221"/>
      <c r="R1113" s="222" t="str">
        <f t="shared" si="154"/>
        <v>-</v>
      </c>
      <c r="S1113" s="223"/>
      <c r="T1113" s="224"/>
      <c r="U1113" s="225">
        <f t="shared" si="155"/>
        <v>0</v>
      </c>
      <c r="V1113" s="226">
        <v>0</v>
      </c>
      <c r="W1113" s="227"/>
      <c r="X1113" s="228">
        <f t="shared" si="156"/>
        <v>0</v>
      </c>
      <c r="Y1113" s="229"/>
      <c r="Z1113" s="229"/>
      <c r="AA1113" s="229"/>
      <c r="AB1113" s="222">
        <f t="shared" si="157"/>
        <v>0</v>
      </c>
      <c r="AC1113" s="230">
        <f t="shared" si="158"/>
        <v>0</v>
      </c>
      <c r="AD1113" s="222" t="str">
        <f t="shared" si="159"/>
        <v/>
      </c>
      <c r="AE1113" s="201"/>
      <c r="AF1113" s="231" t="str">
        <f>+IFERROR(VLOOKUP(L1113,Data!$F$4:$G$97,2,0),"")</f>
        <v/>
      </c>
    </row>
    <row r="1114" spans="9:32" ht="15" customHeight="1" x14ac:dyDescent="0.3">
      <c r="I1114" s="201" t="str">
        <f t="shared" si="152"/>
        <v/>
      </c>
      <c r="J1114" s="218">
        <f t="shared" si="153"/>
        <v>1111</v>
      </c>
      <c r="K1114" s="250"/>
      <c r="L1114" s="219"/>
      <c r="M1114" s="218"/>
      <c r="N1114" s="220" t="str">
        <f>IFERROR(VLOOKUP(M1114,Data!$C$4:$D$395,2,0),"")</f>
        <v/>
      </c>
      <c r="O1114" s="220"/>
      <c r="P1114" s="229"/>
      <c r="Q1114" s="221"/>
      <c r="R1114" s="222" t="str">
        <f t="shared" si="154"/>
        <v>-</v>
      </c>
      <c r="S1114" s="223"/>
      <c r="T1114" s="224"/>
      <c r="U1114" s="225">
        <f t="shared" si="155"/>
        <v>0</v>
      </c>
      <c r="V1114" s="226">
        <v>0</v>
      </c>
      <c r="W1114" s="227"/>
      <c r="X1114" s="228">
        <f t="shared" si="156"/>
        <v>0</v>
      </c>
      <c r="Y1114" s="229"/>
      <c r="Z1114" s="229"/>
      <c r="AA1114" s="229"/>
      <c r="AB1114" s="222">
        <f t="shared" si="157"/>
        <v>0</v>
      </c>
      <c r="AC1114" s="230">
        <f t="shared" si="158"/>
        <v>0</v>
      </c>
      <c r="AD1114" s="222" t="str">
        <f t="shared" si="159"/>
        <v/>
      </c>
      <c r="AE1114" s="201"/>
      <c r="AF1114" s="231" t="str">
        <f>+IFERROR(VLOOKUP(L1114,Data!$F$4:$G$97,2,0),"")</f>
        <v/>
      </c>
    </row>
    <row r="1115" spans="9:32" ht="15" customHeight="1" x14ac:dyDescent="0.3">
      <c r="I1115" s="201" t="str">
        <f t="shared" si="152"/>
        <v/>
      </c>
      <c r="J1115" s="218">
        <f t="shared" si="153"/>
        <v>1112</v>
      </c>
      <c r="K1115" s="250"/>
      <c r="L1115" s="219"/>
      <c r="M1115" s="218"/>
      <c r="N1115" s="220" t="str">
        <f>IFERROR(VLOOKUP(M1115,Data!$C$4:$D$395,2,0),"")</f>
        <v/>
      </c>
      <c r="O1115" s="220"/>
      <c r="P1115" s="229"/>
      <c r="Q1115" s="221"/>
      <c r="R1115" s="222" t="str">
        <f t="shared" si="154"/>
        <v>-</v>
      </c>
      <c r="S1115" s="223"/>
      <c r="T1115" s="224"/>
      <c r="U1115" s="225">
        <f t="shared" si="155"/>
        <v>0</v>
      </c>
      <c r="V1115" s="226">
        <v>0</v>
      </c>
      <c r="W1115" s="227"/>
      <c r="X1115" s="228">
        <f t="shared" si="156"/>
        <v>0</v>
      </c>
      <c r="Y1115" s="229"/>
      <c r="Z1115" s="229"/>
      <c r="AA1115" s="229"/>
      <c r="AB1115" s="222">
        <f t="shared" si="157"/>
        <v>0</v>
      </c>
      <c r="AC1115" s="230">
        <f t="shared" si="158"/>
        <v>0</v>
      </c>
      <c r="AD1115" s="222" t="str">
        <f t="shared" si="159"/>
        <v/>
      </c>
      <c r="AE1115" s="201"/>
      <c r="AF1115" s="231" t="str">
        <f>+IFERROR(VLOOKUP(L1115,Data!$F$4:$G$97,2,0),"")</f>
        <v/>
      </c>
    </row>
    <row r="1116" spans="9:32" ht="15" customHeight="1" x14ac:dyDescent="0.3">
      <c r="I1116" s="201" t="str">
        <f t="shared" si="152"/>
        <v/>
      </c>
      <c r="J1116" s="218">
        <f t="shared" si="153"/>
        <v>1113</v>
      </c>
      <c r="K1116" s="250"/>
      <c r="L1116" s="219"/>
      <c r="M1116" s="218"/>
      <c r="N1116" s="220" t="str">
        <f>IFERROR(VLOOKUP(M1116,Data!$C$4:$D$395,2,0),"")</f>
        <v/>
      </c>
      <c r="O1116" s="220"/>
      <c r="P1116" s="229"/>
      <c r="Q1116" s="221"/>
      <c r="R1116" s="222" t="str">
        <f t="shared" si="154"/>
        <v>-</v>
      </c>
      <c r="S1116" s="223"/>
      <c r="T1116" s="224"/>
      <c r="U1116" s="225">
        <f t="shared" si="155"/>
        <v>0</v>
      </c>
      <c r="V1116" s="226">
        <v>0</v>
      </c>
      <c r="W1116" s="227"/>
      <c r="X1116" s="228">
        <f t="shared" si="156"/>
        <v>0</v>
      </c>
      <c r="Y1116" s="229"/>
      <c r="Z1116" s="229"/>
      <c r="AA1116" s="229"/>
      <c r="AB1116" s="222">
        <f t="shared" si="157"/>
        <v>0</v>
      </c>
      <c r="AC1116" s="230">
        <f t="shared" si="158"/>
        <v>0</v>
      </c>
      <c r="AD1116" s="222" t="str">
        <f t="shared" si="159"/>
        <v/>
      </c>
      <c r="AE1116" s="201"/>
      <c r="AF1116" s="231" t="str">
        <f>+IFERROR(VLOOKUP(L1116,Data!$F$4:$G$97,2,0),"")</f>
        <v/>
      </c>
    </row>
    <row r="1117" spans="9:32" ht="15" customHeight="1" x14ac:dyDescent="0.3">
      <c r="I1117" s="201" t="str">
        <f t="shared" si="152"/>
        <v/>
      </c>
      <c r="J1117" s="218">
        <f t="shared" si="153"/>
        <v>1114</v>
      </c>
      <c r="K1117" s="250"/>
      <c r="L1117" s="219"/>
      <c r="M1117" s="218"/>
      <c r="N1117" s="220" t="str">
        <f>IFERROR(VLOOKUP(M1117,Data!$C$4:$D$395,2,0),"")</f>
        <v/>
      </c>
      <c r="O1117" s="220"/>
      <c r="P1117" s="229"/>
      <c r="Q1117" s="221"/>
      <c r="R1117" s="222" t="str">
        <f t="shared" si="154"/>
        <v>-</v>
      </c>
      <c r="S1117" s="223"/>
      <c r="T1117" s="224"/>
      <c r="U1117" s="225">
        <f t="shared" si="155"/>
        <v>0</v>
      </c>
      <c r="V1117" s="226">
        <v>0</v>
      </c>
      <c r="W1117" s="227"/>
      <c r="X1117" s="228">
        <f t="shared" si="156"/>
        <v>0</v>
      </c>
      <c r="Y1117" s="229"/>
      <c r="Z1117" s="229"/>
      <c r="AA1117" s="229"/>
      <c r="AB1117" s="222">
        <f t="shared" si="157"/>
        <v>0</v>
      </c>
      <c r="AC1117" s="230">
        <f t="shared" si="158"/>
        <v>0</v>
      </c>
      <c r="AD1117" s="222" t="str">
        <f t="shared" si="159"/>
        <v/>
      </c>
      <c r="AE1117" s="201"/>
      <c r="AF1117" s="231" t="str">
        <f>+IFERROR(VLOOKUP(L1117,Data!$F$4:$G$97,2,0),"")</f>
        <v/>
      </c>
    </row>
    <row r="1118" spans="9:32" ht="15" customHeight="1" x14ac:dyDescent="0.3">
      <c r="I1118" s="201" t="str">
        <f t="shared" si="152"/>
        <v/>
      </c>
      <c r="J1118" s="218">
        <f t="shared" si="153"/>
        <v>1115</v>
      </c>
      <c r="K1118" s="250"/>
      <c r="L1118" s="219"/>
      <c r="M1118" s="218"/>
      <c r="N1118" s="220" t="str">
        <f>IFERROR(VLOOKUP(M1118,Data!$C$4:$D$395,2,0),"")</f>
        <v/>
      </c>
      <c r="O1118" s="220"/>
      <c r="P1118" s="229"/>
      <c r="Q1118" s="221"/>
      <c r="R1118" s="222" t="str">
        <f t="shared" si="154"/>
        <v>-</v>
      </c>
      <c r="S1118" s="223"/>
      <c r="T1118" s="224"/>
      <c r="U1118" s="225">
        <f t="shared" si="155"/>
        <v>0</v>
      </c>
      <c r="V1118" s="226">
        <v>0</v>
      </c>
      <c r="W1118" s="227"/>
      <c r="X1118" s="228">
        <f t="shared" si="156"/>
        <v>0</v>
      </c>
      <c r="Y1118" s="229"/>
      <c r="Z1118" s="229"/>
      <c r="AA1118" s="229"/>
      <c r="AB1118" s="222">
        <f t="shared" si="157"/>
        <v>0</v>
      </c>
      <c r="AC1118" s="230">
        <f t="shared" si="158"/>
        <v>0</v>
      </c>
      <c r="AD1118" s="222" t="str">
        <f t="shared" si="159"/>
        <v/>
      </c>
      <c r="AE1118" s="201"/>
      <c r="AF1118" s="231" t="str">
        <f>+IFERROR(VLOOKUP(L1118,Data!$F$4:$G$97,2,0),"")</f>
        <v/>
      </c>
    </row>
    <row r="1119" spans="9:32" ht="15" customHeight="1" x14ac:dyDescent="0.3">
      <c r="I1119" s="201" t="str">
        <f t="shared" si="152"/>
        <v/>
      </c>
      <c r="J1119" s="218">
        <f t="shared" si="153"/>
        <v>1116</v>
      </c>
      <c r="K1119" s="250"/>
      <c r="L1119" s="219"/>
      <c r="M1119" s="218"/>
      <c r="N1119" s="220" t="str">
        <f>IFERROR(VLOOKUP(M1119,Data!$C$4:$D$395,2,0),"")</f>
        <v/>
      </c>
      <c r="O1119" s="220"/>
      <c r="P1119" s="229"/>
      <c r="Q1119" s="221"/>
      <c r="R1119" s="222" t="str">
        <f t="shared" si="154"/>
        <v>-</v>
      </c>
      <c r="S1119" s="223"/>
      <c r="T1119" s="224"/>
      <c r="U1119" s="225">
        <f t="shared" si="155"/>
        <v>0</v>
      </c>
      <c r="V1119" s="226">
        <v>0</v>
      </c>
      <c r="W1119" s="227"/>
      <c r="X1119" s="228">
        <f t="shared" si="156"/>
        <v>0</v>
      </c>
      <c r="Y1119" s="229"/>
      <c r="Z1119" s="229"/>
      <c r="AA1119" s="229"/>
      <c r="AB1119" s="222">
        <f t="shared" si="157"/>
        <v>0</v>
      </c>
      <c r="AC1119" s="230">
        <f t="shared" si="158"/>
        <v>0</v>
      </c>
      <c r="AD1119" s="222" t="str">
        <f t="shared" si="159"/>
        <v/>
      </c>
      <c r="AE1119" s="201"/>
      <c r="AF1119" s="231" t="str">
        <f>+IFERROR(VLOOKUP(L1119,Data!$F$4:$G$97,2,0),"")</f>
        <v/>
      </c>
    </row>
    <row r="1120" spans="9:32" ht="15" customHeight="1" x14ac:dyDescent="0.3">
      <c r="I1120" s="201" t="str">
        <f t="shared" si="152"/>
        <v/>
      </c>
      <c r="J1120" s="218">
        <f t="shared" si="153"/>
        <v>1117</v>
      </c>
      <c r="K1120" s="250"/>
      <c r="L1120" s="219"/>
      <c r="M1120" s="218"/>
      <c r="N1120" s="220" t="str">
        <f>IFERROR(VLOOKUP(M1120,Data!$C$4:$D$395,2,0),"")</f>
        <v/>
      </c>
      <c r="O1120" s="220"/>
      <c r="P1120" s="229"/>
      <c r="Q1120" s="221"/>
      <c r="R1120" s="222" t="str">
        <f t="shared" si="154"/>
        <v>-</v>
      </c>
      <c r="S1120" s="223"/>
      <c r="T1120" s="224"/>
      <c r="U1120" s="225">
        <f t="shared" si="155"/>
        <v>0</v>
      </c>
      <c r="V1120" s="226">
        <v>0</v>
      </c>
      <c r="W1120" s="227"/>
      <c r="X1120" s="228">
        <f t="shared" si="156"/>
        <v>0</v>
      </c>
      <c r="Y1120" s="229"/>
      <c r="Z1120" s="229"/>
      <c r="AA1120" s="229"/>
      <c r="AB1120" s="222">
        <f t="shared" si="157"/>
        <v>0</v>
      </c>
      <c r="AC1120" s="230">
        <f t="shared" si="158"/>
        <v>0</v>
      </c>
      <c r="AD1120" s="222" t="str">
        <f t="shared" si="159"/>
        <v/>
      </c>
      <c r="AE1120" s="201"/>
      <c r="AF1120" s="231" t="str">
        <f>+IFERROR(VLOOKUP(L1120,Data!$F$4:$G$97,2,0),"")</f>
        <v/>
      </c>
    </row>
    <row r="1121" spans="9:32" ht="15" customHeight="1" x14ac:dyDescent="0.3">
      <c r="I1121" s="201" t="str">
        <f t="shared" si="152"/>
        <v/>
      </c>
      <c r="J1121" s="218">
        <f t="shared" si="153"/>
        <v>1118</v>
      </c>
      <c r="K1121" s="250"/>
      <c r="L1121" s="219"/>
      <c r="M1121" s="218"/>
      <c r="N1121" s="220" t="str">
        <f>IFERROR(VLOOKUP(M1121,Data!$C$4:$D$395,2,0),"")</f>
        <v/>
      </c>
      <c r="O1121" s="220"/>
      <c r="P1121" s="229"/>
      <c r="Q1121" s="221"/>
      <c r="R1121" s="222" t="str">
        <f t="shared" si="154"/>
        <v>-</v>
      </c>
      <c r="S1121" s="223"/>
      <c r="T1121" s="224"/>
      <c r="U1121" s="225">
        <f t="shared" si="155"/>
        <v>0</v>
      </c>
      <c r="V1121" s="226">
        <v>0</v>
      </c>
      <c r="W1121" s="227"/>
      <c r="X1121" s="228">
        <f t="shared" si="156"/>
        <v>0</v>
      </c>
      <c r="Y1121" s="229"/>
      <c r="Z1121" s="229"/>
      <c r="AA1121" s="229"/>
      <c r="AB1121" s="222">
        <f t="shared" si="157"/>
        <v>0</v>
      </c>
      <c r="AC1121" s="230">
        <f t="shared" si="158"/>
        <v>0</v>
      </c>
      <c r="AD1121" s="222" t="str">
        <f t="shared" si="159"/>
        <v/>
      </c>
      <c r="AE1121" s="201"/>
      <c r="AF1121" s="231" t="str">
        <f>+IFERROR(VLOOKUP(L1121,Data!$F$4:$G$97,2,0),"")</f>
        <v/>
      </c>
    </row>
    <row r="1122" spans="9:32" ht="15" customHeight="1" x14ac:dyDescent="0.3">
      <c r="I1122" s="201" t="str">
        <f t="shared" si="152"/>
        <v/>
      </c>
      <c r="J1122" s="218">
        <f t="shared" si="153"/>
        <v>1119</v>
      </c>
      <c r="K1122" s="250"/>
      <c r="L1122" s="219"/>
      <c r="M1122" s="218"/>
      <c r="N1122" s="220" t="str">
        <f>IFERROR(VLOOKUP(M1122,Data!$C$4:$D$395,2,0),"")</f>
        <v/>
      </c>
      <c r="O1122" s="220"/>
      <c r="P1122" s="229"/>
      <c r="Q1122" s="221"/>
      <c r="R1122" s="222" t="str">
        <f t="shared" si="154"/>
        <v>-</v>
      </c>
      <c r="S1122" s="223"/>
      <c r="T1122" s="224"/>
      <c r="U1122" s="225">
        <f t="shared" si="155"/>
        <v>0</v>
      </c>
      <c r="V1122" s="226">
        <v>0</v>
      </c>
      <c r="W1122" s="227"/>
      <c r="X1122" s="228">
        <f t="shared" si="156"/>
        <v>0</v>
      </c>
      <c r="Y1122" s="229"/>
      <c r="Z1122" s="229"/>
      <c r="AA1122" s="229"/>
      <c r="AB1122" s="222">
        <f t="shared" si="157"/>
        <v>0</v>
      </c>
      <c r="AC1122" s="230">
        <f t="shared" si="158"/>
        <v>0</v>
      </c>
      <c r="AD1122" s="222" t="str">
        <f t="shared" si="159"/>
        <v/>
      </c>
      <c r="AE1122" s="201"/>
      <c r="AF1122" s="231" t="str">
        <f>+IFERROR(VLOOKUP(L1122,Data!$F$4:$G$97,2,0),"")</f>
        <v/>
      </c>
    </row>
    <row r="1123" spans="9:32" ht="15" customHeight="1" x14ac:dyDescent="0.3">
      <c r="I1123" s="201" t="str">
        <f t="shared" si="152"/>
        <v/>
      </c>
      <c r="J1123" s="218">
        <f t="shared" si="153"/>
        <v>1120</v>
      </c>
      <c r="K1123" s="250"/>
      <c r="L1123" s="219"/>
      <c r="M1123" s="218"/>
      <c r="N1123" s="220" t="str">
        <f>IFERROR(VLOOKUP(M1123,Data!$C$4:$D$395,2,0),"")</f>
        <v/>
      </c>
      <c r="O1123" s="220"/>
      <c r="P1123" s="229"/>
      <c r="Q1123" s="221"/>
      <c r="R1123" s="222" t="str">
        <f t="shared" si="154"/>
        <v>-</v>
      </c>
      <c r="S1123" s="223"/>
      <c r="T1123" s="224"/>
      <c r="U1123" s="225">
        <f t="shared" si="155"/>
        <v>0</v>
      </c>
      <c r="V1123" s="226">
        <v>0</v>
      </c>
      <c r="W1123" s="227"/>
      <c r="X1123" s="228">
        <f t="shared" si="156"/>
        <v>0</v>
      </c>
      <c r="Y1123" s="229"/>
      <c r="Z1123" s="229"/>
      <c r="AA1123" s="229"/>
      <c r="AB1123" s="222">
        <f t="shared" si="157"/>
        <v>0</v>
      </c>
      <c r="AC1123" s="230">
        <f t="shared" si="158"/>
        <v>0</v>
      </c>
      <c r="AD1123" s="222" t="str">
        <f t="shared" si="159"/>
        <v/>
      </c>
      <c r="AE1123" s="201"/>
      <c r="AF1123" s="231" t="str">
        <f>+IFERROR(VLOOKUP(L1123,Data!$F$4:$G$97,2,0),"")</f>
        <v/>
      </c>
    </row>
    <row r="1124" spans="9:32" ht="15" customHeight="1" x14ac:dyDescent="0.3">
      <c r="I1124" s="201" t="str">
        <f t="shared" si="152"/>
        <v/>
      </c>
      <c r="J1124" s="218">
        <f t="shared" si="153"/>
        <v>1121</v>
      </c>
      <c r="K1124" s="250"/>
      <c r="L1124" s="219"/>
      <c r="M1124" s="218"/>
      <c r="N1124" s="220" t="str">
        <f>IFERROR(VLOOKUP(M1124,Data!$C$4:$D$395,2,0),"")</f>
        <v/>
      </c>
      <c r="O1124" s="220"/>
      <c r="P1124" s="229"/>
      <c r="Q1124" s="221"/>
      <c r="R1124" s="222" t="str">
        <f t="shared" si="154"/>
        <v>-</v>
      </c>
      <c r="S1124" s="223"/>
      <c r="T1124" s="224"/>
      <c r="U1124" s="225">
        <f t="shared" si="155"/>
        <v>0</v>
      </c>
      <c r="V1124" s="226">
        <v>0</v>
      </c>
      <c r="W1124" s="227"/>
      <c r="X1124" s="228">
        <f t="shared" si="156"/>
        <v>0</v>
      </c>
      <c r="Y1124" s="229"/>
      <c r="Z1124" s="229"/>
      <c r="AA1124" s="229"/>
      <c r="AB1124" s="222">
        <f t="shared" si="157"/>
        <v>0</v>
      </c>
      <c r="AC1124" s="230">
        <f t="shared" si="158"/>
        <v>0</v>
      </c>
      <c r="AD1124" s="222" t="str">
        <f t="shared" si="159"/>
        <v/>
      </c>
      <c r="AE1124" s="201"/>
      <c r="AF1124" s="231" t="str">
        <f>+IFERROR(VLOOKUP(L1124,Data!$F$4:$G$97,2,0),"")</f>
        <v/>
      </c>
    </row>
    <row r="1125" spans="9:32" ht="15" customHeight="1" x14ac:dyDescent="0.3">
      <c r="I1125" s="201" t="str">
        <f t="shared" si="152"/>
        <v/>
      </c>
      <c r="J1125" s="218">
        <f t="shared" si="153"/>
        <v>1122</v>
      </c>
      <c r="K1125" s="250"/>
      <c r="L1125" s="219"/>
      <c r="M1125" s="218"/>
      <c r="N1125" s="220" t="str">
        <f>IFERROR(VLOOKUP(M1125,Data!$C$4:$D$395,2,0),"")</f>
        <v/>
      </c>
      <c r="O1125" s="220"/>
      <c r="P1125" s="229"/>
      <c r="Q1125" s="221"/>
      <c r="R1125" s="222" t="str">
        <f t="shared" si="154"/>
        <v>-</v>
      </c>
      <c r="S1125" s="223"/>
      <c r="T1125" s="224"/>
      <c r="U1125" s="225">
        <f t="shared" si="155"/>
        <v>0</v>
      </c>
      <c r="V1125" s="226">
        <v>0</v>
      </c>
      <c r="W1125" s="227"/>
      <c r="X1125" s="228">
        <f t="shared" si="156"/>
        <v>0</v>
      </c>
      <c r="Y1125" s="229"/>
      <c r="Z1125" s="229"/>
      <c r="AA1125" s="229"/>
      <c r="AB1125" s="222">
        <f t="shared" si="157"/>
        <v>0</v>
      </c>
      <c r="AC1125" s="230">
        <f t="shared" si="158"/>
        <v>0</v>
      </c>
      <c r="AD1125" s="222" t="str">
        <f t="shared" si="159"/>
        <v/>
      </c>
      <c r="AE1125" s="201"/>
      <c r="AF1125" s="231" t="str">
        <f>+IFERROR(VLOOKUP(L1125,Data!$F$4:$G$97,2,0),"")</f>
        <v/>
      </c>
    </row>
    <row r="1126" spans="9:32" ht="15" customHeight="1" x14ac:dyDescent="0.3">
      <c r="I1126" s="201" t="str">
        <f t="shared" si="152"/>
        <v/>
      </c>
      <c r="J1126" s="218">
        <f t="shared" si="153"/>
        <v>1123</v>
      </c>
      <c r="K1126" s="250"/>
      <c r="L1126" s="219"/>
      <c r="M1126" s="218"/>
      <c r="N1126" s="220" t="str">
        <f>IFERROR(VLOOKUP(M1126,Data!$C$4:$D$395,2,0),"")</f>
        <v/>
      </c>
      <c r="O1126" s="220"/>
      <c r="P1126" s="229"/>
      <c r="Q1126" s="221"/>
      <c r="R1126" s="222" t="str">
        <f t="shared" si="154"/>
        <v>-</v>
      </c>
      <c r="S1126" s="223"/>
      <c r="T1126" s="224"/>
      <c r="U1126" s="225">
        <f t="shared" si="155"/>
        <v>0</v>
      </c>
      <c r="V1126" s="226">
        <v>0</v>
      </c>
      <c r="W1126" s="227"/>
      <c r="X1126" s="228">
        <f t="shared" si="156"/>
        <v>0</v>
      </c>
      <c r="Y1126" s="229"/>
      <c r="Z1126" s="229"/>
      <c r="AA1126" s="229"/>
      <c r="AB1126" s="222">
        <f t="shared" si="157"/>
        <v>0</v>
      </c>
      <c r="AC1126" s="230">
        <f t="shared" si="158"/>
        <v>0</v>
      </c>
      <c r="AD1126" s="222" t="str">
        <f t="shared" si="159"/>
        <v/>
      </c>
      <c r="AE1126" s="201"/>
      <c r="AF1126" s="231" t="str">
        <f>+IFERROR(VLOOKUP(L1126,Data!$F$4:$G$97,2,0),"")</f>
        <v/>
      </c>
    </row>
    <row r="1127" spans="9:32" ht="15" customHeight="1" x14ac:dyDescent="0.3">
      <c r="I1127" s="201" t="str">
        <f t="shared" si="152"/>
        <v/>
      </c>
      <c r="J1127" s="218">
        <f t="shared" si="153"/>
        <v>1124</v>
      </c>
      <c r="K1127" s="250"/>
      <c r="L1127" s="219"/>
      <c r="M1127" s="218"/>
      <c r="N1127" s="220" t="str">
        <f>IFERROR(VLOOKUP(M1127,Data!$C$4:$D$395,2,0),"")</f>
        <v/>
      </c>
      <c r="O1127" s="220"/>
      <c r="P1127" s="229"/>
      <c r="Q1127" s="221"/>
      <c r="R1127" s="222" t="str">
        <f t="shared" si="154"/>
        <v>-</v>
      </c>
      <c r="S1127" s="223"/>
      <c r="T1127" s="224"/>
      <c r="U1127" s="225">
        <f t="shared" si="155"/>
        <v>0</v>
      </c>
      <c r="V1127" s="226">
        <v>0</v>
      </c>
      <c r="W1127" s="227"/>
      <c r="X1127" s="228">
        <f t="shared" si="156"/>
        <v>0</v>
      </c>
      <c r="Y1127" s="229"/>
      <c r="Z1127" s="229"/>
      <c r="AA1127" s="229"/>
      <c r="AB1127" s="222">
        <f t="shared" si="157"/>
        <v>0</v>
      </c>
      <c r="AC1127" s="230">
        <f t="shared" si="158"/>
        <v>0</v>
      </c>
      <c r="AD1127" s="222" t="str">
        <f t="shared" si="159"/>
        <v/>
      </c>
      <c r="AE1127" s="201"/>
      <c r="AF1127" s="231" t="str">
        <f>+IFERROR(VLOOKUP(L1127,Data!$F$4:$G$97,2,0),"")</f>
        <v/>
      </c>
    </row>
    <row r="1128" spans="9:32" ht="15" customHeight="1" x14ac:dyDescent="0.3">
      <c r="I1128" s="201" t="str">
        <f t="shared" si="152"/>
        <v/>
      </c>
      <c r="J1128" s="218">
        <f t="shared" si="153"/>
        <v>1125</v>
      </c>
      <c r="K1128" s="250"/>
      <c r="L1128" s="219"/>
      <c r="M1128" s="218"/>
      <c r="N1128" s="220" t="str">
        <f>IFERROR(VLOOKUP(M1128,Data!$C$4:$D$395,2,0),"")</f>
        <v/>
      </c>
      <c r="O1128" s="220"/>
      <c r="P1128" s="229"/>
      <c r="Q1128" s="221"/>
      <c r="R1128" s="222" t="str">
        <f t="shared" si="154"/>
        <v>-</v>
      </c>
      <c r="S1128" s="223"/>
      <c r="T1128" s="224"/>
      <c r="U1128" s="225">
        <f t="shared" si="155"/>
        <v>0</v>
      </c>
      <c r="V1128" s="226">
        <v>0</v>
      </c>
      <c r="W1128" s="227"/>
      <c r="X1128" s="228">
        <f t="shared" si="156"/>
        <v>0</v>
      </c>
      <c r="Y1128" s="229"/>
      <c r="Z1128" s="229"/>
      <c r="AA1128" s="229"/>
      <c r="AB1128" s="222">
        <f t="shared" si="157"/>
        <v>0</v>
      </c>
      <c r="AC1128" s="230">
        <f t="shared" si="158"/>
        <v>0</v>
      </c>
      <c r="AD1128" s="222" t="str">
        <f t="shared" si="159"/>
        <v/>
      </c>
      <c r="AE1128" s="201"/>
      <c r="AF1128" s="231" t="str">
        <f>+IFERROR(VLOOKUP(L1128,Data!$F$4:$G$97,2,0),"")</f>
        <v/>
      </c>
    </row>
    <row r="1129" spans="9:32" ht="15" customHeight="1" x14ac:dyDescent="0.3">
      <c r="I1129" s="201" t="str">
        <f t="shared" si="152"/>
        <v/>
      </c>
      <c r="J1129" s="218">
        <f t="shared" si="153"/>
        <v>1126</v>
      </c>
      <c r="K1129" s="250"/>
      <c r="L1129" s="219"/>
      <c r="M1129" s="218"/>
      <c r="N1129" s="220" t="str">
        <f>IFERROR(VLOOKUP(M1129,Data!$C$4:$D$395,2,0),"")</f>
        <v/>
      </c>
      <c r="O1129" s="220"/>
      <c r="P1129" s="229"/>
      <c r="Q1129" s="221"/>
      <c r="R1129" s="222" t="str">
        <f t="shared" si="154"/>
        <v>-</v>
      </c>
      <c r="S1129" s="223"/>
      <c r="T1129" s="224"/>
      <c r="U1129" s="225">
        <f t="shared" si="155"/>
        <v>0</v>
      </c>
      <c r="V1129" s="226">
        <v>0</v>
      </c>
      <c r="W1129" s="227"/>
      <c r="X1129" s="228">
        <f t="shared" si="156"/>
        <v>0</v>
      </c>
      <c r="Y1129" s="229"/>
      <c r="Z1129" s="229"/>
      <c r="AA1129" s="229"/>
      <c r="AB1129" s="222">
        <f t="shared" si="157"/>
        <v>0</v>
      </c>
      <c r="AC1129" s="230">
        <f t="shared" si="158"/>
        <v>0</v>
      </c>
      <c r="AD1129" s="222" t="str">
        <f t="shared" si="159"/>
        <v/>
      </c>
      <c r="AE1129" s="201"/>
      <c r="AF1129" s="231" t="str">
        <f>+IFERROR(VLOOKUP(L1129,Data!$F$4:$G$97,2,0),"")</f>
        <v/>
      </c>
    </row>
    <row r="1130" spans="9:32" ht="15" customHeight="1" x14ac:dyDescent="0.3">
      <c r="I1130" s="201" t="str">
        <f t="shared" si="152"/>
        <v/>
      </c>
      <c r="J1130" s="218">
        <f t="shared" si="153"/>
        <v>1127</v>
      </c>
      <c r="K1130" s="250"/>
      <c r="L1130" s="219"/>
      <c r="M1130" s="218"/>
      <c r="N1130" s="220" t="str">
        <f>IFERROR(VLOOKUP(M1130,Data!$C$4:$D$395,2,0),"")</f>
        <v/>
      </c>
      <c r="O1130" s="220"/>
      <c r="P1130" s="229"/>
      <c r="Q1130" s="221"/>
      <c r="R1130" s="222" t="str">
        <f t="shared" si="154"/>
        <v>-</v>
      </c>
      <c r="S1130" s="223"/>
      <c r="T1130" s="224"/>
      <c r="U1130" s="225">
        <f t="shared" si="155"/>
        <v>0</v>
      </c>
      <c r="V1130" s="226">
        <v>0</v>
      </c>
      <c r="W1130" s="227"/>
      <c r="X1130" s="228">
        <f t="shared" si="156"/>
        <v>0</v>
      </c>
      <c r="Y1130" s="229"/>
      <c r="Z1130" s="229"/>
      <c r="AA1130" s="229"/>
      <c r="AB1130" s="222">
        <f t="shared" si="157"/>
        <v>0</v>
      </c>
      <c r="AC1130" s="230">
        <f t="shared" si="158"/>
        <v>0</v>
      </c>
      <c r="AD1130" s="222" t="str">
        <f t="shared" si="159"/>
        <v/>
      </c>
      <c r="AE1130" s="201"/>
      <c r="AF1130" s="231" t="str">
        <f>+IFERROR(VLOOKUP(L1130,Data!$F$4:$G$97,2,0),"")</f>
        <v/>
      </c>
    </row>
    <row r="1131" spans="9:32" ht="15" customHeight="1" x14ac:dyDescent="0.3">
      <c r="I1131" s="201" t="str">
        <f t="shared" si="152"/>
        <v/>
      </c>
      <c r="J1131" s="218">
        <f t="shared" si="153"/>
        <v>1128</v>
      </c>
      <c r="K1131" s="250"/>
      <c r="L1131" s="219"/>
      <c r="M1131" s="218"/>
      <c r="N1131" s="220" t="str">
        <f>IFERROR(VLOOKUP(M1131,Data!$C$4:$D$395,2,0),"")</f>
        <v/>
      </c>
      <c r="O1131" s="220"/>
      <c r="P1131" s="229"/>
      <c r="Q1131" s="221"/>
      <c r="R1131" s="222" t="str">
        <f t="shared" si="154"/>
        <v>-</v>
      </c>
      <c r="S1131" s="223"/>
      <c r="T1131" s="224"/>
      <c r="U1131" s="225">
        <f t="shared" si="155"/>
        <v>0</v>
      </c>
      <c r="V1131" s="226">
        <v>0</v>
      </c>
      <c r="W1131" s="227"/>
      <c r="X1131" s="228">
        <f t="shared" si="156"/>
        <v>0</v>
      </c>
      <c r="Y1131" s="229"/>
      <c r="Z1131" s="229"/>
      <c r="AA1131" s="229"/>
      <c r="AB1131" s="222">
        <f t="shared" si="157"/>
        <v>0</v>
      </c>
      <c r="AC1131" s="230">
        <f t="shared" si="158"/>
        <v>0</v>
      </c>
      <c r="AD1131" s="222" t="str">
        <f t="shared" si="159"/>
        <v/>
      </c>
      <c r="AE1131" s="201"/>
      <c r="AF1131" s="231" t="str">
        <f>+IFERROR(VLOOKUP(L1131,Data!$F$4:$G$97,2,0),"")</f>
        <v/>
      </c>
    </row>
    <row r="1132" spans="9:32" ht="15" customHeight="1" x14ac:dyDescent="0.3">
      <c r="I1132" s="201" t="str">
        <f t="shared" si="152"/>
        <v/>
      </c>
      <c r="J1132" s="218">
        <f t="shared" si="153"/>
        <v>1129</v>
      </c>
      <c r="K1132" s="250"/>
      <c r="L1132" s="219"/>
      <c r="M1132" s="218"/>
      <c r="N1132" s="220" t="str">
        <f>IFERROR(VLOOKUP(M1132,Data!$C$4:$D$395,2,0),"")</f>
        <v/>
      </c>
      <c r="O1132" s="220"/>
      <c r="P1132" s="229"/>
      <c r="Q1132" s="221"/>
      <c r="R1132" s="222" t="str">
        <f t="shared" si="154"/>
        <v>-</v>
      </c>
      <c r="S1132" s="223"/>
      <c r="T1132" s="224"/>
      <c r="U1132" s="225">
        <f t="shared" si="155"/>
        <v>0</v>
      </c>
      <c r="V1132" s="226">
        <v>0</v>
      </c>
      <c r="W1132" s="227"/>
      <c r="X1132" s="228">
        <f t="shared" si="156"/>
        <v>0</v>
      </c>
      <c r="Y1132" s="229"/>
      <c r="Z1132" s="229"/>
      <c r="AA1132" s="229"/>
      <c r="AB1132" s="222">
        <f t="shared" si="157"/>
        <v>0</v>
      </c>
      <c r="AC1132" s="230">
        <f t="shared" si="158"/>
        <v>0</v>
      </c>
      <c r="AD1132" s="222" t="str">
        <f t="shared" si="159"/>
        <v/>
      </c>
      <c r="AE1132" s="201"/>
      <c r="AF1132" s="231" t="str">
        <f>+IFERROR(VLOOKUP(L1132,Data!$F$4:$G$97,2,0),"")</f>
        <v/>
      </c>
    </row>
    <row r="1133" spans="9:32" ht="15" customHeight="1" x14ac:dyDescent="0.3">
      <c r="I1133" s="201" t="str">
        <f t="shared" si="152"/>
        <v/>
      </c>
      <c r="J1133" s="218">
        <f t="shared" si="153"/>
        <v>1130</v>
      </c>
      <c r="K1133" s="250"/>
      <c r="L1133" s="219"/>
      <c r="M1133" s="218"/>
      <c r="N1133" s="220" t="str">
        <f>IFERROR(VLOOKUP(M1133,Data!$C$4:$D$395,2,0),"")</f>
        <v/>
      </c>
      <c r="O1133" s="220"/>
      <c r="P1133" s="229"/>
      <c r="Q1133" s="221"/>
      <c r="R1133" s="222" t="str">
        <f t="shared" si="154"/>
        <v>-</v>
      </c>
      <c r="S1133" s="223"/>
      <c r="T1133" s="224"/>
      <c r="U1133" s="225">
        <f t="shared" si="155"/>
        <v>0</v>
      </c>
      <c r="V1133" s="226">
        <v>0</v>
      </c>
      <c r="W1133" s="227"/>
      <c r="X1133" s="228">
        <f t="shared" si="156"/>
        <v>0</v>
      </c>
      <c r="Y1133" s="229"/>
      <c r="Z1133" s="229"/>
      <c r="AA1133" s="229"/>
      <c r="AB1133" s="222">
        <f t="shared" si="157"/>
        <v>0</v>
      </c>
      <c r="AC1133" s="230">
        <f t="shared" si="158"/>
        <v>0</v>
      </c>
      <c r="AD1133" s="222" t="str">
        <f t="shared" si="159"/>
        <v/>
      </c>
      <c r="AE1133" s="201"/>
      <c r="AF1133" s="231" t="str">
        <f>+IFERROR(VLOOKUP(L1133,Data!$F$4:$G$97,2,0),"")</f>
        <v/>
      </c>
    </row>
    <row r="1134" spans="9:32" ht="15" customHeight="1" x14ac:dyDescent="0.3">
      <c r="I1134" s="201" t="str">
        <f t="shared" si="152"/>
        <v/>
      </c>
      <c r="J1134" s="218">
        <f t="shared" si="153"/>
        <v>1131</v>
      </c>
      <c r="K1134" s="250"/>
      <c r="L1134" s="219"/>
      <c r="M1134" s="218"/>
      <c r="N1134" s="220" t="str">
        <f>IFERROR(VLOOKUP(M1134,Data!$C$4:$D$395,2,0),"")</f>
        <v/>
      </c>
      <c r="O1134" s="220"/>
      <c r="P1134" s="229"/>
      <c r="Q1134" s="221"/>
      <c r="R1134" s="222" t="str">
        <f t="shared" si="154"/>
        <v>-</v>
      </c>
      <c r="S1134" s="223"/>
      <c r="T1134" s="224"/>
      <c r="U1134" s="225">
        <f t="shared" si="155"/>
        <v>0</v>
      </c>
      <c r="V1134" s="226">
        <v>0</v>
      </c>
      <c r="W1134" s="227"/>
      <c r="X1134" s="228">
        <f t="shared" si="156"/>
        <v>0</v>
      </c>
      <c r="Y1134" s="229"/>
      <c r="Z1134" s="229"/>
      <c r="AA1134" s="229"/>
      <c r="AB1134" s="222">
        <f t="shared" si="157"/>
        <v>0</v>
      </c>
      <c r="AC1134" s="230">
        <f t="shared" si="158"/>
        <v>0</v>
      </c>
      <c r="AD1134" s="222" t="str">
        <f t="shared" si="159"/>
        <v/>
      </c>
      <c r="AE1134" s="201"/>
      <c r="AF1134" s="231" t="str">
        <f>+IFERROR(VLOOKUP(L1134,Data!$F$4:$G$97,2,0),"")</f>
        <v/>
      </c>
    </row>
    <row r="1135" spans="9:32" ht="15" customHeight="1" x14ac:dyDescent="0.3">
      <c r="I1135" s="201" t="str">
        <f t="shared" si="152"/>
        <v/>
      </c>
      <c r="J1135" s="218">
        <f t="shared" si="153"/>
        <v>1132</v>
      </c>
      <c r="K1135" s="250"/>
      <c r="L1135" s="219"/>
      <c r="M1135" s="218"/>
      <c r="N1135" s="220" t="str">
        <f>IFERROR(VLOOKUP(M1135,Data!$C$4:$D$395,2,0),"")</f>
        <v/>
      </c>
      <c r="O1135" s="220"/>
      <c r="P1135" s="229"/>
      <c r="Q1135" s="221"/>
      <c r="R1135" s="222" t="str">
        <f t="shared" si="154"/>
        <v>-</v>
      </c>
      <c r="S1135" s="223"/>
      <c r="T1135" s="224"/>
      <c r="U1135" s="225">
        <f t="shared" si="155"/>
        <v>0</v>
      </c>
      <c r="V1135" s="226">
        <v>0</v>
      </c>
      <c r="W1135" s="227"/>
      <c r="X1135" s="228">
        <f t="shared" si="156"/>
        <v>0</v>
      </c>
      <c r="Y1135" s="229"/>
      <c r="Z1135" s="229"/>
      <c r="AA1135" s="229"/>
      <c r="AB1135" s="222">
        <f t="shared" si="157"/>
        <v>0</v>
      </c>
      <c r="AC1135" s="230">
        <f t="shared" si="158"/>
        <v>0</v>
      </c>
      <c r="AD1135" s="222" t="str">
        <f t="shared" si="159"/>
        <v/>
      </c>
      <c r="AE1135" s="201"/>
      <c r="AF1135" s="231" t="str">
        <f>+IFERROR(VLOOKUP(L1135,Data!$F$4:$G$97,2,0),"")</f>
        <v/>
      </c>
    </row>
    <row r="1136" spans="9:32" ht="15" customHeight="1" x14ac:dyDescent="0.3">
      <c r="I1136" s="201" t="str">
        <f t="shared" si="152"/>
        <v/>
      </c>
      <c r="J1136" s="218">
        <f t="shared" si="153"/>
        <v>1133</v>
      </c>
      <c r="K1136" s="250"/>
      <c r="L1136" s="219"/>
      <c r="M1136" s="218"/>
      <c r="N1136" s="220" t="str">
        <f>IFERROR(VLOOKUP(M1136,Data!$C$4:$D$395,2,0),"")</f>
        <v/>
      </c>
      <c r="O1136" s="220"/>
      <c r="P1136" s="229"/>
      <c r="Q1136" s="221"/>
      <c r="R1136" s="222" t="str">
        <f t="shared" si="154"/>
        <v>-</v>
      </c>
      <c r="S1136" s="223"/>
      <c r="T1136" s="224"/>
      <c r="U1136" s="225">
        <f t="shared" si="155"/>
        <v>0</v>
      </c>
      <c r="V1136" s="226">
        <v>0</v>
      </c>
      <c r="W1136" s="227"/>
      <c r="X1136" s="228">
        <f t="shared" si="156"/>
        <v>0</v>
      </c>
      <c r="Y1136" s="229"/>
      <c r="Z1136" s="229"/>
      <c r="AA1136" s="229"/>
      <c r="AB1136" s="222">
        <f t="shared" si="157"/>
        <v>0</v>
      </c>
      <c r="AC1136" s="230">
        <f t="shared" si="158"/>
        <v>0</v>
      </c>
      <c r="AD1136" s="222" t="str">
        <f t="shared" si="159"/>
        <v/>
      </c>
      <c r="AE1136" s="201"/>
      <c r="AF1136" s="231" t="str">
        <f>+IFERROR(VLOOKUP(L1136,Data!$F$4:$G$97,2,0),"")</f>
        <v/>
      </c>
    </row>
    <row r="1137" spans="9:32" ht="15" customHeight="1" x14ac:dyDescent="0.3">
      <c r="I1137" s="201" t="str">
        <f t="shared" si="152"/>
        <v/>
      </c>
      <c r="J1137" s="218">
        <f t="shared" si="153"/>
        <v>1134</v>
      </c>
      <c r="K1137" s="250"/>
      <c r="L1137" s="219"/>
      <c r="M1137" s="218"/>
      <c r="N1137" s="220" t="str">
        <f>IFERROR(VLOOKUP(M1137,Data!$C$4:$D$395,2,0),"")</f>
        <v/>
      </c>
      <c r="O1137" s="220"/>
      <c r="P1137" s="229"/>
      <c r="Q1137" s="221"/>
      <c r="R1137" s="222" t="str">
        <f t="shared" si="154"/>
        <v>-</v>
      </c>
      <c r="S1137" s="223"/>
      <c r="T1137" s="224"/>
      <c r="U1137" s="225">
        <f t="shared" si="155"/>
        <v>0</v>
      </c>
      <c r="V1137" s="226">
        <v>0</v>
      </c>
      <c r="W1137" s="227"/>
      <c r="X1137" s="228">
        <f t="shared" si="156"/>
        <v>0</v>
      </c>
      <c r="Y1137" s="229"/>
      <c r="Z1137" s="229"/>
      <c r="AA1137" s="229"/>
      <c r="AB1137" s="222">
        <f t="shared" si="157"/>
        <v>0</v>
      </c>
      <c r="AC1137" s="230">
        <f t="shared" si="158"/>
        <v>0</v>
      </c>
      <c r="AD1137" s="222" t="str">
        <f t="shared" si="159"/>
        <v/>
      </c>
      <c r="AE1137" s="201"/>
      <c r="AF1137" s="231" t="str">
        <f>+IFERROR(VLOOKUP(L1137,Data!$F$4:$G$97,2,0),"")</f>
        <v/>
      </c>
    </row>
    <row r="1138" spans="9:32" ht="15" customHeight="1" x14ac:dyDescent="0.3">
      <c r="I1138" s="201" t="str">
        <f t="shared" si="152"/>
        <v/>
      </c>
      <c r="J1138" s="218">
        <f t="shared" si="153"/>
        <v>1135</v>
      </c>
      <c r="K1138" s="250"/>
      <c r="L1138" s="219"/>
      <c r="M1138" s="218"/>
      <c r="N1138" s="220" t="str">
        <f>IFERROR(VLOOKUP(M1138,Data!$C$4:$D$395,2,0),"")</f>
        <v/>
      </c>
      <c r="O1138" s="220"/>
      <c r="P1138" s="229"/>
      <c r="Q1138" s="221"/>
      <c r="R1138" s="222" t="str">
        <f t="shared" si="154"/>
        <v>-</v>
      </c>
      <c r="S1138" s="223"/>
      <c r="T1138" s="224"/>
      <c r="U1138" s="225">
        <f t="shared" si="155"/>
        <v>0</v>
      </c>
      <c r="V1138" s="226">
        <v>0</v>
      </c>
      <c r="W1138" s="227"/>
      <c r="X1138" s="228">
        <f t="shared" si="156"/>
        <v>0</v>
      </c>
      <c r="Y1138" s="229"/>
      <c r="Z1138" s="229"/>
      <c r="AA1138" s="229"/>
      <c r="AB1138" s="222">
        <f t="shared" si="157"/>
        <v>0</v>
      </c>
      <c r="AC1138" s="230">
        <f t="shared" si="158"/>
        <v>0</v>
      </c>
      <c r="AD1138" s="222" t="str">
        <f t="shared" si="159"/>
        <v/>
      </c>
      <c r="AE1138" s="201"/>
      <c r="AF1138" s="231" t="str">
        <f>+IFERROR(VLOOKUP(L1138,Data!$F$4:$G$97,2,0),"")</f>
        <v/>
      </c>
    </row>
    <row r="1139" spans="9:32" ht="15" customHeight="1" x14ac:dyDescent="0.3">
      <c r="I1139" s="201" t="str">
        <f t="shared" si="152"/>
        <v/>
      </c>
      <c r="J1139" s="218">
        <f t="shared" si="153"/>
        <v>1136</v>
      </c>
      <c r="K1139" s="250"/>
      <c r="L1139" s="219"/>
      <c r="M1139" s="218"/>
      <c r="N1139" s="220" t="str">
        <f>IFERROR(VLOOKUP(M1139,Data!$C$4:$D$395,2,0),"")</f>
        <v/>
      </c>
      <c r="O1139" s="220"/>
      <c r="P1139" s="229"/>
      <c r="Q1139" s="221"/>
      <c r="R1139" s="222" t="str">
        <f t="shared" si="154"/>
        <v>-</v>
      </c>
      <c r="S1139" s="223"/>
      <c r="T1139" s="224"/>
      <c r="U1139" s="225">
        <f t="shared" si="155"/>
        <v>0</v>
      </c>
      <c r="V1139" s="226">
        <v>0</v>
      </c>
      <c r="W1139" s="227"/>
      <c r="X1139" s="228">
        <f t="shared" si="156"/>
        <v>0</v>
      </c>
      <c r="Y1139" s="229"/>
      <c r="Z1139" s="229"/>
      <c r="AA1139" s="229"/>
      <c r="AB1139" s="222">
        <f t="shared" si="157"/>
        <v>0</v>
      </c>
      <c r="AC1139" s="230">
        <f t="shared" si="158"/>
        <v>0</v>
      </c>
      <c r="AD1139" s="222" t="str">
        <f t="shared" si="159"/>
        <v/>
      </c>
      <c r="AE1139" s="201"/>
      <c r="AF1139" s="231" t="str">
        <f>+IFERROR(VLOOKUP(L1139,Data!$F$4:$G$97,2,0),"")</f>
        <v/>
      </c>
    </row>
    <row r="1140" spans="9:32" ht="15" customHeight="1" x14ac:dyDescent="0.3">
      <c r="I1140" s="201" t="str">
        <f t="shared" si="152"/>
        <v/>
      </c>
      <c r="J1140" s="218">
        <f t="shared" si="153"/>
        <v>1137</v>
      </c>
      <c r="K1140" s="250"/>
      <c r="L1140" s="219"/>
      <c r="M1140" s="218"/>
      <c r="N1140" s="220" t="str">
        <f>IFERROR(VLOOKUP(M1140,Data!$C$4:$D$395,2,0),"")</f>
        <v/>
      </c>
      <c r="O1140" s="220"/>
      <c r="P1140" s="229"/>
      <c r="Q1140" s="221"/>
      <c r="R1140" s="222" t="str">
        <f t="shared" si="154"/>
        <v>-</v>
      </c>
      <c r="S1140" s="223"/>
      <c r="T1140" s="224"/>
      <c r="U1140" s="225">
        <f t="shared" si="155"/>
        <v>0</v>
      </c>
      <c r="V1140" s="226">
        <v>0</v>
      </c>
      <c r="W1140" s="227"/>
      <c r="X1140" s="228">
        <f t="shared" si="156"/>
        <v>0</v>
      </c>
      <c r="Y1140" s="229"/>
      <c r="Z1140" s="229"/>
      <c r="AA1140" s="229"/>
      <c r="AB1140" s="222">
        <f t="shared" si="157"/>
        <v>0</v>
      </c>
      <c r="AC1140" s="230">
        <f t="shared" si="158"/>
        <v>0</v>
      </c>
      <c r="AD1140" s="222" t="str">
        <f t="shared" si="159"/>
        <v/>
      </c>
      <c r="AE1140" s="201"/>
      <c r="AF1140" s="231" t="str">
        <f>+IFERROR(VLOOKUP(L1140,Data!$F$4:$G$97,2,0),"")</f>
        <v/>
      </c>
    </row>
    <row r="1141" spans="9:32" ht="15" customHeight="1" x14ac:dyDescent="0.3">
      <c r="I1141" s="201" t="str">
        <f t="shared" si="152"/>
        <v/>
      </c>
      <c r="J1141" s="218">
        <f t="shared" si="153"/>
        <v>1138</v>
      </c>
      <c r="K1141" s="250"/>
      <c r="L1141" s="219"/>
      <c r="M1141" s="218"/>
      <c r="N1141" s="220" t="str">
        <f>IFERROR(VLOOKUP(M1141,Data!$C$4:$D$395,2,0),"")</f>
        <v/>
      </c>
      <c r="O1141" s="220"/>
      <c r="P1141" s="229"/>
      <c r="Q1141" s="221"/>
      <c r="R1141" s="222" t="str">
        <f t="shared" si="154"/>
        <v>-</v>
      </c>
      <c r="S1141" s="223"/>
      <c r="T1141" s="224"/>
      <c r="U1141" s="225">
        <f t="shared" si="155"/>
        <v>0</v>
      </c>
      <c r="V1141" s="226">
        <v>0</v>
      </c>
      <c r="W1141" s="227"/>
      <c r="X1141" s="228">
        <f t="shared" si="156"/>
        <v>0</v>
      </c>
      <c r="Y1141" s="229"/>
      <c r="Z1141" s="229"/>
      <c r="AA1141" s="229"/>
      <c r="AB1141" s="222">
        <f t="shared" si="157"/>
        <v>0</v>
      </c>
      <c r="AC1141" s="230">
        <f t="shared" si="158"/>
        <v>0</v>
      </c>
      <c r="AD1141" s="222" t="str">
        <f t="shared" si="159"/>
        <v/>
      </c>
      <c r="AE1141" s="201"/>
      <c r="AF1141" s="231" t="str">
        <f>+IFERROR(VLOOKUP(L1141,Data!$F$4:$G$97,2,0),"")</f>
        <v/>
      </c>
    </row>
    <row r="1142" spans="9:32" ht="15" customHeight="1" x14ac:dyDescent="0.3">
      <c r="I1142" s="201" t="str">
        <f t="shared" si="152"/>
        <v/>
      </c>
      <c r="J1142" s="218">
        <f t="shared" si="153"/>
        <v>1139</v>
      </c>
      <c r="K1142" s="250"/>
      <c r="L1142" s="219"/>
      <c r="M1142" s="218"/>
      <c r="N1142" s="220" t="str">
        <f>IFERROR(VLOOKUP(M1142,Data!$C$4:$D$395,2,0),"")</f>
        <v/>
      </c>
      <c r="O1142" s="220"/>
      <c r="P1142" s="229"/>
      <c r="Q1142" s="221"/>
      <c r="R1142" s="222" t="str">
        <f t="shared" si="154"/>
        <v>-</v>
      </c>
      <c r="S1142" s="223"/>
      <c r="T1142" s="224"/>
      <c r="U1142" s="225">
        <f t="shared" si="155"/>
        <v>0</v>
      </c>
      <c r="V1142" s="226">
        <v>0</v>
      </c>
      <c r="W1142" s="227"/>
      <c r="X1142" s="228">
        <f t="shared" si="156"/>
        <v>0</v>
      </c>
      <c r="Y1142" s="229"/>
      <c r="Z1142" s="229"/>
      <c r="AA1142" s="229"/>
      <c r="AB1142" s="222">
        <f t="shared" si="157"/>
        <v>0</v>
      </c>
      <c r="AC1142" s="230">
        <f t="shared" si="158"/>
        <v>0</v>
      </c>
      <c r="AD1142" s="222" t="str">
        <f t="shared" si="159"/>
        <v/>
      </c>
      <c r="AE1142" s="201"/>
      <c r="AF1142" s="231" t="str">
        <f>+IFERROR(VLOOKUP(L1142,Data!$F$4:$G$97,2,0),"")</f>
        <v/>
      </c>
    </row>
    <row r="1143" spans="9:32" ht="15" customHeight="1" x14ac:dyDescent="0.3">
      <c r="I1143" s="201" t="str">
        <f t="shared" si="152"/>
        <v/>
      </c>
      <c r="J1143" s="218">
        <f t="shared" si="153"/>
        <v>1140</v>
      </c>
      <c r="K1143" s="250"/>
      <c r="L1143" s="219"/>
      <c r="M1143" s="218"/>
      <c r="N1143" s="220" t="str">
        <f>IFERROR(VLOOKUP(M1143,Data!$C$4:$D$395,2,0),"")</f>
        <v/>
      </c>
      <c r="O1143" s="220"/>
      <c r="P1143" s="229"/>
      <c r="Q1143" s="221"/>
      <c r="R1143" s="222" t="str">
        <f t="shared" si="154"/>
        <v>-</v>
      </c>
      <c r="S1143" s="223"/>
      <c r="T1143" s="224"/>
      <c r="U1143" s="225">
        <f t="shared" si="155"/>
        <v>0</v>
      </c>
      <c r="V1143" s="226">
        <v>0</v>
      </c>
      <c r="W1143" s="227"/>
      <c r="X1143" s="228">
        <f t="shared" si="156"/>
        <v>0</v>
      </c>
      <c r="Y1143" s="229"/>
      <c r="Z1143" s="229"/>
      <c r="AA1143" s="229"/>
      <c r="AB1143" s="222">
        <f t="shared" si="157"/>
        <v>0</v>
      </c>
      <c r="AC1143" s="230">
        <f t="shared" si="158"/>
        <v>0</v>
      </c>
      <c r="AD1143" s="222" t="str">
        <f t="shared" si="159"/>
        <v/>
      </c>
      <c r="AE1143" s="201"/>
      <c r="AF1143" s="231" t="str">
        <f>+IFERROR(VLOOKUP(L1143,Data!$F$4:$G$97,2,0),"")</f>
        <v/>
      </c>
    </row>
    <row r="1144" spans="9:32" ht="15" customHeight="1" x14ac:dyDescent="0.3">
      <c r="I1144" s="201" t="str">
        <f t="shared" si="152"/>
        <v/>
      </c>
      <c r="J1144" s="218">
        <f t="shared" si="153"/>
        <v>1141</v>
      </c>
      <c r="K1144" s="250"/>
      <c r="L1144" s="219"/>
      <c r="M1144" s="218"/>
      <c r="N1144" s="220" t="str">
        <f>IFERROR(VLOOKUP(M1144,Data!$C$4:$D$395,2,0),"")</f>
        <v/>
      </c>
      <c r="O1144" s="220"/>
      <c r="P1144" s="229"/>
      <c r="Q1144" s="221"/>
      <c r="R1144" s="222" t="str">
        <f t="shared" si="154"/>
        <v>-</v>
      </c>
      <c r="S1144" s="223"/>
      <c r="T1144" s="224"/>
      <c r="U1144" s="225">
        <f t="shared" si="155"/>
        <v>0</v>
      </c>
      <c r="V1144" s="226">
        <v>0</v>
      </c>
      <c r="W1144" s="227"/>
      <c r="X1144" s="228">
        <f t="shared" si="156"/>
        <v>0</v>
      </c>
      <c r="Y1144" s="229"/>
      <c r="Z1144" s="229"/>
      <c r="AA1144" s="229"/>
      <c r="AB1144" s="222">
        <f t="shared" si="157"/>
        <v>0</v>
      </c>
      <c r="AC1144" s="230">
        <f t="shared" si="158"/>
        <v>0</v>
      </c>
      <c r="AD1144" s="222" t="str">
        <f t="shared" si="159"/>
        <v/>
      </c>
      <c r="AE1144" s="201"/>
      <c r="AF1144" s="231" t="str">
        <f>+IFERROR(VLOOKUP(L1144,Data!$F$4:$G$97,2,0),"")</f>
        <v/>
      </c>
    </row>
    <row r="1145" spans="9:32" ht="15" customHeight="1" x14ac:dyDescent="0.3">
      <c r="I1145" s="201" t="str">
        <f t="shared" si="152"/>
        <v/>
      </c>
      <c r="J1145" s="218">
        <f t="shared" si="153"/>
        <v>1142</v>
      </c>
      <c r="K1145" s="250"/>
      <c r="L1145" s="219"/>
      <c r="M1145" s="218"/>
      <c r="N1145" s="220" t="str">
        <f>IFERROR(VLOOKUP(M1145,Data!$C$4:$D$395,2,0),"")</f>
        <v/>
      </c>
      <c r="O1145" s="220"/>
      <c r="P1145" s="229"/>
      <c r="Q1145" s="221"/>
      <c r="R1145" s="222" t="str">
        <f t="shared" si="154"/>
        <v>-</v>
      </c>
      <c r="S1145" s="223"/>
      <c r="T1145" s="224"/>
      <c r="U1145" s="225">
        <f t="shared" si="155"/>
        <v>0</v>
      </c>
      <c r="V1145" s="226">
        <v>0</v>
      </c>
      <c r="W1145" s="227"/>
      <c r="X1145" s="228">
        <f t="shared" si="156"/>
        <v>0</v>
      </c>
      <c r="Y1145" s="229"/>
      <c r="Z1145" s="229"/>
      <c r="AA1145" s="229"/>
      <c r="AB1145" s="222">
        <f t="shared" si="157"/>
        <v>0</v>
      </c>
      <c r="AC1145" s="230">
        <f t="shared" si="158"/>
        <v>0</v>
      </c>
      <c r="AD1145" s="222" t="str">
        <f t="shared" si="159"/>
        <v/>
      </c>
      <c r="AE1145" s="201"/>
      <c r="AF1145" s="231" t="str">
        <f>+IFERROR(VLOOKUP(L1145,Data!$F$4:$G$97,2,0),"")</f>
        <v/>
      </c>
    </row>
    <row r="1146" spans="9:32" ht="15" customHeight="1" x14ac:dyDescent="0.3">
      <c r="I1146" s="201" t="str">
        <f t="shared" si="152"/>
        <v/>
      </c>
      <c r="J1146" s="218">
        <f t="shared" si="153"/>
        <v>1143</v>
      </c>
      <c r="K1146" s="250"/>
      <c r="L1146" s="219"/>
      <c r="M1146" s="218"/>
      <c r="N1146" s="220" t="str">
        <f>IFERROR(VLOOKUP(M1146,Data!$C$4:$D$395,2,0),"")</f>
        <v/>
      </c>
      <c r="O1146" s="220"/>
      <c r="P1146" s="229"/>
      <c r="Q1146" s="221"/>
      <c r="R1146" s="222" t="str">
        <f t="shared" si="154"/>
        <v>-</v>
      </c>
      <c r="S1146" s="223"/>
      <c r="T1146" s="224"/>
      <c r="U1146" s="225">
        <f t="shared" si="155"/>
        <v>0</v>
      </c>
      <c r="V1146" s="226">
        <v>0</v>
      </c>
      <c r="W1146" s="227"/>
      <c r="X1146" s="228">
        <f t="shared" si="156"/>
        <v>0</v>
      </c>
      <c r="Y1146" s="229"/>
      <c r="Z1146" s="229"/>
      <c r="AA1146" s="229"/>
      <c r="AB1146" s="222">
        <f t="shared" si="157"/>
        <v>0</v>
      </c>
      <c r="AC1146" s="230">
        <f t="shared" si="158"/>
        <v>0</v>
      </c>
      <c r="AD1146" s="222" t="str">
        <f t="shared" si="159"/>
        <v/>
      </c>
      <c r="AE1146" s="201"/>
      <c r="AF1146" s="231" t="str">
        <f>+IFERROR(VLOOKUP(L1146,Data!$F$4:$G$97,2,0),"")</f>
        <v/>
      </c>
    </row>
    <row r="1147" spans="9:32" ht="15" customHeight="1" x14ac:dyDescent="0.3">
      <c r="I1147" s="201" t="str">
        <f t="shared" si="152"/>
        <v/>
      </c>
      <c r="J1147" s="218">
        <f t="shared" si="153"/>
        <v>1144</v>
      </c>
      <c r="K1147" s="250"/>
      <c r="L1147" s="219"/>
      <c r="M1147" s="218"/>
      <c r="N1147" s="220" t="str">
        <f>IFERROR(VLOOKUP(M1147,Data!$C$4:$D$395,2,0),"")</f>
        <v/>
      </c>
      <c r="O1147" s="220"/>
      <c r="P1147" s="229"/>
      <c r="Q1147" s="221"/>
      <c r="R1147" s="222" t="str">
        <f t="shared" si="154"/>
        <v>-</v>
      </c>
      <c r="S1147" s="223"/>
      <c r="T1147" s="224"/>
      <c r="U1147" s="225">
        <f t="shared" si="155"/>
        <v>0</v>
      </c>
      <c r="V1147" s="226">
        <v>0</v>
      </c>
      <c r="W1147" s="227"/>
      <c r="X1147" s="228">
        <f t="shared" si="156"/>
        <v>0</v>
      </c>
      <c r="Y1147" s="229"/>
      <c r="Z1147" s="229"/>
      <c r="AA1147" s="229"/>
      <c r="AB1147" s="222">
        <f t="shared" si="157"/>
        <v>0</v>
      </c>
      <c r="AC1147" s="230">
        <f t="shared" si="158"/>
        <v>0</v>
      </c>
      <c r="AD1147" s="222" t="str">
        <f t="shared" si="159"/>
        <v/>
      </c>
      <c r="AE1147" s="201"/>
      <c r="AF1147" s="231" t="str">
        <f>+IFERROR(VLOOKUP(L1147,Data!$F$4:$G$97,2,0),"")</f>
        <v/>
      </c>
    </row>
    <row r="1148" spans="9:32" ht="15" customHeight="1" x14ac:dyDescent="0.3">
      <c r="I1148" s="201" t="str">
        <f t="shared" si="152"/>
        <v/>
      </c>
      <c r="J1148" s="218">
        <f t="shared" si="153"/>
        <v>1145</v>
      </c>
      <c r="K1148" s="250"/>
      <c r="L1148" s="219"/>
      <c r="M1148" s="218"/>
      <c r="N1148" s="220" t="str">
        <f>IFERROR(VLOOKUP(M1148,Data!$C$4:$D$395,2,0),"")</f>
        <v/>
      </c>
      <c r="O1148" s="220"/>
      <c r="P1148" s="229"/>
      <c r="Q1148" s="221"/>
      <c r="R1148" s="222" t="str">
        <f t="shared" si="154"/>
        <v>-</v>
      </c>
      <c r="S1148" s="223"/>
      <c r="T1148" s="224"/>
      <c r="U1148" s="225">
        <f t="shared" si="155"/>
        <v>0</v>
      </c>
      <c r="V1148" s="226">
        <v>0</v>
      </c>
      <c r="W1148" s="227"/>
      <c r="X1148" s="228">
        <f t="shared" si="156"/>
        <v>0</v>
      </c>
      <c r="Y1148" s="229"/>
      <c r="Z1148" s="229"/>
      <c r="AA1148" s="229"/>
      <c r="AB1148" s="222">
        <f t="shared" si="157"/>
        <v>0</v>
      </c>
      <c r="AC1148" s="230">
        <f t="shared" si="158"/>
        <v>0</v>
      </c>
      <c r="AD1148" s="222" t="str">
        <f t="shared" si="159"/>
        <v/>
      </c>
      <c r="AE1148" s="201"/>
      <c r="AF1148" s="231" t="str">
        <f>+IFERROR(VLOOKUP(L1148,Data!$F$4:$G$97,2,0),"")</f>
        <v/>
      </c>
    </row>
    <row r="1149" spans="9:32" ht="15" customHeight="1" x14ac:dyDescent="0.3">
      <c r="I1149" s="201" t="str">
        <f t="shared" ref="I1149:I1212" si="160">+AF1149</f>
        <v/>
      </c>
      <c r="J1149" s="218">
        <f t="shared" si="153"/>
        <v>1146</v>
      </c>
      <c r="K1149" s="250"/>
      <c r="L1149" s="219"/>
      <c r="M1149" s="218"/>
      <c r="N1149" s="220" t="str">
        <f>IFERROR(VLOOKUP(M1149,Data!$C$4:$D$395,2,0),"")</f>
        <v/>
      </c>
      <c r="O1149" s="220"/>
      <c r="P1149" s="229"/>
      <c r="Q1149" s="221"/>
      <c r="R1149" s="222" t="str">
        <f t="shared" si="154"/>
        <v>-</v>
      </c>
      <c r="S1149" s="223"/>
      <c r="T1149" s="224"/>
      <c r="U1149" s="225">
        <f t="shared" si="155"/>
        <v>0</v>
      </c>
      <c r="V1149" s="226">
        <v>0</v>
      </c>
      <c r="W1149" s="227"/>
      <c r="X1149" s="228">
        <f t="shared" si="156"/>
        <v>0</v>
      </c>
      <c r="Y1149" s="229"/>
      <c r="Z1149" s="229"/>
      <c r="AA1149" s="229"/>
      <c r="AB1149" s="222">
        <f t="shared" si="157"/>
        <v>0</v>
      </c>
      <c r="AC1149" s="230">
        <f t="shared" si="158"/>
        <v>0</v>
      </c>
      <c r="AD1149" s="222" t="str">
        <f t="shared" si="159"/>
        <v/>
      </c>
      <c r="AE1149" s="201"/>
      <c r="AF1149" s="231" t="str">
        <f>+IFERROR(VLOOKUP(L1149,Data!$F$4:$G$97,2,0),"")</f>
        <v/>
      </c>
    </row>
    <row r="1150" spans="9:32" ht="15" customHeight="1" x14ac:dyDescent="0.3">
      <c r="I1150" s="201" t="str">
        <f t="shared" si="160"/>
        <v/>
      </c>
      <c r="J1150" s="218">
        <f t="shared" ref="J1150:J1213" si="161">J1149+1</f>
        <v>1147</v>
      </c>
      <c r="K1150" s="250"/>
      <c r="L1150" s="219"/>
      <c r="M1150" s="218"/>
      <c r="N1150" s="220" t="str">
        <f>IFERROR(VLOOKUP(M1150,Data!$C$4:$D$395,2,0),"")</f>
        <v/>
      </c>
      <c r="O1150" s="220"/>
      <c r="P1150" s="229"/>
      <c r="Q1150" s="221"/>
      <c r="R1150" s="222" t="str">
        <f t="shared" si="154"/>
        <v>-</v>
      </c>
      <c r="S1150" s="223"/>
      <c r="T1150" s="224"/>
      <c r="U1150" s="225">
        <f t="shared" si="155"/>
        <v>0</v>
      </c>
      <c r="V1150" s="226">
        <v>0</v>
      </c>
      <c r="W1150" s="227"/>
      <c r="X1150" s="228">
        <f t="shared" si="156"/>
        <v>0</v>
      </c>
      <c r="Y1150" s="229"/>
      <c r="Z1150" s="229"/>
      <c r="AA1150" s="229"/>
      <c r="AB1150" s="222">
        <f t="shared" si="157"/>
        <v>0</v>
      </c>
      <c r="AC1150" s="230">
        <f t="shared" si="158"/>
        <v>0</v>
      </c>
      <c r="AD1150" s="222" t="str">
        <f t="shared" si="159"/>
        <v/>
      </c>
      <c r="AE1150" s="201"/>
      <c r="AF1150" s="231" t="str">
        <f>+IFERROR(VLOOKUP(L1150,Data!$F$4:$G$97,2,0),"")</f>
        <v/>
      </c>
    </row>
    <row r="1151" spans="9:32" ht="15" customHeight="1" x14ac:dyDescent="0.3">
      <c r="I1151" s="201" t="str">
        <f t="shared" si="160"/>
        <v/>
      </c>
      <c r="J1151" s="218">
        <f t="shared" si="161"/>
        <v>1148</v>
      </c>
      <c r="K1151" s="250"/>
      <c r="L1151" s="219"/>
      <c r="M1151" s="218"/>
      <c r="N1151" s="220" t="str">
        <f>IFERROR(VLOOKUP(M1151,Data!$C$4:$D$395,2,0),"")</f>
        <v/>
      </c>
      <c r="O1151" s="220"/>
      <c r="P1151" s="229"/>
      <c r="Q1151" s="221"/>
      <c r="R1151" s="222" t="str">
        <f t="shared" si="154"/>
        <v>-</v>
      </c>
      <c r="S1151" s="223"/>
      <c r="T1151" s="224"/>
      <c r="U1151" s="225">
        <f t="shared" si="155"/>
        <v>0</v>
      </c>
      <c r="V1151" s="226">
        <v>0</v>
      </c>
      <c r="W1151" s="227"/>
      <c r="X1151" s="228">
        <f t="shared" si="156"/>
        <v>0</v>
      </c>
      <c r="Y1151" s="229"/>
      <c r="Z1151" s="229"/>
      <c r="AA1151" s="229"/>
      <c r="AB1151" s="222">
        <f t="shared" si="157"/>
        <v>0</v>
      </c>
      <c r="AC1151" s="230">
        <f t="shared" si="158"/>
        <v>0</v>
      </c>
      <c r="AD1151" s="222" t="str">
        <f t="shared" si="159"/>
        <v/>
      </c>
      <c r="AE1151" s="201"/>
      <c r="AF1151" s="231" t="str">
        <f>+IFERROR(VLOOKUP(L1151,Data!$F$4:$G$97,2,0),"")</f>
        <v/>
      </c>
    </row>
    <row r="1152" spans="9:32" ht="15" customHeight="1" x14ac:dyDescent="0.3">
      <c r="I1152" s="201" t="str">
        <f t="shared" si="160"/>
        <v/>
      </c>
      <c r="J1152" s="218">
        <f t="shared" si="161"/>
        <v>1149</v>
      </c>
      <c r="K1152" s="250"/>
      <c r="L1152" s="219"/>
      <c r="M1152" s="218"/>
      <c r="N1152" s="220" t="str">
        <f>IFERROR(VLOOKUP(M1152,Data!$C$4:$D$395,2,0),"")</f>
        <v/>
      </c>
      <c r="O1152" s="220"/>
      <c r="P1152" s="229"/>
      <c r="Q1152" s="221"/>
      <c r="R1152" s="222" t="str">
        <f t="shared" ref="R1152:R1215" si="162">IFERROR(Q1152/P1152, "-")</f>
        <v>-</v>
      </c>
      <c r="S1152" s="223"/>
      <c r="T1152" s="224"/>
      <c r="U1152" s="225">
        <f t="shared" ref="U1152:U1215" si="163">+Q1152*S1152+P1152*T1152</f>
        <v>0</v>
      </c>
      <c r="V1152" s="226">
        <v>0</v>
      </c>
      <c r="W1152" s="227"/>
      <c r="X1152" s="228">
        <f t="shared" ref="X1152:X1215" si="164">+Q1152*V1152+P1152*W1152</f>
        <v>0</v>
      </c>
      <c r="Y1152" s="229"/>
      <c r="Z1152" s="229"/>
      <c r="AA1152" s="229"/>
      <c r="AB1152" s="222">
        <f t="shared" ref="AB1152:AB1215" si="165">+Y1152+Z1152+AA1152</f>
        <v>0</v>
      </c>
      <c r="AC1152" s="230">
        <f t="shared" ref="AC1152:AC1215" si="166">IF((U1152-Y1152-Z1152-AA1152)&lt;0,"",(U1152-Y1152-Z1152-AA1152))</f>
        <v>0</v>
      </c>
      <c r="AD1152" s="222" t="str">
        <f t="shared" ref="AD1152:AD1215" si="167">IF((U1152-Y1152-Z1152-AA1152)&lt;0,(Y1152+Z1152+AA1152-U1152),"")</f>
        <v/>
      </c>
      <c r="AE1152" s="201"/>
      <c r="AF1152" s="231" t="str">
        <f>+IFERROR(VLOOKUP(L1152,Data!$F$4:$G$97,2,0),"")</f>
        <v/>
      </c>
    </row>
    <row r="1153" spans="9:32" ht="15" customHeight="1" x14ac:dyDescent="0.3">
      <c r="I1153" s="201" t="str">
        <f t="shared" si="160"/>
        <v/>
      </c>
      <c r="J1153" s="218">
        <f t="shared" si="161"/>
        <v>1150</v>
      </c>
      <c r="K1153" s="250"/>
      <c r="L1153" s="219"/>
      <c r="M1153" s="218"/>
      <c r="N1153" s="220" t="str">
        <f>IFERROR(VLOOKUP(M1153,Data!$C$4:$D$395,2,0),"")</f>
        <v/>
      </c>
      <c r="O1153" s="220"/>
      <c r="P1153" s="229"/>
      <c r="Q1153" s="221"/>
      <c r="R1153" s="222" t="str">
        <f t="shared" si="162"/>
        <v>-</v>
      </c>
      <c r="S1153" s="223"/>
      <c r="T1153" s="224"/>
      <c r="U1153" s="225">
        <f t="shared" si="163"/>
        <v>0</v>
      </c>
      <c r="V1153" s="226">
        <v>0</v>
      </c>
      <c r="W1153" s="227"/>
      <c r="X1153" s="228">
        <f t="shared" si="164"/>
        <v>0</v>
      </c>
      <c r="Y1153" s="229"/>
      <c r="Z1153" s="229"/>
      <c r="AA1153" s="229"/>
      <c r="AB1153" s="222">
        <f t="shared" si="165"/>
        <v>0</v>
      </c>
      <c r="AC1153" s="230">
        <f t="shared" si="166"/>
        <v>0</v>
      </c>
      <c r="AD1153" s="222" t="str">
        <f t="shared" si="167"/>
        <v/>
      </c>
      <c r="AE1153" s="201"/>
      <c r="AF1153" s="231" t="str">
        <f>+IFERROR(VLOOKUP(L1153,Data!$F$4:$G$97,2,0),"")</f>
        <v/>
      </c>
    </row>
    <row r="1154" spans="9:32" ht="15" customHeight="1" x14ac:dyDescent="0.3">
      <c r="I1154" s="201" t="str">
        <f t="shared" si="160"/>
        <v/>
      </c>
      <c r="J1154" s="218">
        <f t="shared" si="161"/>
        <v>1151</v>
      </c>
      <c r="K1154" s="250"/>
      <c r="L1154" s="219"/>
      <c r="M1154" s="218"/>
      <c r="N1154" s="220" t="str">
        <f>IFERROR(VLOOKUP(M1154,Data!$C$4:$D$395,2,0),"")</f>
        <v/>
      </c>
      <c r="O1154" s="220"/>
      <c r="P1154" s="229"/>
      <c r="Q1154" s="221"/>
      <c r="R1154" s="222" t="str">
        <f t="shared" si="162"/>
        <v>-</v>
      </c>
      <c r="S1154" s="223"/>
      <c r="T1154" s="224"/>
      <c r="U1154" s="225">
        <f t="shared" si="163"/>
        <v>0</v>
      </c>
      <c r="V1154" s="226">
        <v>0</v>
      </c>
      <c r="W1154" s="227"/>
      <c r="X1154" s="228">
        <f t="shared" si="164"/>
        <v>0</v>
      </c>
      <c r="Y1154" s="229"/>
      <c r="Z1154" s="229"/>
      <c r="AA1154" s="229"/>
      <c r="AB1154" s="222">
        <f t="shared" si="165"/>
        <v>0</v>
      </c>
      <c r="AC1154" s="230">
        <f t="shared" si="166"/>
        <v>0</v>
      </c>
      <c r="AD1154" s="222" t="str">
        <f t="shared" si="167"/>
        <v/>
      </c>
      <c r="AE1154" s="201"/>
      <c r="AF1154" s="231" t="str">
        <f>+IFERROR(VLOOKUP(L1154,Data!$F$4:$G$97,2,0),"")</f>
        <v/>
      </c>
    </row>
    <row r="1155" spans="9:32" ht="15" customHeight="1" x14ac:dyDescent="0.3">
      <c r="I1155" s="201" t="str">
        <f t="shared" si="160"/>
        <v/>
      </c>
      <c r="J1155" s="218">
        <f t="shared" si="161"/>
        <v>1152</v>
      </c>
      <c r="K1155" s="250"/>
      <c r="L1155" s="219"/>
      <c r="M1155" s="218"/>
      <c r="N1155" s="220" t="str">
        <f>IFERROR(VLOOKUP(M1155,Data!$C$4:$D$395,2,0),"")</f>
        <v/>
      </c>
      <c r="O1155" s="220"/>
      <c r="P1155" s="229"/>
      <c r="Q1155" s="221"/>
      <c r="R1155" s="222" t="str">
        <f t="shared" si="162"/>
        <v>-</v>
      </c>
      <c r="S1155" s="223"/>
      <c r="T1155" s="224"/>
      <c r="U1155" s="225">
        <f t="shared" si="163"/>
        <v>0</v>
      </c>
      <c r="V1155" s="226">
        <v>0</v>
      </c>
      <c r="W1155" s="227"/>
      <c r="X1155" s="228">
        <f t="shared" si="164"/>
        <v>0</v>
      </c>
      <c r="Y1155" s="229"/>
      <c r="Z1155" s="229"/>
      <c r="AA1155" s="229"/>
      <c r="AB1155" s="222">
        <f t="shared" si="165"/>
        <v>0</v>
      </c>
      <c r="AC1155" s="230">
        <f t="shared" si="166"/>
        <v>0</v>
      </c>
      <c r="AD1155" s="222" t="str">
        <f t="shared" si="167"/>
        <v/>
      </c>
      <c r="AE1155" s="201"/>
      <c r="AF1155" s="231" t="str">
        <f>+IFERROR(VLOOKUP(L1155,Data!$F$4:$G$97,2,0),"")</f>
        <v/>
      </c>
    </row>
    <row r="1156" spans="9:32" ht="15" customHeight="1" x14ac:dyDescent="0.3">
      <c r="I1156" s="201" t="str">
        <f t="shared" si="160"/>
        <v/>
      </c>
      <c r="J1156" s="218">
        <f t="shared" si="161"/>
        <v>1153</v>
      </c>
      <c r="K1156" s="250"/>
      <c r="L1156" s="219"/>
      <c r="M1156" s="218"/>
      <c r="N1156" s="220" t="str">
        <f>IFERROR(VLOOKUP(M1156,Data!$C$4:$D$395,2,0),"")</f>
        <v/>
      </c>
      <c r="O1156" s="220"/>
      <c r="P1156" s="229"/>
      <c r="Q1156" s="221"/>
      <c r="R1156" s="222" t="str">
        <f t="shared" si="162"/>
        <v>-</v>
      </c>
      <c r="S1156" s="223"/>
      <c r="T1156" s="224"/>
      <c r="U1156" s="225">
        <f t="shared" si="163"/>
        <v>0</v>
      </c>
      <c r="V1156" s="226">
        <v>0</v>
      </c>
      <c r="W1156" s="227"/>
      <c r="X1156" s="228">
        <f t="shared" si="164"/>
        <v>0</v>
      </c>
      <c r="Y1156" s="229"/>
      <c r="Z1156" s="229"/>
      <c r="AA1156" s="229"/>
      <c r="AB1156" s="222">
        <f t="shared" si="165"/>
        <v>0</v>
      </c>
      <c r="AC1156" s="230">
        <f t="shared" si="166"/>
        <v>0</v>
      </c>
      <c r="AD1156" s="222" t="str">
        <f t="shared" si="167"/>
        <v/>
      </c>
      <c r="AE1156" s="201"/>
      <c r="AF1156" s="231" t="str">
        <f>+IFERROR(VLOOKUP(L1156,Data!$F$4:$G$97,2,0),"")</f>
        <v/>
      </c>
    </row>
    <row r="1157" spans="9:32" ht="15" customHeight="1" x14ac:dyDescent="0.3">
      <c r="I1157" s="201" t="str">
        <f t="shared" si="160"/>
        <v/>
      </c>
      <c r="J1157" s="218">
        <f t="shared" si="161"/>
        <v>1154</v>
      </c>
      <c r="K1157" s="250"/>
      <c r="L1157" s="219"/>
      <c r="M1157" s="218"/>
      <c r="N1157" s="220" t="str">
        <f>IFERROR(VLOOKUP(M1157,Data!$C$4:$D$395,2,0),"")</f>
        <v/>
      </c>
      <c r="O1157" s="220"/>
      <c r="P1157" s="229"/>
      <c r="Q1157" s="221"/>
      <c r="R1157" s="222" t="str">
        <f t="shared" si="162"/>
        <v>-</v>
      </c>
      <c r="S1157" s="223"/>
      <c r="T1157" s="224"/>
      <c r="U1157" s="225">
        <f t="shared" si="163"/>
        <v>0</v>
      </c>
      <c r="V1157" s="226">
        <v>0</v>
      </c>
      <c r="W1157" s="227"/>
      <c r="X1157" s="228">
        <f t="shared" si="164"/>
        <v>0</v>
      </c>
      <c r="Y1157" s="229"/>
      <c r="Z1157" s="229"/>
      <c r="AA1157" s="229"/>
      <c r="AB1157" s="222">
        <f t="shared" si="165"/>
        <v>0</v>
      </c>
      <c r="AC1157" s="230">
        <f t="shared" si="166"/>
        <v>0</v>
      </c>
      <c r="AD1157" s="222" t="str">
        <f t="shared" si="167"/>
        <v/>
      </c>
      <c r="AE1157" s="201"/>
      <c r="AF1157" s="231" t="str">
        <f>+IFERROR(VLOOKUP(L1157,Data!$F$4:$G$97,2,0),"")</f>
        <v/>
      </c>
    </row>
    <row r="1158" spans="9:32" ht="15" customHeight="1" x14ac:dyDescent="0.3">
      <c r="I1158" s="201" t="str">
        <f t="shared" si="160"/>
        <v/>
      </c>
      <c r="J1158" s="218">
        <f t="shared" si="161"/>
        <v>1155</v>
      </c>
      <c r="K1158" s="250"/>
      <c r="L1158" s="219"/>
      <c r="M1158" s="218"/>
      <c r="N1158" s="220" t="str">
        <f>IFERROR(VLOOKUP(M1158,Data!$C$4:$D$395,2,0),"")</f>
        <v/>
      </c>
      <c r="O1158" s="220"/>
      <c r="P1158" s="229"/>
      <c r="Q1158" s="221"/>
      <c r="R1158" s="222" t="str">
        <f t="shared" si="162"/>
        <v>-</v>
      </c>
      <c r="S1158" s="223"/>
      <c r="T1158" s="224"/>
      <c r="U1158" s="225">
        <f t="shared" si="163"/>
        <v>0</v>
      </c>
      <c r="V1158" s="226">
        <v>0</v>
      </c>
      <c r="W1158" s="227"/>
      <c r="X1158" s="228">
        <f t="shared" si="164"/>
        <v>0</v>
      </c>
      <c r="Y1158" s="229"/>
      <c r="Z1158" s="229"/>
      <c r="AA1158" s="229"/>
      <c r="AB1158" s="222">
        <f t="shared" si="165"/>
        <v>0</v>
      </c>
      <c r="AC1158" s="230">
        <f t="shared" si="166"/>
        <v>0</v>
      </c>
      <c r="AD1158" s="222" t="str">
        <f t="shared" si="167"/>
        <v/>
      </c>
      <c r="AE1158" s="201"/>
      <c r="AF1158" s="231" t="str">
        <f>+IFERROR(VLOOKUP(L1158,Data!$F$4:$G$97,2,0),"")</f>
        <v/>
      </c>
    </row>
    <row r="1159" spans="9:32" ht="15" customHeight="1" x14ac:dyDescent="0.3">
      <c r="I1159" s="201" t="str">
        <f t="shared" si="160"/>
        <v/>
      </c>
      <c r="J1159" s="218">
        <f t="shared" si="161"/>
        <v>1156</v>
      </c>
      <c r="K1159" s="250"/>
      <c r="L1159" s="219"/>
      <c r="M1159" s="218"/>
      <c r="N1159" s="220" t="str">
        <f>IFERROR(VLOOKUP(M1159,Data!$C$4:$D$395,2,0),"")</f>
        <v/>
      </c>
      <c r="O1159" s="220"/>
      <c r="P1159" s="229"/>
      <c r="Q1159" s="221"/>
      <c r="R1159" s="222" t="str">
        <f t="shared" si="162"/>
        <v>-</v>
      </c>
      <c r="S1159" s="223"/>
      <c r="T1159" s="224"/>
      <c r="U1159" s="225">
        <f t="shared" si="163"/>
        <v>0</v>
      </c>
      <c r="V1159" s="226">
        <v>0</v>
      </c>
      <c r="W1159" s="227"/>
      <c r="X1159" s="228">
        <f t="shared" si="164"/>
        <v>0</v>
      </c>
      <c r="Y1159" s="229"/>
      <c r="Z1159" s="229"/>
      <c r="AA1159" s="229"/>
      <c r="AB1159" s="222">
        <f t="shared" si="165"/>
        <v>0</v>
      </c>
      <c r="AC1159" s="230">
        <f t="shared" si="166"/>
        <v>0</v>
      </c>
      <c r="AD1159" s="222" t="str">
        <f t="shared" si="167"/>
        <v/>
      </c>
      <c r="AE1159" s="201"/>
      <c r="AF1159" s="231" t="str">
        <f>+IFERROR(VLOOKUP(L1159,Data!$F$4:$G$97,2,0),"")</f>
        <v/>
      </c>
    </row>
    <row r="1160" spans="9:32" ht="15" customHeight="1" x14ac:dyDescent="0.3">
      <c r="I1160" s="201" t="str">
        <f t="shared" si="160"/>
        <v/>
      </c>
      <c r="J1160" s="218">
        <f t="shared" si="161"/>
        <v>1157</v>
      </c>
      <c r="K1160" s="250"/>
      <c r="L1160" s="219"/>
      <c r="M1160" s="218"/>
      <c r="N1160" s="220" t="str">
        <f>IFERROR(VLOOKUP(M1160,Data!$C$4:$D$395,2,0),"")</f>
        <v/>
      </c>
      <c r="O1160" s="220"/>
      <c r="P1160" s="229"/>
      <c r="Q1160" s="221"/>
      <c r="R1160" s="222" t="str">
        <f t="shared" si="162"/>
        <v>-</v>
      </c>
      <c r="S1160" s="223"/>
      <c r="T1160" s="224"/>
      <c r="U1160" s="225">
        <f t="shared" si="163"/>
        <v>0</v>
      </c>
      <c r="V1160" s="226">
        <v>0</v>
      </c>
      <c r="W1160" s="227"/>
      <c r="X1160" s="228">
        <f t="shared" si="164"/>
        <v>0</v>
      </c>
      <c r="Y1160" s="229"/>
      <c r="Z1160" s="229"/>
      <c r="AA1160" s="229"/>
      <c r="AB1160" s="222">
        <f t="shared" si="165"/>
        <v>0</v>
      </c>
      <c r="AC1160" s="230">
        <f t="shared" si="166"/>
        <v>0</v>
      </c>
      <c r="AD1160" s="222" t="str">
        <f t="shared" si="167"/>
        <v/>
      </c>
      <c r="AE1160" s="201"/>
      <c r="AF1160" s="231" t="str">
        <f>+IFERROR(VLOOKUP(L1160,Data!$F$4:$G$97,2,0),"")</f>
        <v/>
      </c>
    </row>
    <row r="1161" spans="9:32" ht="15" customHeight="1" x14ac:dyDescent="0.3">
      <c r="I1161" s="201" t="str">
        <f t="shared" si="160"/>
        <v/>
      </c>
      <c r="J1161" s="218">
        <f t="shared" si="161"/>
        <v>1158</v>
      </c>
      <c r="K1161" s="250"/>
      <c r="L1161" s="219"/>
      <c r="M1161" s="218"/>
      <c r="N1161" s="220" t="str">
        <f>IFERROR(VLOOKUP(M1161,Data!$C$4:$D$395,2,0),"")</f>
        <v/>
      </c>
      <c r="O1161" s="220"/>
      <c r="P1161" s="229"/>
      <c r="Q1161" s="221"/>
      <c r="R1161" s="222" t="str">
        <f t="shared" si="162"/>
        <v>-</v>
      </c>
      <c r="S1161" s="223"/>
      <c r="T1161" s="224"/>
      <c r="U1161" s="225">
        <f t="shared" si="163"/>
        <v>0</v>
      </c>
      <c r="V1161" s="226">
        <v>0</v>
      </c>
      <c r="W1161" s="227"/>
      <c r="X1161" s="228">
        <f t="shared" si="164"/>
        <v>0</v>
      </c>
      <c r="Y1161" s="229"/>
      <c r="Z1161" s="229"/>
      <c r="AA1161" s="229"/>
      <c r="AB1161" s="222">
        <f t="shared" si="165"/>
        <v>0</v>
      </c>
      <c r="AC1161" s="230">
        <f t="shared" si="166"/>
        <v>0</v>
      </c>
      <c r="AD1161" s="222" t="str">
        <f t="shared" si="167"/>
        <v/>
      </c>
      <c r="AE1161" s="201"/>
      <c r="AF1161" s="231" t="str">
        <f>+IFERROR(VLOOKUP(L1161,Data!$F$4:$G$97,2,0),"")</f>
        <v/>
      </c>
    </row>
    <row r="1162" spans="9:32" ht="15" customHeight="1" x14ac:dyDescent="0.3">
      <c r="I1162" s="201" t="str">
        <f t="shared" si="160"/>
        <v/>
      </c>
      <c r="J1162" s="218">
        <f t="shared" si="161"/>
        <v>1159</v>
      </c>
      <c r="K1162" s="250"/>
      <c r="L1162" s="219"/>
      <c r="M1162" s="218"/>
      <c r="N1162" s="220" t="str">
        <f>IFERROR(VLOOKUP(M1162,Data!$C$4:$D$395,2,0),"")</f>
        <v/>
      </c>
      <c r="O1162" s="220"/>
      <c r="P1162" s="229"/>
      <c r="Q1162" s="221"/>
      <c r="R1162" s="222" t="str">
        <f t="shared" si="162"/>
        <v>-</v>
      </c>
      <c r="S1162" s="223"/>
      <c r="T1162" s="224"/>
      <c r="U1162" s="225">
        <f t="shared" si="163"/>
        <v>0</v>
      </c>
      <c r="V1162" s="226">
        <v>0</v>
      </c>
      <c r="W1162" s="227"/>
      <c r="X1162" s="228">
        <f t="shared" si="164"/>
        <v>0</v>
      </c>
      <c r="Y1162" s="229"/>
      <c r="Z1162" s="229"/>
      <c r="AA1162" s="229"/>
      <c r="AB1162" s="222">
        <f t="shared" si="165"/>
        <v>0</v>
      </c>
      <c r="AC1162" s="230">
        <f t="shared" si="166"/>
        <v>0</v>
      </c>
      <c r="AD1162" s="222" t="str">
        <f t="shared" si="167"/>
        <v/>
      </c>
      <c r="AE1162" s="201"/>
      <c r="AF1162" s="231" t="str">
        <f>+IFERROR(VLOOKUP(L1162,Data!$F$4:$G$97,2,0),"")</f>
        <v/>
      </c>
    </row>
    <row r="1163" spans="9:32" ht="15" customHeight="1" x14ac:dyDescent="0.3">
      <c r="I1163" s="201" t="str">
        <f t="shared" si="160"/>
        <v/>
      </c>
      <c r="J1163" s="218">
        <f t="shared" si="161"/>
        <v>1160</v>
      </c>
      <c r="K1163" s="250"/>
      <c r="L1163" s="219"/>
      <c r="M1163" s="218"/>
      <c r="N1163" s="220" t="str">
        <f>IFERROR(VLOOKUP(M1163,Data!$C$4:$D$395,2,0),"")</f>
        <v/>
      </c>
      <c r="O1163" s="220"/>
      <c r="P1163" s="229"/>
      <c r="Q1163" s="221"/>
      <c r="R1163" s="222" t="str">
        <f t="shared" si="162"/>
        <v>-</v>
      </c>
      <c r="S1163" s="223"/>
      <c r="T1163" s="224"/>
      <c r="U1163" s="225">
        <f t="shared" si="163"/>
        <v>0</v>
      </c>
      <c r="V1163" s="226">
        <v>0</v>
      </c>
      <c r="W1163" s="227"/>
      <c r="X1163" s="228">
        <f t="shared" si="164"/>
        <v>0</v>
      </c>
      <c r="Y1163" s="229"/>
      <c r="Z1163" s="229"/>
      <c r="AA1163" s="229"/>
      <c r="AB1163" s="222">
        <f t="shared" si="165"/>
        <v>0</v>
      </c>
      <c r="AC1163" s="230">
        <f t="shared" si="166"/>
        <v>0</v>
      </c>
      <c r="AD1163" s="222" t="str">
        <f t="shared" si="167"/>
        <v/>
      </c>
      <c r="AE1163" s="201"/>
      <c r="AF1163" s="231" t="str">
        <f>+IFERROR(VLOOKUP(L1163,Data!$F$4:$G$97,2,0),"")</f>
        <v/>
      </c>
    </row>
    <row r="1164" spans="9:32" ht="15" customHeight="1" x14ac:dyDescent="0.3">
      <c r="I1164" s="201" t="str">
        <f t="shared" si="160"/>
        <v/>
      </c>
      <c r="J1164" s="218">
        <f t="shared" si="161"/>
        <v>1161</v>
      </c>
      <c r="K1164" s="250"/>
      <c r="L1164" s="219"/>
      <c r="M1164" s="218"/>
      <c r="N1164" s="220" t="str">
        <f>IFERROR(VLOOKUP(M1164,Data!$C$4:$D$395,2,0),"")</f>
        <v/>
      </c>
      <c r="O1164" s="220"/>
      <c r="P1164" s="229"/>
      <c r="Q1164" s="221"/>
      <c r="R1164" s="222" t="str">
        <f t="shared" si="162"/>
        <v>-</v>
      </c>
      <c r="S1164" s="223"/>
      <c r="T1164" s="224"/>
      <c r="U1164" s="225">
        <f t="shared" si="163"/>
        <v>0</v>
      </c>
      <c r="V1164" s="226">
        <v>0</v>
      </c>
      <c r="W1164" s="227"/>
      <c r="X1164" s="228">
        <f t="shared" si="164"/>
        <v>0</v>
      </c>
      <c r="Y1164" s="229"/>
      <c r="Z1164" s="229"/>
      <c r="AA1164" s="229"/>
      <c r="AB1164" s="222">
        <f t="shared" si="165"/>
        <v>0</v>
      </c>
      <c r="AC1164" s="230">
        <f t="shared" si="166"/>
        <v>0</v>
      </c>
      <c r="AD1164" s="222" t="str">
        <f t="shared" si="167"/>
        <v/>
      </c>
      <c r="AE1164" s="201"/>
      <c r="AF1164" s="231" t="str">
        <f>+IFERROR(VLOOKUP(L1164,Data!$F$4:$G$97,2,0),"")</f>
        <v/>
      </c>
    </row>
    <row r="1165" spans="9:32" ht="15" customHeight="1" x14ac:dyDescent="0.3">
      <c r="I1165" s="201" t="str">
        <f t="shared" si="160"/>
        <v/>
      </c>
      <c r="J1165" s="218">
        <f t="shared" si="161"/>
        <v>1162</v>
      </c>
      <c r="K1165" s="250"/>
      <c r="L1165" s="219"/>
      <c r="M1165" s="218"/>
      <c r="N1165" s="220" t="str">
        <f>IFERROR(VLOOKUP(M1165,Data!$C$4:$D$395,2,0),"")</f>
        <v/>
      </c>
      <c r="O1165" s="220"/>
      <c r="P1165" s="229"/>
      <c r="Q1165" s="221"/>
      <c r="R1165" s="222" t="str">
        <f t="shared" si="162"/>
        <v>-</v>
      </c>
      <c r="S1165" s="223"/>
      <c r="T1165" s="224"/>
      <c r="U1165" s="225">
        <f t="shared" si="163"/>
        <v>0</v>
      </c>
      <c r="V1165" s="226">
        <v>0</v>
      </c>
      <c r="W1165" s="227"/>
      <c r="X1165" s="228">
        <f t="shared" si="164"/>
        <v>0</v>
      </c>
      <c r="Y1165" s="229"/>
      <c r="Z1165" s="229"/>
      <c r="AA1165" s="229"/>
      <c r="AB1165" s="222">
        <f t="shared" si="165"/>
        <v>0</v>
      </c>
      <c r="AC1165" s="230">
        <f t="shared" si="166"/>
        <v>0</v>
      </c>
      <c r="AD1165" s="222" t="str">
        <f t="shared" si="167"/>
        <v/>
      </c>
      <c r="AE1165" s="201"/>
      <c r="AF1165" s="231" t="str">
        <f>+IFERROR(VLOOKUP(L1165,Data!$F$4:$G$97,2,0),"")</f>
        <v/>
      </c>
    </row>
    <row r="1166" spans="9:32" ht="15" customHeight="1" x14ac:dyDescent="0.3">
      <c r="I1166" s="201" t="str">
        <f t="shared" si="160"/>
        <v/>
      </c>
      <c r="J1166" s="218">
        <f t="shared" si="161"/>
        <v>1163</v>
      </c>
      <c r="K1166" s="250"/>
      <c r="L1166" s="219"/>
      <c r="M1166" s="218"/>
      <c r="N1166" s="220" t="str">
        <f>IFERROR(VLOOKUP(M1166,Data!$C$4:$D$395,2,0),"")</f>
        <v/>
      </c>
      <c r="O1166" s="220"/>
      <c r="P1166" s="229"/>
      <c r="Q1166" s="221"/>
      <c r="R1166" s="222" t="str">
        <f t="shared" si="162"/>
        <v>-</v>
      </c>
      <c r="S1166" s="223"/>
      <c r="T1166" s="224"/>
      <c r="U1166" s="225">
        <f t="shared" si="163"/>
        <v>0</v>
      </c>
      <c r="V1166" s="226">
        <v>0</v>
      </c>
      <c r="W1166" s="227"/>
      <c r="X1166" s="228">
        <f t="shared" si="164"/>
        <v>0</v>
      </c>
      <c r="Y1166" s="229"/>
      <c r="Z1166" s="229"/>
      <c r="AA1166" s="229"/>
      <c r="AB1166" s="222">
        <f t="shared" si="165"/>
        <v>0</v>
      </c>
      <c r="AC1166" s="230">
        <f t="shared" si="166"/>
        <v>0</v>
      </c>
      <c r="AD1166" s="222" t="str">
        <f t="shared" si="167"/>
        <v/>
      </c>
      <c r="AE1166" s="201"/>
      <c r="AF1166" s="231" t="str">
        <f>+IFERROR(VLOOKUP(L1166,Data!$F$4:$G$97,2,0),"")</f>
        <v/>
      </c>
    </row>
    <row r="1167" spans="9:32" ht="15" customHeight="1" x14ac:dyDescent="0.3">
      <c r="I1167" s="201" t="str">
        <f t="shared" si="160"/>
        <v/>
      </c>
      <c r="J1167" s="218">
        <f t="shared" si="161"/>
        <v>1164</v>
      </c>
      <c r="K1167" s="250"/>
      <c r="L1167" s="219"/>
      <c r="M1167" s="218"/>
      <c r="N1167" s="220" t="str">
        <f>IFERROR(VLOOKUP(M1167,Data!$C$4:$D$395,2,0),"")</f>
        <v/>
      </c>
      <c r="O1167" s="220"/>
      <c r="P1167" s="229"/>
      <c r="Q1167" s="221"/>
      <c r="R1167" s="222" t="str">
        <f t="shared" si="162"/>
        <v>-</v>
      </c>
      <c r="S1167" s="223"/>
      <c r="T1167" s="224"/>
      <c r="U1167" s="225">
        <f t="shared" si="163"/>
        <v>0</v>
      </c>
      <c r="V1167" s="226">
        <v>0</v>
      </c>
      <c r="W1167" s="227"/>
      <c r="X1167" s="228">
        <f t="shared" si="164"/>
        <v>0</v>
      </c>
      <c r="Y1167" s="229"/>
      <c r="Z1167" s="229"/>
      <c r="AA1167" s="229"/>
      <c r="AB1167" s="222">
        <f t="shared" si="165"/>
        <v>0</v>
      </c>
      <c r="AC1167" s="230">
        <f t="shared" si="166"/>
        <v>0</v>
      </c>
      <c r="AD1167" s="222" t="str">
        <f t="shared" si="167"/>
        <v/>
      </c>
      <c r="AE1167" s="201"/>
      <c r="AF1167" s="231" t="str">
        <f>+IFERROR(VLOOKUP(L1167,Data!$F$4:$G$97,2,0),"")</f>
        <v/>
      </c>
    </row>
    <row r="1168" spans="9:32" ht="15" customHeight="1" x14ac:dyDescent="0.3">
      <c r="I1168" s="201" t="str">
        <f t="shared" si="160"/>
        <v/>
      </c>
      <c r="J1168" s="218">
        <f t="shared" si="161"/>
        <v>1165</v>
      </c>
      <c r="K1168" s="250"/>
      <c r="L1168" s="219"/>
      <c r="M1168" s="218"/>
      <c r="N1168" s="220" t="str">
        <f>IFERROR(VLOOKUP(M1168,Data!$C$4:$D$395,2,0),"")</f>
        <v/>
      </c>
      <c r="O1168" s="220"/>
      <c r="P1168" s="229"/>
      <c r="Q1168" s="221"/>
      <c r="R1168" s="222" t="str">
        <f t="shared" si="162"/>
        <v>-</v>
      </c>
      <c r="S1168" s="223"/>
      <c r="T1168" s="224"/>
      <c r="U1168" s="225">
        <f t="shared" si="163"/>
        <v>0</v>
      </c>
      <c r="V1168" s="226">
        <v>0</v>
      </c>
      <c r="W1168" s="227"/>
      <c r="X1168" s="228">
        <f t="shared" si="164"/>
        <v>0</v>
      </c>
      <c r="Y1168" s="229"/>
      <c r="Z1168" s="229"/>
      <c r="AA1168" s="229"/>
      <c r="AB1168" s="222">
        <f t="shared" si="165"/>
        <v>0</v>
      </c>
      <c r="AC1168" s="230">
        <f t="shared" si="166"/>
        <v>0</v>
      </c>
      <c r="AD1168" s="222" t="str">
        <f t="shared" si="167"/>
        <v/>
      </c>
      <c r="AE1168" s="201"/>
      <c r="AF1168" s="231" t="str">
        <f>+IFERROR(VLOOKUP(L1168,Data!$F$4:$G$97,2,0),"")</f>
        <v/>
      </c>
    </row>
    <row r="1169" spans="9:32" ht="15" customHeight="1" x14ac:dyDescent="0.3">
      <c r="I1169" s="201" t="str">
        <f t="shared" si="160"/>
        <v/>
      </c>
      <c r="J1169" s="218">
        <f t="shared" si="161"/>
        <v>1166</v>
      </c>
      <c r="K1169" s="250"/>
      <c r="L1169" s="219"/>
      <c r="M1169" s="218"/>
      <c r="N1169" s="220" t="str">
        <f>IFERROR(VLOOKUP(M1169,Data!$C$4:$D$395,2,0),"")</f>
        <v/>
      </c>
      <c r="O1169" s="220"/>
      <c r="P1169" s="229"/>
      <c r="Q1169" s="221"/>
      <c r="R1169" s="222" t="str">
        <f t="shared" si="162"/>
        <v>-</v>
      </c>
      <c r="S1169" s="223"/>
      <c r="T1169" s="224"/>
      <c r="U1169" s="225">
        <f t="shared" si="163"/>
        <v>0</v>
      </c>
      <c r="V1169" s="226">
        <v>0</v>
      </c>
      <c r="W1169" s="227"/>
      <c r="X1169" s="228">
        <f t="shared" si="164"/>
        <v>0</v>
      </c>
      <c r="Y1169" s="229"/>
      <c r="Z1169" s="229"/>
      <c r="AA1169" s="229"/>
      <c r="AB1169" s="222">
        <f t="shared" si="165"/>
        <v>0</v>
      </c>
      <c r="AC1169" s="230">
        <f t="shared" si="166"/>
        <v>0</v>
      </c>
      <c r="AD1169" s="222" t="str">
        <f t="shared" si="167"/>
        <v/>
      </c>
      <c r="AE1169" s="201"/>
      <c r="AF1169" s="231" t="str">
        <f>+IFERROR(VLOOKUP(L1169,Data!$F$4:$G$97,2,0),"")</f>
        <v/>
      </c>
    </row>
    <row r="1170" spans="9:32" ht="15" customHeight="1" x14ac:dyDescent="0.3">
      <c r="I1170" s="201" t="str">
        <f t="shared" si="160"/>
        <v/>
      </c>
      <c r="J1170" s="218">
        <f t="shared" si="161"/>
        <v>1167</v>
      </c>
      <c r="K1170" s="250"/>
      <c r="L1170" s="219"/>
      <c r="M1170" s="218"/>
      <c r="N1170" s="220" t="str">
        <f>IFERROR(VLOOKUP(M1170,Data!$C$4:$D$395,2,0),"")</f>
        <v/>
      </c>
      <c r="O1170" s="220"/>
      <c r="P1170" s="229"/>
      <c r="Q1170" s="221"/>
      <c r="R1170" s="222" t="str">
        <f t="shared" si="162"/>
        <v>-</v>
      </c>
      <c r="S1170" s="223"/>
      <c r="T1170" s="224"/>
      <c r="U1170" s="225">
        <f t="shared" si="163"/>
        <v>0</v>
      </c>
      <c r="V1170" s="226">
        <v>0</v>
      </c>
      <c r="W1170" s="227"/>
      <c r="X1170" s="228">
        <f t="shared" si="164"/>
        <v>0</v>
      </c>
      <c r="Y1170" s="229"/>
      <c r="Z1170" s="229"/>
      <c r="AA1170" s="229"/>
      <c r="AB1170" s="222">
        <f t="shared" si="165"/>
        <v>0</v>
      </c>
      <c r="AC1170" s="230">
        <f t="shared" si="166"/>
        <v>0</v>
      </c>
      <c r="AD1170" s="222" t="str">
        <f t="shared" si="167"/>
        <v/>
      </c>
      <c r="AE1170" s="201"/>
      <c r="AF1170" s="231" t="str">
        <f>+IFERROR(VLOOKUP(L1170,Data!$F$4:$G$97,2,0),"")</f>
        <v/>
      </c>
    </row>
    <row r="1171" spans="9:32" ht="15" customHeight="1" x14ac:dyDescent="0.3">
      <c r="I1171" s="201" t="str">
        <f t="shared" si="160"/>
        <v/>
      </c>
      <c r="J1171" s="218">
        <f t="shared" si="161"/>
        <v>1168</v>
      </c>
      <c r="K1171" s="250"/>
      <c r="L1171" s="219"/>
      <c r="M1171" s="218"/>
      <c r="N1171" s="220" t="str">
        <f>IFERROR(VLOOKUP(M1171,Data!$C$4:$D$395,2,0),"")</f>
        <v/>
      </c>
      <c r="O1171" s="220"/>
      <c r="P1171" s="229"/>
      <c r="Q1171" s="221"/>
      <c r="R1171" s="222" t="str">
        <f t="shared" si="162"/>
        <v>-</v>
      </c>
      <c r="S1171" s="223"/>
      <c r="T1171" s="224"/>
      <c r="U1171" s="225">
        <f t="shared" si="163"/>
        <v>0</v>
      </c>
      <c r="V1171" s="226">
        <v>0</v>
      </c>
      <c r="W1171" s="227"/>
      <c r="X1171" s="228">
        <f t="shared" si="164"/>
        <v>0</v>
      </c>
      <c r="Y1171" s="229"/>
      <c r="Z1171" s="229"/>
      <c r="AA1171" s="229"/>
      <c r="AB1171" s="222">
        <f t="shared" si="165"/>
        <v>0</v>
      </c>
      <c r="AC1171" s="230">
        <f t="shared" si="166"/>
        <v>0</v>
      </c>
      <c r="AD1171" s="222" t="str">
        <f t="shared" si="167"/>
        <v/>
      </c>
      <c r="AE1171" s="201"/>
      <c r="AF1171" s="231" t="str">
        <f>+IFERROR(VLOOKUP(L1171,Data!$F$4:$G$97,2,0),"")</f>
        <v/>
      </c>
    </row>
    <row r="1172" spans="9:32" ht="15" customHeight="1" x14ac:dyDescent="0.3">
      <c r="I1172" s="201" t="str">
        <f t="shared" si="160"/>
        <v/>
      </c>
      <c r="J1172" s="218">
        <f t="shared" si="161"/>
        <v>1169</v>
      </c>
      <c r="K1172" s="250"/>
      <c r="L1172" s="219"/>
      <c r="M1172" s="218"/>
      <c r="N1172" s="220" t="str">
        <f>IFERROR(VLOOKUP(M1172,Data!$C$4:$D$395,2,0),"")</f>
        <v/>
      </c>
      <c r="O1172" s="220"/>
      <c r="P1172" s="229"/>
      <c r="Q1172" s="221"/>
      <c r="R1172" s="222" t="str">
        <f t="shared" si="162"/>
        <v>-</v>
      </c>
      <c r="S1172" s="223"/>
      <c r="T1172" s="224"/>
      <c r="U1172" s="225">
        <f t="shared" si="163"/>
        <v>0</v>
      </c>
      <c r="V1172" s="226">
        <v>0</v>
      </c>
      <c r="W1172" s="227"/>
      <c r="X1172" s="228">
        <f t="shared" si="164"/>
        <v>0</v>
      </c>
      <c r="Y1172" s="229"/>
      <c r="Z1172" s="229"/>
      <c r="AA1172" s="229"/>
      <c r="AB1172" s="222">
        <f t="shared" si="165"/>
        <v>0</v>
      </c>
      <c r="AC1172" s="230">
        <f t="shared" si="166"/>
        <v>0</v>
      </c>
      <c r="AD1172" s="222" t="str">
        <f t="shared" si="167"/>
        <v/>
      </c>
      <c r="AE1172" s="201"/>
      <c r="AF1172" s="231" t="str">
        <f>+IFERROR(VLOOKUP(L1172,Data!$F$4:$G$97,2,0),"")</f>
        <v/>
      </c>
    </row>
    <row r="1173" spans="9:32" ht="15" customHeight="1" x14ac:dyDescent="0.3">
      <c r="I1173" s="201" t="str">
        <f t="shared" si="160"/>
        <v/>
      </c>
      <c r="J1173" s="218">
        <f t="shared" si="161"/>
        <v>1170</v>
      </c>
      <c r="K1173" s="250"/>
      <c r="L1173" s="219"/>
      <c r="M1173" s="218"/>
      <c r="N1173" s="220" t="str">
        <f>IFERROR(VLOOKUP(M1173,Data!$C$4:$D$395,2,0),"")</f>
        <v/>
      </c>
      <c r="O1173" s="220"/>
      <c r="P1173" s="229"/>
      <c r="Q1173" s="221"/>
      <c r="R1173" s="222" t="str">
        <f t="shared" si="162"/>
        <v>-</v>
      </c>
      <c r="S1173" s="223"/>
      <c r="T1173" s="224"/>
      <c r="U1173" s="225">
        <f t="shared" si="163"/>
        <v>0</v>
      </c>
      <c r="V1173" s="226">
        <v>0</v>
      </c>
      <c r="W1173" s="227"/>
      <c r="X1173" s="228">
        <f t="shared" si="164"/>
        <v>0</v>
      </c>
      <c r="Y1173" s="229"/>
      <c r="Z1173" s="229"/>
      <c r="AA1173" s="229"/>
      <c r="AB1173" s="222">
        <f t="shared" si="165"/>
        <v>0</v>
      </c>
      <c r="AC1173" s="230">
        <f t="shared" si="166"/>
        <v>0</v>
      </c>
      <c r="AD1173" s="222" t="str">
        <f t="shared" si="167"/>
        <v/>
      </c>
      <c r="AE1173" s="201"/>
      <c r="AF1173" s="231" t="str">
        <f>+IFERROR(VLOOKUP(L1173,Data!$F$4:$G$97,2,0),"")</f>
        <v/>
      </c>
    </row>
    <row r="1174" spans="9:32" ht="15" customHeight="1" x14ac:dyDescent="0.3">
      <c r="I1174" s="201" t="str">
        <f t="shared" si="160"/>
        <v/>
      </c>
      <c r="J1174" s="218">
        <f t="shared" si="161"/>
        <v>1171</v>
      </c>
      <c r="K1174" s="250"/>
      <c r="L1174" s="219"/>
      <c r="M1174" s="218"/>
      <c r="N1174" s="220" t="str">
        <f>IFERROR(VLOOKUP(M1174,Data!$C$4:$D$395,2,0),"")</f>
        <v/>
      </c>
      <c r="O1174" s="220"/>
      <c r="P1174" s="229"/>
      <c r="Q1174" s="221"/>
      <c r="R1174" s="222" t="str">
        <f t="shared" si="162"/>
        <v>-</v>
      </c>
      <c r="S1174" s="223"/>
      <c r="T1174" s="224"/>
      <c r="U1174" s="225">
        <f t="shared" si="163"/>
        <v>0</v>
      </c>
      <c r="V1174" s="226">
        <v>0</v>
      </c>
      <c r="W1174" s="227"/>
      <c r="X1174" s="228">
        <f t="shared" si="164"/>
        <v>0</v>
      </c>
      <c r="Y1174" s="229"/>
      <c r="Z1174" s="229"/>
      <c r="AA1174" s="229"/>
      <c r="AB1174" s="222">
        <f t="shared" si="165"/>
        <v>0</v>
      </c>
      <c r="AC1174" s="230">
        <f t="shared" si="166"/>
        <v>0</v>
      </c>
      <c r="AD1174" s="222" t="str">
        <f t="shared" si="167"/>
        <v/>
      </c>
      <c r="AE1174" s="201"/>
      <c r="AF1174" s="231" t="str">
        <f>+IFERROR(VLOOKUP(L1174,Data!$F$4:$G$97,2,0),"")</f>
        <v/>
      </c>
    </row>
    <row r="1175" spans="9:32" ht="15" customHeight="1" x14ac:dyDescent="0.3">
      <c r="I1175" s="201" t="str">
        <f t="shared" si="160"/>
        <v/>
      </c>
      <c r="J1175" s="218">
        <f t="shared" si="161"/>
        <v>1172</v>
      </c>
      <c r="K1175" s="250"/>
      <c r="L1175" s="219"/>
      <c r="M1175" s="218"/>
      <c r="N1175" s="220" t="str">
        <f>IFERROR(VLOOKUP(M1175,Data!$C$4:$D$395,2,0),"")</f>
        <v/>
      </c>
      <c r="O1175" s="220"/>
      <c r="P1175" s="229"/>
      <c r="Q1175" s="221"/>
      <c r="R1175" s="222" t="str">
        <f t="shared" si="162"/>
        <v>-</v>
      </c>
      <c r="S1175" s="223"/>
      <c r="T1175" s="224"/>
      <c r="U1175" s="225">
        <f t="shared" si="163"/>
        <v>0</v>
      </c>
      <c r="V1175" s="226">
        <v>0</v>
      </c>
      <c r="W1175" s="227"/>
      <c r="X1175" s="228">
        <f t="shared" si="164"/>
        <v>0</v>
      </c>
      <c r="Y1175" s="229"/>
      <c r="Z1175" s="229"/>
      <c r="AA1175" s="229"/>
      <c r="AB1175" s="222">
        <f t="shared" si="165"/>
        <v>0</v>
      </c>
      <c r="AC1175" s="230">
        <f t="shared" si="166"/>
        <v>0</v>
      </c>
      <c r="AD1175" s="222" t="str">
        <f t="shared" si="167"/>
        <v/>
      </c>
      <c r="AE1175" s="201"/>
      <c r="AF1175" s="231" t="str">
        <f>+IFERROR(VLOOKUP(L1175,Data!$F$4:$G$97,2,0),"")</f>
        <v/>
      </c>
    </row>
    <row r="1176" spans="9:32" ht="15" customHeight="1" x14ac:dyDescent="0.3">
      <c r="I1176" s="201" t="str">
        <f t="shared" si="160"/>
        <v/>
      </c>
      <c r="J1176" s="218">
        <f t="shared" si="161"/>
        <v>1173</v>
      </c>
      <c r="K1176" s="250"/>
      <c r="L1176" s="219"/>
      <c r="M1176" s="218"/>
      <c r="N1176" s="220" t="str">
        <f>IFERROR(VLOOKUP(M1176,Data!$C$4:$D$395,2,0),"")</f>
        <v/>
      </c>
      <c r="O1176" s="220"/>
      <c r="P1176" s="229"/>
      <c r="Q1176" s="221"/>
      <c r="R1176" s="222" t="str">
        <f t="shared" si="162"/>
        <v>-</v>
      </c>
      <c r="S1176" s="223"/>
      <c r="T1176" s="224"/>
      <c r="U1176" s="225">
        <f t="shared" si="163"/>
        <v>0</v>
      </c>
      <c r="V1176" s="226">
        <v>0</v>
      </c>
      <c r="W1176" s="227"/>
      <c r="X1176" s="228">
        <f t="shared" si="164"/>
        <v>0</v>
      </c>
      <c r="Y1176" s="229"/>
      <c r="Z1176" s="229"/>
      <c r="AA1176" s="229"/>
      <c r="AB1176" s="222">
        <f t="shared" si="165"/>
        <v>0</v>
      </c>
      <c r="AC1176" s="230">
        <f t="shared" si="166"/>
        <v>0</v>
      </c>
      <c r="AD1176" s="222" t="str">
        <f t="shared" si="167"/>
        <v/>
      </c>
      <c r="AE1176" s="201"/>
      <c r="AF1176" s="231" t="str">
        <f>+IFERROR(VLOOKUP(L1176,Data!$F$4:$G$97,2,0),"")</f>
        <v/>
      </c>
    </row>
    <row r="1177" spans="9:32" ht="15" customHeight="1" x14ac:dyDescent="0.3">
      <c r="I1177" s="201" t="str">
        <f t="shared" si="160"/>
        <v/>
      </c>
      <c r="J1177" s="218">
        <f t="shared" si="161"/>
        <v>1174</v>
      </c>
      <c r="K1177" s="250"/>
      <c r="L1177" s="219"/>
      <c r="M1177" s="218"/>
      <c r="N1177" s="220" t="str">
        <f>IFERROR(VLOOKUP(M1177,Data!$C$4:$D$395,2,0),"")</f>
        <v/>
      </c>
      <c r="O1177" s="220"/>
      <c r="P1177" s="229"/>
      <c r="Q1177" s="221"/>
      <c r="R1177" s="222" t="str">
        <f t="shared" si="162"/>
        <v>-</v>
      </c>
      <c r="S1177" s="223"/>
      <c r="T1177" s="224"/>
      <c r="U1177" s="225">
        <f t="shared" si="163"/>
        <v>0</v>
      </c>
      <c r="V1177" s="226">
        <v>0</v>
      </c>
      <c r="W1177" s="227"/>
      <c r="X1177" s="228">
        <f t="shared" si="164"/>
        <v>0</v>
      </c>
      <c r="Y1177" s="229"/>
      <c r="Z1177" s="229"/>
      <c r="AA1177" s="229"/>
      <c r="AB1177" s="222">
        <f t="shared" si="165"/>
        <v>0</v>
      </c>
      <c r="AC1177" s="230">
        <f t="shared" si="166"/>
        <v>0</v>
      </c>
      <c r="AD1177" s="222" t="str">
        <f t="shared" si="167"/>
        <v/>
      </c>
      <c r="AE1177" s="201"/>
      <c r="AF1177" s="231" t="str">
        <f>+IFERROR(VLOOKUP(L1177,Data!$F$4:$G$97,2,0),"")</f>
        <v/>
      </c>
    </row>
    <row r="1178" spans="9:32" ht="15" customHeight="1" x14ac:dyDescent="0.3">
      <c r="I1178" s="201" t="str">
        <f t="shared" si="160"/>
        <v/>
      </c>
      <c r="J1178" s="218">
        <f t="shared" si="161"/>
        <v>1175</v>
      </c>
      <c r="K1178" s="250"/>
      <c r="L1178" s="219"/>
      <c r="M1178" s="218"/>
      <c r="N1178" s="220" t="str">
        <f>IFERROR(VLOOKUP(M1178,Data!$C$4:$D$395,2,0),"")</f>
        <v/>
      </c>
      <c r="O1178" s="220"/>
      <c r="P1178" s="229"/>
      <c r="Q1178" s="221"/>
      <c r="R1178" s="222" t="str">
        <f t="shared" si="162"/>
        <v>-</v>
      </c>
      <c r="S1178" s="223"/>
      <c r="T1178" s="224"/>
      <c r="U1178" s="225">
        <f t="shared" si="163"/>
        <v>0</v>
      </c>
      <c r="V1178" s="226">
        <v>0</v>
      </c>
      <c r="W1178" s="227"/>
      <c r="X1178" s="228">
        <f t="shared" si="164"/>
        <v>0</v>
      </c>
      <c r="Y1178" s="229"/>
      <c r="Z1178" s="229"/>
      <c r="AA1178" s="229"/>
      <c r="AB1178" s="222">
        <f t="shared" si="165"/>
        <v>0</v>
      </c>
      <c r="AC1178" s="230">
        <f t="shared" si="166"/>
        <v>0</v>
      </c>
      <c r="AD1178" s="222" t="str">
        <f t="shared" si="167"/>
        <v/>
      </c>
      <c r="AE1178" s="201"/>
      <c r="AF1178" s="231" t="str">
        <f>+IFERROR(VLOOKUP(L1178,Data!$F$4:$G$97,2,0),"")</f>
        <v/>
      </c>
    </row>
    <row r="1179" spans="9:32" ht="15" customHeight="1" x14ac:dyDescent="0.3">
      <c r="I1179" s="201" t="str">
        <f t="shared" si="160"/>
        <v/>
      </c>
      <c r="J1179" s="218">
        <f t="shared" si="161"/>
        <v>1176</v>
      </c>
      <c r="K1179" s="250"/>
      <c r="L1179" s="219"/>
      <c r="M1179" s="218"/>
      <c r="N1179" s="220" t="str">
        <f>IFERROR(VLOOKUP(M1179,Data!$C$4:$D$395,2,0),"")</f>
        <v/>
      </c>
      <c r="O1179" s="220"/>
      <c r="P1179" s="229"/>
      <c r="Q1179" s="221"/>
      <c r="R1179" s="222" t="str">
        <f t="shared" si="162"/>
        <v>-</v>
      </c>
      <c r="S1179" s="223"/>
      <c r="T1179" s="224"/>
      <c r="U1179" s="225">
        <f t="shared" si="163"/>
        <v>0</v>
      </c>
      <c r="V1179" s="226">
        <v>0</v>
      </c>
      <c r="W1179" s="227"/>
      <c r="X1179" s="228">
        <f t="shared" si="164"/>
        <v>0</v>
      </c>
      <c r="Y1179" s="229"/>
      <c r="Z1179" s="229"/>
      <c r="AA1179" s="229"/>
      <c r="AB1179" s="222">
        <f t="shared" si="165"/>
        <v>0</v>
      </c>
      <c r="AC1179" s="230">
        <f t="shared" si="166"/>
        <v>0</v>
      </c>
      <c r="AD1179" s="222" t="str">
        <f t="shared" si="167"/>
        <v/>
      </c>
      <c r="AE1179" s="201"/>
      <c r="AF1179" s="231" t="str">
        <f>+IFERROR(VLOOKUP(L1179,Data!$F$4:$G$97,2,0),"")</f>
        <v/>
      </c>
    </row>
    <row r="1180" spans="9:32" ht="15" customHeight="1" x14ac:dyDescent="0.3">
      <c r="I1180" s="201" t="str">
        <f t="shared" si="160"/>
        <v/>
      </c>
      <c r="J1180" s="218">
        <f t="shared" si="161"/>
        <v>1177</v>
      </c>
      <c r="K1180" s="250"/>
      <c r="L1180" s="219"/>
      <c r="M1180" s="218"/>
      <c r="N1180" s="220" t="str">
        <f>IFERROR(VLOOKUP(M1180,Data!$C$4:$D$395,2,0),"")</f>
        <v/>
      </c>
      <c r="O1180" s="220"/>
      <c r="P1180" s="229"/>
      <c r="Q1180" s="221"/>
      <c r="R1180" s="222" t="str">
        <f t="shared" si="162"/>
        <v>-</v>
      </c>
      <c r="S1180" s="223"/>
      <c r="T1180" s="224"/>
      <c r="U1180" s="225">
        <f t="shared" si="163"/>
        <v>0</v>
      </c>
      <c r="V1180" s="226">
        <v>0</v>
      </c>
      <c r="W1180" s="227"/>
      <c r="X1180" s="228">
        <f t="shared" si="164"/>
        <v>0</v>
      </c>
      <c r="Y1180" s="229"/>
      <c r="Z1180" s="229"/>
      <c r="AA1180" s="229"/>
      <c r="AB1180" s="222">
        <f t="shared" si="165"/>
        <v>0</v>
      </c>
      <c r="AC1180" s="230">
        <f t="shared" si="166"/>
        <v>0</v>
      </c>
      <c r="AD1180" s="222" t="str">
        <f t="shared" si="167"/>
        <v/>
      </c>
      <c r="AE1180" s="201"/>
      <c r="AF1180" s="231" t="str">
        <f>+IFERROR(VLOOKUP(L1180,Data!$F$4:$G$97,2,0),"")</f>
        <v/>
      </c>
    </row>
    <row r="1181" spans="9:32" ht="15" customHeight="1" x14ac:dyDescent="0.3">
      <c r="I1181" s="201" t="str">
        <f t="shared" si="160"/>
        <v/>
      </c>
      <c r="J1181" s="218">
        <f t="shared" si="161"/>
        <v>1178</v>
      </c>
      <c r="K1181" s="250"/>
      <c r="L1181" s="219"/>
      <c r="M1181" s="218"/>
      <c r="N1181" s="220" t="str">
        <f>IFERROR(VLOOKUP(M1181,Data!$C$4:$D$395,2,0),"")</f>
        <v/>
      </c>
      <c r="O1181" s="220"/>
      <c r="P1181" s="229"/>
      <c r="Q1181" s="221"/>
      <c r="R1181" s="222" t="str">
        <f t="shared" si="162"/>
        <v>-</v>
      </c>
      <c r="S1181" s="223"/>
      <c r="T1181" s="224"/>
      <c r="U1181" s="225">
        <f t="shared" si="163"/>
        <v>0</v>
      </c>
      <c r="V1181" s="226">
        <v>0</v>
      </c>
      <c r="W1181" s="227"/>
      <c r="X1181" s="228">
        <f t="shared" si="164"/>
        <v>0</v>
      </c>
      <c r="Y1181" s="229"/>
      <c r="Z1181" s="229"/>
      <c r="AA1181" s="229"/>
      <c r="AB1181" s="222">
        <f t="shared" si="165"/>
        <v>0</v>
      </c>
      <c r="AC1181" s="230">
        <f t="shared" si="166"/>
        <v>0</v>
      </c>
      <c r="AD1181" s="222" t="str">
        <f t="shared" si="167"/>
        <v/>
      </c>
      <c r="AE1181" s="201"/>
      <c r="AF1181" s="231" t="str">
        <f>+IFERROR(VLOOKUP(L1181,Data!$F$4:$G$97,2,0),"")</f>
        <v/>
      </c>
    </row>
    <row r="1182" spans="9:32" ht="15" customHeight="1" x14ac:dyDescent="0.3">
      <c r="I1182" s="201" t="str">
        <f t="shared" si="160"/>
        <v/>
      </c>
      <c r="J1182" s="218">
        <f t="shared" si="161"/>
        <v>1179</v>
      </c>
      <c r="K1182" s="250"/>
      <c r="L1182" s="219"/>
      <c r="M1182" s="218"/>
      <c r="N1182" s="220" t="str">
        <f>IFERROR(VLOOKUP(M1182,Data!$C$4:$D$395,2,0),"")</f>
        <v/>
      </c>
      <c r="O1182" s="220"/>
      <c r="P1182" s="229"/>
      <c r="Q1182" s="221"/>
      <c r="R1182" s="222" t="str">
        <f t="shared" si="162"/>
        <v>-</v>
      </c>
      <c r="S1182" s="223"/>
      <c r="T1182" s="224"/>
      <c r="U1182" s="225">
        <f t="shared" si="163"/>
        <v>0</v>
      </c>
      <c r="V1182" s="226">
        <v>0</v>
      </c>
      <c r="W1182" s="227"/>
      <c r="X1182" s="228">
        <f t="shared" si="164"/>
        <v>0</v>
      </c>
      <c r="Y1182" s="229"/>
      <c r="Z1182" s="229"/>
      <c r="AA1182" s="229"/>
      <c r="AB1182" s="222">
        <f t="shared" si="165"/>
        <v>0</v>
      </c>
      <c r="AC1182" s="230">
        <f t="shared" si="166"/>
        <v>0</v>
      </c>
      <c r="AD1182" s="222" t="str">
        <f t="shared" si="167"/>
        <v/>
      </c>
      <c r="AE1182" s="201"/>
      <c r="AF1182" s="231" t="str">
        <f>+IFERROR(VLOOKUP(L1182,Data!$F$4:$G$97,2,0),"")</f>
        <v/>
      </c>
    </row>
    <row r="1183" spans="9:32" ht="15" customHeight="1" x14ac:dyDescent="0.3">
      <c r="I1183" s="201" t="str">
        <f t="shared" si="160"/>
        <v/>
      </c>
      <c r="J1183" s="218">
        <f t="shared" si="161"/>
        <v>1180</v>
      </c>
      <c r="K1183" s="250"/>
      <c r="L1183" s="219"/>
      <c r="M1183" s="218"/>
      <c r="N1183" s="220" t="str">
        <f>IFERROR(VLOOKUP(M1183,Data!$C$4:$D$395,2,0),"")</f>
        <v/>
      </c>
      <c r="O1183" s="220"/>
      <c r="P1183" s="229"/>
      <c r="Q1183" s="221"/>
      <c r="R1183" s="222" t="str">
        <f t="shared" si="162"/>
        <v>-</v>
      </c>
      <c r="S1183" s="223"/>
      <c r="T1183" s="224"/>
      <c r="U1183" s="225">
        <f t="shared" si="163"/>
        <v>0</v>
      </c>
      <c r="V1183" s="226">
        <v>0</v>
      </c>
      <c r="W1183" s="227"/>
      <c r="X1183" s="228">
        <f t="shared" si="164"/>
        <v>0</v>
      </c>
      <c r="Y1183" s="229"/>
      <c r="Z1183" s="229"/>
      <c r="AA1183" s="229"/>
      <c r="AB1183" s="222">
        <f t="shared" si="165"/>
        <v>0</v>
      </c>
      <c r="AC1183" s="230">
        <f t="shared" si="166"/>
        <v>0</v>
      </c>
      <c r="AD1183" s="222" t="str">
        <f t="shared" si="167"/>
        <v/>
      </c>
      <c r="AE1183" s="201"/>
      <c r="AF1183" s="231" t="str">
        <f>+IFERROR(VLOOKUP(L1183,Data!$F$4:$G$97,2,0),"")</f>
        <v/>
      </c>
    </row>
    <row r="1184" spans="9:32" ht="15" customHeight="1" x14ac:dyDescent="0.3">
      <c r="I1184" s="201" t="str">
        <f t="shared" si="160"/>
        <v/>
      </c>
      <c r="J1184" s="218">
        <f t="shared" si="161"/>
        <v>1181</v>
      </c>
      <c r="K1184" s="250"/>
      <c r="L1184" s="219"/>
      <c r="M1184" s="218"/>
      <c r="N1184" s="220" t="str">
        <f>IFERROR(VLOOKUP(M1184,Data!$C$4:$D$395,2,0),"")</f>
        <v/>
      </c>
      <c r="O1184" s="220"/>
      <c r="P1184" s="229"/>
      <c r="Q1184" s="221"/>
      <c r="R1184" s="222" t="str">
        <f t="shared" si="162"/>
        <v>-</v>
      </c>
      <c r="S1184" s="223"/>
      <c r="T1184" s="224"/>
      <c r="U1184" s="225">
        <f t="shared" si="163"/>
        <v>0</v>
      </c>
      <c r="V1184" s="226">
        <v>0</v>
      </c>
      <c r="W1184" s="227"/>
      <c r="X1184" s="228">
        <f t="shared" si="164"/>
        <v>0</v>
      </c>
      <c r="Y1184" s="229"/>
      <c r="Z1184" s="229"/>
      <c r="AA1184" s="229"/>
      <c r="AB1184" s="222">
        <f t="shared" si="165"/>
        <v>0</v>
      </c>
      <c r="AC1184" s="230">
        <f t="shared" si="166"/>
        <v>0</v>
      </c>
      <c r="AD1184" s="222" t="str">
        <f t="shared" si="167"/>
        <v/>
      </c>
      <c r="AE1184" s="201"/>
      <c r="AF1184" s="231" t="str">
        <f>+IFERROR(VLOOKUP(L1184,Data!$F$4:$G$97,2,0),"")</f>
        <v/>
      </c>
    </row>
    <row r="1185" spans="9:32" ht="15" customHeight="1" x14ac:dyDescent="0.3">
      <c r="I1185" s="201" t="str">
        <f t="shared" si="160"/>
        <v/>
      </c>
      <c r="J1185" s="218">
        <f t="shared" si="161"/>
        <v>1182</v>
      </c>
      <c r="K1185" s="250"/>
      <c r="L1185" s="219"/>
      <c r="M1185" s="218"/>
      <c r="N1185" s="220" t="str">
        <f>IFERROR(VLOOKUP(M1185,Data!$C$4:$D$395,2,0),"")</f>
        <v/>
      </c>
      <c r="O1185" s="220"/>
      <c r="P1185" s="229"/>
      <c r="Q1185" s="221"/>
      <c r="R1185" s="222" t="str">
        <f t="shared" si="162"/>
        <v>-</v>
      </c>
      <c r="S1185" s="223"/>
      <c r="T1185" s="224"/>
      <c r="U1185" s="225">
        <f t="shared" si="163"/>
        <v>0</v>
      </c>
      <c r="V1185" s="226">
        <v>0</v>
      </c>
      <c r="W1185" s="227"/>
      <c r="X1185" s="228">
        <f t="shared" si="164"/>
        <v>0</v>
      </c>
      <c r="Y1185" s="229"/>
      <c r="Z1185" s="229"/>
      <c r="AA1185" s="229"/>
      <c r="AB1185" s="222">
        <f t="shared" si="165"/>
        <v>0</v>
      </c>
      <c r="AC1185" s="230">
        <f t="shared" si="166"/>
        <v>0</v>
      </c>
      <c r="AD1185" s="222" t="str">
        <f t="shared" si="167"/>
        <v/>
      </c>
      <c r="AE1185" s="201"/>
      <c r="AF1185" s="231" t="str">
        <f>+IFERROR(VLOOKUP(L1185,Data!$F$4:$G$97,2,0),"")</f>
        <v/>
      </c>
    </row>
    <row r="1186" spans="9:32" ht="15" customHeight="1" x14ac:dyDescent="0.3">
      <c r="I1186" s="201" t="str">
        <f t="shared" si="160"/>
        <v/>
      </c>
      <c r="J1186" s="218">
        <f t="shared" si="161"/>
        <v>1183</v>
      </c>
      <c r="K1186" s="250"/>
      <c r="L1186" s="219"/>
      <c r="M1186" s="218"/>
      <c r="N1186" s="220" t="str">
        <f>IFERROR(VLOOKUP(M1186,Data!$C$4:$D$395,2,0),"")</f>
        <v/>
      </c>
      <c r="O1186" s="220"/>
      <c r="P1186" s="229"/>
      <c r="Q1186" s="221"/>
      <c r="R1186" s="222" t="str">
        <f t="shared" si="162"/>
        <v>-</v>
      </c>
      <c r="S1186" s="223"/>
      <c r="T1186" s="224"/>
      <c r="U1186" s="225">
        <f t="shared" si="163"/>
        <v>0</v>
      </c>
      <c r="V1186" s="226">
        <v>0</v>
      </c>
      <c r="W1186" s="227"/>
      <c r="X1186" s="228">
        <f t="shared" si="164"/>
        <v>0</v>
      </c>
      <c r="Y1186" s="229"/>
      <c r="Z1186" s="229"/>
      <c r="AA1186" s="229"/>
      <c r="AB1186" s="222">
        <f t="shared" si="165"/>
        <v>0</v>
      </c>
      <c r="AC1186" s="230">
        <f t="shared" si="166"/>
        <v>0</v>
      </c>
      <c r="AD1186" s="222" t="str">
        <f t="shared" si="167"/>
        <v/>
      </c>
      <c r="AE1186" s="201"/>
      <c r="AF1186" s="231" t="str">
        <f>+IFERROR(VLOOKUP(L1186,Data!$F$4:$G$97,2,0),"")</f>
        <v/>
      </c>
    </row>
    <row r="1187" spans="9:32" ht="15" customHeight="1" x14ac:dyDescent="0.3">
      <c r="I1187" s="201" t="str">
        <f t="shared" si="160"/>
        <v/>
      </c>
      <c r="J1187" s="218">
        <f t="shared" si="161"/>
        <v>1184</v>
      </c>
      <c r="K1187" s="250"/>
      <c r="L1187" s="219"/>
      <c r="M1187" s="218"/>
      <c r="N1187" s="220" t="str">
        <f>IFERROR(VLOOKUP(M1187,Data!$C$4:$D$395,2,0),"")</f>
        <v/>
      </c>
      <c r="O1187" s="220"/>
      <c r="P1187" s="229"/>
      <c r="Q1187" s="221"/>
      <c r="R1187" s="222" t="str">
        <f t="shared" si="162"/>
        <v>-</v>
      </c>
      <c r="S1187" s="223"/>
      <c r="T1187" s="224"/>
      <c r="U1187" s="225">
        <f t="shared" si="163"/>
        <v>0</v>
      </c>
      <c r="V1187" s="226">
        <v>0</v>
      </c>
      <c r="W1187" s="227"/>
      <c r="X1187" s="228">
        <f t="shared" si="164"/>
        <v>0</v>
      </c>
      <c r="Y1187" s="229"/>
      <c r="Z1187" s="229"/>
      <c r="AA1187" s="229"/>
      <c r="AB1187" s="222">
        <f t="shared" si="165"/>
        <v>0</v>
      </c>
      <c r="AC1187" s="230">
        <f t="shared" si="166"/>
        <v>0</v>
      </c>
      <c r="AD1187" s="222" t="str">
        <f t="shared" si="167"/>
        <v/>
      </c>
      <c r="AE1187" s="201"/>
      <c r="AF1187" s="231" t="str">
        <f>+IFERROR(VLOOKUP(L1187,Data!$F$4:$G$97,2,0),"")</f>
        <v/>
      </c>
    </row>
    <row r="1188" spans="9:32" ht="15" customHeight="1" x14ac:dyDescent="0.3">
      <c r="I1188" s="201" t="str">
        <f t="shared" si="160"/>
        <v/>
      </c>
      <c r="J1188" s="218">
        <f t="shared" si="161"/>
        <v>1185</v>
      </c>
      <c r="K1188" s="250"/>
      <c r="L1188" s="219"/>
      <c r="M1188" s="218"/>
      <c r="N1188" s="220" t="str">
        <f>IFERROR(VLOOKUP(M1188,Data!$C$4:$D$395,2,0),"")</f>
        <v/>
      </c>
      <c r="O1188" s="220"/>
      <c r="P1188" s="229"/>
      <c r="Q1188" s="221"/>
      <c r="R1188" s="222" t="str">
        <f t="shared" si="162"/>
        <v>-</v>
      </c>
      <c r="S1188" s="223"/>
      <c r="T1188" s="224"/>
      <c r="U1188" s="225">
        <f t="shared" si="163"/>
        <v>0</v>
      </c>
      <c r="V1188" s="226">
        <v>0</v>
      </c>
      <c r="W1188" s="227"/>
      <c r="X1188" s="228">
        <f t="shared" si="164"/>
        <v>0</v>
      </c>
      <c r="Y1188" s="229"/>
      <c r="Z1188" s="229"/>
      <c r="AA1188" s="229"/>
      <c r="AB1188" s="222">
        <f t="shared" si="165"/>
        <v>0</v>
      </c>
      <c r="AC1188" s="230">
        <f t="shared" si="166"/>
        <v>0</v>
      </c>
      <c r="AD1188" s="222" t="str">
        <f t="shared" si="167"/>
        <v/>
      </c>
      <c r="AE1188" s="201"/>
      <c r="AF1188" s="231" t="str">
        <f>+IFERROR(VLOOKUP(L1188,Data!$F$4:$G$97,2,0),"")</f>
        <v/>
      </c>
    </row>
    <row r="1189" spans="9:32" ht="15" customHeight="1" x14ac:dyDescent="0.3">
      <c r="I1189" s="201" t="str">
        <f t="shared" si="160"/>
        <v/>
      </c>
      <c r="J1189" s="218">
        <f t="shared" si="161"/>
        <v>1186</v>
      </c>
      <c r="K1189" s="250"/>
      <c r="L1189" s="219"/>
      <c r="M1189" s="218"/>
      <c r="N1189" s="220" t="str">
        <f>IFERROR(VLOOKUP(M1189,Data!$C$4:$D$395,2,0),"")</f>
        <v/>
      </c>
      <c r="O1189" s="220"/>
      <c r="P1189" s="229"/>
      <c r="Q1189" s="221"/>
      <c r="R1189" s="222" t="str">
        <f t="shared" si="162"/>
        <v>-</v>
      </c>
      <c r="S1189" s="223"/>
      <c r="T1189" s="224"/>
      <c r="U1189" s="225">
        <f t="shared" si="163"/>
        <v>0</v>
      </c>
      <c r="V1189" s="226">
        <v>0</v>
      </c>
      <c r="W1189" s="227"/>
      <c r="X1189" s="228">
        <f t="shared" si="164"/>
        <v>0</v>
      </c>
      <c r="Y1189" s="229"/>
      <c r="Z1189" s="229"/>
      <c r="AA1189" s="229"/>
      <c r="AB1189" s="222">
        <f t="shared" si="165"/>
        <v>0</v>
      </c>
      <c r="AC1189" s="230">
        <f t="shared" si="166"/>
        <v>0</v>
      </c>
      <c r="AD1189" s="222" t="str">
        <f t="shared" si="167"/>
        <v/>
      </c>
      <c r="AE1189" s="201"/>
      <c r="AF1189" s="231" t="str">
        <f>+IFERROR(VLOOKUP(L1189,Data!$F$4:$G$97,2,0),"")</f>
        <v/>
      </c>
    </row>
    <row r="1190" spans="9:32" ht="15" customHeight="1" x14ac:dyDescent="0.3">
      <c r="I1190" s="201" t="str">
        <f t="shared" si="160"/>
        <v/>
      </c>
      <c r="J1190" s="218">
        <f t="shared" si="161"/>
        <v>1187</v>
      </c>
      <c r="K1190" s="250"/>
      <c r="L1190" s="219"/>
      <c r="M1190" s="218"/>
      <c r="N1190" s="220" t="str">
        <f>IFERROR(VLOOKUP(M1190,Data!$C$4:$D$395,2,0),"")</f>
        <v/>
      </c>
      <c r="O1190" s="220"/>
      <c r="P1190" s="229"/>
      <c r="Q1190" s="221"/>
      <c r="R1190" s="222" t="str">
        <f t="shared" si="162"/>
        <v>-</v>
      </c>
      <c r="S1190" s="223"/>
      <c r="T1190" s="224"/>
      <c r="U1190" s="225">
        <f t="shared" si="163"/>
        <v>0</v>
      </c>
      <c r="V1190" s="226">
        <v>0</v>
      </c>
      <c r="W1190" s="227"/>
      <c r="X1190" s="228">
        <f t="shared" si="164"/>
        <v>0</v>
      </c>
      <c r="Y1190" s="229"/>
      <c r="Z1190" s="229"/>
      <c r="AA1190" s="229"/>
      <c r="AB1190" s="222">
        <f t="shared" si="165"/>
        <v>0</v>
      </c>
      <c r="AC1190" s="230">
        <f t="shared" si="166"/>
        <v>0</v>
      </c>
      <c r="AD1190" s="222" t="str">
        <f t="shared" si="167"/>
        <v/>
      </c>
      <c r="AE1190" s="201"/>
      <c r="AF1190" s="231" t="str">
        <f>+IFERROR(VLOOKUP(L1190,Data!$F$4:$G$97,2,0),"")</f>
        <v/>
      </c>
    </row>
    <row r="1191" spans="9:32" ht="15" customHeight="1" x14ac:dyDescent="0.3">
      <c r="I1191" s="201" t="str">
        <f t="shared" si="160"/>
        <v/>
      </c>
      <c r="J1191" s="218">
        <f t="shared" si="161"/>
        <v>1188</v>
      </c>
      <c r="K1191" s="250"/>
      <c r="L1191" s="219"/>
      <c r="M1191" s="218"/>
      <c r="N1191" s="220" t="str">
        <f>IFERROR(VLOOKUP(M1191,Data!$C$4:$D$395,2,0),"")</f>
        <v/>
      </c>
      <c r="O1191" s="220"/>
      <c r="P1191" s="229"/>
      <c r="Q1191" s="221"/>
      <c r="R1191" s="222" t="str">
        <f t="shared" si="162"/>
        <v>-</v>
      </c>
      <c r="S1191" s="223"/>
      <c r="T1191" s="224"/>
      <c r="U1191" s="225">
        <f t="shared" si="163"/>
        <v>0</v>
      </c>
      <c r="V1191" s="226">
        <v>0</v>
      </c>
      <c r="W1191" s="227"/>
      <c r="X1191" s="228">
        <f t="shared" si="164"/>
        <v>0</v>
      </c>
      <c r="Y1191" s="229"/>
      <c r="Z1191" s="229"/>
      <c r="AA1191" s="229"/>
      <c r="AB1191" s="222">
        <f t="shared" si="165"/>
        <v>0</v>
      </c>
      <c r="AC1191" s="230">
        <f t="shared" si="166"/>
        <v>0</v>
      </c>
      <c r="AD1191" s="222" t="str">
        <f t="shared" si="167"/>
        <v/>
      </c>
      <c r="AE1191" s="201"/>
      <c r="AF1191" s="231" t="str">
        <f>+IFERROR(VLOOKUP(L1191,Data!$F$4:$G$97,2,0),"")</f>
        <v/>
      </c>
    </row>
    <row r="1192" spans="9:32" ht="15" customHeight="1" x14ac:dyDescent="0.3">
      <c r="I1192" s="201" t="str">
        <f t="shared" si="160"/>
        <v/>
      </c>
      <c r="J1192" s="218">
        <f t="shared" si="161"/>
        <v>1189</v>
      </c>
      <c r="K1192" s="250"/>
      <c r="L1192" s="219"/>
      <c r="M1192" s="218"/>
      <c r="N1192" s="220" t="str">
        <f>IFERROR(VLOOKUP(M1192,Data!$C$4:$D$395,2,0),"")</f>
        <v/>
      </c>
      <c r="O1192" s="220"/>
      <c r="P1192" s="229"/>
      <c r="Q1192" s="221"/>
      <c r="R1192" s="222" t="str">
        <f t="shared" si="162"/>
        <v>-</v>
      </c>
      <c r="S1192" s="223"/>
      <c r="T1192" s="224"/>
      <c r="U1192" s="225">
        <f t="shared" si="163"/>
        <v>0</v>
      </c>
      <c r="V1192" s="226">
        <v>0</v>
      </c>
      <c r="W1192" s="227"/>
      <c r="X1192" s="228">
        <f t="shared" si="164"/>
        <v>0</v>
      </c>
      <c r="Y1192" s="229"/>
      <c r="Z1192" s="229"/>
      <c r="AA1192" s="229"/>
      <c r="AB1192" s="222">
        <f t="shared" si="165"/>
        <v>0</v>
      </c>
      <c r="AC1192" s="230">
        <f t="shared" si="166"/>
        <v>0</v>
      </c>
      <c r="AD1192" s="222" t="str">
        <f t="shared" si="167"/>
        <v/>
      </c>
      <c r="AE1192" s="201"/>
      <c r="AF1192" s="231" t="str">
        <f>+IFERROR(VLOOKUP(L1192,Data!$F$4:$G$97,2,0),"")</f>
        <v/>
      </c>
    </row>
    <row r="1193" spans="9:32" ht="15" customHeight="1" x14ac:dyDescent="0.3">
      <c r="I1193" s="201" t="str">
        <f t="shared" si="160"/>
        <v/>
      </c>
      <c r="J1193" s="218">
        <f t="shared" si="161"/>
        <v>1190</v>
      </c>
      <c r="K1193" s="250"/>
      <c r="L1193" s="219"/>
      <c r="M1193" s="218"/>
      <c r="N1193" s="220" t="str">
        <f>IFERROR(VLOOKUP(M1193,Data!$C$4:$D$395,2,0),"")</f>
        <v/>
      </c>
      <c r="O1193" s="220"/>
      <c r="P1193" s="229"/>
      <c r="Q1193" s="221"/>
      <c r="R1193" s="222" t="str">
        <f t="shared" si="162"/>
        <v>-</v>
      </c>
      <c r="S1193" s="223"/>
      <c r="T1193" s="224"/>
      <c r="U1193" s="225">
        <f t="shared" si="163"/>
        <v>0</v>
      </c>
      <c r="V1193" s="226">
        <v>0</v>
      </c>
      <c r="W1193" s="227"/>
      <c r="X1193" s="228">
        <f t="shared" si="164"/>
        <v>0</v>
      </c>
      <c r="Y1193" s="229"/>
      <c r="Z1193" s="229"/>
      <c r="AA1193" s="229"/>
      <c r="AB1193" s="222">
        <f t="shared" si="165"/>
        <v>0</v>
      </c>
      <c r="AC1193" s="230">
        <f t="shared" si="166"/>
        <v>0</v>
      </c>
      <c r="AD1193" s="222" t="str">
        <f t="shared" si="167"/>
        <v/>
      </c>
      <c r="AE1193" s="201"/>
      <c r="AF1193" s="231" t="str">
        <f>+IFERROR(VLOOKUP(L1193,Data!$F$4:$G$97,2,0),"")</f>
        <v/>
      </c>
    </row>
    <row r="1194" spans="9:32" ht="15" customHeight="1" x14ac:dyDescent="0.3">
      <c r="I1194" s="201" t="str">
        <f t="shared" si="160"/>
        <v/>
      </c>
      <c r="J1194" s="218">
        <f t="shared" si="161"/>
        <v>1191</v>
      </c>
      <c r="K1194" s="250"/>
      <c r="L1194" s="219"/>
      <c r="M1194" s="218"/>
      <c r="N1194" s="220" t="str">
        <f>IFERROR(VLOOKUP(M1194,Data!$C$4:$D$395,2,0),"")</f>
        <v/>
      </c>
      <c r="O1194" s="220"/>
      <c r="P1194" s="229"/>
      <c r="Q1194" s="221"/>
      <c r="R1194" s="222" t="str">
        <f t="shared" si="162"/>
        <v>-</v>
      </c>
      <c r="S1194" s="223"/>
      <c r="T1194" s="224"/>
      <c r="U1194" s="225">
        <f t="shared" si="163"/>
        <v>0</v>
      </c>
      <c r="V1194" s="226">
        <v>0</v>
      </c>
      <c r="W1194" s="227"/>
      <c r="X1194" s="228">
        <f t="shared" si="164"/>
        <v>0</v>
      </c>
      <c r="Y1194" s="229"/>
      <c r="Z1194" s="229"/>
      <c r="AA1194" s="229"/>
      <c r="AB1194" s="222">
        <f t="shared" si="165"/>
        <v>0</v>
      </c>
      <c r="AC1194" s="230">
        <f t="shared" si="166"/>
        <v>0</v>
      </c>
      <c r="AD1194" s="222" t="str">
        <f t="shared" si="167"/>
        <v/>
      </c>
      <c r="AE1194" s="201"/>
      <c r="AF1194" s="231" t="str">
        <f>+IFERROR(VLOOKUP(L1194,Data!$F$4:$G$97,2,0),"")</f>
        <v/>
      </c>
    </row>
    <row r="1195" spans="9:32" ht="15" customHeight="1" x14ac:dyDescent="0.3">
      <c r="I1195" s="201" t="str">
        <f t="shared" si="160"/>
        <v/>
      </c>
      <c r="J1195" s="218">
        <f t="shared" si="161"/>
        <v>1192</v>
      </c>
      <c r="K1195" s="250"/>
      <c r="L1195" s="219"/>
      <c r="M1195" s="218"/>
      <c r="N1195" s="220" t="str">
        <f>IFERROR(VLOOKUP(M1195,Data!$C$4:$D$395,2,0),"")</f>
        <v/>
      </c>
      <c r="O1195" s="220"/>
      <c r="P1195" s="229"/>
      <c r="Q1195" s="221"/>
      <c r="R1195" s="222" t="str">
        <f t="shared" si="162"/>
        <v>-</v>
      </c>
      <c r="S1195" s="223"/>
      <c r="T1195" s="224"/>
      <c r="U1195" s="225">
        <f t="shared" si="163"/>
        <v>0</v>
      </c>
      <c r="V1195" s="226">
        <v>0</v>
      </c>
      <c r="W1195" s="227"/>
      <c r="X1195" s="228">
        <f t="shared" si="164"/>
        <v>0</v>
      </c>
      <c r="Y1195" s="229"/>
      <c r="Z1195" s="229"/>
      <c r="AA1195" s="229"/>
      <c r="AB1195" s="222">
        <f t="shared" si="165"/>
        <v>0</v>
      </c>
      <c r="AC1195" s="230">
        <f t="shared" si="166"/>
        <v>0</v>
      </c>
      <c r="AD1195" s="222" t="str">
        <f t="shared" si="167"/>
        <v/>
      </c>
      <c r="AE1195" s="201"/>
      <c r="AF1195" s="231" t="str">
        <f>+IFERROR(VLOOKUP(L1195,Data!$F$4:$G$97,2,0),"")</f>
        <v/>
      </c>
    </row>
    <row r="1196" spans="9:32" ht="15" customHeight="1" x14ac:dyDescent="0.3">
      <c r="I1196" s="201" t="str">
        <f t="shared" si="160"/>
        <v/>
      </c>
      <c r="J1196" s="218">
        <f t="shared" si="161"/>
        <v>1193</v>
      </c>
      <c r="K1196" s="250"/>
      <c r="L1196" s="219"/>
      <c r="M1196" s="218"/>
      <c r="N1196" s="220" t="str">
        <f>IFERROR(VLOOKUP(M1196,Data!$C$4:$D$395,2,0),"")</f>
        <v/>
      </c>
      <c r="O1196" s="220"/>
      <c r="P1196" s="229"/>
      <c r="Q1196" s="221"/>
      <c r="R1196" s="222" t="str">
        <f t="shared" si="162"/>
        <v>-</v>
      </c>
      <c r="S1196" s="223"/>
      <c r="T1196" s="224"/>
      <c r="U1196" s="225">
        <f t="shared" si="163"/>
        <v>0</v>
      </c>
      <c r="V1196" s="226">
        <v>0</v>
      </c>
      <c r="W1196" s="227"/>
      <c r="X1196" s="228">
        <f t="shared" si="164"/>
        <v>0</v>
      </c>
      <c r="Y1196" s="229"/>
      <c r="Z1196" s="229"/>
      <c r="AA1196" s="229"/>
      <c r="AB1196" s="222">
        <f t="shared" si="165"/>
        <v>0</v>
      </c>
      <c r="AC1196" s="230">
        <f t="shared" si="166"/>
        <v>0</v>
      </c>
      <c r="AD1196" s="222" t="str">
        <f t="shared" si="167"/>
        <v/>
      </c>
      <c r="AE1196" s="201"/>
      <c r="AF1196" s="231" t="str">
        <f>+IFERROR(VLOOKUP(L1196,Data!$F$4:$G$97,2,0),"")</f>
        <v/>
      </c>
    </row>
    <row r="1197" spans="9:32" ht="15" customHeight="1" x14ac:dyDescent="0.3">
      <c r="I1197" s="201" t="str">
        <f t="shared" si="160"/>
        <v/>
      </c>
      <c r="J1197" s="218">
        <f t="shared" si="161"/>
        <v>1194</v>
      </c>
      <c r="K1197" s="250"/>
      <c r="L1197" s="219"/>
      <c r="M1197" s="218"/>
      <c r="N1197" s="220" t="str">
        <f>IFERROR(VLOOKUP(M1197,Data!$C$4:$D$395,2,0),"")</f>
        <v/>
      </c>
      <c r="O1197" s="220"/>
      <c r="P1197" s="229"/>
      <c r="Q1197" s="221"/>
      <c r="R1197" s="222" t="str">
        <f t="shared" si="162"/>
        <v>-</v>
      </c>
      <c r="S1197" s="223"/>
      <c r="T1197" s="224"/>
      <c r="U1197" s="225">
        <f t="shared" si="163"/>
        <v>0</v>
      </c>
      <c r="V1197" s="226">
        <v>0</v>
      </c>
      <c r="W1197" s="227"/>
      <c r="X1197" s="228">
        <f t="shared" si="164"/>
        <v>0</v>
      </c>
      <c r="Y1197" s="229"/>
      <c r="Z1197" s="229"/>
      <c r="AA1197" s="229"/>
      <c r="AB1197" s="222">
        <f t="shared" si="165"/>
        <v>0</v>
      </c>
      <c r="AC1197" s="230">
        <f t="shared" si="166"/>
        <v>0</v>
      </c>
      <c r="AD1197" s="222" t="str">
        <f t="shared" si="167"/>
        <v/>
      </c>
      <c r="AE1197" s="201"/>
      <c r="AF1197" s="231" t="str">
        <f>+IFERROR(VLOOKUP(L1197,Data!$F$4:$G$97,2,0),"")</f>
        <v/>
      </c>
    </row>
    <row r="1198" spans="9:32" ht="15" customHeight="1" x14ac:dyDescent="0.3">
      <c r="I1198" s="201" t="str">
        <f t="shared" si="160"/>
        <v/>
      </c>
      <c r="J1198" s="218">
        <f t="shared" si="161"/>
        <v>1195</v>
      </c>
      <c r="K1198" s="250"/>
      <c r="L1198" s="219"/>
      <c r="M1198" s="218"/>
      <c r="N1198" s="220" t="str">
        <f>IFERROR(VLOOKUP(M1198,Data!$C$4:$D$395,2,0),"")</f>
        <v/>
      </c>
      <c r="O1198" s="220"/>
      <c r="P1198" s="229"/>
      <c r="Q1198" s="221"/>
      <c r="R1198" s="222" t="str">
        <f t="shared" si="162"/>
        <v>-</v>
      </c>
      <c r="S1198" s="223"/>
      <c r="T1198" s="224"/>
      <c r="U1198" s="225">
        <f t="shared" si="163"/>
        <v>0</v>
      </c>
      <c r="V1198" s="226">
        <v>0</v>
      </c>
      <c r="W1198" s="227"/>
      <c r="X1198" s="228">
        <f t="shared" si="164"/>
        <v>0</v>
      </c>
      <c r="Y1198" s="229"/>
      <c r="Z1198" s="229"/>
      <c r="AA1198" s="229"/>
      <c r="AB1198" s="222">
        <f t="shared" si="165"/>
        <v>0</v>
      </c>
      <c r="AC1198" s="230">
        <f t="shared" si="166"/>
        <v>0</v>
      </c>
      <c r="AD1198" s="222" t="str">
        <f t="shared" si="167"/>
        <v/>
      </c>
      <c r="AE1198" s="201"/>
      <c r="AF1198" s="231" t="str">
        <f>+IFERROR(VLOOKUP(L1198,Data!$F$4:$G$97,2,0),"")</f>
        <v/>
      </c>
    </row>
    <row r="1199" spans="9:32" ht="15" customHeight="1" x14ac:dyDescent="0.3">
      <c r="I1199" s="201" t="str">
        <f t="shared" si="160"/>
        <v/>
      </c>
      <c r="J1199" s="218">
        <f t="shared" si="161"/>
        <v>1196</v>
      </c>
      <c r="K1199" s="250"/>
      <c r="L1199" s="219"/>
      <c r="M1199" s="218"/>
      <c r="N1199" s="220" t="str">
        <f>IFERROR(VLOOKUP(M1199,Data!$C$4:$D$395,2,0),"")</f>
        <v/>
      </c>
      <c r="O1199" s="220"/>
      <c r="P1199" s="229"/>
      <c r="Q1199" s="221"/>
      <c r="R1199" s="222" t="str">
        <f t="shared" si="162"/>
        <v>-</v>
      </c>
      <c r="S1199" s="223"/>
      <c r="T1199" s="224"/>
      <c r="U1199" s="225">
        <f t="shared" si="163"/>
        <v>0</v>
      </c>
      <c r="V1199" s="226">
        <v>0</v>
      </c>
      <c r="W1199" s="227"/>
      <c r="X1199" s="228">
        <f t="shared" si="164"/>
        <v>0</v>
      </c>
      <c r="Y1199" s="229"/>
      <c r="Z1199" s="229"/>
      <c r="AA1199" s="229"/>
      <c r="AB1199" s="222">
        <f t="shared" si="165"/>
        <v>0</v>
      </c>
      <c r="AC1199" s="230">
        <f t="shared" si="166"/>
        <v>0</v>
      </c>
      <c r="AD1199" s="222" t="str">
        <f t="shared" si="167"/>
        <v/>
      </c>
      <c r="AE1199" s="201"/>
      <c r="AF1199" s="231" t="str">
        <f>+IFERROR(VLOOKUP(L1199,Data!$F$4:$G$97,2,0),"")</f>
        <v/>
      </c>
    </row>
    <row r="1200" spans="9:32" ht="15" customHeight="1" x14ac:dyDescent="0.3">
      <c r="I1200" s="201" t="str">
        <f t="shared" si="160"/>
        <v/>
      </c>
      <c r="J1200" s="218">
        <f t="shared" si="161"/>
        <v>1197</v>
      </c>
      <c r="K1200" s="250"/>
      <c r="L1200" s="219"/>
      <c r="M1200" s="218"/>
      <c r="N1200" s="220" t="str">
        <f>IFERROR(VLOOKUP(M1200,Data!$C$4:$D$395,2,0),"")</f>
        <v/>
      </c>
      <c r="O1200" s="220"/>
      <c r="P1200" s="229"/>
      <c r="Q1200" s="221"/>
      <c r="R1200" s="222" t="str">
        <f t="shared" si="162"/>
        <v>-</v>
      </c>
      <c r="S1200" s="223"/>
      <c r="T1200" s="224"/>
      <c r="U1200" s="225">
        <f t="shared" si="163"/>
        <v>0</v>
      </c>
      <c r="V1200" s="226">
        <v>0</v>
      </c>
      <c r="W1200" s="227"/>
      <c r="X1200" s="228">
        <f t="shared" si="164"/>
        <v>0</v>
      </c>
      <c r="Y1200" s="229"/>
      <c r="Z1200" s="229"/>
      <c r="AA1200" s="229"/>
      <c r="AB1200" s="222">
        <f t="shared" si="165"/>
        <v>0</v>
      </c>
      <c r="AC1200" s="230">
        <f t="shared" si="166"/>
        <v>0</v>
      </c>
      <c r="AD1200" s="222" t="str">
        <f t="shared" si="167"/>
        <v/>
      </c>
      <c r="AE1200" s="201"/>
      <c r="AF1200" s="231" t="str">
        <f>+IFERROR(VLOOKUP(L1200,Data!$F$4:$G$97,2,0),"")</f>
        <v/>
      </c>
    </row>
    <row r="1201" spans="9:32" ht="15" customHeight="1" x14ac:dyDescent="0.3">
      <c r="I1201" s="201" t="str">
        <f t="shared" si="160"/>
        <v/>
      </c>
      <c r="J1201" s="218">
        <f t="shared" si="161"/>
        <v>1198</v>
      </c>
      <c r="K1201" s="250"/>
      <c r="L1201" s="219"/>
      <c r="M1201" s="218"/>
      <c r="N1201" s="220" t="str">
        <f>IFERROR(VLOOKUP(M1201,Data!$C$4:$D$395,2,0),"")</f>
        <v/>
      </c>
      <c r="O1201" s="220"/>
      <c r="P1201" s="229"/>
      <c r="Q1201" s="221"/>
      <c r="R1201" s="222" t="str">
        <f t="shared" si="162"/>
        <v>-</v>
      </c>
      <c r="S1201" s="223"/>
      <c r="T1201" s="224"/>
      <c r="U1201" s="225">
        <f t="shared" si="163"/>
        <v>0</v>
      </c>
      <c r="V1201" s="226">
        <v>0</v>
      </c>
      <c r="W1201" s="227"/>
      <c r="X1201" s="228">
        <f t="shared" si="164"/>
        <v>0</v>
      </c>
      <c r="Y1201" s="229"/>
      <c r="Z1201" s="229"/>
      <c r="AA1201" s="229"/>
      <c r="AB1201" s="222">
        <f t="shared" si="165"/>
        <v>0</v>
      </c>
      <c r="AC1201" s="230">
        <f t="shared" si="166"/>
        <v>0</v>
      </c>
      <c r="AD1201" s="222" t="str">
        <f t="shared" si="167"/>
        <v/>
      </c>
      <c r="AE1201" s="201"/>
      <c r="AF1201" s="231" t="str">
        <f>+IFERROR(VLOOKUP(L1201,Data!$F$4:$G$97,2,0),"")</f>
        <v/>
      </c>
    </row>
    <row r="1202" spans="9:32" ht="15" customHeight="1" x14ac:dyDescent="0.3">
      <c r="I1202" s="201" t="str">
        <f t="shared" si="160"/>
        <v/>
      </c>
      <c r="J1202" s="218">
        <f t="shared" si="161"/>
        <v>1199</v>
      </c>
      <c r="K1202" s="250"/>
      <c r="L1202" s="219"/>
      <c r="M1202" s="218"/>
      <c r="N1202" s="220" t="str">
        <f>IFERROR(VLOOKUP(M1202,Data!$C$4:$D$395,2,0),"")</f>
        <v/>
      </c>
      <c r="O1202" s="220"/>
      <c r="P1202" s="229"/>
      <c r="Q1202" s="221"/>
      <c r="R1202" s="222" t="str">
        <f t="shared" si="162"/>
        <v>-</v>
      </c>
      <c r="S1202" s="223"/>
      <c r="T1202" s="224"/>
      <c r="U1202" s="225">
        <f t="shared" si="163"/>
        <v>0</v>
      </c>
      <c r="V1202" s="226">
        <v>0</v>
      </c>
      <c r="W1202" s="227"/>
      <c r="X1202" s="228">
        <f t="shared" si="164"/>
        <v>0</v>
      </c>
      <c r="Y1202" s="229"/>
      <c r="Z1202" s="229"/>
      <c r="AA1202" s="229"/>
      <c r="AB1202" s="222">
        <f t="shared" si="165"/>
        <v>0</v>
      </c>
      <c r="AC1202" s="230">
        <f t="shared" si="166"/>
        <v>0</v>
      </c>
      <c r="AD1202" s="222" t="str">
        <f t="shared" si="167"/>
        <v/>
      </c>
      <c r="AE1202" s="201"/>
      <c r="AF1202" s="231" t="str">
        <f>+IFERROR(VLOOKUP(L1202,Data!$F$4:$G$97,2,0),"")</f>
        <v/>
      </c>
    </row>
    <row r="1203" spans="9:32" ht="15" customHeight="1" x14ac:dyDescent="0.3">
      <c r="I1203" s="201" t="str">
        <f t="shared" si="160"/>
        <v/>
      </c>
      <c r="J1203" s="218">
        <f t="shared" si="161"/>
        <v>1200</v>
      </c>
      <c r="K1203" s="250"/>
      <c r="L1203" s="219"/>
      <c r="M1203" s="218"/>
      <c r="N1203" s="220" t="str">
        <f>IFERROR(VLOOKUP(M1203,Data!$C$4:$D$395,2,0),"")</f>
        <v/>
      </c>
      <c r="O1203" s="220"/>
      <c r="P1203" s="229"/>
      <c r="Q1203" s="221"/>
      <c r="R1203" s="222" t="str">
        <f t="shared" si="162"/>
        <v>-</v>
      </c>
      <c r="S1203" s="223"/>
      <c r="T1203" s="224"/>
      <c r="U1203" s="225">
        <f t="shared" si="163"/>
        <v>0</v>
      </c>
      <c r="V1203" s="226">
        <v>0</v>
      </c>
      <c r="W1203" s="227"/>
      <c r="X1203" s="228">
        <f t="shared" si="164"/>
        <v>0</v>
      </c>
      <c r="Y1203" s="229"/>
      <c r="Z1203" s="229"/>
      <c r="AA1203" s="229"/>
      <c r="AB1203" s="222">
        <f t="shared" si="165"/>
        <v>0</v>
      </c>
      <c r="AC1203" s="230">
        <f t="shared" si="166"/>
        <v>0</v>
      </c>
      <c r="AD1203" s="222" t="str">
        <f t="shared" si="167"/>
        <v/>
      </c>
      <c r="AE1203" s="201"/>
      <c r="AF1203" s="231" t="str">
        <f>+IFERROR(VLOOKUP(L1203,Data!$F$4:$G$97,2,0),"")</f>
        <v/>
      </c>
    </row>
    <row r="1204" spans="9:32" ht="15" customHeight="1" x14ac:dyDescent="0.3">
      <c r="I1204" s="201" t="str">
        <f t="shared" si="160"/>
        <v/>
      </c>
      <c r="J1204" s="218">
        <f t="shared" si="161"/>
        <v>1201</v>
      </c>
      <c r="K1204" s="250"/>
      <c r="L1204" s="219"/>
      <c r="M1204" s="218"/>
      <c r="N1204" s="220" t="str">
        <f>IFERROR(VLOOKUP(M1204,Data!$C$4:$D$395,2,0),"")</f>
        <v/>
      </c>
      <c r="O1204" s="220"/>
      <c r="P1204" s="229"/>
      <c r="Q1204" s="221"/>
      <c r="R1204" s="222" t="str">
        <f t="shared" si="162"/>
        <v>-</v>
      </c>
      <c r="S1204" s="223"/>
      <c r="T1204" s="224"/>
      <c r="U1204" s="225">
        <f t="shared" si="163"/>
        <v>0</v>
      </c>
      <c r="V1204" s="226">
        <v>0</v>
      </c>
      <c r="W1204" s="227"/>
      <c r="X1204" s="228">
        <f t="shared" si="164"/>
        <v>0</v>
      </c>
      <c r="Y1204" s="229"/>
      <c r="Z1204" s="229"/>
      <c r="AA1204" s="229"/>
      <c r="AB1204" s="222">
        <f t="shared" si="165"/>
        <v>0</v>
      </c>
      <c r="AC1204" s="230">
        <f t="shared" si="166"/>
        <v>0</v>
      </c>
      <c r="AD1204" s="222" t="str">
        <f t="shared" si="167"/>
        <v/>
      </c>
      <c r="AE1204" s="201"/>
      <c r="AF1204" s="231" t="str">
        <f>+IFERROR(VLOOKUP(L1204,Data!$F$4:$G$97,2,0),"")</f>
        <v/>
      </c>
    </row>
    <row r="1205" spans="9:32" ht="15" customHeight="1" x14ac:dyDescent="0.3">
      <c r="I1205" s="201" t="str">
        <f t="shared" si="160"/>
        <v/>
      </c>
      <c r="J1205" s="218">
        <f t="shared" si="161"/>
        <v>1202</v>
      </c>
      <c r="K1205" s="250"/>
      <c r="L1205" s="219"/>
      <c r="M1205" s="218"/>
      <c r="N1205" s="220" t="str">
        <f>IFERROR(VLOOKUP(M1205,Data!$C$4:$D$395,2,0),"")</f>
        <v/>
      </c>
      <c r="O1205" s="220"/>
      <c r="P1205" s="229"/>
      <c r="Q1205" s="221"/>
      <c r="R1205" s="222" t="str">
        <f t="shared" si="162"/>
        <v>-</v>
      </c>
      <c r="S1205" s="223"/>
      <c r="T1205" s="224"/>
      <c r="U1205" s="225">
        <f t="shared" si="163"/>
        <v>0</v>
      </c>
      <c r="V1205" s="226">
        <v>0</v>
      </c>
      <c r="W1205" s="227"/>
      <c r="X1205" s="228">
        <f t="shared" si="164"/>
        <v>0</v>
      </c>
      <c r="Y1205" s="229"/>
      <c r="Z1205" s="229"/>
      <c r="AA1205" s="229"/>
      <c r="AB1205" s="222">
        <f t="shared" si="165"/>
        <v>0</v>
      </c>
      <c r="AC1205" s="230">
        <f t="shared" si="166"/>
        <v>0</v>
      </c>
      <c r="AD1205" s="222" t="str">
        <f t="shared" si="167"/>
        <v/>
      </c>
      <c r="AE1205" s="201"/>
      <c r="AF1205" s="231" t="str">
        <f>+IFERROR(VLOOKUP(L1205,Data!$F$4:$G$97,2,0),"")</f>
        <v/>
      </c>
    </row>
    <row r="1206" spans="9:32" ht="15" customHeight="1" x14ac:dyDescent="0.3">
      <c r="I1206" s="201" t="str">
        <f t="shared" si="160"/>
        <v/>
      </c>
      <c r="J1206" s="218">
        <f t="shared" si="161"/>
        <v>1203</v>
      </c>
      <c r="K1206" s="250"/>
      <c r="L1206" s="219"/>
      <c r="M1206" s="218"/>
      <c r="N1206" s="220" t="str">
        <f>IFERROR(VLOOKUP(M1206,Data!$C$4:$D$395,2,0),"")</f>
        <v/>
      </c>
      <c r="O1206" s="220"/>
      <c r="P1206" s="229"/>
      <c r="Q1206" s="221"/>
      <c r="R1206" s="222" t="str">
        <f t="shared" si="162"/>
        <v>-</v>
      </c>
      <c r="S1206" s="223"/>
      <c r="T1206" s="224"/>
      <c r="U1206" s="225">
        <f t="shared" si="163"/>
        <v>0</v>
      </c>
      <c r="V1206" s="226">
        <v>0</v>
      </c>
      <c r="W1206" s="227"/>
      <c r="X1206" s="228">
        <f t="shared" si="164"/>
        <v>0</v>
      </c>
      <c r="Y1206" s="229"/>
      <c r="Z1206" s="229"/>
      <c r="AA1206" s="229"/>
      <c r="AB1206" s="222">
        <f t="shared" si="165"/>
        <v>0</v>
      </c>
      <c r="AC1206" s="230">
        <f t="shared" si="166"/>
        <v>0</v>
      </c>
      <c r="AD1206" s="222" t="str">
        <f t="shared" si="167"/>
        <v/>
      </c>
      <c r="AE1206" s="201"/>
      <c r="AF1206" s="231" t="str">
        <f>+IFERROR(VLOOKUP(L1206,Data!$F$4:$G$97,2,0),"")</f>
        <v/>
      </c>
    </row>
    <row r="1207" spans="9:32" ht="15" customHeight="1" x14ac:dyDescent="0.3">
      <c r="I1207" s="201" t="str">
        <f t="shared" si="160"/>
        <v/>
      </c>
      <c r="J1207" s="218">
        <f t="shared" si="161"/>
        <v>1204</v>
      </c>
      <c r="K1207" s="250"/>
      <c r="L1207" s="219"/>
      <c r="M1207" s="218"/>
      <c r="N1207" s="220" t="str">
        <f>IFERROR(VLOOKUP(M1207,Data!$C$4:$D$395,2,0),"")</f>
        <v/>
      </c>
      <c r="O1207" s="220"/>
      <c r="P1207" s="229"/>
      <c r="Q1207" s="221"/>
      <c r="R1207" s="222" t="str">
        <f t="shared" si="162"/>
        <v>-</v>
      </c>
      <c r="S1207" s="223"/>
      <c r="T1207" s="224"/>
      <c r="U1207" s="225">
        <f t="shared" si="163"/>
        <v>0</v>
      </c>
      <c r="V1207" s="226">
        <v>0</v>
      </c>
      <c r="W1207" s="227"/>
      <c r="X1207" s="228">
        <f t="shared" si="164"/>
        <v>0</v>
      </c>
      <c r="Y1207" s="229"/>
      <c r="Z1207" s="229"/>
      <c r="AA1207" s="229"/>
      <c r="AB1207" s="222">
        <f t="shared" si="165"/>
        <v>0</v>
      </c>
      <c r="AC1207" s="230">
        <f t="shared" si="166"/>
        <v>0</v>
      </c>
      <c r="AD1207" s="222" t="str">
        <f t="shared" si="167"/>
        <v/>
      </c>
      <c r="AE1207" s="201"/>
      <c r="AF1207" s="231" t="str">
        <f>+IFERROR(VLOOKUP(L1207,Data!$F$4:$G$97,2,0),"")</f>
        <v/>
      </c>
    </row>
    <row r="1208" spans="9:32" ht="15" customHeight="1" x14ac:dyDescent="0.3">
      <c r="I1208" s="201" t="str">
        <f t="shared" si="160"/>
        <v/>
      </c>
      <c r="J1208" s="218">
        <f t="shared" si="161"/>
        <v>1205</v>
      </c>
      <c r="K1208" s="250"/>
      <c r="L1208" s="219"/>
      <c r="M1208" s="218"/>
      <c r="N1208" s="220" t="str">
        <f>IFERROR(VLOOKUP(M1208,Data!$C$4:$D$395,2,0),"")</f>
        <v/>
      </c>
      <c r="O1208" s="220"/>
      <c r="P1208" s="229"/>
      <c r="Q1208" s="221"/>
      <c r="R1208" s="222" t="str">
        <f t="shared" si="162"/>
        <v>-</v>
      </c>
      <c r="S1208" s="223"/>
      <c r="T1208" s="224"/>
      <c r="U1208" s="225">
        <f t="shared" si="163"/>
        <v>0</v>
      </c>
      <c r="V1208" s="226">
        <v>0</v>
      </c>
      <c r="W1208" s="227"/>
      <c r="X1208" s="228">
        <f t="shared" si="164"/>
        <v>0</v>
      </c>
      <c r="Y1208" s="229"/>
      <c r="Z1208" s="229"/>
      <c r="AA1208" s="229"/>
      <c r="AB1208" s="222">
        <f t="shared" si="165"/>
        <v>0</v>
      </c>
      <c r="AC1208" s="230">
        <f t="shared" si="166"/>
        <v>0</v>
      </c>
      <c r="AD1208" s="222" t="str">
        <f t="shared" si="167"/>
        <v/>
      </c>
      <c r="AE1208" s="201"/>
      <c r="AF1208" s="231" t="str">
        <f>+IFERROR(VLOOKUP(L1208,Data!$F$4:$G$97,2,0),"")</f>
        <v/>
      </c>
    </row>
    <row r="1209" spans="9:32" ht="15" customHeight="1" x14ac:dyDescent="0.3">
      <c r="I1209" s="201" t="str">
        <f t="shared" si="160"/>
        <v/>
      </c>
      <c r="J1209" s="218">
        <f t="shared" si="161"/>
        <v>1206</v>
      </c>
      <c r="K1209" s="250"/>
      <c r="L1209" s="219"/>
      <c r="M1209" s="218"/>
      <c r="N1209" s="220" t="str">
        <f>IFERROR(VLOOKUP(M1209,Data!$C$4:$D$395,2,0),"")</f>
        <v/>
      </c>
      <c r="O1209" s="220"/>
      <c r="P1209" s="229"/>
      <c r="Q1209" s="221"/>
      <c r="R1209" s="222" t="str">
        <f t="shared" si="162"/>
        <v>-</v>
      </c>
      <c r="S1209" s="223"/>
      <c r="T1209" s="224"/>
      <c r="U1209" s="225">
        <f t="shared" si="163"/>
        <v>0</v>
      </c>
      <c r="V1209" s="226">
        <v>0</v>
      </c>
      <c r="W1209" s="227"/>
      <c r="X1209" s="228">
        <f t="shared" si="164"/>
        <v>0</v>
      </c>
      <c r="Y1209" s="229"/>
      <c r="Z1209" s="229"/>
      <c r="AA1209" s="229"/>
      <c r="AB1209" s="222">
        <f t="shared" si="165"/>
        <v>0</v>
      </c>
      <c r="AC1209" s="230">
        <f t="shared" si="166"/>
        <v>0</v>
      </c>
      <c r="AD1209" s="222" t="str">
        <f t="shared" si="167"/>
        <v/>
      </c>
      <c r="AE1209" s="201"/>
      <c r="AF1209" s="231" t="str">
        <f>+IFERROR(VLOOKUP(L1209,Data!$F$4:$G$97,2,0),"")</f>
        <v/>
      </c>
    </row>
    <row r="1210" spans="9:32" ht="15" customHeight="1" x14ac:dyDescent="0.3">
      <c r="I1210" s="201" t="str">
        <f t="shared" si="160"/>
        <v/>
      </c>
      <c r="J1210" s="218">
        <f t="shared" si="161"/>
        <v>1207</v>
      </c>
      <c r="K1210" s="250"/>
      <c r="L1210" s="219"/>
      <c r="M1210" s="218"/>
      <c r="N1210" s="220" t="str">
        <f>IFERROR(VLOOKUP(M1210,Data!$C$4:$D$395,2,0),"")</f>
        <v/>
      </c>
      <c r="O1210" s="220"/>
      <c r="P1210" s="229"/>
      <c r="Q1210" s="221"/>
      <c r="R1210" s="222" t="str">
        <f t="shared" si="162"/>
        <v>-</v>
      </c>
      <c r="S1210" s="223"/>
      <c r="T1210" s="224"/>
      <c r="U1210" s="225">
        <f t="shared" si="163"/>
        <v>0</v>
      </c>
      <c r="V1210" s="226">
        <v>0</v>
      </c>
      <c r="W1210" s="227"/>
      <c r="X1210" s="228">
        <f t="shared" si="164"/>
        <v>0</v>
      </c>
      <c r="Y1210" s="229"/>
      <c r="Z1210" s="229"/>
      <c r="AA1210" s="229"/>
      <c r="AB1210" s="222">
        <f t="shared" si="165"/>
        <v>0</v>
      </c>
      <c r="AC1210" s="230">
        <f t="shared" si="166"/>
        <v>0</v>
      </c>
      <c r="AD1210" s="222" t="str">
        <f t="shared" si="167"/>
        <v/>
      </c>
      <c r="AE1210" s="201"/>
      <c r="AF1210" s="231" t="str">
        <f>+IFERROR(VLOOKUP(L1210,Data!$F$4:$G$97,2,0),"")</f>
        <v/>
      </c>
    </row>
    <row r="1211" spans="9:32" ht="15" customHeight="1" x14ac:dyDescent="0.3">
      <c r="I1211" s="201" t="str">
        <f t="shared" si="160"/>
        <v/>
      </c>
      <c r="J1211" s="218">
        <f t="shared" si="161"/>
        <v>1208</v>
      </c>
      <c r="K1211" s="250"/>
      <c r="L1211" s="219"/>
      <c r="M1211" s="218"/>
      <c r="N1211" s="220" t="str">
        <f>IFERROR(VLOOKUP(M1211,Data!$C$4:$D$395,2,0),"")</f>
        <v/>
      </c>
      <c r="O1211" s="220"/>
      <c r="P1211" s="229"/>
      <c r="Q1211" s="221"/>
      <c r="R1211" s="222" t="str">
        <f t="shared" si="162"/>
        <v>-</v>
      </c>
      <c r="S1211" s="223"/>
      <c r="T1211" s="224"/>
      <c r="U1211" s="225">
        <f t="shared" si="163"/>
        <v>0</v>
      </c>
      <c r="V1211" s="226">
        <v>0</v>
      </c>
      <c r="W1211" s="227"/>
      <c r="X1211" s="228">
        <f t="shared" si="164"/>
        <v>0</v>
      </c>
      <c r="Y1211" s="229"/>
      <c r="Z1211" s="229"/>
      <c r="AA1211" s="229"/>
      <c r="AB1211" s="222">
        <f t="shared" si="165"/>
        <v>0</v>
      </c>
      <c r="AC1211" s="230">
        <f t="shared" si="166"/>
        <v>0</v>
      </c>
      <c r="AD1211" s="222" t="str">
        <f t="shared" si="167"/>
        <v/>
      </c>
      <c r="AE1211" s="201"/>
      <c r="AF1211" s="231" t="str">
        <f>+IFERROR(VLOOKUP(L1211,Data!$F$4:$G$97,2,0),"")</f>
        <v/>
      </c>
    </row>
    <row r="1212" spans="9:32" ht="15" customHeight="1" x14ac:dyDescent="0.3">
      <c r="I1212" s="201" t="str">
        <f t="shared" si="160"/>
        <v/>
      </c>
      <c r="J1212" s="218">
        <f t="shared" si="161"/>
        <v>1209</v>
      </c>
      <c r="K1212" s="250"/>
      <c r="L1212" s="219"/>
      <c r="M1212" s="218"/>
      <c r="N1212" s="220" t="str">
        <f>IFERROR(VLOOKUP(M1212,Data!$C$4:$D$395,2,0),"")</f>
        <v/>
      </c>
      <c r="O1212" s="220"/>
      <c r="P1212" s="229"/>
      <c r="Q1212" s="221"/>
      <c r="R1212" s="222" t="str">
        <f t="shared" si="162"/>
        <v>-</v>
      </c>
      <c r="S1212" s="223"/>
      <c r="T1212" s="224"/>
      <c r="U1212" s="225">
        <f t="shared" si="163"/>
        <v>0</v>
      </c>
      <c r="V1212" s="226">
        <v>0</v>
      </c>
      <c r="W1212" s="227"/>
      <c r="X1212" s="228">
        <f t="shared" si="164"/>
        <v>0</v>
      </c>
      <c r="Y1212" s="229"/>
      <c r="Z1212" s="229"/>
      <c r="AA1212" s="229"/>
      <c r="AB1212" s="222">
        <f t="shared" si="165"/>
        <v>0</v>
      </c>
      <c r="AC1212" s="230">
        <f t="shared" si="166"/>
        <v>0</v>
      </c>
      <c r="AD1212" s="222" t="str">
        <f t="shared" si="167"/>
        <v/>
      </c>
      <c r="AE1212" s="201"/>
      <c r="AF1212" s="231" t="str">
        <f>+IFERROR(VLOOKUP(L1212,Data!$F$4:$G$97,2,0),"")</f>
        <v/>
      </c>
    </row>
    <row r="1213" spans="9:32" ht="15" customHeight="1" x14ac:dyDescent="0.3">
      <c r="I1213" s="201" t="str">
        <f t="shared" ref="I1213:I1276" si="168">+AF1213</f>
        <v/>
      </c>
      <c r="J1213" s="218">
        <f t="shared" si="161"/>
        <v>1210</v>
      </c>
      <c r="K1213" s="250"/>
      <c r="L1213" s="219"/>
      <c r="M1213" s="218"/>
      <c r="N1213" s="220" t="str">
        <f>IFERROR(VLOOKUP(M1213,Data!$C$4:$D$395,2,0),"")</f>
        <v/>
      </c>
      <c r="O1213" s="220"/>
      <c r="P1213" s="229"/>
      <c r="Q1213" s="221"/>
      <c r="R1213" s="222" t="str">
        <f t="shared" si="162"/>
        <v>-</v>
      </c>
      <c r="S1213" s="223"/>
      <c r="T1213" s="224"/>
      <c r="U1213" s="225">
        <f t="shared" si="163"/>
        <v>0</v>
      </c>
      <c r="V1213" s="226">
        <v>0</v>
      </c>
      <c r="W1213" s="227"/>
      <c r="X1213" s="228">
        <f t="shared" si="164"/>
        <v>0</v>
      </c>
      <c r="Y1213" s="229"/>
      <c r="Z1213" s="229"/>
      <c r="AA1213" s="229"/>
      <c r="AB1213" s="222">
        <f t="shared" si="165"/>
        <v>0</v>
      </c>
      <c r="AC1213" s="230">
        <f t="shared" si="166"/>
        <v>0</v>
      </c>
      <c r="AD1213" s="222" t="str">
        <f t="shared" si="167"/>
        <v/>
      </c>
      <c r="AE1213" s="201"/>
      <c r="AF1213" s="231" t="str">
        <f>+IFERROR(VLOOKUP(L1213,Data!$F$4:$G$97,2,0),"")</f>
        <v/>
      </c>
    </row>
    <row r="1214" spans="9:32" ht="15" customHeight="1" x14ac:dyDescent="0.3">
      <c r="I1214" s="201" t="str">
        <f t="shared" si="168"/>
        <v/>
      </c>
      <c r="J1214" s="218">
        <f t="shared" ref="J1214:J1277" si="169">J1213+1</f>
        <v>1211</v>
      </c>
      <c r="K1214" s="250"/>
      <c r="L1214" s="219"/>
      <c r="M1214" s="218"/>
      <c r="N1214" s="220" t="str">
        <f>IFERROR(VLOOKUP(M1214,Data!$C$4:$D$395,2,0),"")</f>
        <v/>
      </c>
      <c r="O1214" s="220"/>
      <c r="P1214" s="229"/>
      <c r="Q1214" s="221"/>
      <c r="R1214" s="222" t="str">
        <f t="shared" si="162"/>
        <v>-</v>
      </c>
      <c r="S1214" s="223"/>
      <c r="T1214" s="224"/>
      <c r="U1214" s="225">
        <f t="shared" si="163"/>
        <v>0</v>
      </c>
      <c r="V1214" s="226">
        <v>0</v>
      </c>
      <c r="W1214" s="227"/>
      <c r="X1214" s="228">
        <f t="shared" si="164"/>
        <v>0</v>
      </c>
      <c r="Y1214" s="229"/>
      <c r="Z1214" s="229"/>
      <c r="AA1214" s="229"/>
      <c r="AB1214" s="222">
        <f t="shared" si="165"/>
        <v>0</v>
      </c>
      <c r="AC1214" s="230">
        <f t="shared" si="166"/>
        <v>0</v>
      </c>
      <c r="AD1214" s="222" t="str">
        <f t="shared" si="167"/>
        <v/>
      </c>
      <c r="AE1214" s="201"/>
      <c r="AF1214" s="231" t="str">
        <f>+IFERROR(VLOOKUP(L1214,Data!$F$4:$G$97,2,0),"")</f>
        <v/>
      </c>
    </row>
    <row r="1215" spans="9:32" ht="15" customHeight="1" x14ac:dyDescent="0.3">
      <c r="I1215" s="201" t="str">
        <f t="shared" si="168"/>
        <v/>
      </c>
      <c r="J1215" s="218">
        <f t="shared" si="169"/>
        <v>1212</v>
      </c>
      <c r="K1215" s="250"/>
      <c r="L1215" s="219"/>
      <c r="M1215" s="218"/>
      <c r="N1215" s="220" t="str">
        <f>IFERROR(VLOOKUP(M1215,Data!$C$4:$D$395,2,0),"")</f>
        <v/>
      </c>
      <c r="O1215" s="220"/>
      <c r="P1215" s="229"/>
      <c r="Q1215" s="221"/>
      <c r="R1215" s="222" t="str">
        <f t="shared" si="162"/>
        <v>-</v>
      </c>
      <c r="S1215" s="223"/>
      <c r="T1215" s="224"/>
      <c r="U1215" s="225">
        <f t="shared" si="163"/>
        <v>0</v>
      </c>
      <c r="V1215" s="226">
        <v>0</v>
      </c>
      <c r="W1215" s="227"/>
      <c r="X1215" s="228">
        <f t="shared" si="164"/>
        <v>0</v>
      </c>
      <c r="Y1215" s="229"/>
      <c r="Z1215" s="229"/>
      <c r="AA1215" s="229"/>
      <c r="AB1215" s="222">
        <f t="shared" si="165"/>
        <v>0</v>
      </c>
      <c r="AC1215" s="230">
        <f t="shared" si="166"/>
        <v>0</v>
      </c>
      <c r="AD1215" s="222" t="str">
        <f t="shared" si="167"/>
        <v/>
      </c>
      <c r="AE1215" s="201"/>
      <c r="AF1215" s="231" t="str">
        <f>+IFERROR(VLOOKUP(L1215,Data!$F$4:$G$97,2,0),"")</f>
        <v/>
      </c>
    </row>
    <row r="1216" spans="9:32" ht="15" customHeight="1" x14ac:dyDescent="0.3">
      <c r="I1216" s="201" t="str">
        <f t="shared" si="168"/>
        <v/>
      </c>
      <c r="J1216" s="218">
        <f t="shared" si="169"/>
        <v>1213</v>
      </c>
      <c r="K1216" s="250"/>
      <c r="L1216" s="219"/>
      <c r="M1216" s="218"/>
      <c r="N1216" s="220" t="str">
        <f>IFERROR(VLOOKUP(M1216,Data!$C$4:$D$395,2,0),"")</f>
        <v/>
      </c>
      <c r="O1216" s="220"/>
      <c r="P1216" s="229"/>
      <c r="Q1216" s="221"/>
      <c r="R1216" s="222" t="str">
        <f t="shared" ref="R1216:R1279" si="170">IFERROR(Q1216/P1216, "-")</f>
        <v>-</v>
      </c>
      <c r="S1216" s="223"/>
      <c r="T1216" s="224"/>
      <c r="U1216" s="225">
        <f t="shared" ref="U1216:U1279" si="171">+Q1216*S1216+P1216*T1216</f>
        <v>0</v>
      </c>
      <c r="V1216" s="226">
        <v>0</v>
      </c>
      <c r="W1216" s="227"/>
      <c r="X1216" s="228">
        <f t="shared" ref="X1216:X1279" si="172">+Q1216*V1216+P1216*W1216</f>
        <v>0</v>
      </c>
      <c r="Y1216" s="229"/>
      <c r="Z1216" s="229"/>
      <c r="AA1216" s="229"/>
      <c r="AB1216" s="222">
        <f t="shared" ref="AB1216:AB1279" si="173">+Y1216+Z1216+AA1216</f>
        <v>0</v>
      </c>
      <c r="AC1216" s="230">
        <f t="shared" ref="AC1216:AC1279" si="174">IF((U1216-Y1216-Z1216-AA1216)&lt;0,"",(U1216-Y1216-Z1216-AA1216))</f>
        <v>0</v>
      </c>
      <c r="AD1216" s="222" t="str">
        <f t="shared" ref="AD1216:AD1279" si="175">IF((U1216-Y1216-Z1216-AA1216)&lt;0,(Y1216+Z1216+AA1216-U1216),"")</f>
        <v/>
      </c>
      <c r="AE1216" s="201"/>
      <c r="AF1216" s="231" t="str">
        <f>+IFERROR(VLOOKUP(L1216,Data!$F$4:$G$97,2,0),"")</f>
        <v/>
      </c>
    </row>
    <row r="1217" spans="9:32" ht="15" customHeight="1" x14ac:dyDescent="0.3">
      <c r="I1217" s="201" t="str">
        <f t="shared" si="168"/>
        <v/>
      </c>
      <c r="J1217" s="218">
        <f t="shared" si="169"/>
        <v>1214</v>
      </c>
      <c r="K1217" s="250"/>
      <c r="L1217" s="219"/>
      <c r="M1217" s="218"/>
      <c r="N1217" s="220" t="str">
        <f>IFERROR(VLOOKUP(M1217,Data!$C$4:$D$395,2,0),"")</f>
        <v/>
      </c>
      <c r="O1217" s="220"/>
      <c r="P1217" s="229"/>
      <c r="Q1217" s="221"/>
      <c r="R1217" s="222" t="str">
        <f t="shared" si="170"/>
        <v>-</v>
      </c>
      <c r="S1217" s="223"/>
      <c r="T1217" s="224"/>
      <c r="U1217" s="225">
        <f t="shared" si="171"/>
        <v>0</v>
      </c>
      <c r="V1217" s="226">
        <v>0</v>
      </c>
      <c r="W1217" s="227"/>
      <c r="X1217" s="228">
        <f t="shared" si="172"/>
        <v>0</v>
      </c>
      <c r="Y1217" s="229"/>
      <c r="Z1217" s="229"/>
      <c r="AA1217" s="229"/>
      <c r="AB1217" s="222">
        <f t="shared" si="173"/>
        <v>0</v>
      </c>
      <c r="AC1217" s="230">
        <f t="shared" si="174"/>
        <v>0</v>
      </c>
      <c r="AD1217" s="222" t="str">
        <f t="shared" si="175"/>
        <v/>
      </c>
      <c r="AE1217" s="201"/>
      <c r="AF1217" s="231" t="str">
        <f>+IFERROR(VLOOKUP(L1217,Data!$F$4:$G$97,2,0),"")</f>
        <v/>
      </c>
    </row>
    <row r="1218" spans="9:32" ht="15" customHeight="1" x14ac:dyDescent="0.3">
      <c r="I1218" s="201" t="str">
        <f t="shared" si="168"/>
        <v/>
      </c>
      <c r="J1218" s="218">
        <f t="shared" si="169"/>
        <v>1215</v>
      </c>
      <c r="K1218" s="250"/>
      <c r="L1218" s="219"/>
      <c r="M1218" s="218"/>
      <c r="N1218" s="220" t="str">
        <f>IFERROR(VLOOKUP(M1218,Data!$C$4:$D$395,2,0),"")</f>
        <v/>
      </c>
      <c r="O1218" s="220"/>
      <c r="P1218" s="229"/>
      <c r="Q1218" s="221"/>
      <c r="R1218" s="222" t="str">
        <f t="shared" si="170"/>
        <v>-</v>
      </c>
      <c r="S1218" s="223"/>
      <c r="T1218" s="224"/>
      <c r="U1218" s="225">
        <f t="shared" si="171"/>
        <v>0</v>
      </c>
      <c r="V1218" s="226">
        <v>0</v>
      </c>
      <c r="W1218" s="227"/>
      <c r="X1218" s="228">
        <f t="shared" si="172"/>
        <v>0</v>
      </c>
      <c r="Y1218" s="229"/>
      <c r="Z1218" s="229"/>
      <c r="AA1218" s="229"/>
      <c r="AB1218" s="222">
        <f t="shared" si="173"/>
        <v>0</v>
      </c>
      <c r="AC1218" s="230">
        <f t="shared" si="174"/>
        <v>0</v>
      </c>
      <c r="AD1218" s="222" t="str">
        <f t="shared" si="175"/>
        <v/>
      </c>
      <c r="AE1218" s="201"/>
      <c r="AF1218" s="231" t="str">
        <f>+IFERROR(VLOOKUP(L1218,Data!$F$4:$G$97,2,0),"")</f>
        <v/>
      </c>
    </row>
    <row r="1219" spans="9:32" ht="15" customHeight="1" x14ac:dyDescent="0.3">
      <c r="I1219" s="201" t="str">
        <f t="shared" si="168"/>
        <v/>
      </c>
      <c r="J1219" s="218">
        <f t="shared" si="169"/>
        <v>1216</v>
      </c>
      <c r="K1219" s="250"/>
      <c r="L1219" s="219"/>
      <c r="M1219" s="218"/>
      <c r="N1219" s="220" t="str">
        <f>IFERROR(VLOOKUP(M1219,Data!$C$4:$D$395,2,0),"")</f>
        <v/>
      </c>
      <c r="O1219" s="220"/>
      <c r="P1219" s="229"/>
      <c r="Q1219" s="221"/>
      <c r="R1219" s="222" t="str">
        <f t="shared" si="170"/>
        <v>-</v>
      </c>
      <c r="S1219" s="223"/>
      <c r="T1219" s="224"/>
      <c r="U1219" s="225">
        <f t="shared" si="171"/>
        <v>0</v>
      </c>
      <c r="V1219" s="226">
        <v>0</v>
      </c>
      <c r="W1219" s="227"/>
      <c r="X1219" s="228">
        <f t="shared" si="172"/>
        <v>0</v>
      </c>
      <c r="Y1219" s="229"/>
      <c r="Z1219" s="229"/>
      <c r="AA1219" s="229"/>
      <c r="AB1219" s="222">
        <f t="shared" si="173"/>
        <v>0</v>
      </c>
      <c r="AC1219" s="230">
        <f t="shared" si="174"/>
        <v>0</v>
      </c>
      <c r="AD1219" s="222" t="str">
        <f t="shared" si="175"/>
        <v/>
      </c>
      <c r="AE1219" s="201"/>
      <c r="AF1219" s="231" t="str">
        <f>+IFERROR(VLOOKUP(L1219,Data!$F$4:$G$97,2,0),"")</f>
        <v/>
      </c>
    </row>
    <row r="1220" spans="9:32" ht="15" customHeight="1" x14ac:dyDescent="0.3">
      <c r="I1220" s="201" t="str">
        <f t="shared" si="168"/>
        <v/>
      </c>
      <c r="J1220" s="218">
        <f t="shared" si="169"/>
        <v>1217</v>
      </c>
      <c r="K1220" s="250"/>
      <c r="L1220" s="219"/>
      <c r="M1220" s="218"/>
      <c r="N1220" s="220" t="str">
        <f>IFERROR(VLOOKUP(M1220,Data!$C$4:$D$395,2,0),"")</f>
        <v/>
      </c>
      <c r="O1220" s="220"/>
      <c r="P1220" s="229"/>
      <c r="Q1220" s="221"/>
      <c r="R1220" s="222" t="str">
        <f t="shared" si="170"/>
        <v>-</v>
      </c>
      <c r="S1220" s="223"/>
      <c r="T1220" s="224"/>
      <c r="U1220" s="225">
        <f t="shared" si="171"/>
        <v>0</v>
      </c>
      <c r="V1220" s="226">
        <v>0</v>
      </c>
      <c r="W1220" s="227"/>
      <c r="X1220" s="228">
        <f t="shared" si="172"/>
        <v>0</v>
      </c>
      <c r="Y1220" s="229"/>
      <c r="Z1220" s="229"/>
      <c r="AA1220" s="229"/>
      <c r="AB1220" s="222">
        <f t="shared" si="173"/>
        <v>0</v>
      </c>
      <c r="AC1220" s="230">
        <f t="shared" si="174"/>
        <v>0</v>
      </c>
      <c r="AD1220" s="222" t="str">
        <f t="shared" si="175"/>
        <v/>
      </c>
      <c r="AE1220" s="201"/>
      <c r="AF1220" s="231" t="str">
        <f>+IFERROR(VLOOKUP(L1220,Data!$F$4:$G$97,2,0),"")</f>
        <v/>
      </c>
    </row>
    <row r="1221" spans="9:32" ht="15" customHeight="1" x14ac:dyDescent="0.3">
      <c r="I1221" s="201" t="str">
        <f t="shared" si="168"/>
        <v/>
      </c>
      <c r="J1221" s="218">
        <f t="shared" si="169"/>
        <v>1218</v>
      </c>
      <c r="K1221" s="250"/>
      <c r="L1221" s="219"/>
      <c r="M1221" s="218"/>
      <c r="N1221" s="220" t="str">
        <f>IFERROR(VLOOKUP(M1221,Data!$C$4:$D$395,2,0),"")</f>
        <v/>
      </c>
      <c r="O1221" s="220"/>
      <c r="P1221" s="229"/>
      <c r="Q1221" s="221"/>
      <c r="R1221" s="222" t="str">
        <f t="shared" si="170"/>
        <v>-</v>
      </c>
      <c r="S1221" s="223"/>
      <c r="T1221" s="224"/>
      <c r="U1221" s="225">
        <f t="shared" si="171"/>
        <v>0</v>
      </c>
      <c r="V1221" s="226">
        <v>0</v>
      </c>
      <c r="W1221" s="227"/>
      <c r="X1221" s="228">
        <f t="shared" si="172"/>
        <v>0</v>
      </c>
      <c r="Y1221" s="229"/>
      <c r="Z1221" s="229"/>
      <c r="AA1221" s="229"/>
      <c r="AB1221" s="222">
        <f t="shared" si="173"/>
        <v>0</v>
      </c>
      <c r="AC1221" s="230">
        <f t="shared" si="174"/>
        <v>0</v>
      </c>
      <c r="AD1221" s="222" t="str">
        <f t="shared" si="175"/>
        <v/>
      </c>
      <c r="AE1221" s="201"/>
      <c r="AF1221" s="231" t="str">
        <f>+IFERROR(VLOOKUP(L1221,Data!$F$4:$G$97,2,0),"")</f>
        <v/>
      </c>
    </row>
    <row r="1222" spans="9:32" ht="15" customHeight="1" x14ac:dyDescent="0.3">
      <c r="I1222" s="201" t="str">
        <f t="shared" si="168"/>
        <v/>
      </c>
      <c r="J1222" s="218">
        <f t="shared" si="169"/>
        <v>1219</v>
      </c>
      <c r="K1222" s="250"/>
      <c r="L1222" s="219"/>
      <c r="M1222" s="218"/>
      <c r="N1222" s="220" t="str">
        <f>IFERROR(VLOOKUP(M1222,Data!$C$4:$D$395,2,0),"")</f>
        <v/>
      </c>
      <c r="O1222" s="220"/>
      <c r="P1222" s="229"/>
      <c r="Q1222" s="221"/>
      <c r="R1222" s="222" t="str">
        <f t="shared" si="170"/>
        <v>-</v>
      </c>
      <c r="S1222" s="223"/>
      <c r="T1222" s="224"/>
      <c r="U1222" s="225">
        <f t="shared" si="171"/>
        <v>0</v>
      </c>
      <c r="V1222" s="226">
        <v>0</v>
      </c>
      <c r="W1222" s="227"/>
      <c r="X1222" s="228">
        <f t="shared" si="172"/>
        <v>0</v>
      </c>
      <c r="Y1222" s="229"/>
      <c r="Z1222" s="229"/>
      <c r="AA1222" s="229"/>
      <c r="AB1222" s="222">
        <f t="shared" si="173"/>
        <v>0</v>
      </c>
      <c r="AC1222" s="230">
        <f t="shared" si="174"/>
        <v>0</v>
      </c>
      <c r="AD1222" s="222" t="str">
        <f t="shared" si="175"/>
        <v/>
      </c>
      <c r="AE1222" s="201"/>
      <c r="AF1222" s="231" t="str">
        <f>+IFERROR(VLOOKUP(L1222,Data!$F$4:$G$97,2,0),"")</f>
        <v/>
      </c>
    </row>
    <row r="1223" spans="9:32" ht="15" customHeight="1" x14ac:dyDescent="0.3">
      <c r="I1223" s="201" t="str">
        <f t="shared" si="168"/>
        <v/>
      </c>
      <c r="J1223" s="218">
        <f t="shared" si="169"/>
        <v>1220</v>
      </c>
      <c r="K1223" s="250"/>
      <c r="L1223" s="219"/>
      <c r="M1223" s="218"/>
      <c r="N1223" s="220" t="str">
        <f>IFERROR(VLOOKUP(M1223,Data!$C$4:$D$395,2,0),"")</f>
        <v/>
      </c>
      <c r="O1223" s="220"/>
      <c r="P1223" s="229"/>
      <c r="Q1223" s="221"/>
      <c r="R1223" s="222" t="str">
        <f t="shared" si="170"/>
        <v>-</v>
      </c>
      <c r="S1223" s="223"/>
      <c r="T1223" s="224"/>
      <c r="U1223" s="225">
        <f t="shared" si="171"/>
        <v>0</v>
      </c>
      <c r="V1223" s="226">
        <v>0</v>
      </c>
      <c r="W1223" s="227"/>
      <c r="X1223" s="228">
        <f t="shared" si="172"/>
        <v>0</v>
      </c>
      <c r="Y1223" s="229"/>
      <c r="Z1223" s="229"/>
      <c r="AA1223" s="229"/>
      <c r="AB1223" s="222">
        <f t="shared" si="173"/>
        <v>0</v>
      </c>
      <c r="AC1223" s="230">
        <f t="shared" si="174"/>
        <v>0</v>
      </c>
      <c r="AD1223" s="222" t="str">
        <f t="shared" si="175"/>
        <v/>
      </c>
      <c r="AE1223" s="201"/>
      <c r="AF1223" s="231" t="str">
        <f>+IFERROR(VLOOKUP(L1223,Data!$F$4:$G$97,2,0),"")</f>
        <v/>
      </c>
    </row>
    <row r="1224" spans="9:32" ht="15" customHeight="1" x14ac:dyDescent="0.3">
      <c r="I1224" s="201" t="str">
        <f t="shared" si="168"/>
        <v/>
      </c>
      <c r="J1224" s="218">
        <f t="shared" si="169"/>
        <v>1221</v>
      </c>
      <c r="K1224" s="250"/>
      <c r="L1224" s="219"/>
      <c r="M1224" s="218"/>
      <c r="N1224" s="220" t="str">
        <f>IFERROR(VLOOKUP(M1224,Data!$C$4:$D$395,2,0),"")</f>
        <v/>
      </c>
      <c r="O1224" s="220"/>
      <c r="P1224" s="229"/>
      <c r="Q1224" s="221"/>
      <c r="R1224" s="222" t="str">
        <f t="shared" si="170"/>
        <v>-</v>
      </c>
      <c r="S1224" s="223"/>
      <c r="T1224" s="224"/>
      <c r="U1224" s="225">
        <f t="shared" si="171"/>
        <v>0</v>
      </c>
      <c r="V1224" s="226">
        <v>0</v>
      </c>
      <c r="W1224" s="227"/>
      <c r="X1224" s="228">
        <f t="shared" si="172"/>
        <v>0</v>
      </c>
      <c r="Y1224" s="229"/>
      <c r="Z1224" s="229"/>
      <c r="AA1224" s="229"/>
      <c r="AB1224" s="222">
        <f t="shared" si="173"/>
        <v>0</v>
      </c>
      <c r="AC1224" s="230">
        <f t="shared" si="174"/>
        <v>0</v>
      </c>
      <c r="AD1224" s="222" t="str">
        <f t="shared" si="175"/>
        <v/>
      </c>
      <c r="AE1224" s="201"/>
      <c r="AF1224" s="231" t="str">
        <f>+IFERROR(VLOOKUP(L1224,Data!$F$4:$G$97,2,0),"")</f>
        <v/>
      </c>
    </row>
    <row r="1225" spans="9:32" ht="15" customHeight="1" x14ac:dyDescent="0.3">
      <c r="I1225" s="201" t="str">
        <f t="shared" si="168"/>
        <v/>
      </c>
      <c r="J1225" s="218">
        <f t="shared" si="169"/>
        <v>1222</v>
      </c>
      <c r="K1225" s="250"/>
      <c r="L1225" s="219"/>
      <c r="M1225" s="218"/>
      <c r="N1225" s="220" t="str">
        <f>IFERROR(VLOOKUP(M1225,Data!$C$4:$D$395,2,0),"")</f>
        <v/>
      </c>
      <c r="O1225" s="220"/>
      <c r="P1225" s="229"/>
      <c r="Q1225" s="221"/>
      <c r="R1225" s="222" t="str">
        <f t="shared" si="170"/>
        <v>-</v>
      </c>
      <c r="S1225" s="223"/>
      <c r="T1225" s="224"/>
      <c r="U1225" s="225">
        <f t="shared" si="171"/>
        <v>0</v>
      </c>
      <c r="V1225" s="226">
        <v>0</v>
      </c>
      <c r="W1225" s="227"/>
      <c r="X1225" s="228">
        <f t="shared" si="172"/>
        <v>0</v>
      </c>
      <c r="Y1225" s="229"/>
      <c r="Z1225" s="229"/>
      <c r="AA1225" s="229"/>
      <c r="AB1225" s="222">
        <f t="shared" si="173"/>
        <v>0</v>
      </c>
      <c r="AC1225" s="230">
        <f t="shared" si="174"/>
        <v>0</v>
      </c>
      <c r="AD1225" s="222" t="str">
        <f t="shared" si="175"/>
        <v/>
      </c>
      <c r="AE1225" s="201"/>
      <c r="AF1225" s="231" t="str">
        <f>+IFERROR(VLOOKUP(L1225,Data!$F$4:$G$97,2,0),"")</f>
        <v/>
      </c>
    </row>
    <row r="1226" spans="9:32" ht="15" customHeight="1" x14ac:dyDescent="0.3">
      <c r="I1226" s="201" t="str">
        <f t="shared" si="168"/>
        <v/>
      </c>
      <c r="J1226" s="218">
        <f t="shared" si="169"/>
        <v>1223</v>
      </c>
      <c r="K1226" s="250"/>
      <c r="L1226" s="219"/>
      <c r="M1226" s="218"/>
      <c r="N1226" s="220" t="str">
        <f>IFERROR(VLOOKUP(M1226,Data!$C$4:$D$395,2,0),"")</f>
        <v/>
      </c>
      <c r="O1226" s="220"/>
      <c r="P1226" s="229"/>
      <c r="Q1226" s="221"/>
      <c r="R1226" s="222" t="str">
        <f t="shared" si="170"/>
        <v>-</v>
      </c>
      <c r="S1226" s="223"/>
      <c r="T1226" s="224"/>
      <c r="U1226" s="225">
        <f t="shared" si="171"/>
        <v>0</v>
      </c>
      <c r="V1226" s="226">
        <v>0</v>
      </c>
      <c r="W1226" s="227"/>
      <c r="X1226" s="228">
        <f t="shared" si="172"/>
        <v>0</v>
      </c>
      <c r="Y1226" s="229"/>
      <c r="Z1226" s="229"/>
      <c r="AA1226" s="229"/>
      <c r="AB1226" s="222">
        <f t="shared" si="173"/>
        <v>0</v>
      </c>
      <c r="AC1226" s="230">
        <f t="shared" si="174"/>
        <v>0</v>
      </c>
      <c r="AD1226" s="222" t="str">
        <f t="shared" si="175"/>
        <v/>
      </c>
      <c r="AE1226" s="201"/>
      <c r="AF1226" s="231" t="str">
        <f>+IFERROR(VLOOKUP(L1226,Data!$F$4:$G$97,2,0),"")</f>
        <v/>
      </c>
    </row>
    <row r="1227" spans="9:32" ht="15" customHeight="1" x14ac:dyDescent="0.3">
      <c r="I1227" s="201" t="str">
        <f t="shared" si="168"/>
        <v/>
      </c>
      <c r="J1227" s="218">
        <f t="shared" si="169"/>
        <v>1224</v>
      </c>
      <c r="K1227" s="250"/>
      <c r="L1227" s="219"/>
      <c r="M1227" s="218"/>
      <c r="N1227" s="220" t="str">
        <f>IFERROR(VLOOKUP(M1227,Data!$C$4:$D$395,2,0),"")</f>
        <v/>
      </c>
      <c r="O1227" s="220"/>
      <c r="P1227" s="229"/>
      <c r="Q1227" s="221"/>
      <c r="R1227" s="222" t="str">
        <f t="shared" si="170"/>
        <v>-</v>
      </c>
      <c r="S1227" s="223"/>
      <c r="T1227" s="224"/>
      <c r="U1227" s="225">
        <f t="shared" si="171"/>
        <v>0</v>
      </c>
      <c r="V1227" s="226">
        <v>0</v>
      </c>
      <c r="W1227" s="227"/>
      <c r="X1227" s="228">
        <f t="shared" si="172"/>
        <v>0</v>
      </c>
      <c r="Y1227" s="229"/>
      <c r="Z1227" s="229"/>
      <c r="AA1227" s="229"/>
      <c r="AB1227" s="222">
        <f t="shared" si="173"/>
        <v>0</v>
      </c>
      <c r="AC1227" s="230">
        <f t="shared" si="174"/>
        <v>0</v>
      </c>
      <c r="AD1227" s="222" t="str">
        <f t="shared" si="175"/>
        <v/>
      </c>
      <c r="AE1227" s="201"/>
      <c r="AF1227" s="231" t="str">
        <f>+IFERROR(VLOOKUP(L1227,Data!$F$4:$G$97,2,0),"")</f>
        <v/>
      </c>
    </row>
    <row r="1228" spans="9:32" ht="15" customHeight="1" x14ac:dyDescent="0.3">
      <c r="I1228" s="201" t="str">
        <f t="shared" si="168"/>
        <v/>
      </c>
      <c r="J1228" s="218">
        <f t="shared" si="169"/>
        <v>1225</v>
      </c>
      <c r="K1228" s="250"/>
      <c r="L1228" s="219"/>
      <c r="M1228" s="218"/>
      <c r="N1228" s="220" t="str">
        <f>IFERROR(VLOOKUP(M1228,Data!$C$4:$D$395,2,0),"")</f>
        <v/>
      </c>
      <c r="O1228" s="220"/>
      <c r="P1228" s="229"/>
      <c r="Q1228" s="221"/>
      <c r="R1228" s="222" t="str">
        <f t="shared" si="170"/>
        <v>-</v>
      </c>
      <c r="S1228" s="223"/>
      <c r="T1228" s="224"/>
      <c r="U1228" s="225">
        <f t="shared" si="171"/>
        <v>0</v>
      </c>
      <c r="V1228" s="226">
        <v>0</v>
      </c>
      <c r="W1228" s="227"/>
      <c r="X1228" s="228">
        <f t="shared" si="172"/>
        <v>0</v>
      </c>
      <c r="Y1228" s="229"/>
      <c r="Z1228" s="229"/>
      <c r="AA1228" s="229"/>
      <c r="AB1228" s="222">
        <f t="shared" si="173"/>
        <v>0</v>
      </c>
      <c r="AC1228" s="230">
        <f t="shared" si="174"/>
        <v>0</v>
      </c>
      <c r="AD1228" s="222" t="str">
        <f t="shared" si="175"/>
        <v/>
      </c>
      <c r="AE1228" s="201"/>
      <c r="AF1228" s="231" t="str">
        <f>+IFERROR(VLOOKUP(L1228,Data!$F$4:$G$97,2,0),"")</f>
        <v/>
      </c>
    </row>
    <row r="1229" spans="9:32" ht="15" customHeight="1" x14ac:dyDescent="0.3">
      <c r="I1229" s="201" t="str">
        <f t="shared" si="168"/>
        <v/>
      </c>
      <c r="J1229" s="218">
        <f t="shared" si="169"/>
        <v>1226</v>
      </c>
      <c r="K1229" s="250"/>
      <c r="L1229" s="219"/>
      <c r="M1229" s="218"/>
      <c r="N1229" s="220" t="str">
        <f>IFERROR(VLOOKUP(M1229,Data!$C$4:$D$395,2,0),"")</f>
        <v/>
      </c>
      <c r="O1229" s="220"/>
      <c r="P1229" s="229"/>
      <c r="Q1229" s="221"/>
      <c r="R1229" s="222" t="str">
        <f t="shared" si="170"/>
        <v>-</v>
      </c>
      <c r="S1229" s="223"/>
      <c r="T1229" s="224"/>
      <c r="U1229" s="225">
        <f t="shared" si="171"/>
        <v>0</v>
      </c>
      <c r="V1229" s="226">
        <v>0</v>
      </c>
      <c r="W1229" s="227"/>
      <c r="X1229" s="228">
        <f t="shared" si="172"/>
        <v>0</v>
      </c>
      <c r="Y1229" s="229"/>
      <c r="Z1229" s="229"/>
      <c r="AA1229" s="229"/>
      <c r="AB1229" s="222">
        <f t="shared" si="173"/>
        <v>0</v>
      </c>
      <c r="AC1229" s="230">
        <f t="shared" si="174"/>
        <v>0</v>
      </c>
      <c r="AD1229" s="222" t="str">
        <f t="shared" si="175"/>
        <v/>
      </c>
      <c r="AE1229" s="201"/>
      <c r="AF1229" s="231" t="str">
        <f>+IFERROR(VLOOKUP(L1229,Data!$F$4:$G$97,2,0),"")</f>
        <v/>
      </c>
    </row>
    <row r="1230" spans="9:32" ht="15" customHeight="1" x14ac:dyDescent="0.3">
      <c r="I1230" s="201" t="str">
        <f t="shared" si="168"/>
        <v/>
      </c>
      <c r="J1230" s="218">
        <f t="shared" si="169"/>
        <v>1227</v>
      </c>
      <c r="K1230" s="250"/>
      <c r="L1230" s="219"/>
      <c r="M1230" s="218"/>
      <c r="N1230" s="220" t="str">
        <f>IFERROR(VLOOKUP(M1230,Data!$C$4:$D$395,2,0),"")</f>
        <v/>
      </c>
      <c r="O1230" s="220"/>
      <c r="P1230" s="229"/>
      <c r="Q1230" s="221"/>
      <c r="R1230" s="222" t="str">
        <f t="shared" si="170"/>
        <v>-</v>
      </c>
      <c r="S1230" s="223"/>
      <c r="T1230" s="224"/>
      <c r="U1230" s="225">
        <f t="shared" si="171"/>
        <v>0</v>
      </c>
      <c r="V1230" s="226">
        <v>0</v>
      </c>
      <c r="W1230" s="227"/>
      <c r="X1230" s="228">
        <f t="shared" si="172"/>
        <v>0</v>
      </c>
      <c r="Y1230" s="229"/>
      <c r="Z1230" s="229"/>
      <c r="AA1230" s="229"/>
      <c r="AB1230" s="222">
        <f t="shared" si="173"/>
        <v>0</v>
      </c>
      <c r="AC1230" s="230">
        <f t="shared" si="174"/>
        <v>0</v>
      </c>
      <c r="AD1230" s="222" t="str">
        <f t="shared" si="175"/>
        <v/>
      </c>
      <c r="AE1230" s="201"/>
      <c r="AF1230" s="231" t="str">
        <f>+IFERROR(VLOOKUP(L1230,Data!$F$4:$G$97,2,0),"")</f>
        <v/>
      </c>
    </row>
    <row r="1231" spans="9:32" ht="15" customHeight="1" x14ac:dyDescent="0.3">
      <c r="I1231" s="201" t="str">
        <f t="shared" si="168"/>
        <v/>
      </c>
      <c r="J1231" s="218">
        <f t="shared" si="169"/>
        <v>1228</v>
      </c>
      <c r="K1231" s="250"/>
      <c r="L1231" s="219"/>
      <c r="M1231" s="218"/>
      <c r="N1231" s="220" t="str">
        <f>IFERROR(VLOOKUP(M1231,Data!$C$4:$D$395,2,0),"")</f>
        <v/>
      </c>
      <c r="O1231" s="220"/>
      <c r="P1231" s="229"/>
      <c r="Q1231" s="221"/>
      <c r="R1231" s="222" t="str">
        <f t="shared" si="170"/>
        <v>-</v>
      </c>
      <c r="S1231" s="223"/>
      <c r="T1231" s="224"/>
      <c r="U1231" s="225">
        <f t="shared" si="171"/>
        <v>0</v>
      </c>
      <c r="V1231" s="226">
        <v>0</v>
      </c>
      <c r="W1231" s="227"/>
      <c r="X1231" s="228">
        <f t="shared" si="172"/>
        <v>0</v>
      </c>
      <c r="Y1231" s="229"/>
      <c r="Z1231" s="229"/>
      <c r="AA1231" s="229"/>
      <c r="AB1231" s="222">
        <f t="shared" si="173"/>
        <v>0</v>
      </c>
      <c r="AC1231" s="230">
        <f t="shared" si="174"/>
        <v>0</v>
      </c>
      <c r="AD1231" s="222" t="str">
        <f t="shared" si="175"/>
        <v/>
      </c>
      <c r="AE1231" s="201"/>
      <c r="AF1231" s="231" t="str">
        <f>+IFERROR(VLOOKUP(L1231,Data!$F$4:$G$97,2,0),"")</f>
        <v/>
      </c>
    </row>
    <row r="1232" spans="9:32" ht="15" customHeight="1" x14ac:dyDescent="0.3">
      <c r="I1232" s="201" t="str">
        <f t="shared" si="168"/>
        <v/>
      </c>
      <c r="J1232" s="218">
        <f t="shared" si="169"/>
        <v>1229</v>
      </c>
      <c r="K1232" s="250"/>
      <c r="L1232" s="219"/>
      <c r="M1232" s="218"/>
      <c r="N1232" s="220" t="str">
        <f>IFERROR(VLOOKUP(M1232,Data!$C$4:$D$395,2,0),"")</f>
        <v/>
      </c>
      <c r="O1232" s="220"/>
      <c r="P1232" s="229"/>
      <c r="Q1232" s="221"/>
      <c r="R1232" s="222" t="str">
        <f t="shared" si="170"/>
        <v>-</v>
      </c>
      <c r="S1232" s="223"/>
      <c r="T1232" s="224"/>
      <c r="U1232" s="225">
        <f t="shared" si="171"/>
        <v>0</v>
      </c>
      <c r="V1232" s="226">
        <v>0</v>
      </c>
      <c r="W1232" s="227"/>
      <c r="X1232" s="228">
        <f t="shared" si="172"/>
        <v>0</v>
      </c>
      <c r="Y1232" s="229"/>
      <c r="Z1232" s="229"/>
      <c r="AA1232" s="229"/>
      <c r="AB1232" s="222">
        <f t="shared" si="173"/>
        <v>0</v>
      </c>
      <c r="AC1232" s="230">
        <f t="shared" si="174"/>
        <v>0</v>
      </c>
      <c r="AD1232" s="222" t="str">
        <f t="shared" si="175"/>
        <v/>
      </c>
      <c r="AE1232" s="201"/>
      <c r="AF1232" s="231" t="str">
        <f>+IFERROR(VLOOKUP(L1232,Data!$F$4:$G$97,2,0),"")</f>
        <v/>
      </c>
    </row>
    <row r="1233" spans="9:32" ht="15" customHeight="1" x14ac:dyDescent="0.3">
      <c r="I1233" s="201" t="str">
        <f t="shared" si="168"/>
        <v/>
      </c>
      <c r="J1233" s="218">
        <f t="shared" si="169"/>
        <v>1230</v>
      </c>
      <c r="K1233" s="250"/>
      <c r="L1233" s="219"/>
      <c r="M1233" s="218"/>
      <c r="N1233" s="220" t="str">
        <f>IFERROR(VLOOKUP(M1233,Data!$C$4:$D$395,2,0),"")</f>
        <v/>
      </c>
      <c r="O1233" s="220"/>
      <c r="P1233" s="229"/>
      <c r="Q1233" s="221"/>
      <c r="R1233" s="222" t="str">
        <f t="shared" si="170"/>
        <v>-</v>
      </c>
      <c r="S1233" s="223"/>
      <c r="T1233" s="224"/>
      <c r="U1233" s="225">
        <f t="shared" si="171"/>
        <v>0</v>
      </c>
      <c r="V1233" s="226">
        <v>0</v>
      </c>
      <c r="W1233" s="227"/>
      <c r="X1233" s="228">
        <f t="shared" si="172"/>
        <v>0</v>
      </c>
      <c r="Y1233" s="229"/>
      <c r="Z1233" s="229"/>
      <c r="AA1233" s="229"/>
      <c r="AB1233" s="222">
        <f t="shared" si="173"/>
        <v>0</v>
      </c>
      <c r="AC1233" s="230">
        <f t="shared" si="174"/>
        <v>0</v>
      </c>
      <c r="AD1233" s="222" t="str">
        <f t="shared" si="175"/>
        <v/>
      </c>
      <c r="AE1233" s="201"/>
      <c r="AF1233" s="231" t="str">
        <f>+IFERROR(VLOOKUP(L1233,Data!$F$4:$G$97,2,0),"")</f>
        <v/>
      </c>
    </row>
    <row r="1234" spans="9:32" ht="15" customHeight="1" x14ac:dyDescent="0.3">
      <c r="I1234" s="201" t="str">
        <f t="shared" si="168"/>
        <v/>
      </c>
      <c r="J1234" s="218">
        <f t="shared" si="169"/>
        <v>1231</v>
      </c>
      <c r="K1234" s="250"/>
      <c r="L1234" s="219"/>
      <c r="M1234" s="218"/>
      <c r="N1234" s="220" t="str">
        <f>IFERROR(VLOOKUP(M1234,Data!$C$4:$D$395,2,0),"")</f>
        <v/>
      </c>
      <c r="O1234" s="220"/>
      <c r="P1234" s="229"/>
      <c r="Q1234" s="221"/>
      <c r="R1234" s="222" t="str">
        <f t="shared" si="170"/>
        <v>-</v>
      </c>
      <c r="S1234" s="223"/>
      <c r="T1234" s="224"/>
      <c r="U1234" s="225">
        <f t="shared" si="171"/>
        <v>0</v>
      </c>
      <c r="V1234" s="226">
        <v>0</v>
      </c>
      <c r="W1234" s="227"/>
      <c r="X1234" s="228">
        <f t="shared" si="172"/>
        <v>0</v>
      </c>
      <c r="Y1234" s="229"/>
      <c r="Z1234" s="229"/>
      <c r="AA1234" s="229"/>
      <c r="AB1234" s="222">
        <f t="shared" si="173"/>
        <v>0</v>
      </c>
      <c r="AC1234" s="230">
        <f t="shared" si="174"/>
        <v>0</v>
      </c>
      <c r="AD1234" s="222" t="str">
        <f t="shared" si="175"/>
        <v/>
      </c>
      <c r="AE1234" s="201"/>
      <c r="AF1234" s="231" t="str">
        <f>+IFERROR(VLOOKUP(L1234,Data!$F$4:$G$97,2,0),"")</f>
        <v/>
      </c>
    </row>
    <row r="1235" spans="9:32" ht="15" customHeight="1" x14ac:dyDescent="0.3">
      <c r="I1235" s="201" t="str">
        <f t="shared" si="168"/>
        <v/>
      </c>
      <c r="J1235" s="218">
        <f t="shared" si="169"/>
        <v>1232</v>
      </c>
      <c r="K1235" s="250"/>
      <c r="L1235" s="219"/>
      <c r="M1235" s="218"/>
      <c r="N1235" s="220" t="str">
        <f>IFERROR(VLOOKUP(M1235,Data!$C$4:$D$395,2,0),"")</f>
        <v/>
      </c>
      <c r="O1235" s="220"/>
      <c r="P1235" s="229"/>
      <c r="Q1235" s="221"/>
      <c r="R1235" s="222" t="str">
        <f t="shared" si="170"/>
        <v>-</v>
      </c>
      <c r="S1235" s="223"/>
      <c r="T1235" s="224"/>
      <c r="U1235" s="225">
        <f t="shared" si="171"/>
        <v>0</v>
      </c>
      <c r="V1235" s="226">
        <v>0</v>
      </c>
      <c r="W1235" s="227"/>
      <c r="X1235" s="228">
        <f t="shared" si="172"/>
        <v>0</v>
      </c>
      <c r="Y1235" s="229"/>
      <c r="Z1235" s="229"/>
      <c r="AA1235" s="229"/>
      <c r="AB1235" s="222">
        <f t="shared" si="173"/>
        <v>0</v>
      </c>
      <c r="AC1235" s="230">
        <f t="shared" si="174"/>
        <v>0</v>
      </c>
      <c r="AD1235" s="222" t="str">
        <f t="shared" si="175"/>
        <v/>
      </c>
      <c r="AE1235" s="201"/>
      <c r="AF1235" s="231" t="str">
        <f>+IFERROR(VLOOKUP(L1235,Data!$F$4:$G$97,2,0),"")</f>
        <v/>
      </c>
    </row>
    <row r="1236" spans="9:32" ht="15" customHeight="1" x14ac:dyDescent="0.3">
      <c r="I1236" s="201" t="str">
        <f t="shared" si="168"/>
        <v/>
      </c>
      <c r="J1236" s="218">
        <f t="shared" si="169"/>
        <v>1233</v>
      </c>
      <c r="K1236" s="250"/>
      <c r="L1236" s="219"/>
      <c r="M1236" s="218"/>
      <c r="N1236" s="220" t="str">
        <f>IFERROR(VLOOKUP(M1236,Data!$C$4:$D$395,2,0),"")</f>
        <v/>
      </c>
      <c r="O1236" s="220"/>
      <c r="P1236" s="229"/>
      <c r="Q1236" s="221"/>
      <c r="R1236" s="222" t="str">
        <f t="shared" si="170"/>
        <v>-</v>
      </c>
      <c r="S1236" s="223"/>
      <c r="T1236" s="224"/>
      <c r="U1236" s="225">
        <f t="shared" si="171"/>
        <v>0</v>
      </c>
      <c r="V1236" s="226">
        <v>0</v>
      </c>
      <c r="W1236" s="227"/>
      <c r="X1236" s="228">
        <f t="shared" si="172"/>
        <v>0</v>
      </c>
      <c r="Y1236" s="229"/>
      <c r="Z1236" s="229"/>
      <c r="AA1236" s="229"/>
      <c r="AB1236" s="222">
        <f t="shared" si="173"/>
        <v>0</v>
      </c>
      <c r="AC1236" s="230">
        <f t="shared" si="174"/>
        <v>0</v>
      </c>
      <c r="AD1236" s="222" t="str">
        <f t="shared" si="175"/>
        <v/>
      </c>
      <c r="AE1236" s="201"/>
      <c r="AF1236" s="231" t="str">
        <f>+IFERROR(VLOOKUP(L1236,Data!$F$4:$G$97,2,0),"")</f>
        <v/>
      </c>
    </row>
    <row r="1237" spans="9:32" ht="15" customHeight="1" x14ac:dyDescent="0.3">
      <c r="I1237" s="201" t="str">
        <f t="shared" si="168"/>
        <v/>
      </c>
      <c r="J1237" s="218">
        <f t="shared" si="169"/>
        <v>1234</v>
      </c>
      <c r="K1237" s="250"/>
      <c r="L1237" s="219"/>
      <c r="M1237" s="218"/>
      <c r="N1237" s="220" t="str">
        <f>IFERROR(VLOOKUP(M1237,Data!$C$4:$D$395,2,0),"")</f>
        <v/>
      </c>
      <c r="O1237" s="220"/>
      <c r="P1237" s="229"/>
      <c r="Q1237" s="221"/>
      <c r="R1237" s="222" t="str">
        <f t="shared" si="170"/>
        <v>-</v>
      </c>
      <c r="S1237" s="223"/>
      <c r="T1237" s="224"/>
      <c r="U1237" s="225">
        <f t="shared" si="171"/>
        <v>0</v>
      </c>
      <c r="V1237" s="226">
        <v>0</v>
      </c>
      <c r="W1237" s="227"/>
      <c r="X1237" s="228">
        <f t="shared" si="172"/>
        <v>0</v>
      </c>
      <c r="Y1237" s="229"/>
      <c r="Z1237" s="229"/>
      <c r="AA1237" s="229"/>
      <c r="AB1237" s="222">
        <f t="shared" si="173"/>
        <v>0</v>
      </c>
      <c r="AC1237" s="230">
        <f t="shared" si="174"/>
        <v>0</v>
      </c>
      <c r="AD1237" s="222" t="str">
        <f t="shared" si="175"/>
        <v/>
      </c>
      <c r="AE1237" s="201"/>
      <c r="AF1237" s="231" t="str">
        <f>+IFERROR(VLOOKUP(L1237,Data!$F$4:$G$97,2,0),"")</f>
        <v/>
      </c>
    </row>
    <row r="1238" spans="9:32" ht="15" customHeight="1" x14ac:dyDescent="0.3">
      <c r="I1238" s="201" t="str">
        <f t="shared" si="168"/>
        <v/>
      </c>
      <c r="J1238" s="218">
        <f t="shared" si="169"/>
        <v>1235</v>
      </c>
      <c r="K1238" s="250"/>
      <c r="L1238" s="219"/>
      <c r="M1238" s="218"/>
      <c r="N1238" s="220" t="str">
        <f>IFERROR(VLOOKUP(M1238,Data!$C$4:$D$395,2,0),"")</f>
        <v/>
      </c>
      <c r="O1238" s="220"/>
      <c r="P1238" s="229"/>
      <c r="Q1238" s="221"/>
      <c r="R1238" s="222" t="str">
        <f t="shared" si="170"/>
        <v>-</v>
      </c>
      <c r="S1238" s="223"/>
      <c r="T1238" s="224"/>
      <c r="U1238" s="225">
        <f t="shared" si="171"/>
        <v>0</v>
      </c>
      <c r="V1238" s="226">
        <v>0</v>
      </c>
      <c r="W1238" s="227"/>
      <c r="X1238" s="228">
        <f t="shared" si="172"/>
        <v>0</v>
      </c>
      <c r="Y1238" s="229"/>
      <c r="Z1238" s="229"/>
      <c r="AA1238" s="229"/>
      <c r="AB1238" s="222">
        <f t="shared" si="173"/>
        <v>0</v>
      </c>
      <c r="AC1238" s="230">
        <f t="shared" si="174"/>
        <v>0</v>
      </c>
      <c r="AD1238" s="222" t="str">
        <f t="shared" si="175"/>
        <v/>
      </c>
      <c r="AE1238" s="201"/>
      <c r="AF1238" s="231" t="str">
        <f>+IFERROR(VLOOKUP(L1238,Data!$F$4:$G$97,2,0),"")</f>
        <v/>
      </c>
    </row>
    <row r="1239" spans="9:32" ht="15" customHeight="1" x14ac:dyDescent="0.3">
      <c r="I1239" s="201" t="str">
        <f t="shared" si="168"/>
        <v/>
      </c>
      <c r="J1239" s="218">
        <f t="shared" si="169"/>
        <v>1236</v>
      </c>
      <c r="K1239" s="250"/>
      <c r="L1239" s="219"/>
      <c r="M1239" s="218"/>
      <c r="N1239" s="220" t="str">
        <f>IFERROR(VLOOKUP(M1239,Data!$C$4:$D$395,2,0),"")</f>
        <v/>
      </c>
      <c r="O1239" s="220"/>
      <c r="P1239" s="229"/>
      <c r="Q1239" s="221"/>
      <c r="R1239" s="222" t="str">
        <f t="shared" si="170"/>
        <v>-</v>
      </c>
      <c r="S1239" s="223"/>
      <c r="T1239" s="224"/>
      <c r="U1239" s="225">
        <f t="shared" si="171"/>
        <v>0</v>
      </c>
      <c r="V1239" s="226">
        <v>0</v>
      </c>
      <c r="W1239" s="227"/>
      <c r="X1239" s="228">
        <f t="shared" si="172"/>
        <v>0</v>
      </c>
      <c r="Y1239" s="229"/>
      <c r="Z1239" s="229"/>
      <c r="AA1239" s="229"/>
      <c r="AB1239" s="222">
        <f t="shared" si="173"/>
        <v>0</v>
      </c>
      <c r="AC1239" s="230">
        <f t="shared" si="174"/>
        <v>0</v>
      </c>
      <c r="AD1239" s="222" t="str">
        <f t="shared" si="175"/>
        <v/>
      </c>
      <c r="AE1239" s="201"/>
      <c r="AF1239" s="231" t="str">
        <f>+IFERROR(VLOOKUP(L1239,Data!$F$4:$G$97,2,0),"")</f>
        <v/>
      </c>
    </row>
    <row r="1240" spans="9:32" ht="15" customHeight="1" x14ac:dyDescent="0.3">
      <c r="I1240" s="201" t="str">
        <f t="shared" si="168"/>
        <v/>
      </c>
      <c r="J1240" s="218">
        <f t="shared" si="169"/>
        <v>1237</v>
      </c>
      <c r="K1240" s="250"/>
      <c r="L1240" s="219"/>
      <c r="M1240" s="218"/>
      <c r="N1240" s="220" t="str">
        <f>IFERROR(VLOOKUP(M1240,Data!$C$4:$D$395,2,0),"")</f>
        <v/>
      </c>
      <c r="O1240" s="220"/>
      <c r="P1240" s="229"/>
      <c r="Q1240" s="221"/>
      <c r="R1240" s="222" t="str">
        <f t="shared" si="170"/>
        <v>-</v>
      </c>
      <c r="S1240" s="223"/>
      <c r="T1240" s="224"/>
      <c r="U1240" s="225">
        <f t="shared" si="171"/>
        <v>0</v>
      </c>
      <c r="V1240" s="226">
        <v>0</v>
      </c>
      <c r="W1240" s="227"/>
      <c r="X1240" s="228">
        <f t="shared" si="172"/>
        <v>0</v>
      </c>
      <c r="Y1240" s="229"/>
      <c r="Z1240" s="229"/>
      <c r="AA1240" s="229"/>
      <c r="AB1240" s="222">
        <f t="shared" si="173"/>
        <v>0</v>
      </c>
      <c r="AC1240" s="230">
        <f t="shared" si="174"/>
        <v>0</v>
      </c>
      <c r="AD1240" s="222" t="str">
        <f t="shared" si="175"/>
        <v/>
      </c>
      <c r="AE1240" s="201"/>
      <c r="AF1240" s="231" t="str">
        <f>+IFERROR(VLOOKUP(L1240,Data!$F$4:$G$97,2,0),"")</f>
        <v/>
      </c>
    </row>
    <row r="1241" spans="9:32" ht="15" customHeight="1" x14ac:dyDescent="0.3">
      <c r="I1241" s="201" t="str">
        <f t="shared" si="168"/>
        <v/>
      </c>
      <c r="J1241" s="218">
        <f t="shared" si="169"/>
        <v>1238</v>
      </c>
      <c r="K1241" s="250"/>
      <c r="L1241" s="219"/>
      <c r="M1241" s="218"/>
      <c r="N1241" s="220" t="str">
        <f>IFERROR(VLOOKUP(M1241,Data!$C$4:$D$395,2,0),"")</f>
        <v/>
      </c>
      <c r="O1241" s="220"/>
      <c r="P1241" s="229"/>
      <c r="Q1241" s="221"/>
      <c r="R1241" s="222" t="str">
        <f t="shared" si="170"/>
        <v>-</v>
      </c>
      <c r="S1241" s="223"/>
      <c r="T1241" s="224"/>
      <c r="U1241" s="225">
        <f t="shared" si="171"/>
        <v>0</v>
      </c>
      <c r="V1241" s="226">
        <v>0</v>
      </c>
      <c r="W1241" s="227"/>
      <c r="X1241" s="228">
        <f t="shared" si="172"/>
        <v>0</v>
      </c>
      <c r="Y1241" s="229"/>
      <c r="Z1241" s="229"/>
      <c r="AA1241" s="229"/>
      <c r="AB1241" s="222">
        <f t="shared" si="173"/>
        <v>0</v>
      </c>
      <c r="AC1241" s="230">
        <f t="shared" si="174"/>
        <v>0</v>
      </c>
      <c r="AD1241" s="222" t="str">
        <f t="shared" si="175"/>
        <v/>
      </c>
      <c r="AE1241" s="201"/>
      <c r="AF1241" s="231" t="str">
        <f>+IFERROR(VLOOKUP(L1241,Data!$F$4:$G$97,2,0),"")</f>
        <v/>
      </c>
    </row>
    <row r="1242" spans="9:32" ht="15" customHeight="1" x14ac:dyDescent="0.3">
      <c r="I1242" s="201" t="str">
        <f t="shared" si="168"/>
        <v/>
      </c>
      <c r="J1242" s="218">
        <f t="shared" si="169"/>
        <v>1239</v>
      </c>
      <c r="K1242" s="250"/>
      <c r="L1242" s="219"/>
      <c r="M1242" s="218"/>
      <c r="N1242" s="220" t="str">
        <f>IFERROR(VLOOKUP(M1242,Data!$C$4:$D$395,2,0),"")</f>
        <v/>
      </c>
      <c r="O1242" s="220"/>
      <c r="P1242" s="229"/>
      <c r="Q1242" s="221"/>
      <c r="R1242" s="222" t="str">
        <f t="shared" si="170"/>
        <v>-</v>
      </c>
      <c r="S1242" s="223"/>
      <c r="T1242" s="224"/>
      <c r="U1242" s="225">
        <f t="shared" si="171"/>
        <v>0</v>
      </c>
      <c r="V1242" s="226">
        <v>0</v>
      </c>
      <c r="W1242" s="227"/>
      <c r="X1242" s="228">
        <f t="shared" si="172"/>
        <v>0</v>
      </c>
      <c r="Y1242" s="229"/>
      <c r="Z1242" s="229"/>
      <c r="AA1242" s="229"/>
      <c r="AB1242" s="222">
        <f t="shared" si="173"/>
        <v>0</v>
      </c>
      <c r="AC1242" s="230">
        <f t="shared" si="174"/>
        <v>0</v>
      </c>
      <c r="AD1242" s="222" t="str">
        <f t="shared" si="175"/>
        <v/>
      </c>
      <c r="AE1242" s="201"/>
      <c r="AF1242" s="231" t="str">
        <f>+IFERROR(VLOOKUP(L1242,Data!$F$4:$G$97,2,0),"")</f>
        <v/>
      </c>
    </row>
    <row r="1243" spans="9:32" ht="15" customHeight="1" x14ac:dyDescent="0.3">
      <c r="I1243" s="201" t="str">
        <f t="shared" si="168"/>
        <v/>
      </c>
      <c r="J1243" s="218">
        <f t="shared" si="169"/>
        <v>1240</v>
      </c>
      <c r="K1243" s="250"/>
      <c r="L1243" s="219"/>
      <c r="M1243" s="218"/>
      <c r="N1243" s="220" t="str">
        <f>IFERROR(VLOOKUP(M1243,Data!$C$4:$D$395,2,0),"")</f>
        <v/>
      </c>
      <c r="O1243" s="220"/>
      <c r="P1243" s="229"/>
      <c r="Q1243" s="221"/>
      <c r="R1243" s="222" t="str">
        <f t="shared" si="170"/>
        <v>-</v>
      </c>
      <c r="S1243" s="223"/>
      <c r="T1243" s="224"/>
      <c r="U1243" s="225">
        <f t="shared" si="171"/>
        <v>0</v>
      </c>
      <c r="V1243" s="226">
        <v>0</v>
      </c>
      <c r="W1243" s="227"/>
      <c r="X1243" s="228">
        <f t="shared" si="172"/>
        <v>0</v>
      </c>
      <c r="Y1243" s="229"/>
      <c r="Z1243" s="229"/>
      <c r="AA1243" s="229"/>
      <c r="AB1243" s="222">
        <f t="shared" si="173"/>
        <v>0</v>
      </c>
      <c r="AC1243" s="230">
        <f t="shared" si="174"/>
        <v>0</v>
      </c>
      <c r="AD1243" s="222" t="str">
        <f t="shared" si="175"/>
        <v/>
      </c>
      <c r="AE1243" s="201"/>
      <c r="AF1243" s="231" t="str">
        <f>+IFERROR(VLOOKUP(L1243,Data!$F$4:$G$97,2,0),"")</f>
        <v/>
      </c>
    </row>
    <row r="1244" spans="9:32" ht="15" customHeight="1" x14ac:dyDescent="0.3">
      <c r="I1244" s="201" t="str">
        <f t="shared" si="168"/>
        <v/>
      </c>
      <c r="J1244" s="218">
        <f t="shared" si="169"/>
        <v>1241</v>
      </c>
      <c r="K1244" s="250"/>
      <c r="L1244" s="219"/>
      <c r="M1244" s="218"/>
      <c r="N1244" s="220" t="str">
        <f>IFERROR(VLOOKUP(M1244,Data!$C$4:$D$395,2,0),"")</f>
        <v/>
      </c>
      <c r="O1244" s="220"/>
      <c r="P1244" s="229"/>
      <c r="Q1244" s="221"/>
      <c r="R1244" s="222" t="str">
        <f t="shared" si="170"/>
        <v>-</v>
      </c>
      <c r="S1244" s="223"/>
      <c r="T1244" s="224"/>
      <c r="U1244" s="225">
        <f t="shared" si="171"/>
        <v>0</v>
      </c>
      <c r="V1244" s="226">
        <v>0</v>
      </c>
      <c r="W1244" s="227"/>
      <c r="X1244" s="228">
        <f t="shared" si="172"/>
        <v>0</v>
      </c>
      <c r="Y1244" s="229"/>
      <c r="Z1244" s="229"/>
      <c r="AA1244" s="229"/>
      <c r="AB1244" s="222">
        <f t="shared" si="173"/>
        <v>0</v>
      </c>
      <c r="AC1244" s="230">
        <f t="shared" si="174"/>
        <v>0</v>
      </c>
      <c r="AD1244" s="222" t="str">
        <f t="shared" si="175"/>
        <v/>
      </c>
      <c r="AE1244" s="201"/>
      <c r="AF1244" s="231" t="str">
        <f>+IFERROR(VLOOKUP(L1244,Data!$F$4:$G$97,2,0),"")</f>
        <v/>
      </c>
    </row>
    <row r="1245" spans="9:32" ht="15" customHeight="1" x14ac:dyDescent="0.3">
      <c r="I1245" s="201" t="str">
        <f t="shared" si="168"/>
        <v/>
      </c>
      <c r="J1245" s="218">
        <f t="shared" si="169"/>
        <v>1242</v>
      </c>
      <c r="K1245" s="250"/>
      <c r="L1245" s="219"/>
      <c r="M1245" s="218"/>
      <c r="N1245" s="220" t="str">
        <f>IFERROR(VLOOKUP(M1245,Data!$C$4:$D$395,2,0),"")</f>
        <v/>
      </c>
      <c r="O1245" s="220"/>
      <c r="P1245" s="229"/>
      <c r="Q1245" s="221"/>
      <c r="R1245" s="222" t="str">
        <f t="shared" si="170"/>
        <v>-</v>
      </c>
      <c r="S1245" s="223"/>
      <c r="T1245" s="224"/>
      <c r="U1245" s="225">
        <f t="shared" si="171"/>
        <v>0</v>
      </c>
      <c r="V1245" s="226">
        <v>0</v>
      </c>
      <c r="W1245" s="227"/>
      <c r="X1245" s="228">
        <f t="shared" si="172"/>
        <v>0</v>
      </c>
      <c r="Y1245" s="229"/>
      <c r="Z1245" s="229"/>
      <c r="AA1245" s="229"/>
      <c r="AB1245" s="222">
        <f t="shared" si="173"/>
        <v>0</v>
      </c>
      <c r="AC1245" s="230">
        <f t="shared" si="174"/>
        <v>0</v>
      </c>
      <c r="AD1245" s="222" t="str">
        <f t="shared" si="175"/>
        <v/>
      </c>
      <c r="AE1245" s="201"/>
      <c r="AF1245" s="231" t="str">
        <f>+IFERROR(VLOOKUP(L1245,Data!$F$4:$G$97,2,0),"")</f>
        <v/>
      </c>
    </row>
    <row r="1246" spans="9:32" ht="15" customHeight="1" x14ac:dyDescent="0.3">
      <c r="I1246" s="201" t="str">
        <f t="shared" si="168"/>
        <v/>
      </c>
      <c r="J1246" s="218">
        <f t="shared" si="169"/>
        <v>1243</v>
      </c>
      <c r="K1246" s="250"/>
      <c r="L1246" s="219"/>
      <c r="M1246" s="218"/>
      <c r="N1246" s="220" t="str">
        <f>IFERROR(VLOOKUP(M1246,Data!$C$4:$D$395,2,0),"")</f>
        <v/>
      </c>
      <c r="O1246" s="220"/>
      <c r="P1246" s="229"/>
      <c r="Q1246" s="221"/>
      <c r="R1246" s="222" t="str">
        <f t="shared" si="170"/>
        <v>-</v>
      </c>
      <c r="S1246" s="223"/>
      <c r="T1246" s="224"/>
      <c r="U1246" s="225">
        <f t="shared" si="171"/>
        <v>0</v>
      </c>
      <c r="V1246" s="226">
        <v>0</v>
      </c>
      <c r="W1246" s="227"/>
      <c r="X1246" s="228">
        <f t="shared" si="172"/>
        <v>0</v>
      </c>
      <c r="Y1246" s="229"/>
      <c r="Z1246" s="229"/>
      <c r="AA1246" s="229"/>
      <c r="AB1246" s="222">
        <f t="shared" si="173"/>
        <v>0</v>
      </c>
      <c r="AC1246" s="230">
        <f t="shared" si="174"/>
        <v>0</v>
      </c>
      <c r="AD1246" s="222" t="str">
        <f t="shared" si="175"/>
        <v/>
      </c>
      <c r="AE1246" s="201"/>
      <c r="AF1246" s="231" t="str">
        <f>+IFERROR(VLOOKUP(L1246,Data!$F$4:$G$97,2,0),"")</f>
        <v/>
      </c>
    </row>
    <row r="1247" spans="9:32" ht="15" customHeight="1" x14ac:dyDescent="0.3">
      <c r="I1247" s="201" t="str">
        <f t="shared" si="168"/>
        <v/>
      </c>
      <c r="J1247" s="218">
        <f t="shared" si="169"/>
        <v>1244</v>
      </c>
      <c r="K1247" s="250"/>
      <c r="L1247" s="219"/>
      <c r="M1247" s="218"/>
      <c r="N1247" s="220" t="str">
        <f>IFERROR(VLOOKUP(M1247,Data!$C$4:$D$395,2,0),"")</f>
        <v/>
      </c>
      <c r="O1247" s="220"/>
      <c r="P1247" s="229"/>
      <c r="Q1247" s="221"/>
      <c r="R1247" s="222" t="str">
        <f t="shared" si="170"/>
        <v>-</v>
      </c>
      <c r="S1247" s="223"/>
      <c r="T1247" s="224"/>
      <c r="U1247" s="225">
        <f t="shared" si="171"/>
        <v>0</v>
      </c>
      <c r="V1247" s="226">
        <v>0</v>
      </c>
      <c r="W1247" s="227"/>
      <c r="X1247" s="228">
        <f t="shared" si="172"/>
        <v>0</v>
      </c>
      <c r="Y1247" s="229"/>
      <c r="Z1247" s="229"/>
      <c r="AA1247" s="229"/>
      <c r="AB1247" s="222">
        <f t="shared" si="173"/>
        <v>0</v>
      </c>
      <c r="AC1247" s="230">
        <f t="shared" si="174"/>
        <v>0</v>
      </c>
      <c r="AD1247" s="222" t="str">
        <f t="shared" si="175"/>
        <v/>
      </c>
      <c r="AE1247" s="201"/>
      <c r="AF1247" s="231" t="str">
        <f>+IFERROR(VLOOKUP(L1247,Data!$F$4:$G$97,2,0),"")</f>
        <v/>
      </c>
    </row>
    <row r="1248" spans="9:32" ht="15" customHeight="1" x14ac:dyDescent="0.3">
      <c r="I1248" s="201" t="str">
        <f t="shared" si="168"/>
        <v/>
      </c>
      <c r="J1248" s="218">
        <f t="shared" si="169"/>
        <v>1245</v>
      </c>
      <c r="K1248" s="250"/>
      <c r="L1248" s="219"/>
      <c r="M1248" s="218"/>
      <c r="N1248" s="220" t="str">
        <f>IFERROR(VLOOKUP(M1248,Data!$C$4:$D$395,2,0),"")</f>
        <v/>
      </c>
      <c r="O1248" s="220"/>
      <c r="P1248" s="229"/>
      <c r="Q1248" s="221"/>
      <c r="R1248" s="222" t="str">
        <f t="shared" si="170"/>
        <v>-</v>
      </c>
      <c r="S1248" s="223"/>
      <c r="T1248" s="224"/>
      <c r="U1248" s="225">
        <f t="shared" si="171"/>
        <v>0</v>
      </c>
      <c r="V1248" s="226">
        <v>0</v>
      </c>
      <c r="W1248" s="227"/>
      <c r="X1248" s="228">
        <f t="shared" si="172"/>
        <v>0</v>
      </c>
      <c r="Y1248" s="229"/>
      <c r="Z1248" s="229"/>
      <c r="AA1248" s="229"/>
      <c r="AB1248" s="222">
        <f t="shared" si="173"/>
        <v>0</v>
      </c>
      <c r="AC1248" s="230">
        <f t="shared" si="174"/>
        <v>0</v>
      </c>
      <c r="AD1248" s="222" t="str">
        <f t="shared" si="175"/>
        <v/>
      </c>
      <c r="AE1248" s="201"/>
      <c r="AF1248" s="231" t="str">
        <f>+IFERROR(VLOOKUP(L1248,Data!$F$4:$G$97,2,0),"")</f>
        <v/>
      </c>
    </row>
    <row r="1249" spans="9:32" ht="15" customHeight="1" x14ac:dyDescent="0.3">
      <c r="I1249" s="201" t="str">
        <f t="shared" si="168"/>
        <v/>
      </c>
      <c r="J1249" s="218">
        <f t="shared" si="169"/>
        <v>1246</v>
      </c>
      <c r="K1249" s="250"/>
      <c r="L1249" s="219"/>
      <c r="M1249" s="218"/>
      <c r="N1249" s="220" t="str">
        <f>IFERROR(VLOOKUP(M1249,Data!$C$4:$D$395,2,0),"")</f>
        <v/>
      </c>
      <c r="O1249" s="220"/>
      <c r="P1249" s="229"/>
      <c r="Q1249" s="221"/>
      <c r="R1249" s="222" t="str">
        <f t="shared" si="170"/>
        <v>-</v>
      </c>
      <c r="S1249" s="223"/>
      <c r="T1249" s="224"/>
      <c r="U1249" s="225">
        <f t="shared" si="171"/>
        <v>0</v>
      </c>
      <c r="V1249" s="226">
        <v>0</v>
      </c>
      <c r="W1249" s="227"/>
      <c r="X1249" s="228">
        <f t="shared" si="172"/>
        <v>0</v>
      </c>
      <c r="Y1249" s="229"/>
      <c r="Z1249" s="229"/>
      <c r="AA1249" s="229"/>
      <c r="AB1249" s="222">
        <f t="shared" si="173"/>
        <v>0</v>
      </c>
      <c r="AC1249" s="230">
        <f t="shared" si="174"/>
        <v>0</v>
      </c>
      <c r="AD1249" s="222" t="str">
        <f t="shared" si="175"/>
        <v/>
      </c>
      <c r="AE1249" s="201"/>
      <c r="AF1249" s="231" t="str">
        <f>+IFERROR(VLOOKUP(L1249,Data!$F$4:$G$97,2,0),"")</f>
        <v/>
      </c>
    </row>
    <row r="1250" spans="9:32" ht="15" customHeight="1" x14ac:dyDescent="0.3">
      <c r="I1250" s="201" t="str">
        <f t="shared" si="168"/>
        <v/>
      </c>
      <c r="J1250" s="218">
        <f t="shared" si="169"/>
        <v>1247</v>
      </c>
      <c r="K1250" s="250"/>
      <c r="L1250" s="219"/>
      <c r="M1250" s="218"/>
      <c r="N1250" s="220" t="str">
        <f>IFERROR(VLOOKUP(M1250,Data!$C$4:$D$395,2,0),"")</f>
        <v/>
      </c>
      <c r="O1250" s="220"/>
      <c r="P1250" s="229"/>
      <c r="Q1250" s="221"/>
      <c r="R1250" s="222" t="str">
        <f t="shared" si="170"/>
        <v>-</v>
      </c>
      <c r="S1250" s="223"/>
      <c r="T1250" s="224"/>
      <c r="U1250" s="225">
        <f t="shared" si="171"/>
        <v>0</v>
      </c>
      <c r="V1250" s="226">
        <v>0</v>
      </c>
      <c r="W1250" s="227"/>
      <c r="X1250" s="228">
        <f t="shared" si="172"/>
        <v>0</v>
      </c>
      <c r="Y1250" s="229"/>
      <c r="Z1250" s="229"/>
      <c r="AA1250" s="229"/>
      <c r="AB1250" s="222">
        <f t="shared" si="173"/>
        <v>0</v>
      </c>
      <c r="AC1250" s="230">
        <f t="shared" si="174"/>
        <v>0</v>
      </c>
      <c r="AD1250" s="222" t="str">
        <f t="shared" si="175"/>
        <v/>
      </c>
      <c r="AE1250" s="201"/>
      <c r="AF1250" s="231" t="str">
        <f>+IFERROR(VLOOKUP(L1250,Data!$F$4:$G$97,2,0),"")</f>
        <v/>
      </c>
    </row>
    <row r="1251" spans="9:32" ht="15" customHeight="1" x14ac:dyDescent="0.3">
      <c r="I1251" s="201" t="str">
        <f t="shared" si="168"/>
        <v/>
      </c>
      <c r="J1251" s="218">
        <f t="shared" si="169"/>
        <v>1248</v>
      </c>
      <c r="K1251" s="250"/>
      <c r="L1251" s="219"/>
      <c r="M1251" s="218"/>
      <c r="N1251" s="220" t="str">
        <f>IFERROR(VLOOKUP(M1251,Data!$C$4:$D$395,2,0),"")</f>
        <v/>
      </c>
      <c r="O1251" s="220"/>
      <c r="P1251" s="229"/>
      <c r="Q1251" s="221"/>
      <c r="R1251" s="222" t="str">
        <f t="shared" si="170"/>
        <v>-</v>
      </c>
      <c r="S1251" s="223"/>
      <c r="T1251" s="224"/>
      <c r="U1251" s="225">
        <f t="shared" si="171"/>
        <v>0</v>
      </c>
      <c r="V1251" s="226">
        <v>0</v>
      </c>
      <c r="W1251" s="227"/>
      <c r="X1251" s="228">
        <f t="shared" si="172"/>
        <v>0</v>
      </c>
      <c r="Y1251" s="229"/>
      <c r="Z1251" s="229"/>
      <c r="AA1251" s="229"/>
      <c r="AB1251" s="222">
        <f t="shared" si="173"/>
        <v>0</v>
      </c>
      <c r="AC1251" s="230">
        <f t="shared" si="174"/>
        <v>0</v>
      </c>
      <c r="AD1251" s="222" t="str">
        <f t="shared" si="175"/>
        <v/>
      </c>
      <c r="AE1251" s="201"/>
      <c r="AF1251" s="231" t="str">
        <f>+IFERROR(VLOOKUP(L1251,Data!$F$4:$G$97,2,0),"")</f>
        <v/>
      </c>
    </row>
    <row r="1252" spans="9:32" ht="15" customHeight="1" x14ac:dyDescent="0.3">
      <c r="I1252" s="201" t="str">
        <f t="shared" si="168"/>
        <v/>
      </c>
      <c r="J1252" s="218">
        <f t="shared" si="169"/>
        <v>1249</v>
      </c>
      <c r="K1252" s="250"/>
      <c r="L1252" s="219"/>
      <c r="M1252" s="218"/>
      <c r="N1252" s="220" t="str">
        <f>IFERROR(VLOOKUP(M1252,Data!$C$4:$D$395,2,0),"")</f>
        <v/>
      </c>
      <c r="O1252" s="220"/>
      <c r="P1252" s="229"/>
      <c r="Q1252" s="221"/>
      <c r="R1252" s="222" t="str">
        <f t="shared" si="170"/>
        <v>-</v>
      </c>
      <c r="S1252" s="223"/>
      <c r="T1252" s="224"/>
      <c r="U1252" s="225">
        <f t="shared" si="171"/>
        <v>0</v>
      </c>
      <c r="V1252" s="226">
        <v>0</v>
      </c>
      <c r="W1252" s="227"/>
      <c r="X1252" s="228">
        <f t="shared" si="172"/>
        <v>0</v>
      </c>
      <c r="Y1252" s="229"/>
      <c r="Z1252" s="229"/>
      <c r="AA1252" s="229"/>
      <c r="AB1252" s="222">
        <f t="shared" si="173"/>
        <v>0</v>
      </c>
      <c r="AC1252" s="230">
        <f t="shared" si="174"/>
        <v>0</v>
      </c>
      <c r="AD1252" s="222" t="str">
        <f t="shared" si="175"/>
        <v/>
      </c>
      <c r="AE1252" s="201"/>
      <c r="AF1252" s="231" t="str">
        <f>+IFERROR(VLOOKUP(L1252,Data!$F$4:$G$97,2,0),"")</f>
        <v/>
      </c>
    </row>
    <row r="1253" spans="9:32" ht="15" customHeight="1" x14ac:dyDescent="0.3">
      <c r="I1253" s="201" t="str">
        <f t="shared" si="168"/>
        <v/>
      </c>
      <c r="J1253" s="218">
        <f t="shared" si="169"/>
        <v>1250</v>
      </c>
      <c r="K1253" s="250"/>
      <c r="L1253" s="219"/>
      <c r="M1253" s="218"/>
      <c r="N1253" s="220" t="str">
        <f>IFERROR(VLOOKUP(M1253,Data!$C$4:$D$395,2,0),"")</f>
        <v/>
      </c>
      <c r="O1253" s="220"/>
      <c r="P1253" s="229"/>
      <c r="Q1253" s="221"/>
      <c r="R1253" s="222" t="str">
        <f t="shared" si="170"/>
        <v>-</v>
      </c>
      <c r="S1253" s="223"/>
      <c r="T1253" s="224"/>
      <c r="U1253" s="225">
        <f t="shared" si="171"/>
        <v>0</v>
      </c>
      <c r="V1253" s="226">
        <v>0</v>
      </c>
      <c r="W1253" s="227"/>
      <c r="X1253" s="228">
        <f t="shared" si="172"/>
        <v>0</v>
      </c>
      <c r="Y1253" s="229"/>
      <c r="Z1253" s="229"/>
      <c r="AA1253" s="229"/>
      <c r="AB1253" s="222">
        <f t="shared" si="173"/>
        <v>0</v>
      </c>
      <c r="AC1253" s="230">
        <f t="shared" si="174"/>
        <v>0</v>
      </c>
      <c r="AD1253" s="222" t="str">
        <f t="shared" si="175"/>
        <v/>
      </c>
      <c r="AE1253" s="201"/>
      <c r="AF1253" s="231" t="str">
        <f>+IFERROR(VLOOKUP(L1253,Data!$F$4:$G$97,2,0),"")</f>
        <v/>
      </c>
    </row>
    <row r="1254" spans="9:32" ht="15" customHeight="1" x14ac:dyDescent="0.3">
      <c r="I1254" s="201" t="str">
        <f t="shared" si="168"/>
        <v/>
      </c>
      <c r="J1254" s="218">
        <f t="shared" si="169"/>
        <v>1251</v>
      </c>
      <c r="K1254" s="250"/>
      <c r="L1254" s="219"/>
      <c r="M1254" s="218"/>
      <c r="N1254" s="220" t="str">
        <f>IFERROR(VLOOKUP(M1254,Data!$C$4:$D$395,2,0),"")</f>
        <v/>
      </c>
      <c r="O1254" s="220"/>
      <c r="P1254" s="229"/>
      <c r="Q1254" s="221"/>
      <c r="R1254" s="222" t="str">
        <f t="shared" si="170"/>
        <v>-</v>
      </c>
      <c r="S1254" s="223"/>
      <c r="T1254" s="224"/>
      <c r="U1254" s="225">
        <f t="shared" si="171"/>
        <v>0</v>
      </c>
      <c r="V1254" s="226">
        <v>0</v>
      </c>
      <c r="W1254" s="227"/>
      <c r="X1254" s="228">
        <f t="shared" si="172"/>
        <v>0</v>
      </c>
      <c r="Y1254" s="229"/>
      <c r="Z1254" s="229"/>
      <c r="AA1254" s="229"/>
      <c r="AB1254" s="222">
        <f t="shared" si="173"/>
        <v>0</v>
      </c>
      <c r="AC1254" s="230">
        <f t="shared" si="174"/>
        <v>0</v>
      </c>
      <c r="AD1254" s="222" t="str">
        <f t="shared" si="175"/>
        <v/>
      </c>
      <c r="AE1254" s="201"/>
      <c r="AF1254" s="231" t="str">
        <f>+IFERROR(VLOOKUP(L1254,Data!$F$4:$G$97,2,0),"")</f>
        <v/>
      </c>
    </row>
    <row r="1255" spans="9:32" ht="15" customHeight="1" x14ac:dyDescent="0.3">
      <c r="I1255" s="201" t="str">
        <f t="shared" si="168"/>
        <v/>
      </c>
      <c r="J1255" s="218">
        <f t="shared" si="169"/>
        <v>1252</v>
      </c>
      <c r="K1255" s="250"/>
      <c r="L1255" s="219"/>
      <c r="M1255" s="218"/>
      <c r="N1255" s="220" t="str">
        <f>IFERROR(VLOOKUP(M1255,Data!$C$4:$D$395,2,0),"")</f>
        <v/>
      </c>
      <c r="O1255" s="220"/>
      <c r="P1255" s="229"/>
      <c r="Q1255" s="221"/>
      <c r="R1255" s="222" t="str">
        <f t="shared" si="170"/>
        <v>-</v>
      </c>
      <c r="S1255" s="223"/>
      <c r="T1255" s="224"/>
      <c r="U1255" s="225">
        <f t="shared" si="171"/>
        <v>0</v>
      </c>
      <c r="V1255" s="226">
        <v>0</v>
      </c>
      <c r="W1255" s="227"/>
      <c r="X1255" s="228">
        <f t="shared" si="172"/>
        <v>0</v>
      </c>
      <c r="Y1255" s="229"/>
      <c r="Z1255" s="229"/>
      <c r="AA1255" s="229"/>
      <c r="AB1255" s="222">
        <f t="shared" si="173"/>
        <v>0</v>
      </c>
      <c r="AC1255" s="230">
        <f t="shared" si="174"/>
        <v>0</v>
      </c>
      <c r="AD1255" s="222" t="str">
        <f t="shared" si="175"/>
        <v/>
      </c>
      <c r="AE1255" s="201"/>
      <c r="AF1255" s="231" t="str">
        <f>+IFERROR(VLOOKUP(L1255,Data!$F$4:$G$97,2,0),"")</f>
        <v/>
      </c>
    </row>
    <row r="1256" spans="9:32" ht="15" customHeight="1" x14ac:dyDescent="0.3">
      <c r="I1256" s="201" t="str">
        <f t="shared" si="168"/>
        <v/>
      </c>
      <c r="J1256" s="218">
        <f t="shared" si="169"/>
        <v>1253</v>
      </c>
      <c r="K1256" s="250"/>
      <c r="L1256" s="219"/>
      <c r="M1256" s="218"/>
      <c r="N1256" s="220" t="str">
        <f>IFERROR(VLOOKUP(M1256,Data!$C$4:$D$395,2,0),"")</f>
        <v/>
      </c>
      <c r="O1256" s="220"/>
      <c r="P1256" s="229"/>
      <c r="Q1256" s="221"/>
      <c r="R1256" s="222" t="str">
        <f t="shared" si="170"/>
        <v>-</v>
      </c>
      <c r="S1256" s="223"/>
      <c r="T1256" s="224"/>
      <c r="U1256" s="225">
        <f t="shared" si="171"/>
        <v>0</v>
      </c>
      <c r="V1256" s="226">
        <v>0</v>
      </c>
      <c r="W1256" s="227"/>
      <c r="X1256" s="228">
        <f t="shared" si="172"/>
        <v>0</v>
      </c>
      <c r="Y1256" s="229"/>
      <c r="Z1256" s="229"/>
      <c r="AA1256" s="229"/>
      <c r="AB1256" s="222">
        <f t="shared" si="173"/>
        <v>0</v>
      </c>
      <c r="AC1256" s="230">
        <f t="shared" si="174"/>
        <v>0</v>
      </c>
      <c r="AD1256" s="222" t="str">
        <f t="shared" si="175"/>
        <v/>
      </c>
      <c r="AE1256" s="201"/>
      <c r="AF1256" s="231" t="str">
        <f>+IFERROR(VLOOKUP(L1256,Data!$F$4:$G$97,2,0),"")</f>
        <v/>
      </c>
    </row>
    <row r="1257" spans="9:32" ht="15" customHeight="1" x14ac:dyDescent="0.3">
      <c r="I1257" s="201" t="str">
        <f t="shared" si="168"/>
        <v/>
      </c>
      <c r="J1257" s="218">
        <f t="shared" si="169"/>
        <v>1254</v>
      </c>
      <c r="K1257" s="250"/>
      <c r="L1257" s="219"/>
      <c r="M1257" s="218"/>
      <c r="N1257" s="220" t="str">
        <f>IFERROR(VLOOKUP(M1257,Data!$C$4:$D$395,2,0),"")</f>
        <v/>
      </c>
      <c r="O1257" s="220"/>
      <c r="P1257" s="229"/>
      <c r="Q1257" s="221"/>
      <c r="R1257" s="222" t="str">
        <f t="shared" si="170"/>
        <v>-</v>
      </c>
      <c r="S1257" s="223"/>
      <c r="T1257" s="224"/>
      <c r="U1257" s="225">
        <f t="shared" si="171"/>
        <v>0</v>
      </c>
      <c r="V1257" s="226">
        <v>0</v>
      </c>
      <c r="W1257" s="227"/>
      <c r="X1257" s="228">
        <f t="shared" si="172"/>
        <v>0</v>
      </c>
      <c r="Y1257" s="229"/>
      <c r="Z1257" s="229"/>
      <c r="AA1257" s="229"/>
      <c r="AB1257" s="222">
        <f t="shared" si="173"/>
        <v>0</v>
      </c>
      <c r="AC1257" s="230">
        <f t="shared" si="174"/>
        <v>0</v>
      </c>
      <c r="AD1257" s="222" t="str">
        <f t="shared" si="175"/>
        <v/>
      </c>
      <c r="AE1257" s="201"/>
      <c r="AF1257" s="231" t="str">
        <f>+IFERROR(VLOOKUP(L1257,Data!$F$4:$G$97,2,0),"")</f>
        <v/>
      </c>
    </row>
    <row r="1258" spans="9:32" ht="15" customHeight="1" x14ac:dyDescent="0.3">
      <c r="I1258" s="201" t="str">
        <f t="shared" si="168"/>
        <v/>
      </c>
      <c r="J1258" s="218">
        <f t="shared" si="169"/>
        <v>1255</v>
      </c>
      <c r="K1258" s="250"/>
      <c r="L1258" s="219"/>
      <c r="M1258" s="218"/>
      <c r="N1258" s="220" t="str">
        <f>IFERROR(VLOOKUP(M1258,Data!$C$4:$D$395,2,0),"")</f>
        <v/>
      </c>
      <c r="O1258" s="220"/>
      <c r="P1258" s="229"/>
      <c r="Q1258" s="221"/>
      <c r="R1258" s="222" t="str">
        <f t="shared" si="170"/>
        <v>-</v>
      </c>
      <c r="S1258" s="223"/>
      <c r="T1258" s="224"/>
      <c r="U1258" s="225">
        <f t="shared" si="171"/>
        <v>0</v>
      </c>
      <c r="V1258" s="226">
        <v>0</v>
      </c>
      <c r="W1258" s="227"/>
      <c r="X1258" s="228">
        <f t="shared" si="172"/>
        <v>0</v>
      </c>
      <c r="Y1258" s="229"/>
      <c r="Z1258" s="229"/>
      <c r="AA1258" s="229"/>
      <c r="AB1258" s="222">
        <f t="shared" si="173"/>
        <v>0</v>
      </c>
      <c r="AC1258" s="230">
        <f t="shared" si="174"/>
        <v>0</v>
      </c>
      <c r="AD1258" s="222" t="str">
        <f t="shared" si="175"/>
        <v/>
      </c>
      <c r="AE1258" s="201"/>
      <c r="AF1258" s="231" t="str">
        <f>+IFERROR(VLOOKUP(L1258,Data!$F$4:$G$97,2,0),"")</f>
        <v/>
      </c>
    </row>
    <row r="1259" spans="9:32" ht="15" customHeight="1" x14ac:dyDescent="0.3">
      <c r="I1259" s="201" t="str">
        <f t="shared" si="168"/>
        <v/>
      </c>
      <c r="J1259" s="218">
        <f t="shared" si="169"/>
        <v>1256</v>
      </c>
      <c r="K1259" s="250"/>
      <c r="L1259" s="219"/>
      <c r="M1259" s="218"/>
      <c r="N1259" s="220" t="str">
        <f>IFERROR(VLOOKUP(M1259,Data!$C$4:$D$395,2,0),"")</f>
        <v/>
      </c>
      <c r="O1259" s="220"/>
      <c r="P1259" s="229"/>
      <c r="Q1259" s="221"/>
      <c r="R1259" s="222" t="str">
        <f t="shared" si="170"/>
        <v>-</v>
      </c>
      <c r="S1259" s="223"/>
      <c r="T1259" s="224"/>
      <c r="U1259" s="225">
        <f t="shared" si="171"/>
        <v>0</v>
      </c>
      <c r="V1259" s="226">
        <v>0</v>
      </c>
      <c r="W1259" s="227"/>
      <c r="X1259" s="228">
        <f t="shared" si="172"/>
        <v>0</v>
      </c>
      <c r="Y1259" s="229"/>
      <c r="Z1259" s="229"/>
      <c r="AA1259" s="229"/>
      <c r="AB1259" s="222">
        <f t="shared" si="173"/>
        <v>0</v>
      </c>
      <c r="AC1259" s="230">
        <f t="shared" si="174"/>
        <v>0</v>
      </c>
      <c r="AD1259" s="222" t="str">
        <f t="shared" si="175"/>
        <v/>
      </c>
      <c r="AE1259" s="201"/>
      <c r="AF1259" s="231" t="str">
        <f>+IFERROR(VLOOKUP(L1259,Data!$F$4:$G$97,2,0),"")</f>
        <v/>
      </c>
    </row>
    <row r="1260" spans="9:32" ht="15" customHeight="1" x14ac:dyDescent="0.3">
      <c r="I1260" s="201" t="str">
        <f t="shared" si="168"/>
        <v/>
      </c>
      <c r="J1260" s="218">
        <f t="shared" si="169"/>
        <v>1257</v>
      </c>
      <c r="K1260" s="250"/>
      <c r="L1260" s="219"/>
      <c r="M1260" s="218"/>
      <c r="N1260" s="220" t="str">
        <f>IFERROR(VLOOKUP(M1260,Data!$C$4:$D$395,2,0),"")</f>
        <v/>
      </c>
      <c r="O1260" s="220"/>
      <c r="P1260" s="229"/>
      <c r="Q1260" s="221"/>
      <c r="R1260" s="222" t="str">
        <f t="shared" si="170"/>
        <v>-</v>
      </c>
      <c r="S1260" s="223"/>
      <c r="T1260" s="224"/>
      <c r="U1260" s="225">
        <f t="shared" si="171"/>
        <v>0</v>
      </c>
      <c r="V1260" s="226">
        <v>0</v>
      </c>
      <c r="W1260" s="227"/>
      <c r="X1260" s="228">
        <f t="shared" si="172"/>
        <v>0</v>
      </c>
      <c r="Y1260" s="229"/>
      <c r="Z1260" s="229"/>
      <c r="AA1260" s="229"/>
      <c r="AB1260" s="222">
        <f t="shared" si="173"/>
        <v>0</v>
      </c>
      <c r="AC1260" s="230">
        <f t="shared" si="174"/>
        <v>0</v>
      </c>
      <c r="AD1260" s="222" t="str">
        <f t="shared" si="175"/>
        <v/>
      </c>
      <c r="AE1260" s="201"/>
      <c r="AF1260" s="231" t="str">
        <f>+IFERROR(VLOOKUP(L1260,Data!$F$4:$G$97,2,0),"")</f>
        <v/>
      </c>
    </row>
    <row r="1261" spans="9:32" ht="15" customHeight="1" x14ac:dyDescent="0.3">
      <c r="I1261" s="201" t="str">
        <f t="shared" si="168"/>
        <v/>
      </c>
      <c r="J1261" s="218">
        <f t="shared" si="169"/>
        <v>1258</v>
      </c>
      <c r="K1261" s="250"/>
      <c r="L1261" s="219"/>
      <c r="M1261" s="218"/>
      <c r="N1261" s="220" t="str">
        <f>IFERROR(VLOOKUP(M1261,Data!$C$4:$D$395,2,0),"")</f>
        <v/>
      </c>
      <c r="O1261" s="220"/>
      <c r="P1261" s="229"/>
      <c r="Q1261" s="221"/>
      <c r="R1261" s="222" t="str">
        <f t="shared" si="170"/>
        <v>-</v>
      </c>
      <c r="S1261" s="223"/>
      <c r="T1261" s="224"/>
      <c r="U1261" s="225">
        <f t="shared" si="171"/>
        <v>0</v>
      </c>
      <c r="V1261" s="226">
        <v>0</v>
      </c>
      <c r="W1261" s="227"/>
      <c r="X1261" s="228">
        <f t="shared" si="172"/>
        <v>0</v>
      </c>
      <c r="Y1261" s="229"/>
      <c r="Z1261" s="229"/>
      <c r="AA1261" s="229"/>
      <c r="AB1261" s="222">
        <f t="shared" si="173"/>
        <v>0</v>
      </c>
      <c r="AC1261" s="230">
        <f t="shared" si="174"/>
        <v>0</v>
      </c>
      <c r="AD1261" s="222" t="str">
        <f t="shared" si="175"/>
        <v/>
      </c>
      <c r="AE1261" s="201"/>
      <c r="AF1261" s="231" t="str">
        <f>+IFERROR(VLOOKUP(L1261,Data!$F$4:$G$97,2,0),"")</f>
        <v/>
      </c>
    </row>
    <row r="1262" spans="9:32" ht="15" customHeight="1" x14ac:dyDescent="0.3">
      <c r="I1262" s="201" t="str">
        <f t="shared" si="168"/>
        <v/>
      </c>
      <c r="J1262" s="218">
        <f t="shared" si="169"/>
        <v>1259</v>
      </c>
      <c r="K1262" s="250"/>
      <c r="L1262" s="219"/>
      <c r="M1262" s="218"/>
      <c r="N1262" s="220" t="str">
        <f>IFERROR(VLOOKUP(M1262,Data!$C$4:$D$395,2,0),"")</f>
        <v/>
      </c>
      <c r="O1262" s="220"/>
      <c r="P1262" s="229"/>
      <c r="Q1262" s="221"/>
      <c r="R1262" s="222" t="str">
        <f t="shared" si="170"/>
        <v>-</v>
      </c>
      <c r="S1262" s="223"/>
      <c r="T1262" s="224"/>
      <c r="U1262" s="225">
        <f t="shared" si="171"/>
        <v>0</v>
      </c>
      <c r="V1262" s="226">
        <v>0</v>
      </c>
      <c r="W1262" s="227"/>
      <c r="X1262" s="228">
        <f t="shared" si="172"/>
        <v>0</v>
      </c>
      <c r="Y1262" s="229"/>
      <c r="Z1262" s="229"/>
      <c r="AA1262" s="229"/>
      <c r="AB1262" s="222">
        <f t="shared" si="173"/>
        <v>0</v>
      </c>
      <c r="AC1262" s="230">
        <f t="shared" si="174"/>
        <v>0</v>
      </c>
      <c r="AD1262" s="222" t="str">
        <f t="shared" si="175"/>
        <v/>
      </c>
      <c r="AE1262" s="201"/>
      <c r="AF1262" s="231" t="str">
        <f>+IFERROR(VLOOKUP(L1262,Data!$F$4:$G$97,2,0),"")</f>
        <v/>
      </c>
    </row>
    <row r="1263" spans="9:32" ht="15" customHeight="1" x14ac:dyDescent="0.3">
      <c r="I1263" s="201" t="str">
        <f t="shared" si="168"/>
        <v/>
      </c>
      <c r="J1263" s="218">
        <f t="shared" si="169"/>
        <v>1260</v>
      </c>
      <c r="K1263" s="250"/>
      <c r="L1263" s="219"/>
      <c r="M1263" s="218"/>
      <c r="N1263" s="220" t="str">
        <f>IFERROR(VLOOKUP(M1263,Data!$C$4:$D$395,2,0),"")</f>
        <v/>
      </c>
      <c r="O1263" s="220"/>
      <c r="P1263" s="229"/>
      <c r="Q1263" s="221"/>
      <c r="R1263" s="222" t="str">
        <f t="shared" si="170"/>
        <v>-</v>
      </c>
      <c r="S1263" s="223"/>
      <c r="T1263" s="224"/>
      <c r="U1263" s="225">
        <f t="shared" si="171"/>
        <v>0</v>
      </c>
      <c r="V1263" s="226">
        <v>0</v>
      </c>
      <c r="W1263" s="227"/>
      <c r="X1263" s="228">
        <f t="shared" si="172"/>
        <v>0</v>
      </c>
      <c r="Y1263" s="229"/>
      <c r="Z1263" s="229"/>
      <c r="AA1263" s="229"/>
      <c r="AB1263" s="222">
        <f t="shared" si="173"/>
        <v>0</v>
      </c>
      <c r="AC1263" s="230">
        <f t="shared" si="174"/>
        <v>0</v>
      </c>
      <c r="AD1263" s="222" t="str">
        <f t="shared" si="175"/>
        <v/>
      </c>
      <c r="AE1263" s="201"/>
      <c r="AF1263" s="231" t="str">
        <f>+IFERROR(VLOOKUP(L1263,Data!$F$4:$G$97,2,0),"")</f>
        <v/>
      </c>
    </row>
    <row r="1264" spans="9:32" ht="15" customHeight="1" x14ac:dyDescent="0.3">
      <c r="I1264" s="201" t="str">
        <f t="shared" si="168"/>
        <v/>
      </c>
      <c r="J1264" s="218">
        <f t="shared" si="169"/>
        <v>1261</v>
      </c>
      <c r="K1264" s="250"/>
      <c r="L1264" s="219"/>
      <c r="M1264" s="218"/>
      <c r="N1264" s="220" t="str">
        <f>IFERROR(VLOOKUP(M1264,Data!$C$4:$D$395,2,0),"")</f>
        <v/>
      </c>
      <c r="O1264" s="220"/>
      <c r="P1264" s="229"/>
      <c r="Q1264" s="221"/>
      <c r="R1264" s="222" t="str">
        <f t="shared" si="170"/>
        <v>-</v>
      </c>
      <c r="S1264" s="223"/>
      <c r="T1264" s="224"/>
      <c r="U1264" s="225">
        <f t="shared" si="171"/>
        <v>0</v>
      </c>
      <c r="V1264" s="226">
        <v>0</v>
      </c>
      <c r="W1264" s="227"/>
      <c r="X1264" s="228">
        <f t="shared" si="172"/>
        <v>0</v>
      </c>
      <c r="Y1264" s="229"/>
      <c r="Z1264" s="229"/>
      <c r="AA1264" s="229"/>
      <c r="AB1264" s="222">
        <f t="shared" si="173"/>
        <v>0</v>
      </c>
      <c r="AC1264" s="230">
        <f t="shared" si="174"/>
        <v>0</v>
      </c>
      <c r="AD1264" s="222" t="str">
        <f t="shared" si="175"/>
        <v/>
      </c>
      <c r="AE1264" s="201"/>
      <c r="AF1264" s="231" t="str">
        <f>+IFERROR(VLOOKUP(L1264,Data!$F$4:$G$97,2,0),"")</f>
        <v/>
      </c>
    </row>
    <row r="1265" spans="9:32" ht="15" customHeight="1" x14ac:dyDescent="0.3">
      <c r="I1265" s="201" t="str">
        <f t="shared" si="168"/>
        <v/>
      </c>
      <c r="J1265" s="218">
        <f t="shared" si="169"/>
        <v>1262</v>
      </c>
      <c r="K1265" s="250"/>
      <c r="L1265" s="219"/>
      <c r="M1265" s="218"/>
      <c r="N1265" s="220" t="str">
        <f>IFERROR(VLOOKUP(M1265,Data!$C$4:$D$395,2,0),"")</f>
        <v/>
      </c>
      <c r="O1265" s="220"/>
      <c r="P1265" s="229"/>
      <c r="Q1265" s="221"/>
      <c r="R1265" s="222" t="str">
        <f t="shared" si="170"/>
        <v>-</v>
      </c>
      <c r="S1265" s="223"/>
      <c r="T1265" s="224"/>
      <c r="U1265" s="225">
        <f t="shared" si="171"/>
        <v>0</v>
      </c>
      <c r="V1265" s="226">
        <v>0</v>
      </c>
      <c r="W1265" s="227"/>
      <c r="X1265" s="228">
        <f t="shared" si="172"/>
        <v>0</v>
      </c>
      <c r="Y1265" s="229"/>
      <c r="Z1265" s="229"/>
      <c r="AA1265" s="229"/>
      <c r="AB1265" s="222">
        <f t="shared" si="173"/>
        <v>0</v>
      </c>
      <c r="AC1265" s="230">
        <f t="shared" si="174"/>
        <v>0</v>
      </c>
      <c r="AD1265" s="222" t="str">
        <f t="shared" si="175"/>
        <v/>
      </c>
      <c r="AE1265" s="201"/>
      <c r="AF1265" s="231" t="str">
        <f>+IFERROR(VLOOKUP(L1265,Data!$F$4:$G$97,2,0),"")</f>
        <v/>
      </c>
    </row>
    <row r="1266" spans="9:32" ht="15" customHeight="1" x14ac:dyDescent="0.3">
      <c r="I1266" s="201" t="str">
        <f t="shared" si="168"/>
        <v/>
      </c>
      <c r="J1266" s="218">
        <f t="shared" si="169"/>
        <v>1263</v>
      </c>
      <c r="K1266" s="250"/>
      <c r="L1266" s="219"/>
      <c r="M1266" s="218"/>
      <c r="N1266" s="220" t="str">
        <f>IFERROR(VLOOKUP(M1266,Data!$C$4:$D$395,2,0),"")</f>
        <v/>
      </c>
      <c r="O1266" s="220"/>
      <c r="P1266" s="229"/>
      <c r="Q1266" s="221"/>
      <c r="R1266" s="222" t="str">
        <f t="shared" si="170"/>
        <v>-</v>
      </c>
      <c r="S1266" s="223"/>
      <c r="T1266" s="224"/>
      <c r="U1266" s="225">
        <f t="shared" si="171"/>
        <v>0</v>
      </c>
      <c r="V1266" s="226">
        <v>0</v>
      </c>
      <c r="W1266" s="227"/>
      <c r="X1266" s="228">
        <f t="shared" si="172"/>
        <v>0</v>
      </c>
      <c r="Y1266" s="229"/>
      <c r="Z1266" s="229"/>
      <c r="AA1266" s="229"/>
      <c r="AB1266" s="222">
        <f t="shared" si="173"/>
        <v>0</v>
      </c>
      <c r="AC1266" s="230">
        <f t="shared" si="174"/>
        <v>0</v>
      </c>
      <c r="AD1266" s="222" t="str">
        <f t="shared" si="175"/>
        <v/>
      </c>
      <c r="AE1266" s="201"/>
      <c r="AF1266" s="231" t="str">
        <f>+IFERROR(VLOOKUP(L1266,Data!$F$4:$G$97,2,0),"")</f>
        <v/>
      </c>
    </row>
    <row r="1267" spans="9:32" ht="15" customHeight="1" x14ac:dyDescent="0.3">
      <c r="I1267" s="201" t="str">
        <f t="shared" si="168"/>
        <v/>
      </c>
      <c r="J1267" s="218">
        <f t="shared" si="169"/>
        <v>1264</v>
      </c>
      <c r="K1267" s="250"/>
      <c r="L1267" s="219"/>
      <c r="M1267" s="218"/>
      <c r="N1267" s="220" t="str">
        <f>IFERROR(VLOOKUP(M1267,Data!$C$4:$D$395,2,0),"")</f>
        <v/>
      </c>
      <c r="O1267" s="220"/>
      <c r="P1267" s="229"/>
      <c r="Q1267" s="221"/>
      <c r="R1267" s="222" t="str">
        <f t="shared" si="170"/>
        <v>-</v>
      </c>
      <c r="S1267" s="223"/>
      <c r="T1267" s="224"/>
      <c r="U1267" s="225">
        <f t="shared" si="171"/>
        <v>0</v>
      </c>
      <c r="V1267" s="226">
        <v>0</v>
      </c>
      <c r="W1267" s="227"/>
      <c r="X1267" s="228">
        <f t="shared" si="172"/>
        <v>0</v>
      </c>
      <c r="Y1267" s="229"/>
      <c r="Z1267" s="229"/>
      <c r="AA1267" s="229"/>
      <c r="AB1267" s="222">
        <f t="shared" si="173"/>
        <v>0</v>
      </c>
      <c r="AC1267" s="230">
        <f t="shared" si="174"/>
        <v>0</v>
      </c>
      <c r="AD1267" s="222" t="str">
        <f t="shared" si="175"/>
        <v/>
      </c>
      <c r="AE1267" s="201"/>
      <c r="AF1267" s="231" t="str">
        <f>+IFERROR(VLOOKUP(L1267,Data!$F$4:$G$97,2,0),"")</f>
        <v/>
      </c>
    </row>
    <row r="1268" spans="9:32" ht="15" customHeight="1" x14ac:dyDescent="0.3">
      <c r="I1268" s="201" t="str">
        <f t="shared" si="168"/>
        <v/>
      </c>
      <c r="J1268" s="218">
        <f t="shared" si="169"/>
        <v>1265</v>
      </c>
      <c r="K1268" s="250"/>
      <c r="L1268" s="219"/>
      <c r="M1268" s="218"/>
      <c r="N1268" s="220" t="str">
        <f>IFERROR(VLOOKUP(M1268,Data!$C$4:$D$395,2,0),"")</f>
        <v/>
      </c>
      <c r="O1268" s="220"/>
      <c r="P1268" s="229"/>
      <c r="Q1268" s="221"/>
      <c r="R1268" s="222" t="str">
        <f t="shared" si="170"/>
        <v>-</v>
      </c>
      <c r="S1268" s="223"/>
      <c r="T1268" s="224"/>
      <c r="U1268" s="225">
        <f t="shared" si="171"/>
        <v>0</v>
      </c>
      <c r="V1268" s="226">
        <v>0</v>
      </c>
      <c r="W1268" s="227"/>
      <c r="X1268" s="228">
        <f t="shared" si="172"/>
        <v>0</v>
      </c>
      <c r="Y1268" s="229"/>
      <c r="Z1268" s="229"/>
      <c r="AA1268" s="229"/>
      <c r="AB1268" s="222">
        <f t="shared" si="173"/>
        <v>0</v>
      </c>
      <c r="AC1268" s="230">
        <f t="shared" si="174"/>
        <v>0</v>
      </c>
      <c r="AD1268" s="222" t="str">
        <f t="shared" si="175"/>
        <v/>
      </c>
      <c r="AE1268" s="201"/>
      <c r="AF1268" s="231" t="str">
        <f>+IFERROR(VLOOKUP(L1268,Data!$F$4:$G$97,2,0),"")</f>
        <v/>
      </c>
    </row>
    <row r="1269" spans="9:32" ht="15" customHeight="1" x14ac:dyDescent="0.3">
      <c r="I1269" s="201" t="str">
        <f t="shared" si="168"/>
        <v/>
      </c>
      <c r="J1269" s="218">
        <f t="shared" si="169"/>
        <v>1266</v>
      </c>
      <c r="K1269" s="250"/>
      <c r="L1269" s="219"/>
      <c r="M1269" s="218"/>
      <c r="N1269" s="220" t="str">
        <f>IFERROR(VLOOKUP(M1269,Data!$C$4:$D$395,2,0),"")</f>
        <v/>
      </c>
      <c r="O1269" s="220"/>
      <c r="P1269" s="229"/>
      <c r="Q1269" s="221"/>
      <c r="R1269" s="222" t="str">
        <f t="shared" si="170"/>
        <v>-</v>
      </c>
      <c r="S1269" s="223"/>
      <c r="T1269" s="224"/>
      <c r="U1269" s="225">
        <f t="shared" si="171"/>
        <v>0</v>
      </c>
      <c r="V1269" s="226">
        <v>0</v>
      </c>
      <c r="W1269" s="227"/>
      <c r="X1269" s="228">
        <f t="shared" si="172"/>
        <v>0</v>
      </c>
      <c r="Y1269" s="229"/>
      <c r="Z1269" s="229"/>
      <c r="AA1269" s="229"/>
      <c r="AB1269" s="222">
        <f t="shared" si="173"/>
        <v>0</v>
      </c>
      <c r="AC1269" s="230">
        <f t="shared" si="174"/>
        <v>0</v>
      </c>
      <c r="AD1269" s="222" t="str">
        <f t="shared" si="175"/>
        <v/>
      </c>
      <c r="AE1269" s="201"/>
      <c r="AF1269" s="231" t="str">
        <f>+IFERROR(VLOOKUP(L1269,Data!$F$4:$G$97,2,0),"")</f>
        <v/>
      </c>
    </row>
    <row r="1270" spans="9:32" ht="15" customHeight="1" x14ac:dyDescent="0.3">
      <c r="I1270" s="201" t="str">
        <f t="shared" si="168"/>
        <v/>
      </c>
      <c r="J1270" s="218">
        <f t="shared" si="169"/>
        <v>1267</v>
      </c>
      <c r="K1270" s="250"/>
      <c r="L1270" s="219"/>
      <c r="M1270" s="218"/>
      <c r="N1270" s="220" t="str">
        <f>IFERROR(VLOOKUP(M1270,Data!$C$4:$D$395,2,0),"")</f>
        <v/>
      </c>
      <c r="O1270" s="220"/>
      <c r="P1270" s="229"/>
      <c r="Q1270" s="221"/>
      <c r="R1270" s="222" t="str">
        <f t="shared" si="170"/>
        <v>-</v>
      </c>
      <c r="S1270" s="223"/>
      <c r="T1270" s="224"/>
      <c r="U1270" s="225">
        <f t="shared" si="171"/>
        <v>0</v>
      </c>
      <c r="V1270" s="226">
        <v>0</v>
      </c>
      <c r="W1270" s="227"/>
      <c r="X1270" s="228">
        <f t="shared" si="172"/>
        <v>0</v>
      </c>
      <c r="Y1270" s="229"/>
      <c r="Z1270" s="229"/>
      <c r="AA1270" s="229"/>
      <c r="AB1270" s="222">
        <f t="shared" si="173"/>
        <v>0</v>
      </c>
      <c r="AC1270" s="230">
        <f t="shared" si="174"/>
        <v>0</v>
      </c>
      <c r="AD1270" s="222" t="str">
        <f t="shared" si="175"/>
        <v/>
      </c>
      <c r="AE1270" s="201"/>
      <c r="AF1270" s="231" t="str">
        <f>+IFERROR(VLOOKUP(L1270,Data!$F$4:$G$97,2,0),"")</f>
        <v/>
      </c>
    </row>
    <row r="1271" spans="9:32" ht="15" customHeight="1" x14ac:dyDescent="0.3">
      <c r="I1271" s="201" t="str">
        <f t="shared" si="168"/>
        <v/>
      </c>
      <c r="J1271" s="218">
        <f t="shared" si="169"/>
        <v>1268</v>
      </c>
      <c r="K1271" s="250"/>
      <c r="L1271" s="219"/>
      <c r="M1271" s="218"/>
      <c r="N1271" s="220" t="str">
        <f>IFERROR(VLOOKUP(M1271,Data!$C$4:$D$395,2,0),"")</f>
        <v/>
      </c>
      <c r="O1271" s="220"/>
      <c r="P1271" s="229"/>
      <c r="Q1271" s="221"/>
      <c r="R1271" s="222" t="str">
        <f t="shared" si="170"/>
        <v>-</v>
      </c>
      <c r="S1271" s="223"/>
      <c r="T1271" s="224"/>
      <c r="U1271" s="225">
        <f t="shared" si="171"/>
        <v>0</v>
      </c>
      <c r="V1271" s="226">
        <v>0</v>
      </c>
      <c r="W1271" s="227"/>
      <c r="X1271" s="228">
        <f t="shared" si="172"/>
        <v>0</v>
      </c>
      <c r="Y1271" s="229"/>
      <c r="Z1271" s="229"/>
      <c r="AA1271" s="229"/>
      <c r="AB1271" s="222">
        <f t="shared" si="173"/>
        <v>0</v>
      </c>
      <c r="AC1271" s="230">
        <f t="shared" si="174"/>
        <v>0</v>
      </c>
      <c r="AD1271" s="222" t="str">
        <f t="shared" si="175"/>
        <v/>
      </c>
      <c r="AE1271" s="201"/>
      <c r="AF1271" s="231" t="str">
        <f>+IFERROR(VLOOKUP(L1271,Data!$F$4:$G$97,2,0),"")</f>
        <v/>
      </c>
    </row>
    <row r="1272" spans="9:32" ht="15" customHeight="1" x14ac:dyDescent="0.3">
      <c r="I1272" s="201" t="str">
        <f t="shared" si="168"/>
        <v/>
      </c>
      <c r="J1272" s="218">
        <f t="shared" si="169"/>
        <v>1269</v>
      </c>
      <c r="K1272" s="250"/>
      <c r="L1272" s="219"/>
      <c r="M1272" s="218"/>
      <c r="N1272" s="220" t="str">
        <f>IFERROR(VLOOKUP(M1272,Data!$C$4:$D$395,2,0),"")</f>
        <v/>
      </c>
      <c r="O1272" s="220"/>
      <c r="P1272" s="229"/>
      <c r="Q1272" s="221"/>
      <c r="R1272" s="222" t="str">
        <f t="shared" si="170"/>
        <v>-</v>
      </c>
      <c r="S1272" s="223"/>
      <c r="T1272" s="224"/>
      <c r="U1272" s="225">
        <f t="shared" si="171"/>
        <v>0</v>
      </c>
      <c r="V1272" s="226">
        <v>0</v>
      </c>
      <c r="W1272" s="227"/>
      <c r="X1272" s="228">
        <f t="shared" si="172"/>
        <v>0</v>
      </c>
      <c r="Y1272" s="229"/>
      <c r="Z1272" s="229"/>
      <c r="AA1272" s="229"/>
      <c r="AB1272" s="222">
        <f t="shared" si="173"/>
        <v>0</v>
      </c>
      <c r="AC1272" s="230">
        <f t="shared" si="174"/>
        <v>0</v>
      </c>
      <c r="AD1272" s="222" t="str">
        <f t="shared" si="175"/>
        <v/>
      </c>
      <c r="AE1272" s="201"/>
      <c r="AF1272" s="231" t="str">
        <f>+IFERROR(VLOOKUP(L1272,Data!$F$4:$G$97,2,0),"")</f>
        <v/>
      </c>
    </row>
    <row r="1273" spans="9:32" ht="15" customHeight="1" x14ac:dyDescent="0.3">
      <c r="I1273" s="201" t="str">
        <f t="shared" si="168"/>
        <v/>
      </c>
      <c r="J1273" s="218">
        <f t="shared" si="169"/>
        <v>1270</v>
      </c>
      <c r="K1273" s="250"/>
      <c r="L1273" s="219"/>
      <c r="M1273" s="218"/>
      <c r="N1273" s="220" t="str">
        <f>IFERROR(VLOOKUP(M1273,Data!$C$4:$D$395,2,0),"")</f>
        <v/>
      </c>
      <c r="O1273" s="220"/>
      <c r="P1273" s="229"/>
      <c r="Q1273" s="221"/>
      <c r="R1273" s="222" t="str">
        <f t="shared" si="170"/>
        <v>-</v>
      </c>
      <c r="S1273" s="223"/>
      <c r="T1273" s="224"/>
      <c r="U1273" s="225">
        <f t="shared" si="171"/>
        <v>0</v>
      </c>
      <c r="V1273" s="226">
        <v>0</v>
      </c>
      <c r="W1273" s="227"/>
      <c r="X1273" s="228">
        <f t="shared" si="172"/>
        <v>0</v>
      </c>
      <c r="Y1273" s="229"/>
      <c r="Z1273" s="229"/>
      <c r="AA1273" s="229"/>
      <c r="AB1273" s="222">
        <f t="shared" si="173"/>
        <v>0</v>
      </c>
      <c r="AC1273" s="230">
        <f t="shared" si="174"/>
        <v>0</v>
      </c>
      <c r="AD1273" s="222" t="str">
        <f t="shared" si="175"/>
        <v/>
      </c>
      <c r="AE1273" s="201"/>
      <c r="AF1273" s="231" t="str">
        <f>+IFERROR(VLOOKUP(L1273,Data!$F$4:$G$97,2,0),"")</f>
        <v/>
      </c>
    </row>
    <row r="1274" spans="9:32" ht="15" customHeight="1" x14ac:dyDescent="0.3">
      <c r="I1274" s="201" t="str">
        <f t="shared" si="168"/>
        <v/>
      </c>
      <c r="J1274" s="218">
        <f t="shared" si="169"/>
        <v>1271</v>
      </c>
      <c r="K1274" s="250"/>
      <c r="L1274" s="219"/>
      <c r="M1274" s="218"/>
      <c r="N1274" s="220" t="str">
        <f>IFERROR(VLOOKUP(M1274,Data!$C$4:$D$395,2,0),"")</f>
        <v/>
      </c>
      <c r="O1274" s="220"/>
      <c r="P1274" s="229"/>
      <c r="Q1274" s="221"/>
      <c r="R1274" s="222" t="str">
        <f t="shared" si="170"/>
        <v>-</v>
      </c>
      <c r="S1274" s="223"/>
      <c r="T1274" s="224"/>
      <c r="U1274" s="225">
        <f t="shared" si="171"/>
        <v>0</v>
      </c>
      <c r="V1274" s="226">
        <v>0</v>
      </c>
      <c r="W1274" s="227"/>
      <c r="X1274" s="228">
        <f t="shared" si="172"/>
        <v>0</v>
      </c>
      <c r="Y1274" s="229"/>
      <c r="Z1274" s="229"/>
      <c r="AA1274" s="229"/>
      <c r="AB1274" s="222">
        <f t="shared" si="173"/>
        <v>0</v>
      </c>
      <c r="AC1274" s="230">
        <f t="shared" si="174"/>
        <v>0</v>
      </c>
      <c r="AD1274" s="222" t="str">
        <f t="shared" si="175"/>
        <v/>
      </c>
      <c r="AE1274" s="201"/>
      <c r="AF1274" s="231" t="str">
        <f>+IFERROR(VLOOKUP(L1274,Data!$F$4:$G$97,2,0),"")</f>
        <v/>
      </c>
    </row>
    <row r="1275" spans="9:32" ht="15" customHeight="1" x14ac:dyDescent="0.3">
      <c r="I1275" s="201" t="str">
        <f t="shared" si="168"/>
        <v/>
      </c>
      <c r="J1275" s="218">
        <f t="shared" si="169"/>
        <v>1272</v>
      </c>
      <c r="K1275" s="250"/>
      <c r="L1275" s="219"/>
      <c r="M1275" s="218"/>
      <c r="N1275" s="220" t="str">
        <f>IFERROR(VLOOKUP(M1275,Data!$C$4:$D$395,2,0),"")</f>
        <v/>
      </c>
      <c r="O1275" s="220"/>
      <c r="P1275" s="229"/>
      <c r="Q1275" s="221"/>
      <c r="R1275" s="222" t="str">
        <f t="shared" si="170"/>
        <v>-</v>
      </c>
      <c r="S1275" s="223"/>
      <c r="T1275" s="224"/>
      <c r="U1275" s="225">
        <f t="shared" si="171"/>
        <v>0</v>
      </c>
      <c r="V1275" s="226">
        <v>0</v>
      </c>
      <c r="W1275" s="227"/>
      <c r="X1275" s="228">
        <f t="shared" si="172"/>
        <v>0</v>
      </c>
      <c r="Y1275" s="229"/>
      <c r="Z1275" s="229"/>
      <c r="AA1275" s="229"/>
      <c r="AB1275" s="222">
        <f t="shared" si="173"/>
        <v>0</v>
      </c>
      <c r="AC1275" s="230">
        <f t="shared" si="174"/>
        <v>0</v>
      </c>
      <c r="AD1275" s="222" t="str">
        <f t="shared" si="175"/>
        <v/>
      </c>
      <c r="AE1275" s="201"/>
      <c r="AF1275" s="231" t="str">
        <f>+IFERROR(VLOOKUP(L1275,Data!$F$4:$G$97,2,0),"")</f>
        <v/>
      </c>
    </row>
    <row r="1276" spans="9:32" ht="15" customHeight="1" x14ac:dyDescent="0.3">
      <c r="I1276" s="201" t="str">
        <f t="shared" si="168"/>
        <v/>
      </c>
      <c r="J1276" s="218">
        <f t="shared" si="169"/>
        <v>1273</v>
      </c>
      <c r="K1276" s="250"/>
      <c r="L1276" s="219"/>
      <c r="M1276" s="218"/>
      <c r="N1276" s="220" t="str">
        <f>IFERROR(VLOOKUP(M1276,Data!$C$4:$D$395,2,0),"")</f>
        <v/>
      </c>
      <c r="O1276" s="220"/>
      <c r="P1276" s="229"/>
      <c r="Q1276" s="221"/>
      <c r="R1276" s="222" t="str">
        <f t="shared" si="170"/>
        <v>-</v>
      </c>
      <c r="S1276" s="223"/>
      <c r="T1276" s="224"/>
      <c r="U1276" s="225">
        <f t="shared" si="171"/>
        <v>0</v>
      </c>
      <c r="V1276" s="226">
        <v>0</v>
      </c>
      <c r="W1276" s="227"/>
      <c r="X1276" s="228">
        <f t="shared" si="172"/>
        <v>0</v>
      </c>
      <c r="Y1276" s="229"/>
      <c r="Z1276" s="229"/>
      <c r="AA1276" s="229"/>
      <c r="AB1276" s="222">
        <f t="shared" si="173"/>
        <v>0</v>
      </c>
      <c r="AC1276" s="230">
        <f t="shared" si="174"/>
        <v>0</v>
      </c>
      <c r="AD1276" s="222" t="str">
        <f t="shared" si="175"/>
        <v/>
      </c>
      <c r="AE1276" s="201"/>
      <c r="AF1276" s="231" t="str">
        <f>+IFERROR(VLOOKUP(L1276,Data!$F$4:$G$97,2,0),"")</f>
        <v/>
      </c>
    </row>
    <row r="1277" spans="9:32" ht="15" customHeight="1" x14ac:dyDescent="0.3">
      <c r="I1277" s="201" t="str">
        <f t="shared" ref="I1277:I1340" si="176">+AF1277</f>
        <v/>
      </c>
      <c r="J1277" s="218">
        <f t="shared" si="169"/>
        <v>1274</v>
      </c>
      <c r="K1277" s="250"/>
      <c r="L1277" s="219"/>
      <c r="M1277" s="218"/>
      <c r="N1277" s="220" t="str">
        <f>IFERROR(VLOOKUP(M1277,Data!$C$4:$D$395,2,0),"")</f>
        <v/>
      </c>
      <c r="O1277" s="220"/>
      <c r="P1277" s="229"/>
      <c r="Q1277" s="221"/>
      <c r="R1277" s="222" t="str">
        <f t="shared" si="170"/>
        <v>-</v>
      </c>
      <c r="S1277" s="223"/>
      <c r="T1277" s="224"/>
      <c r="U1277" s="225">
        <f t="shared" si="171"/>
        <v>0</v>
      </c>
      <c r="V1277" s="226">
        <v>0</v>
      </c>
      <c r="W1277" s="227"/>
      <c r="X1277" s="228">
        <f t="shared" si="172"/>
        <v>0</v>
      </c>
      <c r="Y1277" s="229"/>
      <c r="Z1277" s="229"/>
      <c r="AA1277" s="229"/>
      <c r="AB1277" s="222">
        <f t="shared" si="173"/>
        <v>0</v>
      </c>
      <c r="AC1277" s="230">
        <f t="shared" si="174"/>
        <v>0</v>
      </c>
      <c r="AD1277" s="222" t="str">
        <f t="shared" si="175"/>
        <v/>
      </c>
      <c r="AE1277" s="201"/>
      <c r="AF1277" s="231" t="str">
        <f>+IFERROR(VLOOKUP(L1277,Data!$F$4:$G$97,2,0),"")</f>
        <v/>
      </c>
    </row>
    <row r="1278" spans="9:32" ht="15" customHeight="1" x14ac:dyDescent="0.3">
      <c r="I1278" s="201" t="str">
        <f t="shared" si="176"/>
        <v/>
      </c>
      <c r="J1278" s="218">
        <f t="shared" ref="J1278:J1341" si="177">J1277+1</f>
        <v>1275</v>
      </c>
      <c r="K1278" s="250"/>
      <c r="L1278" s="219"/>
      <c r="M1278" s="218"/>
      <c r="N1278" s="220" t="str">
        <f>IFERROR(VLOOKUP(M1278,Data!$C$4:$D$395,2,0),"")</f>
        <v/>
      </c>
      <c r="O1278" s="220"/>
      <c r="P1278" s="229"/>
      <c r="Q1278" s="221"/>
      <c r="R1278" s="222" t="str">
        <f t="shared" si="170"/>
        <v>-</v>
      </c>
      <c r="S1278" s="223"/>
      <c r="T1278" s="224"/>
      <c r="U1278" s="225">
        <f t="shared" si="171"/>
        <v>0</v>
      </c>
      <c r="V1278" s="226">
        <v>0</v>
      </c>
      <c r="W1278" s="227"/>
      <c r="X1278" s="228">
        <f t="shared" si="172"/>
        <v>0</v>
      </c>
      <c r="Y1278" s="229"/>
      <c r="Z1278" s="229"/>
      <c r="AA1278" s="229"/>
      <c r="AB1278" s="222">
        <f t="shared" si="173"/>
        <v>0</v>
      </c>
      <c r="AC1278" s="230">
        <f t="shared" si="174"/>
        <v>0</v>
      </c>
      <c r="AD1278" s="222" t="str">
        <f t="shared" si="175"/>
        <v/>
      </c>
      <c r="AE1278" s="201"/>
      <c r="AF1278" s="231" t="str">
        <f>+IFERROR(VLOOKUP(L1278,Data!$F$4:$G$97,2,0),"")</f>
        <v/>
      </c>
    </row>
    <row r="1279" spans="9:32" ht="15" customHeight="1" x14ac:dyDescent="0.3">
      <c r="I1279" s="201" t="str">
        <f t="shared" si="176"/>
        <v/>
      </c>
      <c r="J1279" s="218">
        <f t="shared" si="177"/>
        <v>1276</v>
      </c>
      <c r="K1279" s="250"/>
      <c r="L1279" s="219"/>
      <c r="M1279" s="218"/>
      <c r="N1279" s="220" t="str">
        <f>IFERROR(VLOOKUP(M1279,Data!$C$4:$D$395,2,0),"")</f>
        <v/>
      </c>
      <c r="O1279" s="220"/>
      <c r="P1279" s="229"/>
      <c r="Q1279" s="221"/>
      <c r="R1279" s="222" t="str">
        <f t="shared" si="170"/>
        <v>-</v>
      </c>
      <c r="S1279" s="223"/>
      <c r="T1279" s="224"/>
      <c r="U1279" s="225">
        <f t="shared" si="171"/>
        <v>0</v>
      </c>
      <c r="V1279" s="226">
        <v>0</v>
      </c>
      <c r="W1279" s="227"/>
      <c r="X1279" s="228">
        <f t="shared" si="172"/>
        <v>0</v>
      </c>
      <c r="Y1279" s="229"/>
      <c r="Z1279" s="229"/>
      <c r="AA1279" s="229"/>
      <c r="AB1279" s="222">
        <f t="shared" si="173"/>
        <v>0</v>
      </c>
      <c r="AC1279" s="230">
        <f t="shared" si="174"/>
        <v>0</v>
      </c>
      <c r="AD1279" s="222" t="str">
        <f t="shared" si="175"/>
        <v/>
      </c>
      <c r="AE1279" s="201"/>
      <c r="AF1279" s="231" t="str">
        <f>+IFERROR(VLOOKUP(L1279,Data!$F$4:$G$97,2,0),"")</f>
        <v/>
      </c>
    </row>
    <row r="1280" spans="9:32" ht="15" customHeight="1" x14ac:dyDescent="0.3">
      <c r="I1280" s="201" t="str">
        <f t="shared" si="176"/>
        <v/>
      </c>
      <c r="J1280" s="218">
        <f t="shared" si="177"/>
        <v>1277</v>
      </c>
      <c r="K1280" s="250"/>
      <c r="L1280" s="219"/>
      <c r="M1280" s="218"/>
      <c r="N1280" s="220" t="str">
        <f>IFERROR(VLOOKUP(M1280,Data!$C$4:$D$395,2,0),"")</f>
        <v/>
      </c>
      <c r="O1280" s="220"/>
      <c r="P1280" s="229"/>
      <c r="Q1280" s="221"/>
      <c r="R1280" s="222" t="str">
        <f t="shared" ref="R1280:R1343" si="178">IFERROR(Q1280/P1280, "-")</f>
        <v>-</v>
      </c>
      <c r="S1280" s="223"/>
      <c r="T1280" s="224"/>
      <c r="U1280" s="225">
        <f t="shared" ref="U1280:U1343" si="179">+Q1280*S1280+P1280*T1280</f>
        <v>0</v>
      </c>
      <c r="V1280" s="226">
        <v>0</v>
      </c>
      <c r="W1280" s="227"/>
      <c r="X1280" s="228">
        <f t="shared" ref="X1280:X1343" si="180">+Q1280*V1280+P1280*W1280</f>
        <v>0</v>
      </c>
      <c r="Y1280" s="229"/>
      <c r="Z1280" s="229"/>
      <c r="AA1280" s="229"/>
      <c r="AB1280" s="222">
        <f t="shared" ref="AB1280:AB1343" si="181">+Y1280+Z1280+AA1280</f>
        <v>0</v>
      </c>
      <c r="AC1280" s="230">
        <f t="shared" ref="AC1280:AC1343" si="182">IF((U1280-Y1280-Z1280-AA1280)&lt;0,"",(U1280-Y1280-Z1280-AA1280))</f>
        <v>0</v>
      </c>
      <c r="AD1280" s="222" t="str">
        <f t="shared" ref="AD1280:AD1343" si="183">IF((U1280-Y1280-Z1280-AA1280)&lt;0,(Y1280+Z1280+AA1280-U1280),"")</f>
        <v/>
      </c>
      <c r="AE1280" s="201"/>
      <c r="AF1280" s="231" t="str">
        <f>+IFERROR(VLOOKUP(L1280,Data!$F$4:$G$97,2,0),"")</f>
        <v/>
      </c>
    </row>
    <row r="1281" spans="9:32" ht="15" customHeight="1" x14ac:dyDescent="0.3">
      <c r="I1281" s="201" t="str">
        <f t="shared" si="176"/>
        <v/>
      </c>
      <c r="J1281" s="218">
        <f t="shared" si="177"/>
        <v>1278</v>
      </c>
      <c r="K1281" s="250"/>
      <c r="L1281" s="219"/>
      <c r="M1281" s="218"/>
      <c r="N1281" s="220" t="str">
        <f>IFERROR(VLOOKUP(M1281,Data!$C$4:$D$395,2,0),"")</f>
        <v/>
      </c>
      <c r="O1281" s="220"/>
      <c r="P1281" s="229"/>
      <c r="Q1281" s="221"/>
      <c r="R1281" s="222" t="str">
        <f t="shared" si="178"/>
        <v>-</v>
      </c>
      <c r="S1281" s="223"/>
      <c r="T1281" s="224"/>
      <c r="U1281" s="225">
        <f t="shared" si="179"/>
        <v>0</v>
      </c>
      <c r="V1281" s="226">
        <v>0</v>
      </c>
      <c r="W1281" s="227"/>
      <c r="X1281" s="228">
        <f t="shared" si="180"/>
        <v>0</v>
      </c>
      <c r="Y1281" s="229"/>
      <c r="Z1281" s="229"/>
      <c r="AA1281" s="229"/>
      <c r="AB1281" s="222">
        <f t="shared" si="181"/>
        <v>0</v>
      </c>
      <c r="AC1281" s="230">
        <f t="shared" si="182"/>
        <v>0</v>
      </c>
      <c r="AD1281" s="222" t="str">
        <f t="shared" si="183"/>
        <v/>
      </c>
      <c r="AE1281" s="201"/>
      <c r="AF1281" s="231" t="str">
        <f>+IFERROR(VLOOKUP(L1281,Data!$F$4:$G$97,2,0),"")</f>
        <v/>
      </c>
    </row>
    <row r="1282" spans="9:32" ht="15" customHeight="1" x14ac:dyDescent="0.3">
      <c r="I1282" s="201" t="str">
        <f t="shared" si="176"/>
        <v/>
      </c>
      <c r="J1282" s="218">
        <f t="shared" si="177"/>
        <v>1279</v>
      </c>
      <c r="K1282" s="250"/>
      <c r="L1282" s="219"/>
      <c r="M1282" s="218"/>
      <c r="N1282" s="220" t="str">
        <f>IFERROR(VLOOKUP(M1282,Data!$C$4:$D$395,2,0),"")</f>
        <v/>
      </c>
      <c r="O1282" s="220"/>
      <c r="P1282" s="229"/>
      <c r="Q1282" s="221"/>
      <c r="R1282" s="222" t="str">
        <f t="shared" si="178"/>
        <v>-</v>
      </c>
      <c r="S1282" s="223"/>
      <c r="T1282" s="224"/>
      <c r="U1282" s="225">
        <f t="shared" si="179"/>
        <v>0</v>
      </c>
      <c r="V1282" s="226">
        <v>0</v>
      </c>
      <c r="W1282" s="227"/>
      <c r="X1282" s="228">
        <f t="shared" si="180"/>
        <v>0</v>
      </c>
      <c r="Y1282" s="229"/>
      <c r="Z1282" s="229"/>
      <c r="AA1282" s="229"/>
      <c r="AB1282" s="222">
        <f t="shared" si="181"/>
        <v>0</v>
      </c>
      <c r="AC1282" s="230">
        <f t="shared" si="182"/>
        <v>0</v>
      </c>
      <c r="AD1282" s="222" t="str">
        <f t="shared" si="183"/>
        <v/>
      </c>
      <c r="AE1282" s="201"/>
      <c r="AF1282" s="231" t="str">
        <f>+IFERROR(VLOOKUP(L1282,Data!$F$4:$G$97,2,0),"")</f>
        <v/>
      </c>
    </row>
    <row r="1283" spans="9:32" ht="15" customHeight="1" x14ac:dyDescent="0.3">
      <c r="I1283" s="201" t="str">
        <f t="shared" si="176"/>
        <v/>
      </c>
      <c r="J1283" s="218">
        <f t="shared" si="177"/>
        <v>1280</v>
      </c>
      <c r="K1283" s="250"/>
      <c r="L1283" s="219"/>
      <c r="M1283" s="218"/>
      <c r="N1283" s="220" t="str">
        <f>IFERROR(VLOOKUP(M1283,Data!$C$4:$D$395,2,0),"")</f>
        <v/>
      </c>
      <c r="O1283" s="220"/>
      <c r="P1283" s="229"/>
      <c r="Q1283" s="221"/>
      <c r="R1283" s="222" t="str">
        <f t="shared" si="178"/>
        <v>-</v>
      </c>
      <c r="S1283" s="223"/>
      <c r="T1283" s="224"/>
      <c r="U1283" s="225">
        <f t="shared" si="179"/>
        <v>0</v>
      </c>
      <c r="V1283" s="226">
        <v>0</v>
      </c>
      <c r="W1283" s="227"/>
      <c r="X1283" s="228">
        <f t="shared" si="180"/>
        <v>0</v>
      </c>
      <c r="Y1283" s="229"/>
      <c r="Z1283" s="229"/>
      <c r="AA1283" s="229"/>
      <c r="AB1283" s="222">
        <f t="shared" si="181"/>
        <v>0</v>
      </c>
      <c r="AC1283" s="230">
        <f t="shared" si="182"/>
        <v>0</v>
      </c>
      <c r="AD1283" s="222" t="str">
        <f t="shared" si="183"/>
        <v/>
      </c>
      <c r="AE1283" s="201"/>
      <c r="AF1283" s="231" t="str">
        <f>+IFERROR(VLOOKUP(L1283,Data!$F$4:$G$97,2,0),"")</f>
        <v/>
      </c>
    </row>
    <row r="1284" spans="9:32" ht="15" customHeight="1" x14ac:dyDescent="0.3">
      <c r="I1284" s="201" t="str">
        <f t="shared" si="176"/>
        <v/>
      </c>
      <c r="J1284" s="218">
        <f t="shared" si="177"/>
        <v>1281</v>
      </c>
      <c r="K1284" s="250"/>
      <c r="L1284" s="219"/>
      <c r="M1284" s="218"/>
      <c r="N1284" s="220" t="str">
        <f>IFERROR(VLOOKUP(M1284,Data!$C$4:$D$395,2,0),"")</f>
        <v/>
      </c>
      <c r="O1284" s="220"/>
      <c r="P1284" s="229"/>
      <c r="Q1284" s="221"/>
      <c r="R1284" s="222" t="str">
        <f t="shared" si="178"/>
        <v>-</v>
      </c>
      <c r="S1284" s="223"/>
      <c r="T1284" s="224"/>
      <c r="U1284" s="225">
        <f t="shared" si="179"/>
        <v>0</v>
      </c>
      <c r="V1284" s="226">
        <v>0</v>
      </c>
      <c r="W1284" s="227"/>
      <c r="X1284" s="228">
        <f t="shared" si="180"/>
        <v>0</v>
      </c>
      <c r="Y1284" s="229"/>
      <c r="Z1284" s="229"/>
      <c r="AA1284" s="229"/>
      <c r="AB1284" s="222">
        <f t="shared" si="181"/>
        <v>0</v>
      </c>
      <c r="AC1284" s="230">
        <f t="shared" si="182"/>
        <v>0</v>
      </c>
      <c r="AD1284" s="222" t="str">
        <f t="shared" si="183"/>
        <v/>
      </c>
      <c r="AE1284" s="201"/>
      <c r="AF1284" s="231" t="str">
        <f>+IFERROR(VLOOKUP(L1284,Data!$F$4:$G$97,2,0),"")</f>
        <v/>
      </c>
    </row>
    <row r="1285" spans="9:32" ht="15" customHeight="1" x14ac:dyDescent="0.3">
      <c r="I1285" s="201" t="str">
        <f t="shared" si="176"/>
        <v/>
      </c>
      <c r="J1285" s="218">
        <f t="shared" si="177"/>
        <v>1282</v>
      </c>
      <c r="K1285" s="250"/>
      <c r="L1285" s="219"/>
      <c r="M1285" s="218"/>
      <c r="N1285" s="220" t="str">
        <f>IFERROR(VLOOKUP(M1285,Data!$C$4:$D$395,2,0),"")</f>
        <v/>
      </c>
      <c r="O1285" s="220"/>
      <c r="P1285" s="229"/>
      <c r="Q1285" s="221"/>
      <c r="R1285" s="222" t="str">
        <f t="shared" si="178"/>
        <v>-</v>
      </c>
      <c r="S1285" s="223"/>
      <c r="T1285" s="224"/>
      <c r="U1285" s="225">
        <f t="shared" si="179"/>
        <v>0</v>
      </c>
      <c r="V1285" s="226">
        <v>0</v>
      </c>
      <c r="W1285" s="227"/>
      <c r="X1285" s="228">
        <f t="shared" si="180"/>
        <v>0</v>
      </c>
      <c r="Y1285" s="229"/>
      <c r="Z1285" s="229"/>
      <c r="AA1285" s="229"/>
      <c r="AB1285" s="222">
        <f t="shared" si="181"/>
        <v>0</v>
      </c>
      <c r="AC1285" s="230">
        <f t="shared" si="182"/>
        <v>0</v>
      </c>
      <c r="AD1285" s="222" t="str">
        <f t="shared" si="183"/>
        <v/>
      </c>
      <c r="AE1285" s="201"/>
      <c r="AF1285" s="231" t="str">
        <f>+IFERROR(VLOOKUP(L1285,Data!$F$4:$G$97,2,0),"")</f>
        <v/>
      </c>
    </row>
    <row r="1286" spans="9:32" ht="15" customHeight="1" x14ac:dyDescent="0.3">
      <c r="I1286" s="201" t="str">
        <f t="shared" si="176"/>
        <v/>
      </c>
      <c r="J1286" s="218">
        <f t="shared" si="177"/>
        <v>1283</v>
      </c>
      <c r="K1286" s="250"/>
      <c r="L1286" s="219"/>
      <c r="M1286" s="218"/>
      <c r="N1286" s="220" t="str">
        <f>IFERROR(VLOOKUP(M1286,Data!$C$4:$D$395,2,0),"")</f>
        <v/>
      </c>
      <c r="O1286" s="220"/>
      <c r="P1286" s="229"/>
      <c r="Q1286" s="221"/>
      <c r="R1286" s="222" t="str">
        <f t="shared" si="178"/>
        <v>-</v>
      </c>
      <c r="S1286" s="223"/>
      <c r="T1286" s="224"/>
      <c r="U1286" s="225">
        <f t="shared" si="179"/>
        <v>0</v>
      </c>
      <c r="V1286" s="226">
        <v>0</v>
      </c>
      <c r="W1286" s="227"/>
      <c r="X1286" s="228">
        <f t="shared" si="180"/>
        <v>0</v>
      </c>
      <c r="Y1286" s="229"/>
      <c r="Z1286" s="229"/>
      <c r="AA1286" s="229"/>
      <c r="AB1286" s="222">
        <f t="shared" si="181"/>
        <v>0</v>
      </c>
      <c r="AC1286" s="230">
        <f t="shared" si="182"/>
        <v>0</v>
      </c>
      <c r="AD1286" s="222" t="str">
        <f t="shared" si="183"/>
        <v/>
      </c>
      <c r="AE1286" s="201"/>
      <c r="AF1286" s="231" t="str">
        <f>+IFERROR(VLOOKUP(L1286,Data!$F$4:$G$97,2,0),"")</f>
        <v/>
      </c>
    </row>
    <row r="1287" spans="9:32" ht="15" customHeight="1" x14ac:dyDescent="0.3">
      <c r="I1287" s="201" t="str">
        <f t="shared" si="176"/>
        <v/>
      </c>
      <c r="J1287" s="218">
        <f t="shared" si="177"/>
        <v>1284</v>
      </c>
      <c r="K1287" s="250"/>
      <c r="L1287" s="219"/>
      <c r="M1287" s="218"/>
      <c r="N1287" s="220" t="str">
        <f>IFERROR(VLOOKUP(M1287,Data!$C$4:$D$395,2,0),"")</f>
        <v/>
      </c>
      <c r="O1287" s="220"/>
      <c r="P1287" s="229"/>
      <c r="Q1287" s="221"/>
      <c r="R1287" s="222" t="str">
        <f t="shared" si="178"/>
        <v>-</v>
      </c>
      <c r="S1287" s="223"/>
      <c r="T1287" s="224"/>
      <c r="U1287" s="225">
        <f t="shared" si="179"/>
        <v>0</v>
      </c>
      <c r="V1287" s="226">
        <v>0</v>
      </c>
      <c r="W1287" s="227"/>
      <c r="X1287" s="228">
        <f t="shared" si="180"/>
        <v>0</v>
      </c>
      <c r="Y1287" s="229"/>
      <c r="Z1287" s="229"/>
      <c r="AA1287" s="229"/>
      <c r="AB1287" s="222">
        <f t="shared" si="181"/>
        <v>0</v>
      </c>
      <c r="AC1287" s="230">
        <f t="shared" si="182"/>
        <v>0</v>
      </c>
      <c r="AD1287" s="222" t="str">
        <f t="shared" si="183"/>
        <v/>
      </c>
      <c r="AE1287" s="201"/>
      <c r="AF1287" s="231" t="str">
        <f>+IFERROR(VLOOKUP(L1287,Data!$F$4:$G$97,2,0),"")</f>
        <v/>
      </c>
    </row>
    <row r="1288" spans="9:32" ht="15" customHeight="1" x14ac:dyDescent="0.3">
      <c r="I1288" s="201" t="str">
        <f t="shared" si="176"/>
        <v/>
      </c>
      <c r="J1288" s="218">
        <f t="shared" si="177"/>
        <v>1285</v>
      </c>
      <c r="K1288" s="250"/>
      <c r="L1288" s="219"/>
      <c r="M1288" s="218"/>
      <c r="N1288" s="220" t="str">
        <f>IFERROR(VLOOKUP(M1288,Data!$C$4:$D$395,2,0),"")</f>
        <v/>
      </c>
      <c r="O1288" s="220"/>
      <c r="P1288" s="229"/>
      <c r="Q1288" s="221"/>
      <c r="R1288" s="222" t="str">
        <f t="shared" si="178"/>
        <v>-</v>
      </c>
      <c r="S1288" s="223"/>
      <c r="T1288" s="224"/>
      <c r="U1288" s="225">
        <f t="shared" si="179"/>
        <v>0</v>
      </c>
      <c r="V1288" s="226">
        <v>0</v>
      </c>
      <c r="W1288" s="227"/>
      <c r="X1288" s="228">
        <f t="shared" si="180"/>
        <v>0</v>
      </c>
      <c r="Y1288" s="229"/>
      <c r="Z1288" s="229"/>
      <c r="AA1288" s="229"/>
      <c r="AB1288" s="222">
        <f t="shared" si="181"/>
        <v>0</v>
      </c>
      <c r="AC1288" s="230">
        <f t="shared" si="182"/>
        <v>0</v>
      </c>
      <c r="AD1288" s="222" t="str">
        <f t="shared" si="183"/>
        <v/>
      </c>
      <c r="AE1288" s="201"/>
      <c r="AF1288" s="231" t="str">
        <f>+IFERROR(VLOOKUP(L1288,Data!$F$4:$G$97,2,0),"")</f>
        <v/>
      </c>
    </row>
    <row r="1289" spans="9:32" ht="15" customHeight="1" x14ac:dyDescent="0.3">
      <c r="I1289" s="201" t="str">
        <f t="shared" si="176"/>
        <v/>
      </c>
      <c r="J1289" s="218">
        <f t="shared" si="177"/>
        <v>1286</v>
      </c>
      <c r="K1289" s="250"/>
      <c r="L1289" s="219"/>
      <c r="M1289" s="218"/>
      <c r="N1289" s="220" t="str">
        <f>IFERROR(VLOOKUP(M1289,Data!$C$4:$D$395,2,0),"")</f>
        <v/>
      </c>
      <c r="O1289" s="220"/>
      <c r="P1289" s="229"/>
      <c r="Q1289" s="221"/>
      <c r="R1289" s="222" t="str">
        <f t="shared" si="178"/>
        <v>-</v>
      </c>
      <c r="S1289" s="223"/>
      <c r="T1289" s="224"/>
      <c r="U1289" s="225">
        <f t="shared" si="179"/>
        <v>0</v>
      </c>
      <c r="V1289" s="226">
        <v>0</v>
      </c>
      <c r="W1289" s="227"/>
      <c r="X1289" s="228">
        <f t="shared" si="180"/>
        <v>0</v>
      </c>
      <c r="Y1289" s="229"/>
      <c r="Z1289" s="229"/>
      <c r="AA1289" s="229"/>
      <c r="AB1289" s="222">
        <f t="shared" si="181"/>
        <v>0</v>
      </c>
      <c r="AC1289" s="230">
        <f t="shared" si="182"/>
        <v>0</v>
      </c>
      <c r="AD1289" s="222" t="str">
        <f t="shared" si="183"/>
        <v/>
      </c>
      <c r="AE1289" s="201"/>
      <c r="AF1289" s="231" t="str">
        <f>+IFERROR(VLOOKUP(L1289,Data!$F$4:$G$97,2,0),"")</f>
        <v/>
      </c>
    </row>
    <row r="1290" spans="9:32" ht="15" customHeight="1" x14ac:dyDescent="0.3">
      <c r="I1290" s="201" t="str">
        <f t="shared" si="176"/>
        <v/>
      </c>
      <c r="J1290" s="218">
        <f t="shared" si="177"/>
        <v>1287</v>
      </c>
      <c r="K1290" s="250"/>
      <c r="L1290" s="219"/>
      <c r="M1290" s="218"/>
      <c r="N1290" s="220" t="str">
        <f>IFERROR(VLOOKUP(M1290,Data!$C$4:$D$395,2,0),"")</f>
        <v/>
      </c>
      <c r="O1290" s="220"/>
      <c r="P1290" s="229"/>
      <c r="Q1290" s="221"/>
      <c r="R1290" s="222" t="str">
        <f t="shared" si="178"/>
        <v>-</v>
      </c>
      <c r="S1290" s="223"/>
      <c r="T1290" s="224"/>
      <c r="U1290" s="225">
        <f t="shared" si="179"/>
        <v>0</v>
      </c>
      <c r="V1290" s="226">
        <v>0</v>
      </c>
      <c r="W1290" s="227"/>
      <c r="X1290" s="228">
        <f t="shared" si="180"/>
        <v>0</v>
      </c>
      <c r="Y1290" s="229"/>
      <c r="Z1290" s="229"/>
      <c r="AA1290" s="229"/>
      <c r="AB1290" s="222">
        <f t="shared" si="181"/>
        <v>0</v>
      </c>
      <c r="AC1290" s="230">
        <f t="shared" si="182"/>
        <v>0</v>
      </c>
      <c r="AD1290" s="222" t="str">
        <f t="shared" si="183"/>
        <v/>
      </c>
      <c r="AE1290" s="201"/>
      <c r="AF1290" s="231" t="str">
        <f>+IFERROR(VLOOKUP(L1290,Data!$F$4:$G$97,2,0),"")</f>
        <v/>
      </c>
    </row>
    <row r="1291" spans="9:32" ht="15" customHeight="1" x14ac:dyDescent="0.3">
      <c r="I1291" s="201" t="str">
        <f t="shared" si="176"/>
        <v/>
      </c>
      <c r="J1291" s="218">
        <f t="shared" si="177"/>
        <v>1288</v>
      </c>
      <c r="K1291" s="250"/>
      <c r="L1291" s="219"/>
      <c r="M1291" s="218"/>
      <c r="N1291" s="220" t="str">
        <f>IFERROR(VLOOKUP(M1291,Data!$C$4:$D$395,2,0),"")</f>
        <v/>
      </c>
      <c r="O1291" s="220"/>
      <c r="P1291" s="229"/>
      <c r="Q1291" s="221"/>
      <c r="R1291" s="222" t="str">
        <f t="shared" si="178"/>
        <v>-</v>
      </c>
      <c r="S1291" s="223"/>
      <c r="T1291" s="224"/>
      <c r="U1291" s="225">
        <f t="shared" si="179"/>
        <v>0</v>
      </c>
      <c r="V1291" s="226">
        <v>0</v>
      </c>
      <c r="W1291" s="227"/>
      <c r="X1291" s="228">
        <f t="shared" si="180"/>
        <v>0</v>
      </c>
      <c r="Y1291" s="229"/>
      <c r="Z1291" s="229"/>
      <c r="AA1291" s="229"/>
      <c r="AB1291" s="222">
        <f t="shared" si="181"/>
        <v>0</v>
      </c>
      <c r="AC1291" s="230">
        <f t="shared" si="182"/>
        <v>0</v>
      </c>
      <c r="AD1291" s="222" t="str">
        <f t="shared" si="183"/>
        <v/>
      </c>
      <c r="AE1291" s="201"/>
      <c r="AF1291" s="231" t="str">
        <f>+IFERROR(VLOOKUP(L1291,Data!$F$4:$G$97,2,0),"")</f>
        <v/>
      </c>
    </row>
    <row r="1292" spans="9:32" ht="15" customHeight="1" x14ac:dyDescent="0.3">
      <c r="I1292" s="201" t="str">
        <f t="shared" si="176"/>
        <v/>
      </c>
      <c r="J1292" s="218">
        <f t="shared" si="177"/>
        <v>1289</v>
      </c>
      <c r="K1292" s="250"/>
      <c r="L1292" s="219"/>
      <c r="M1292" s="218"/>
      <c r="N1292" s="220" t="str">
        <f>IFERROR(VLOOKUP(M1292,Data!$C$4:$D$395,2,0),"")</f>
        <v/>
      </c>
      <c r="O1292" s="220"/>
      <c r="P1292" s="229"/>
      <c r="Q1292" s="221"/>
      <c r="R1292" s="222" t="str">
        <f t="shared" si="178"/>
        <v>-</v>
      </c>
      <c r="S1292" s="223"/>
      <c r="T1292" s="224"/>
      <c r="U1292" s="225">
        <f t="shared" si="179"/>
        <v>0</v>
      </c>
      <c r="V1292" s="226">
        <v>0</v>
      </c>
      <c r="W1292" s="227"/>
      <c r="X1292" s="228">
        <f t="shared" si="180"/>
        <v>0</v>
      </c>
      <c r="Y1292" s="229"/>
      <c r="Z1292" s="229"/>
      <c r="AA1292" s="229"/>
      <c r="AB1292" s="222">
        <f t="shared" si="181"/>
        <v>0</v>
      </c>
      <c r="AC1292" s="230">
        <f t="shared" si="182"/>
        <v>0</v>
      </c>
      <c r="AD1292" s="222" t="str">
        <f t="shared" si="183"/>
        <v/>
      </c>
      <c r="AE1292" s="201"/>
      <c r="AF1292" s="231" t="str">
        <f>+IFERROR(VLOOKUP(L1292,Data!$F$4:$G$97,2,0),"")</f>
        <v/>
      </c>
    </row>
    <row r="1293" spans="9:32" ht="15" customHeight="1" x14ac:dyDescent="0.3">
      <c r="I1293" s="201" t="str">
        <f t="shared" si="176"/>
        <v/>
      </c>
      <c r="J1293" s="218">
        <f t="shared" si="177"/>
        <v>1290</v>
      </c>
      <c r="K1293" s="250"/>
      <c r="L1293" s="219"/>
      <c r="M1293" s="218"/>
      <c r="N1293" s="220" t="str">
        <f>IFERROR(VLOOKUP(M1293,Data!$C$4:$D$395,2,0),"")</f>
        <v/>
      </c>
      <c r="O1293" s="220"/>
      <c r="P1293" s="229"/>
      <c r="Q1293" s="221"/>
      <c r="R1293" s="222" t="str">
        <f t="shared" si="178"/>
        <v>-</v>
      </c>
      <c r="S1293" s="223"/>
      <c r="T1293" s="224"/>
      <c r="U1293" s="225">
        <f t="shared" si="179"/>
        <v>0</v>
      </c>
      <c r="V1293" s="226">
        <v>0</v>
      </c>
      <c r="W1293" s="227"/>
      <c r="X1293" s="228">
        <f t="shared" si="180"/>
        <v>0</v>
      </c>
      <c r="Y1293" s="229"/>
      <c r="Z1293" s="229"/>
      <c r="AA1293" s="229"/>
      <c r="AB1293" s="222">
        <f t="shared" si="181"/>
        <v>0</v>
      </c>
      <c r="AC1293" s="230">
        <f t="shared" si="182"/>
        <v>0</v>
      </c>
      <c r="AD1293" s="222" t="str">
        <f t="shared" si="183"/>
        <v/>
      </c>
      <c r="AE1293" s="201"/>
      <c r="AF1293" s="231" t="str">
        <f>+IFERROR(VLOOKUP(L1293,Data!$F$4:$G$97,2,0),"")</f>
        <v/>
      </c>
    </row>
    <row r="1294" spans="9:32" ht="15" customHeight="1" x14ac:dyDescent="0.3">
      <c r="I1294" s="201" t="str">
        <f t="shared" si="176"/>
        <v/>
      </c>
      <c r="J1294" s="218">
        <f t="shared" si="177"/>
        <v>1291</v>
      </c>
      <c r="K1294" s="250"/>
      <c r="L1294" s="219"/>
      <c r="M1294" s="218"/>
      <c r="N1294" s="220" t="str">
        <f>IFERROR(VLOOKUP(M1294,Data!$C$4:$D$395,2,0),"")</f>
        <v/>
      </c>
      <c r="O1294" s="220"/>
      <c r="P1294" s="229"/>
      <c r="Q1294" s="221"/>
      <c r="R1294" s="222" t="str">
        <f t="shared" si="178"/>
        <v>-</v>
      </c>
      <c r="S1294" s="223"/>
      <c r="T1294" s="224"/>
      <c r="U1294" s="225">
        <f t="shared" si="179"/>
        <v>0</v>
      </c>
      <c r="V1294" s="226">
        <v>0</v>
      </c>
      <c r="W1294" s="227"/>
      <c r="X1294" s="228">
        <f t="shared" si="180"/>
        <v>0</v>
      </c>
      <c r="Y1294" s="229"/>
      <c r="Z1294" s="229"/>
      <c r="AA1294" s="229"/>
      <c r="AB1294" s="222">
        <f t="shared" si="181"/>
        <v>0</v>
      </c>
      <c r="AC1294" s="230">
        <f t="shared" si="182"/>
        <v>0</v>
      </c>
      <c r="AD1294" s="222" t="str">
        <f t="shared" si="183"/>
        <v/>
      </c>
      <c r="AE1294" s="201"/>
      <c r="AF1294" s="231" t="str">
        <f>+IFERROR(VLOOKUP(L1294,Data!$F$4:$G$97,2,0),"")</f>
        <v/>
      </c>
    </row>
    <row r="1295" spans="9:32" ht="15" customHeight="1" x14ac:dyDescent="0.3">
      <c r="I1295" s="201" t="str">
        <f t="shared" si="176"/>
        <v/>
      </c>
      <c r="J1295" s="218">
        <f t="shared" si="177"/>
        <v>1292</v>
      </c>
      <c r="K1295" s="250"/>
      <c r="L1295" s="219"/>
      <c r="M1295" s="218"/>
      <c r="N1295" s="220" t="str">
        <f>IFERROR(VLOOKUP(M1295,Data!$C$4:$D$395,2,0),"")</f>
        <v/>
      </c>
      <c r="O1295" s="220"/>
      <c r="P1295" s="229"/>
      <c r="Q1295" s="221"/>
      <c r="R1295" s="222" t="str">
        <f t="shared" si="178"/>
        <v>-</v>
      </c>
      <c r="S1295" s="223"/>
      <c r="T1295" s="224"/>
      <c r="U1295" s="225">
        <f t="shared" si="179"/>
        <v>0</v>
      </c>
      <c r="V1295" s="226">
        <v>0</v>
      </c>
      <c r="W1295" s="227"/>
      <c r="X1295" s="228">
        <f t="shared" si="180"/>
        <v>0</v>
      </c>
      <c r="Y1295" s="229"/>
      <c r="Z1295" s="229"/>
      <c r="AA1295" s="229"/>
      <c r="AB1295" s="222">
        <f t="shared" si="181"/>
        <v>0</v>
      </c>
      <c r="AC1295" s="230">
        <f t="shared" si="182"/>
        <v>0</v>
      </c>
      <c r="AD1295" s="222" t="str">
        <f t="shared" si="183"/>
        <v/>
      </c>
      <c r="AE1295" s="201"/>
      <c r="AF1295" s="231" t="str">
        <f>+IFERROR(VLOOKUP(L1295,Data!$F$4:$G$97,2,0),"")</f>
        <v/>
      </c>
    </row>
    <row r="1296" spans="9:32" ht="15" customHeight="1" x14ac:dyDescent="0.3">
      <c r="I1296" s="201" t="str">
        <f t="shared" si="176"/>
        <v/>
      </c>
      <c r="J1296" s="218">
        <f t="shared" si="177"/>
        <v>1293</v>
      </c>
      <c r="K1296" s="250"/>
      <c r="L1296" s="219"/>
      <c r="M1296" s="218"/>
      <c r="N1296" s="220" t="str">
        <f>IFERROR(VLOOKUP(M1296,Data!$C$4:$D$395,2,0),"")</f>
        <v/>
      </c>
      <c r="O1296" s="220"/>
      <c r="P1296" s="229"/>
      <c r="Q1296" s="221"/>
      <c r="R1296" s="222" t="str">
        <f t="shared" si="178"/>
        <v>-</v>
      </c>
      <c r="S1296" s="223"/>
      <c r="T1296" s="224"/>
      <c r="U1296" s="225">
        <f t="shared" si="179"/>
        <v>0</v>
      </c>
      <c r="V1296" s="226">
        <v>0</v>
      </c>
      <c r="W1296" s="227"/>
      <c r="X1296" s="228">
        <f t="shared" si="180"/>
        <v>0</v>
      </c>
      <c r="Y1296" s="229"/>
      <c r="Z1296" s="229"/>
      <c r="AA1296" s="229"/>
      <c r="AB1296" s="222">
        <f t="shared" si="181"/>
        <v>0</v>
      </c>
      <c r="AC1296" s="230">
        <f t="shared" si="182"/>
        <v>0</v>
      </c>
      <c r="AD1296" s="222" t="str">
        <f t="shared" si="183"/>
        <v/>
      </c>
      <c r="AE1296" s="201"/>
      <c r="AF1296" s="231" t="str">
        <f>+IFERROR(VLOOKUP(L1296,Data!$F$4:$G$97,2,0),"")</f>
        <v/>
      </c>
    </row>
    <row r="1297" spans="9:32" ht="15" customHeight="1" x14ac:dyDescent="0.3">
      <c r="I1297" s="201" t="str">
        <f t="shared" si="176"/>
        <v/>
      </c>
      <c r="J1297" s="218">
        <f t="shared" si="177"/>
        <v>1294</v>
      </c>
      <c r="K1297" s="250"/>
      <c r="L1297" s="219"/>
      <c r="M1297" s="218"/>
      <c r="N1297" s="220" t="str">
        <f>IFERROR(VLOOKUP(M1297,Data!$C$4:$D$395,2,0),"")</f>
        <v/>
      </c>
      <c r="O1297" s="220"/>
      <c r="P1297" s="229"/>
      <c r="Q1297" s="221"/>
      <c r="R1297" s="222" t="str">
        <f t="shared" si="178"/>
        <v>-</v>
      </c>
      <c r="S1297" s="223"/>
      <c r="T1297" s="224"/>
      <c r="U1297" s="225">
        <f t="shared" si="179"/>
        <v>0</v>
      </c>
      <c r="V1297" s="226">
        <v>0</v>
      </c>
      <c r="W1297" s="227"/>
      <c r="X1297" s="228">
        <f t="shared" si="180"/>
        <v>0</v>
      </c>
      <c r="Y1297" s="229"/>
      <c r="Z1297" s="229"/>
      <c r="AA1297" s="229"/>
      <c r="AB1297" s="222">
        <f t="shared" si="181"/>
        <v>0</v>
      </c>
      <c r="AC1297" s="230">
        <f t="shared" si="182"/>
        <v>0</v>
      </c>
      <c r="AD1297" s="222" t="str">
        <f t="shared" si="183"/>
        <v/>
      </c>
      <c r="AE1297" s="201"/>
      <c r="AF1297" s="231" t="str">
        <f>+IFERROR(VLOOKUP(L1297,Data!$F$4:$G$97,2,0),"")</f>
        <v/>
      </c>
    </row>
    <row r="1298" spans="9:32" ht="15" customHeight="1" x14ac:dyDescent="0.3">
      <c r="I1298" s="201" t="str">
        <f t="shared" si="176"/>
        <v/>
      </c>
      <c r="J1298" s="218">
        <f t="shared" si="177"/>
        <v>1295</v>
      </c>
      <c r="K1298" s="250"/>
      <c r="L1298" s="219"/>
      <c r="M1298" s="218"/>
      <c r="N1298" s="220" t="str">
        <f>IFERROR(VLOOKUP(M1298,Data!$C$4:$D$395,2,0),"")</f>
        <v/>
      </c>
      <c r="O1298" s="220"/>
      <c r="P1298" s="229"/>
      <c r="Q1298" s="221"/>
      <c r="R1298" s="222" t="str">
        <f t="shared" si="178"/>
        <v>-</v>
      </c>
      <c r="S1298" s="223"/>
      <c r="T1298" s="224"/>
      <c r="U1298" s="225">
        <f t="shared" si="179"/>
        <v>0</v>
      </c>
      <c r="V1298" s="226">
        <v>0</v>
      </c>
      <c r="W1298" s="227"/>
      <c r="X1298" s="228">
        <f t="shared" si="180"/>
        <v>0</v>
      </c>
      <c r="Y1298" s="229"/>
      <c r="Z1298" s="229"/>
      <c r="AA1298" s="229"/>
      <c r="AB1298" s="222">
        <f t="shared" si="181"/>
        <v>0</v>
      </c>
      <c r="AC1298" s="230">
        <f t="shared" si="182"/>
        <v>0</v>
      </c>
      <c r="AD1298" s="222" t="str">
        <f t="shared" si="183"/>
        <v/>
      </c>
      <c r="AE1298" s="201"/>
      <c r="AF1298" s="231" t="str">
        <f>+IFERROR(VLOOKUP(L1298,Data!$F$4:$G$97,2,0),"")</f>
        <v/>
      </c>
    </row>
    <row r="1299" spans="9:32" ht="15" customHeight="1" x14ac:dyDescent="0.3">
      <c r="I1299" s="201" t="str">
        <f t="shared" si="176"/>
        <v/>
      </c>
      <c r="J1299" s="218">
        <f t="shared" si="177"/>
        <v>1296</v>
      </c>
      <c r="K1299" s="250"/>
      <c r="L1299" s="219"/>
      <c r="M1299" s="218"/>
      <c r="N1299" s="220" t="str">
        <f>IFERROR(VLOOKUP(M1299,Data!$C$4:$D$395,2,0),"")</f>
        <v/>
      </c>
      <c r="O1299" s="220"/>
      <c r="P1299" s="229"/>
      <c r="Q1299" s="221"/>
      <c r="R1299" s="222" t="str">
        <f t="shared" si="178"/>
        <v>-</v>
      </c>
      <c r="S1299" s="223"/>
      <c r="T1299" s="224"/>
      <c r="U1299" s="225">
        <f t="shared" si="179"/>
        <v>0</v>
      </c>
      <c r="V1299" s="226">
        <v>0</v>
      </c>
      <c r="W1299" s="227"/>
      <c r="X1299" s="228">
        <f t="shared" si="180"/>
        <v>0</v>
      </c>
      <c r="Y1299" s="229"/>
      <c r="Z1299" s="229"/>
      <c r="AA1299" s="229"/>
      <c r="AB1299" s="222">
        <f t="shared" si="181"/>
        <v>0</v>
      </c>
      <c r="AC1299" s="230">
        <f t="shared" si="182"/>
        <v>0</v>
      </c>
      <c r="AD1299" s="222" t="str">
        <f t="shared" si="183"/>
        <v/>
      </c>
      <c r="AE1299" s="201"/>
      <c r="AF1299" s="231" t="str">
        <f>+IFERROR(VLOOKUP(L1299,Data!$F$4:$G$97,2,0),"")</f>
        <v/>
      </c>
    </row>
    <row r="1300" spans="9:32" ht="15" customHeight="1" x14ac:dyDescent="0.3">
      <c r="I1300" s="201" t="str">
        <f t="shared" si="176"/>
        <v/>
      </c>
      <c r="J1300" s="218">
        <f t="shared" si="177"/>
        <v>1297</v>
      </c>
      <c r="K1300" s="250"/>
      <c r="L1300" s="219"/>
      <c r="M1300" s="218"/>
      <c r="N1300" s="220" t="str">
        <f>IFERROR(VLOOKUP(M1300,Data!$C$4:$D$395,2,0),"")</f>
        <v/>
      </c>
      <c r="O1300" s="220"/>
      <c r="P1300" s="229"/>
      <c r="Q1300" s="221"/>
      <c r="R1300" s="222" t="str">
        <f t="shared" si="178"/>
        <v>-</v>
      </c>
      <c r="S1300" s="223"/>
      <c r="T1300" s="224"/>
      <c r="U1300" s="225">
        <f t="shared" si="179"/>
        <v>0</v>
      </c>
      <c r="V1300" s="226">
        <v>0</v>
      </c>
      <c r="W1300" s="227"/>
      <c r="X1300" s="228">
        <f t="shared" si="180"/>
        <v>0</v>
      </c>
      <c r="Y1300" s="229"/>
      <c r="Z1300" s="229"/>
      <c r="AA1300" s="229"/>
      <c r="AB1300" s="222">
        <f t="shared" si="181"/>
        <v>0</v>
      </c>
      <c r="AC1300" s="230">
        <f t="shared" si="182"/>
        <v>0</v>
      </c>
      <c r="AD1300" s="222" t="str">
        <f t="shared" si="183"/>
        <v/>
      </c>
      <c r="AE1300" s="201"/>
      <c r="AF1300" s="231" t="str">
        <f>+IFERROR(VLOOKUP(L1300,Data!$F$4:$G$97,2,0),"")</f>
        <v/>
      </c>
    </row>
    <row r="1301" spans="9:32" ht="15" customHeight="1" x14ac:dyDescent="0.3">
      <c r="I1301" s="201" t="str">
        <f t="shared" si="176"/>
        <v/>
      </c>
      <c r="J1301" s="218">
        <f t="shared" si="177"/>
        <v>1298</v>
      </c>
      <c r="K1301" s="250"/>
      <c r="L1301" s="219"/>
      <c r="M1301" s="218"/>
      <c r="N1301" s="220" t="str">
        <f>IFERROR(VLOOKUP(M1301,Data!$C$4:$D$395,2,0),"")</f>
        <v/>
      </c>
      <c r="O1301" s="220"/>
      <c r="P1301" s="229"/>
      <c r="Q1301" s="221"/>
      <c r="R1301" s="222" t="str">
        <f t="shared" si="178"/>
        <v>-</v>
      </c>
      <c r="S1301" s="223"/>
      <c r="T1301" s="224"/>
      <c r="U1301" s="225">
        <f t="shared" si="179"/>
        <v>0</v>
      </c>
      <c r="V1301" s="226">
        <v>0</v>
      </c>
      <c r="W1301" s="227"/>
      <c r="X1301" s="228">
        <f t="shared" si="180"/>
        <v>0</v>
      </c>
      <c r="Y1301" s="229"/>
      <c r="Z1301" s="229"/>
      <c r="AA1301" s="229"/>
      <c r="AB1301" s="222">
        <f t="shared" si="181"/>
        <v>0</v>
      </c>
      <c r="AC1301" s="230">
        <f t="shared" si="182"/>
        <v>0</v>
      </c>
      <c r="AD1301" s="222" t="str">
        <f t="shared" si="183"/>
        <v/>
      </c>
      <c r="AE1301" s="201"/>
      <c r="AF1301" s="231" t="str">
        <f>+IFERROR(VLOOKUP(L1301,Data!$F$4:$G$97,2,0),"")</f>
        <v/>
      </c>
    </row>
    <row r="1302" spans="9:32" ht="15" customHeight="1" x14ac:dyDescent="0.3">
      <c r="I1302" s="201" t="str">
        <f t="shared" si="176"/>
        <v/>
      </c>
      <c r="J1302" s="218">
        <f t="shared" si="177"/>
        <v>1299</v>
      </c>
      <c r="K1302" s="250"/>
      <c r="L1302" s="219"/>
      <c r="M1302" s="218"/>
      <c r="N1302" s="220" t="str">
        <f>IFERROR(VLOOKUP(M1302,Data!$C$4:$D$395,2,0),"")</f>
        <v/>
      </c>
      <c r="O1302" s="220"/>
      <c r="P1302" s="229"/>
      <c r="Q1302" s="221"/>
      <c r="R1302" s="222" t="str">
        <f t="shared" si="178"/>
        <v>-</v>
      </c>
      <c r="S1302" s="223"/>
      <c r="T1302" s="224"/>
      <c r="U1302" s="225">
        <f t="shared" si="179"/>
        <v>0</v>
      </c>
      <c r="V1302" s="226">
        <v>0</v>
      </c>
      <c r="W1302" s="227"/>
      <c r="X1302" s="228">
        <f t="shared" si="180"/>
        <v>0</v>
      </c>
      <c r="Y1302" s="229"/>
      <c r="Z1302" s="229"/>
      <c r="AA1302" s="229"/>
      <c r="AB1302" s="222">
        <f t="shared" si="181"/>
        <v>0</v>
      </c>
      <c r="AC1302" s="230">
        <f t="shared" si="182"/>
        <v>0</v>
      </c>
      <c r="AD1302" s="222" t="str">
        <f t="shared" si="183"/>
        <v/>
      </c>
      <c r="AE1302" s="201"/>
      <c r="AF1302" s="231" t="str">
        <f>+IFERROR(VLOOKUP(L1302,Data!$F$4:$G$97,2,0),"")</f>
        <v/>
      </c>
    </row>
    <row r="1303" spans="9:32" ht="15" customHeight="1" x14ac:dyDescent="0.3">
      <c r="I1303" s="201" t="str">
        <f t="shared" si="176"/>
        <v/>
      </c>
      <c r="J1303" s="218">
        <f t="shared" si="177"/>
        <v>1300</v>
      </c>
      <c r="K1303" s="250"/>
      <c r="L1303" s="219"/>
      <c r="M1303" s="218"/>
      <c r="N1303" s="220" t="str">
        <f>IFERROR(VLOOKUP(M1303,Data!$C$4:$D$395,2,0),"")</f>
        <v/>
      </c>
      <c r="O1303" s="220"/>
      <c r="P1303" s="229"/>
      <c r="Q1303" s="221"/>
      <c r="R1303" s="222" t="str">
        <f t="shared" si="178"/>
        <v>-</v>
      </c>
      <c r="S1303" s="223"/>
      <c r="T1303" s="224"/>
      <c r="U1303" s="225">
        <f t="shared" si="179"/>
        <v>0</v>
      </c>
      <c r="V1303" s="226">
        <v>0</v>
      </c>
      <c r="W1303" s="227"/>
      <c r="X1303" s="228">
        <f t="shared" si="180"/>
        <v>0</v>
      </c>
      <c r="Y1303" s="229"/>
      <c r="Z1303" s="229"/>
      <c r="AA1303" s="229"/>
      <c r="AB1303" s="222">
        <f t="shared" si="181"/>
        <v>0</v>
      </c>
      <c r="AC1303" s="230">
        <f t="shared" si="182"/>
        <v>0</v>
      </c>
      <c r="AD1303" s="222" t="str">
        <f t="shared" si="183"/>
        <v/>
      </c>
      <c r="AE1303" s="201"/>
      <c r="AF1303" s="231" t="str">
        <f>+IFERROR(VLOOKUP(L1303,Data!$F$4:$G$97,2,0),"")</f>
        <v/>
      </c>
    </row>
    <row r="1304" spans="9:32" ht="15" customHeight="1" x14ac:dyDescent="0.3">
      <c r="I1304" s="201" t="str">
        <f t="shared" si="176"/>
        <v/>
      </c>
      <c r="J1304" s="218">
        <f t="shared" si="177"/>
        <v>1301</v>
      </c>
      <c r="K1304" s="250"/>
      <c r="L1304" s="219"/>
      <c r="M1304" s="218"/>
      <c r="N1304" s="220" t="str">
        <f>IFERROR(VLOOKUP(M1304,Data!$C$4:$D$395,2,0),"")</f>
        <v/>
      </c>
      <c r="O1304" s="220"/>
      <c r="P1304" s="229"/>
      <c r="Q1304" s="221"/>
      <c r="R1304" s="222" t="str">
        <f t="shared" si="178"/>
        <v>-</v>
      </c>
      <c r="S1304" s="223"/>
      <c r="T1304" s="224"/>
      <c r="U1304" s="225">
        <f t="shared" si="179"/>
        <v>0</v>
      </c>
      <c r="V1304" s="226">
        <v>0</v>
      </c>
      <c r="W1304" s="227"/>
      <c r="X1304" s="228">
        <f t="shared" si="180"/>
        <v>0</v>
      </c>
      <c r="Y1304" s="229"/>
      <c r="Z1304" s="229"/>
      <c r="AA1304" s="229"/>
      <c r="AB1304" s="222">
        <f t="shared" si="181"/>
        <v>0</v>
      </c>
      <c r="AC1304" s="230">
        <f t="shared" si="182"/>
        <v>0</v>
      </c>
      <c r="AD1304" s="222" t="str">
        <f t="shared" si="183"/>
        <v/>
      </c>
      <c r="AE1304" s="201"/>
      <c r="AF1304" s="231" t="str">
        <f>+IFERROR(VLOOKUP(L1304,Data!$F$4:$G$97,2,0),"")</f>
        <v/>
      </c>
    </row>
    <row r="1305" spans="9:32" ht="15" customHeight="1" x14ac:dyDescent="0.3">
      <c r="I1305" s="201" t="str">
        <f t="shared" si="176"/>
        <v/>
      </c>
      <c r="J1305" s="218">
        <f t="shared" si="177"/>
        <v>1302</v>
      </c>
      <c r="K1305" s="250"/>
      <c r="L1305" s="219"/>
      <c r="M1305" s="218"/>
      <c r="N1305" s="220" t="str">
        <f>IFERROR(VLOOKUP(M1305,Data!$C$4:$D$395,2,0),"")</f>
        <v/>
      </c>
      <c r="O1305" s="220"/>
      <c r="P1305" s="229"/>
      <c r="Q1305" s="221"/>
      <c r="R1305" s="222" t="str">
        <f t="shared" si="178"/>
        <v>-</v>
      </c>
      <c r="S1305" s="223"/>
      <c r="T1305" s="224"/>
      <c r="U1305" s="225">
        <f t="shared" si="179"/>
        <v>0</v>
      </c>
      <c r="V1305" s="226">
        <v>0</v>
      </c>
      <c r="W1305" s="227"/>
      <c r="X1305" s="228">
        <f t="shared" si="180"/>
        <v>0</v>
      </c>
      <c r="Y1305" s="229"/>
      <c r="Z1305" s="229"/>
      <c r="AA1305" s="229"/>
      <c r="AB1305" s="222">
        <f t="shared" si="181"/>
        <v>0</v>
      </c>
      <c r="AC1305" s="230">
        <f t="shared" si="182"/>
        <v>0</v>
      </c>
      <c r="AD1305" s="222" t="str">
        <f t="shared" si="183"/>
        <v/>
      </c>
      <c r="AE1305" s="201"/>
      <c r="AF1305" s="231" t="str">
        <f>+IFERROR(VLOOKUP(L1305,Data!$F$4:$G$97,2,0),"")</f>
        <v/>
      </c>
    </row>
    <row r="1306" spans="9:32" ht="15" customHeight="1" x14ac:dyDescent="0.3">
      <c r="I1306" s="201" t="str">
        <f t="shared" si="176"/>
        <v/>
      </c>
      <c r="J1306" s="218">
        <f t="shared" si="177"/>
        <v>1303</v>
      </c>
      <c r="K1306" s="250"/>
      <c r="L1306" s="219"/>
      <c r="M1306" s="218"/>
      <c r="N1306" s="220" t="str">
        <f>IFERROR(VLOOKUP(M1306,Data!$C$4:$D$395,2,0),"")</f>
        <v/>
      </c>
      <c r="O1306" s="220"/>
      <c r="P1306" s="229"/>
      <c r="Q1306" s="221"/>
      <c r="R1306" s="222" t="str">
        <f t="shared" si="178"/>
        <v>-</v>
      </c>
      <c r="S1306" s="223"/>
      <c r="T1306" s="224"/>
      <c r="U1306" s="225">
        <f t="shared" si="179"/>
        <v>0</v>
      </c>
      <c r="V1306" s="226">
        <v>0</v>
      </c>
      <c r="W1306" s="227"/>
      <c r="X1306" s="228">
        <f t="shared" si="180"/>
        <v>0</v>
      </c>
      <c r="Y1306" s="229"/>
      <c r="Z1306" s="229"/>
      <c r="AA1306" s="229"/>
      <c r="AB1306" s="222">
        <f t="shared" si="181"/>
        <v>0</v>
      </c>
      <c r="AC1306" s="230">
        <f t="shared" si="182"/>
        <v>0</v>
      </c>
      <c r="AD1306" s="222" t="str">
        <f t="shared" si="183"/>
        <v/>
      </c>
      <c r="AE1306" s="201"/>
      <c r="AF1306" s="231" t="str">
        <f>+IFERROR(VLOOKUP(L1306,Data!$F$4:$G$97,2,0),"")</f>
        <v/>
      </c>
    </row>
    <row r="1307" spans="9:32" ht="15" customHeight="1" x14ac:dyDescent="0.3">
      <c r="I1307" s="201" t="str">
        <f t="shared" si="176"/>
        <v/>
      </c>
      <c r="J1307" s="218">
        <f t="shared" si="177"/>
        <v>1304</v>
      </c>
      <c r="K1307" s="250"/>
      <c r="L1307" s="219"/>
      <c r="M1307" s="218"/>
      <c r="N1307" s="220" t="str">
        <f>IFERROR(VLOOKUP(M1307,Data!$C$4:$D$395,2,0),"")</f>
        <v/>
      </c>
      <c r="O1307" s="220"/>
      <c r="P1307" s="229"/>
      <c r="Q1307" s="221"/>
      <c r="R1307" s="222" t="str">
        <f t="shared" si="178"/>
        <v>-</v>
      </c>
      <c r="S1307" s="223"/>
      <c r="T1307" s="224"/>
      <c r="U1307" s="225">
        <f t="shared" si="179"/>
        <v>0</v>
      </c>
      <c r="V1307" s="226">
        <v>0</v>
      </c>
      <c r="W1307" s="227"/>
      <c r="X1307" s="228">
        <f t="shared" si="180"/>
        <v>0</v>
      </c>
      <c r="Y1307" s="229"/>
      <c r="Z1307" s="229"/>
      <c r="AA1307" s="229"/>
      <c r="AB1307" s="222">
        <f t="shared" si="181"/>
        <v>0</v>
      </c>
      <c r="AC1307" s="230">
        <f t="shared" si="182"/>
        <v>0</v>
      </c>
      <c r="AD1307" s="222" t="str">
        <f t="shared" si="183"/>
        <v/>
      </c>
      <c r="AE1307" s="201"/>
      <c r="AF1307" s="231" t="str">
        <f>+IFERROR(VLOOKUP(L1307,Data!$F$4:$G$97,2,0),"")</f>
        <v/>
      </c>
    </row>
    <row r="1308" spans="9:32" ht="15" customHeight="1" x14ac:dyDescent="0.3">
      <c r="I1308" s="201" t="str">
        <f t="shared" si="176"/>
        <v/>
      </c>
      <c r="J1308" s="218">
        <f t="shared" si="177"/>
        <v>1305</v>
      </c>
      <c r="K1308" s="250"/>
      <c r="L1308" s="219"/>
      <c r="M1308" s="218"/>
      <c r="N1308" s="220" t="str">
        <f>IFERROR(VLOOKUP(M1308,Data!$C$4:$D$395,2,0),"")</f>
        <v/>
      </c>
      <c r="O1308" s="220"/>
      <c r="P1308" s="229"/>
      <c r="Q1308" s="221"/>
      <c r="R1308" s="222" t="str">
        <f t="shared" si="178"/>
        <v>-</v>
      </c>
      <c r="S1308" s="223"/>
      <c r="T1308" s="224"/>
      <c r="U1308" s="225">
        <f t="shared" si="179"/>
        <v>0</v>
      </c>
      <c r="V1308" s="226">
        <v>0</v>
      </c>
      <c r="W1308" s="227"/>
      <c r="X1308" s="228">
        <f t="shared" si="180"/>
        <v>0</v>
      </c>
      <c r="Y1308" s="229"/>
      <c r="Z1308" s="229"/>
      <c r="AA1308" s="229"/>
      <c r="AB1308" s="222">
        <f t="shared" si="181"/>
        <v>0</v>
      </c>
      <c r="AC1308" s="230">
        <f t="shared" si="182"/>
        <v>0</v>
      </c>
      <c r="AD1308" s="222" t="str">
        <f t="shared" si="183"/>
        <v/>
      </c>
      <c r="AE1308" s="201"/>
      <c r="AF1308" s="231" t="str">
        <f>+IFERROR(VLOOKUP(L1308,Data!$F$4:$G$97,2,0),"")</f>
        <v/>
      </c>
    </row>
    <row r="1309" spans="9:32" ht="15" customHeight="1" x14ac:dyDescent="0.3">
      <c r="I1309" s="201" t="str">
        <f t="shared" si="176"/>
        <v/>
      </c>
      <c r="J1309" s="218">
        <f t="shared" si="177"/>
        <v>1306</v>
      </c>
      <c r="K1309" s="250"/>
      <c r="L1309" s="219"/>
      <c r="M1309" s="218"/>
      <c r="N1309" s="220" t="str">
        <f>IFERROR(VLOOKUP(M1309,Data!$C$4:$D$395,2,0),"")</f>
        <v/>
      </c>
      <c r="O1309" s="220"/>
      <c r="P1309" s="229"/>
      <c r="Q1309" s="221"/>
      <c r="R1309" s="222" t="str">
        <f t="shared" si="178"/>
        <v>-</v>
      </c>
      <c r="S1309" s="223"/>
      <c r="T1309" s="224"/>
      <c r="U1309" s="225">
        <f t="shared" si="179"/>
        <v>0</v>
      </c>
      <c r="V1309" s="226">
        <v>0</v>
      </c>
      <c r="W1309" s="227"/>
      <c r="X1309" s="228">
        <f t="shared" si="180"/>
        <v>0</v>
      </c>
      <c r="Y1309" s="229"/>
      <c r="Z1309" s="229"/>
      <c r="AA1309" s="229"/>
      <c r="AB1309" s="222">
        <f t="shared" si="181"/>
        <v>0</v>
      </c>
      <c r="AC1309" s="230">
        <f t="shared" si="182"/>
        <v>0</v>
      </c>
      <c r="AD1309" s="222" t="str">
        <f t="shared" si="183"/>
        <v/>
      </c>
      <c r="AE1309" s="201"/>
      <c r="AF1309" s="231" t="str">
        <f>+IFERROR(VLOOKUP(L1309,Data!$F$4:$G$97,2,0),"")</f>
        <v/>
      </c>
    </row>
    <row r="1310" spans="9:32" ht="15" customHeight="1" x14ac:dyDescent="0.3">
      <c r="I1310" s="201" t="str">
        <f t="shared" si="176"/>
        <v/>
      </c>
      <c r="J1310" s="218">
        <f t="shared" si="177"/>
        <v>1307</v>
      </c>
      <c r="K1310" s="250"/>
      <c r="L1310" s="219"/>
      <c r="M1310" s="218"/>
      <c r="N1310" s="220" t="str">
        <f>IFERROR(VLOOKUP(M1310,Data!$C$4:$D$395,2,0),"")</f>
        <v/>
      </c>
      <c r="O1310" s="220"/>
      <c r="P1310" s="229"/>
      <c r="Q1310" s="221"/>
      <c r="R1310" s="222" t="str">
        <f t="shared" si="178"/>
        <v>-</v>
      </c>
      <c r="S1310" s="223"/>
      <c r="T1310" s="224"/>
      <c r="U1310" s="225">
        <f t="shared" si="179"/>
        <v>0</v>
      </c>
      <c r="V1310" s="226">
        <v>0</v>
      </c>
      <c r="W1310" s="227"/>
      <c r="X1310" s="228">
        <f t="shared" si="180"/>
        <v>0</v>
      </c>
      <c r="Y1310" s="229"/>
      <c r="Z1310" s="229"/>
      <c r="AA1310" s="229"/>
      <c r="AB1310" s="222">
        <f t="shared" si="181"/>
        <v>0</v>
      </c>
      <c r="AC1310" s="230">
        <f t="shared" si="182"/>
        <v>0</v>
      </c>
      <c r="AD1310" s="222" t="str">
        <f t="shared" si="183"/>
        <v/>
      </c>
      <c r="AE1310" s="201"/>
      <c r="AF1310" s="231" t="str">
        <f>+IFERROR(VLOOKUP(L1310,Data!$F$4:$G$97,2,0),"")</f>
        <v/>
      </c>
    </row>
    <row r="1311" spans="9:32" ht="15" customHeight="1" x14ac:dyDescent="0.3">
      <c r="I1311" s="201" t="str">
        <f t="shared" si="176"/>
        <v/>
      </c>
      <c r="J1311" s="218">
        <f t="shared" si="177"/>
        <v>1308</v>
      </c>
      <c r="K1311" s="250"/>
      <c r="L1311" s="219"/>
      <c r="M1311" s="218"/>
      <c r="N1311" s="220" t="str">
        <f>IFERROR(VLOOKUP(M1311,Data!$C$4:$D$395,2,0),"")</f>
        <v/>
      </c>
      <c r="O1311" s="220"/>
      <c r="P1311" s="229"/>
      <c r="Q1311" s="221"/>
      <c r="R1311" s="222" t="str">
        <f t="shared" si="178"/>
        <v>-</v>
      </c>
      <c r="S1311" s="223"/>
      <c r="T1311" s="224"/>
      <c r="U1311" s="225">
        <f t="shared" si="179"/>
        <v>0</v>
      </c>
      <c r="V1311" s="226">
        <v>0</v>
      </c>
      <c r="W1311" s="227"/>
      <c r="X1311" s="228">
        <f t="shared" si="180"/>
        <v>0</v>
      </c>
      <c r="Y1311" s="229"/>
      <c r="Z1311" s="229"/>
      <c r="AA1311" s="229"/>
      <c r="AB1311" s="222">
        <f t="shared" si="181"/>
        <v>0</v>
      </c>
      <c r="AC1311" s="230">
        <f t="shared" si="182"/>
        <v>0</v>
      </c>
      <c r="AD1311" s="222" t="str">
        <f t="shared" si="183"/>
        <v/>
      </c>
      <c r="AE1311" s="201"/>
      <c r="AF1311" s="231" t="str">
        <f>+IFERROR(VLOOKUP(L1311,Data!$F$4:$G$97,2,0),"")</f>
        <v/>
      </c>
    </row>
    <row r="1312" spans="9:32" ht="15" customHeight="1" x14ac:dyDescent="0.3">
      <c r="I1312" s="201" t="str">
        <f t="shared" si="176"/>
        <v/>
      </c>
      <c r="J1312" s="218">
        <f t="shared" si="177"/>
        <v>1309</v>
      </c>
      <c r="K1312" s="250"/>
      <c r="L1312" s="219"/>
      <c r="M1312" s="218"/>
      <c r="N1312" s="220" t="str">
        <f>IFERROR(VLOOKUP(M1312,Data!$C$4:$D$395,2,0),"")</f>
        <v/>
      </c>
      <c r="O1312" s="220"/>
      <c r="P1312" s="229"/>
      <c r="Q1312" s="221"/>
      <c r="R1312" s="222" t="str">
        <f t="shared" si="178"/>
        <v>-</v>
      </c>
      <c r="S1312" s="223"/>
      <c r="T1312" s="224"/>
      <c r="U1312" s="225">
        <f t="shared" si="179"/>
        <v>0</v>
      </c>
      <c r="V1312" s="226">
        <v>0</v>
      </c>
      <c r="W1312" s="227"/>
      <c r="X1312" s="228">
        <f t="shared" si="180"/>
        <v>0</v>
      </c>
      <c r="Y1312" s="229"/>
      <c r="Z1312" s="229"/>
      <c r="AA1312" s="229"/>
      <c r="AB1312" s="222">
        <f t="shared" si="181"/>
        <v>0</v>
      </c>
      <c r="AC1312" s="230">
        <f t="shared" si="182"/>
        <v>0</v>
      </c>
      <c r="AD1312" s="222" t="str">
        <f t="shared" si="183"/>
        <v/>
      </c>
      <c r="AE1312" s="201"/>
      <c r="AF1312" s="231" t="str">
        <f>+IFERROR(VLOOKUP(L1312,Data!$F$4:$G$97,2,0),"")</f>
        <v/>
      </c>
    </row>
    <row r="1313" spans="9:32" ht="15" customHeight="1" x14ac:dyDescent="0.3">
      <c r="I1313" s="201" t="str">
        <f t="shared" si="176"/>
        <v/>
      </c>
      <c r="J1313" s="218">
        <f t="shared" si="177"/>
        <v>1310</v>
      </c>
      <c r="K1313" s="250"/>
      <c r="L1313" s="219"/>
      <c r="M1313" s="218"/>
      <c r="N1313" s="220" t="str">
        <f>IFERROR(VLOOKUP(M1313,Data!$C$4:$D$395,2,0),"")</f>
        <v/>
      </c>
      <c r="O1313" s="220"/>
      <c r="P1313" s="229"/>
      <c r="Q1313" s="221"/>
      <c r="R1313" s="222" t="str">
        <f t="shared" si="178"/>
        <v>-</v>
      </c>
      <c r="S1313" s="223"/>
      <c r="T1313" s="224"/>
      <c r="U1313" s="225">
        <f t="shared" si="179"/>
        <v>0</v>
      </c>
      <c r="V1313" s="226">
        <v>0</v>
      </c>
      <c r="W1313" s="227"/>
      <c r="X1313" s="228">
        <f t="shared" si="180"/>
        <v>0</v>
      </c>
      <c r="Y1313" s="229"/>
      <c r="Z1313" s="229"/>
      <c r="AA1313" s="229"/>
      <c r="AB1313" s="222">
        <f t="shared" si="181"/>
        <v>0</v>
      </c>
      <c r="AC1313" s="230">
        <f t="shared" si="182"/>
        <v>0</v>
      </c>
      <c r="AD1313" s="222" t="str">
        <f t="shared" si="183"/>
        <v/>
      </c>
      <c r="AE1313" s="201"/>
      <c r="AF1313" s="231" t="str">
        <f>+IFERROR(VLOOKUP(L1313,Data!$F$4:$G$97,2,0),"")</f>
        <v/>
      </c>
    </row>
    <row r="1314" spans="9:32" ht="15" customHeight="1" x14ac:dyDescent="0.3">
      <c r="I1314" s="201" t="str">
        <f t="shared" si="176"/>
        <v/>
      </c>
      <c r="J1314" s="218">
        <f t="shared" si="177"/>
        <v>1311</v>
      </c>
      <c r="K1314" s="250"/>
      <c r="L1314" s="219"/>
      <c r="M1314" s="218"/>
      <c r="N1314" s="220" t="str">
        <f>IFERROR(VLOOKUP(M1314,Data!$C$4:$D$395,2,0),"")</f>
        <v/>
      </c>
      <c r="O1314" s="220"/>
      <c r="P1314" s="229"/>
      <c r="Q1314" s="221"/>
      <c r="R1314" s="222" t="str">
        <f t="shared" si="178"/>
        <v>-</v>
      </c>
      <c r="S1314" s="223"/>
      <c r="T1314" s="224"/>
      <c r="U1314" s="225">
        <f t="shared" si="179"/>
        <v>0</v>
      </c>
      <c r="V1314" s="226">
        <v>0</v>
      </c>
      <c r="W1314" s="227"/>
      <c r="X1314" s="228">
        <f t="shared" si="180"/>
        <v>0</v>
      </c>
      <c r="Y1314" s="229"/>
      <c r="Z1314" s="229"/>
      <c r="AA1314" s="229"/>
      <c r="AB1314" s="222">
        <f t="shared" si="181"/>
        <v>0</v>
      </c>
      <c r="AC1314" s="230">
        <f t="shared" si="182"/>
        <v>0</v>
      </c>
      <c r="AD1314" s="222" t="str">
        <f t="shared" si="183"/>
        <v/>
      </c>
      <c r="AE1314" s="201"/>
      <c r="AF1314" s="231" t="str">
        <f>+IFERROR(VLOOKUP(L1314,Data!$F$4:$G$97,2,0),"")</f>
        <v/>
      </c>
    </row>
    <row r="1315" spans="9:32" ht="15" customHeight="1" x14ac:dyDescent="0.3">
      <c r="I1315" s="201" t="str">
        <f t="shared" si="176"/>
        <v/>
      </c>
      <c r="J1315" s="218">
        <f t="shared" si="177"/>
        <v>1312</v>
      </c>
      <c r="K1315" s="250"/>
      <c r="L1315" s="219"/>
      <c r="M1315" s="218"/>
      <c r="N1315" s="220" t="str">
        <f>IFERROR(VLOOKUP(M1315,Data!$C$4:$D$395,2,0),"")</f>
        <v/>
      </c>
      <c r="O1315" s="220"/>
      <c r="P1315" s="229"/>
      <c r="Q1315" s="221"/>
      <c r="R1315" s="222" t="str">
        <f t="shared" si="178"/>
        <v>-</v>
      </c>
      <c r="S1315" s="223"/>
      <c r="T1315" s="224"/>
      <c r="U1315" s="225">
        <f t="shared" si="179"/>
        <v>0</v>
      </c>
      <c r="V1315" s="226">
        <v>0</v>
      </c>
      <c r="W1315" s="227"/>
      <c r="X1315" s="228">
        <f t="shared" si="180"/>
        <v>0</v>
      </c>
      <c r="Y1315" s="229"/>
      <c r="Z1315" s="229"/>
      <c r="AA1315" s="229"/>
      <c r="AB1315" s="222">
        <f t="shared" si="181"/>
        <v>0</v>
      </c>
      <c r="AC1315" s="230">
        <f t="shared" si="182"/>
        <v>0</v>
      </c>
      <c r="AD1315" s="222" t="str">
        <f t="shared" si="183"/>
        <v/>
      </c>
      <c r="AE1315" s="201"/>
      <c r="AF1315" s="231" t="str">
        <f>+IFERROR(VLOOKUP(L1315,Data!$F$4:$G$97,2,0),"")</f>
        <v/>
      </c>
    </row>
    <row r="1316" spans="9:32" ht="15" customHeight="1" x14ac:dyDescent="0.3">
      <c r="I1316" s="201" t="str">
        <f t="shared" si="176"/>
        <v/>
      </c>
      <c r="J1316" s="218">
        <f t="shared" si="177"/>
        <v>1313</v>
      </c>
      <c r="K1316" s="250"/>
      <c r="L1316" s="219"/>
      <c r="M1316" s="218"/>
      <c r="N1316" s="220" t="str">
        <f>IFERROR(VLOOKUP(M1316,Data!$C$4:$D$395,2,0),"")</f>
        <v/>
      </c>
      <c r="O1316" s="220"/>
      <c r="P1316" s="229"/>
      <c r="Q1316" s="221"/>
      <c r="R1316" s="222" t="str">
        <f t="shared" si="178"/>
        <v>-</v>
      </c>
      <c r="S1316" s="223"/>
      <c r="T1316" s="224"/>
      <c r="U1316" s="225">
        <f t="shared" si="179"/>
        <v>0</v>
      </c>
      <c r="V1316" s="226">
        <v>0</v>
      </c>
      <c r="W1316" s="227"/>
      <c r="X1316" s="228">
        <f t="shared" si="180"/>
        <v>0</v>
      </c>
      <c r="Y1316" s="229"/>
      <c r="Z1316" s="229"/>
      <c r="AA1316" s="229"/>
      <c r="AB1316" s="222">
        <f t="shared" si="181"/>
        <v>0</v>
      </c>
      <c r="AC1316" s="230">
        <f t="shared" si="182"/>
        <v>0</v>
      </c>
      <c r="AD1316" s="222" t="str">
        <f t="shared" si="183"/>
        <v/>
      </c>
      <c r="AE1316" s="201"/>
      <c r="AF1316" s="231" t="str">
        <f>+IFERROR(VLOOKUP(L1316,Data!$F$4:$G$97,2,0),"")</f>
        <v/>
      </c>
    </row>
    <row r="1317" spans="9:32" ht="15" customHeight="1" x14ac:dyDescent="0.3">
      <c r="I1317" s="201" t="str">
        <f t="shared" si="176"/>
        <v/>
      </c>
      <c r="J1317" s="218">
        <f t="shared" si="177"/>
        <v>1314</v>
      </c>
      <c r="K1317" s="250"/>
      <c r="L1317" s="219"/>
      <c r="M1317" s="218"/>
      <c r="N1317" s="220" t="str">
        <f>IFERROR(VLOOKUP(M1317,Data!$C$4:$D$395,2,0),"")</f>
        <v/>
      </c>
      <c r="O1317" s="220"/>
      <c r="P1317" s="229"/>
      <c r="Q1317" s="221"/>
      <c r="R1317" s="222" t="str">
        <f t="shared" si="178"/>
        <v>-</v>
      </c>
      <c r="S1317" s="223"/>
      <c r="T1317" s="224"/>
      <c r="U1317" s="225">
        <f t="shared" si="179"/>
        <v>0</v>
      </c>
      <c r="V1317" s="226">
        <v>0</v>
      </c>
      <c r="W1317" s="227"/>
      <c r="X1317" s="228">
        <f t="shared" si="180"/>
        <v>0</v>
      </c>
      <c r="Y1317" s="229"/>
      <c r="Z1317" s="229"/>
      <c r="AA1317" s="229"/>
      <c r="AB1317" s="222">
        <f t="shared" si="181"/>
        <v>0</v>
      </c>
      <c r="AC1317" s="230">
        <f t="shared" si="182"/>
        <v>0</v>
      </c>
      <c r="AD1317" s="222" t="str">
        <f t="shared" si="183"/>
        <v/>
      </c>
      <c r="AE1317" s="201"/>
      <c r="AF1317" s="231" t="str">
        <f>+IFERROR(VLOOKUP(L1317,Data!$F$4:$G$97,2,0),"")</f>
        <v/>
      </c>
    </row>
    <row r="1318" spans="9:32" ht="15" customHeight="1" x14ac:dyDescent="0.3">
      <c r="I1318" s="201" t="str">
        <f t="shared" si="176"/>
        <v/>
      </c>
      <c r="J1318" s="218">
        <f t="shared" si="177"/>
        <v>1315</v>
      </c>
      <c r="K1318" s="250"/>
      <c r="L1318" s="219"/>
      <c r="M1318" s="218"/>
      <c r="N1318" s="220" t="str">
        <f>IFERROR(VLOOKUP(M1318,Data!$C$4:$D$395,2,0),"")</f>
        <v/>
      </c>
      <c r="O1318" s="220"/>
      <c r="P1318" s="229"/>
      <c r="Q1318" s="221"/>
      <c r="R1318" s="222" t="str">
        <f t="shared" si="178"/>
        <v>-</v>
      </c>
      <c r="S1318" s="223"/>
      <c r="T1318" s="224"/>
      <c r="U1318" s="225">
        <f t="shared" si="179"/>
        <v>0</v>
      </c>
      <c r="V1318" s="226">
        <v>0</v>
      </c>
      <c r="W1318" s="227"/>
      <c r="X1318" s="228">
        <f t="shared" si="180"/>
        <v>0</v>
      </c>
      <c r="Y1318" s="229"/>
      <c r="Z1318" s="229"/>
      <c r="AA1318" s="229"/>
      <c r="AB1318" s="222">
        <f t="shared" si="181"/>
        <v>0</v>
      </c>
      <c r="AC1318" s="230">
        <f t="shared" si="182"/>
        <v>0</v>
      </c>
      <c r="AD1318" s="222" t="str">
        <f t="shared" si="183"/>
        <v/>
      </c>
      <c r="AE1318" s="201"/>
      <c r="AF1318" s="231" t="str">
        <f>+IFERROR(VLOOKUP(L1318,Data!$F$4:$G$97,2,0),"")</f>
        <v/>
      </c>
    </row>
    <row r="1319" spans="9:32" ht="15" customHeight="1" x14ac:dyDescent="0.3">
      <c r="I1319" s="201" t="str">
        <f t="shared" si="176"/>
        <v/>
      </c>
      <c r="J1319" s="218">
        <f t="shared" si="177"/>
        <v>1316</v>
      </c>
      <c r="K1319" s="250"/>
      <c r="L1319" s="219"/>
      <c r="M1319" s="218"/>
      <c r="N1319" s="220" t="str">
        <f>IFERROR(VLOOKUP(M1319,Data!$C$4:$D$395,2,0),"")</f>
        <v/>
      </c>
      <c r="O1319" s="220"/>
      <c r="P1319" s="229"/>
      <c r="Q1319" s="221"/>
      <c r="R1319" s="222" t="str">
        <f t="shared" si="178"/>
        <v>-</v>
      </c>
      <c r="S1319" s="223"/>
      <c r="T1319" s="224"/>
      <c r="U1319" s="225">
        <f t="shared" si="179"/>
        <v>0</v>
      </c>
      <c r="V1319" s="226">
        <v>0</v>
      </c>
      <c r="W1319" s="227"/>
      <c r="X1319" s="228">
        <f t="shared" si="180"/>
        <v>0</v>
      </c>
      <c r="Y1319" s="229"/>
      <c r="Z1319" s="229"/>
      <c r="AA1319" s="229"/>
      <c r="AB1319" s="222">
        <f t="shared" si="181"/>
        <v>0</v>
      </c>
      <c r="AC1319" s="230">
        <f t="shared" si="182"/>
        <v>0</v>
      </c>
      <c r="AD1319" s="222" t="str">
        <f t="shared" si="183"/>
        <v/>
      </c>
      <c r="AE1319" s="201"/>
      <c r="AF1319" s="231" t="str">
        <f>+IFERROR(VLOOKUP(L1319,Data!$F$4:$G$97,2,0),"")</f>
        <v/>
      </c>
    </row>
    <row r="1320" spans="9:32" ht="15" customHeight="1" x14ac:dyDescent="0.3">
      <c r="I1320" s="201" t="str">
        <f t="shared" si="176"/>
        <v/>
      </c>
      <c r="J1320" s="218">
        <f t="shared" si="177"/>
        <v>1317</v>
      </c>
      <c r="K1320" s="250"/>
      <c r="L1320" s="219"/>
      <c r="M1320" s="218"/>
      <c r="N1320" s="220" t="str">
        <f>IFERROR(VLOOKUP(M1320,Data!$C$4:$D$395,2,0),"")</f>
        <v/>
      </c>
      <c r="O1320" s="220"/>
      <c r="P1320" s="229"/>
      <c r="Q1320" s="221"/>
      <c r="R1320" s="222" t="str">
        <f t="shared" si="178"/>
        <v>-</v>
      </c>
      <c r="S1320" s="223"/>
      <c r="T1320" s="224"/>
      <c r="U1320" s="225">
        <f t="shared" si="179"/>
        <v>0</v>
      </c>
      <c r="V1320" s="226">
        <v>0</v>
      </c>
      <c r="W1320" s="227"/>
      <c r="X1320" s="228">
        <f t="shared" si="180"/>
        <v>0</v>
      </c>
      <c r="Y1320" s="229"/>
      <c r="Z1320" s="229"/>
      <c r="AA1320" s="229"/>
      <c r="AB1320" s="222">
        <f t="shared" si="181"/>
        <v>0</v>
      </c>
      <c r="AC1320" s="230">
        <f t="shared" si="182"/>
        <v>0</v>
      </c>
      <c r="AD1320" s="222" t="str">
        <f t="shared" si="183"/>
        <v/>
      </c>
      <c r="AE1320" s="201"/>
      <c r="AF1320" s="231" t="str">
        <f>+IFERROR(VLOOKUP(L1320,Data!$F$4:$G$97,2,0),"")</f>
        <v/>
      </c>
    </row>
    <row r="1321" spans="9:32" ht="15" customHeight="1" x14ac:dyDescent="0.3">
      <c r="I1321" s="201" t="str">
        <f t="shared" si="176"/>
        <v/>
      </c>
      <c r="J1321" s="218">
        <f t="shared" si="177"/>
        <v>1318</v>
      </c>
      <c r="K1321" s="250"/>
      <c r="L1321" s="219"/>
      <c r="M1321" s="218"/>
      <c r="N1321" s="220" t="str">
        <f>IFERROR(VLOOKUP(M1321,Data!$C$4:$D$395,2,0),"")</f>
        <v/>
      </c>
      <c r="O1321" s="220"/>
      <c r="P1321" s="229"/>
      <c r="Q1321" s="221"/>
      <c r="R1321" s="222" t="str">
        <f t="shared" si="178"/>
        <v>-</v>
      </c>
      <c r="S1321" s="223"/>
      <c r="T1321" s="224"/>
      <c r="U1321" s="225">
        <f t="shared" si="179"/>
        <v>0</v>
      </c>
      <c r="V1321" s="226">
        <v>0</v>
      </c>
      <c r="W1321" s="227"/>
      <c r="X1321" s="228">
        <f t="shared" si="180"/>
        <v>0</v>
      </c>
      <c r="Y1321" s="229"/>
      <c r="Z1321" s="229"/>
      <c r="AA1321" s="229"/>
      <c r="AB1321" s="222">
        <f t="shared" si="181"/>
        <v>0</v>
      </c>
      <c r="AC1321" s="230">
        <f t="shared" si="182"/>
        <v>0</v>
      </c>
      <c r="AD1321" s="222" t="str">
        <f t="shared" si="183"/>
        <v/>
      </c>
      <c r="AE1321" s="201"/>
      <c r="AF1321" s="231" t="str">
        <f>+IFERROR(VLOOKUP(L1321,Data!$F$4:$G$97,2,0),"")</f>
        <v/>
      </c>
    </row>
    <row r="1322" spans="9:32" ht="15" customHeight="1" x14ac:dyDescent="0.3">
      <c r="I1322" s="201" t="str">
        <f t="shared" si="176"/>
        <v/>
      </c>
      <c r="J1322" s="218">
        <f t="shared" si="177"/>
        <v>1319</v>
      </c>
      <c r="K1322" s="250"/>
      <c r="L1322" s="219"/>
      <c r="M1322" s="218"/>
      <c r="N1322" s="220" t="str">
        <f>IFERROR(VLOOKUP(M1322,Data!$C$4:$D$395,2,0),"")</f>
        <v/>
      </c>
      <c r="O1322" s="220"/>
      <c r="P1322" s="229"/>
      <c r="Q1322" s="221"/>
      <c r="R1322" s="222" t="str">
        <f t="shared" si="178"/>
        <v>-</v>
      </c>
      <c r="S1322" s="223"/>
      <c r="T1322" s="224"/>
      <c r="U1322" s="225">
        <f t="shared" si="179"/>
        <v>0</v>
      </c>
      <c r="V1322" s="226">
        <v>0</v>
      </c>
      <c r="W1322" s="227"/>
      <c r="X1322" s="228">
        <f t="shared" si="180"/>
        <v>0</v>
      </c>
      <c r="Y1322" s="229"/>
      <c r="Z1322" s="229"/>
      <c r="AA1322" s="229"/>
      <c r="AB1322" s="222">
        <f t="shared" si="181"/>
        <v>0</v>
      </c>
      <c r="AC1322" s="230">
        <f t="shared" si="182"/>
        <v>0</v>
      </c>
      <c r="AD1322" s="222" t="str">
        <f t="shared" si="183"/>
        <v/>
      </c>
      <c r="AE1322" s="201"/>
      <c r="AF1322" s="231" t="str">
        <f>+IFERROR(VLOOKUP(L1322,Data!$F$4:$G$97,2,0),"")</f>
        <v/>
      </c>
    </row>
    <row r="1323" spans="9:32" ht="15" customHeight="1" x14ac:dyDescent="0.3">
      <c r="I1323" s="201" t="str">
        <f t="shared" si="176"/>
        <v/>
      </c>
      <c r="J1323" s="218">
        <f t="shared" si="177"/>
        <v>1320</v>
      </c>
      <c r="K1323" s="250"/>
      <c r="L1323" s="219"/>
      <c r="M1323" s="218"/>
      <c r="N1323" s="220" t="str">
        <f>IFERROR(VLOOKUP(M1323,Data!$C$4:$D$395,2,0),"")</f>
        <v/>
      </c>
      <c r="O1323" s="220"/>
      <c r="P1323" s="229"/>
      <c r="Q1323" s="221"/>
      <c r="R1323" s="222" t="str">
        <f t="shared" si="178"/>
        <v>-</v>
      </c>
      <c r="S1323" s="223"/>
      <c r="T1323" s="224"/>
      <c r="U1323" s="225">
        <f t="shared" si="179"/>
        <v>0</v>
      </c>
      <c r="V1323" s="226">
        <v>0</v>
      </c>
      <c r="W1323" s="227"/>
      <c r="X1323" s="228">
        <f t="shared" si="180"/>
        <v>0</v>
      </c>
      <c r="Y1323" s="229"/>
      <c r="Z1323" s="229"/>
      <c r="AA1323" s="229"/>
      <c r="AB1323" s="222">
        <f t="shared" si="181"/>
        <v>0</v>
      </c>
      <c r="AC1323" s="230">
        <f t="shared" si="182"/>
        <v>0</v>
      </c>
      <c r="AD1323" s="222" t="str">
        <f t="shared" si="183"/>
        <v/>
      </c>
      <c r="AE1323" s="201"/>
      <c r="AF1323" s="231" t="str">
        <f>+IFERROR(VLOOKUP(L1323,Data!$F$4:$G$97,2,0),"")</f>
        <v/>
      </c>
    </row>
    <row r="1324" spans="9:32" ht="15" customHeight="1" x14ac:dyDescent="0.3">
      <c r="I1324" s="201" t="str">
        <f t="shared" si="176"/>
        <v/>
      </c>
      <c r="J1324" s="218">
        <f t="shared" si="177"/>
        <v>1321</v>
      </c>
      <c r="K1324" s="250"/>
      <c r="L1324" s="219"/>
      <c r="M1324" s="218"/>
      <c r="N1324" s="220" t="str">
        <f>IFERROR(VLOOKUP(M1324,Data!$C$4:$D$395,2,0),"")</f>
        <v/>
      </c>
      <c r="O1324" s="220"/>
      <c r="P1324" s="229"/>
      <c r="Q1324" s="221"/>
      <c r="R1324" s="222" t="str">
        <f t="shared" si="178"/>
        <v>-</v>
      </c>
      <c r="S1324" s="223"/>
      <c r="T1324" s="224"/>
      <c r="U1324" s="225">
        <f t="shared" si="179"/>
        <v>0</v>
      </c>
      <c r="V1324" s="226">
        <v>0</v>
      </c>
      <c r="W1324" s="227"/>
      <c r="X1324" s="228">
        <f t="shared" si="180"/>
        <v>0</v>
      </c>
      <c r="Y1324" s="229"/>
      <c r="Z1324" s="229"/>
      <c r="AA1324" s="229"/>
      <c r="AB1324" s="222">
        <f t="shared" si="181"/>
        <v>0</v>
      </c>
      <c r="AC1324" s="230">
        <f t="shared" si="182"/>
        <v>0</v>
      </c>
      <c r="AD1324" s="222" t="str">
        <f t="shared" si="183"/>
        <v/>
      </c>
      <c r="AE1324" s="201"/>
      <c r="AF1324" s="231" t="str">
        <f>+IFERROR(VLOOKUP(L1324,Data!$F$4:$G$97,2,0),"")</f>
        <v/>
      </c>
    </row>
    <row r="1325" spans="9:32" ht="15" customHeight="1" x14ac:dyDescent="0.3">
      <c r="I1325" s="201" t="str">
        <f t="shared" si="176"/>
        <v/>
      </c>
      <c r="J1325" s="218">
        <f t="shared" si="177"/>
        <v>1322</v>
      </c>
      <c r="K1325" s="250"/>
      <c r="L1325" s="219"/>
      <c r="M1325" s="218"/>
      <c r="N1325" s="220" t="str">
        <f>IFERROR(VLOOKUP(M1325,Data!$C$4:$D$395,2,0),"")</f>
        <v/>
      </c>
      <c r="O1325" s="220"/>
      <c r="P1325" s="229"/>
      <c r="Q1325" s="221"/>
      <c r="R1325" s="222" t="str">
        <f t="shared" si="178"/>
        <v>-</v>
      </c>
      <c r="S1325" s="223"/>
      <c r="T1325" s="224"/>
      <c r="U1325" s="225">
        <f t="shared" si="179"/>
        <v>0</v>
      </c>
      <c r="V1325" s="226">
        <v>0</v>
      </c>
      <c r="W1325" s="227"/>
      <c r="X1325" s="228">
        <f t="shared" si="180"/>
        <v>0</v>
      </c>
      <c r="Y1325" s="229"/>
      <c r="Z1325" s="229"/>
      <c r="AA1325" s="229"/>
      <c r="AB1325" s="222">
        <f t="shared" si="181"/>
        <v>0</v>
      </c>
      <c r="AC1325" s="230">
        <f t="shared" si="182"/>
        <v>0</v>
      </c>
      <c r="AD1325" s="222" t="str">
        <f t="shared" si="183"/>
        <v/>
      </c>
      <c r="AE1325" s="201"/>
      <c r="AF1325" s="231" t="str">
        <f>+IFERROR(VLOOKUP(L1325,Data!$F$4:$G$97,2,0),"")</f>
        <v/>
      </c>
    </row>
    <row r="1326" spans="9:32" ht="15" customHeight="1" x14ac:dyDescent="0.3">
      <c r="I1326" s="201" t="str">
        <f t="shared" si="176"/>
        <v/>
      </c>
      <c r="J1326" s="218">
        <f t="shared" si="177"/>
        <v>1323</v>
      </c>
      <c r="K1326" s="250"/>
      <c r="L1326" s="219"/>
      <c r="M1326" s="218"/>
      <c r="N1326" s="220" t="str">
        <f>IFERROR(VLOOKUP(M1326,Data!$C$4:$D$395,2,0),"")</f>
        <v/>
      </c>
      <c r="O1326" s="220"/>
      <c r="P1326" s="229"/>
      <c r="Q1326" s="221"/>
      <c r="R1326" s="222" t="str">
        <f t="shared" si="178"/>
        <v>-</v>
      </c>
      <c r="S1326" s="223"/>
      <c r="T1326" s="224"/>
      <c r="U1326" s="225">
        <f t="shared" si="179"/>
        <v>0</v>
      </c>
      <c r="V1326" s="226">
        <v>0</v>
      </c>
      <c r="W1326" s="227"/>
      <c r="X1326" s="228">
        <f t="shared" si="180"/>
        <v>0</v>
      </c>
      <c r="Y1326" s="229"/>
      <c r="Z1326" s="229"/>
      <c r="AA1326" s="229"/>
      <c r="AB1326" s="222">
        <f t="shared" si="181"/>
        <v>0</v>
      </c>
      <c r="AC1326" s="230">
        <f t="shared" si="182"/>
        <v>0</v>
      </c>
      <c r="AD1326" s="222" t="str">
        <f t="shared" si="183"/>
        <v/>
      </c>
      <c r="AE1326" s="201"/>
      <c r="AF1326" s="231" t="str">
        <f>+IFERROR(VLOOKUP(L1326,Data!$F$4:$G$97,2,0),"")</f>
        <v/>
      </c>
    </row>
    <row r="1327" spans="9:32" ht="15" customHeight="1" x14ac:dyDescent="0.3">
      <c r="I1327" s="201" t="str">
        <f t="shared" si="176"/>
        <v/>
      </c>
      <c r="J1327" s="218">
        <f t="shared" si="177"/>
        <v>1324</v>
      </c>
      <c r="K1327" s="250"/>
      <c r="L1327" s="219"/>
      <c r="M1327" s="218"/>
      <c r="N1327" s="220" t="str">
        <f>IFERROR(VLOOKUP(M1327,Data!$C$4:$D$395,2,0),"")</f>
        <v/>
      </c>
      <c r="O1327" s="220"/>
      <c r="P1327" s="229"/>
      <c r="Q1327" s="221"/>
      <c r="R1327" s="222" t="str">
        <f t="shared" si="178"/>
        <v>-</v>
      </c>
      <c r="S1327" s="223"/>
      <c r="T1327" s="224"/>
      <c r="U1327" s="225">
        <f t="shared" si="179"/>
        <v>0</v>
      </c>
      <c r="V1327" s="226">
        <v>0</v>
      </c>
      <c r="W1327" s="227"/>
      <c r="X1327" s="228">
        <f t="shared" si="180"/>
        <v>0</v>
      </c>
      <c r="Y1327" s="229"/>
      <c r="Z1327" s="229"/>
      <c r="AA1327" s="229"/>
      <c r="AB1327" s="222">
        <f t="shared" si="181"/>
        <v>0</v>
      </c>
      <c r="AC1327" s="230">
        <f t="shared" si="182"/>
        <v>0</v>
      </c>
      <c r="AD1327" s="222" t="str">
        <f t="shared" si="183"/>
        <v/>
      </c>
      <c r="AE1327" s="201"/>
      <c r="AF1327" s="231" t="str">
        <f>+IFERROR(VLOOKUP(L1327,Data!$F$4:$G$97,2,0),"")</f>
        <v/>
      </c>
    </row>
    <row r="1328" spans="9:32" ht="15" customHeight="1" x14ac:dyDescent="0.3">
      <c r="I1328" s="201" t="str">
        <f t="shared" si="176"/>
        <v/>
      </c>
      <c r="J1328" s="218">
        <f t="shared" si="177"/>
        <v>1325</v>
      </c>
      <c r="K1328" s="250"/>
      <c r="L1328" s="219"/>
      <c r="M1328" s="218"/>
      <c r="N1328" s="220" t="str">
        <f>IFERROR(VLOOKUP(M1328,Data!$C$4:$D$395,2,0),"")</f>
        <v/>
      </c>
      <c r="O1328" s="220"/>
      <c r="P1328" s="229"/>
      <c r="Q1328" s="221"/>
      <c r="R1328" s="222" t="str">
        <f t="shared" si="178"/>
        <v>-</v>
      </c>
      <c r="S1328" s="223"/>
      <c r="T1328" s="224"/>
      <c r="U1328" s="225">
        <f t="shared" si="179"/>
        <v>0</v>
      </c>
      <c r="V1328" s="226">
        <v>0</v>
      </c>
      <c r="W1328" s="227"/>
      <c r="X1328" s="228">
        <f t="shared" si="180"/>
        <v>0</v>
      </c>
      <c r="Y1328" s="229"/>
      <c r="Z1328" s="229"/>
      <c r="AA1328" s="229"/>
      <c r="AB1328" s="222">
        <f t="shared" si="181"/>
        <v>0</v>
      </c>
      <c r="AC1328" s="230">
        <f t="shared" si="182"/>
        <v>0</v>
      </c>
      <c r="AD1328" s="222" t="str">
        <f t="shared" si="183"/>
        <v/>
      </c>
      <c r="AE1328" s="201"/>
      <c r="AF1328" s="231" t="str">
        <f>+IFERROR(VLOOKUP(L1328,Data!$F$4:$G$97,2,0),"")</f>
        <v/>
      </c>
    </row>
    <row r="1329" spans="9:32" ht="15" customHeight="1" x14ac:dyDescent="0.3">
      <c r="I1329" s="201" t="str">
        <f t="shared" si="176"/>
        <v/>
      </c>
      <c r="J1329" s="218">
        <f t="shared" si="177"/>
        <v>1326</v>
      </c>
      <c r="K1329" s="250"/>
      <c r="L1329" s="219"/>
      <c r="M1329" s="218"/>
      <c r="N1329" s="220" t="str">
        <f>IFERROR(VLOOKUP(M1329,Data!$C$4:$D$395,2,0),"")</f>
        <v/>
      </c>
      <c r="O1329" s="220"/>
      <c r="P1329" s="229"/>
      <c r="Q1329" s="221"/>
      <c r="R1329" s="222" t="str">
        <f t="shared" si="178"/>
        <v>-</v>
      </c>
      <c r="S1329" s="223"/>
      <c r="T1329" s="224"/>
      <c r="U1329" s="225">
        <f t="shared" si="179"/>
        <v>0</v>
      </c>
      <c r="V1329" s="226">
        <v>0</v>
      </c>
      <c r="W1329" s="227"/>
      <c r="X1329" s="228">
        <f t="shared" si="180"/>
        <v>0</v>
      </c>
      <c r="Y1329" s="229"/>
      <c r="Z1329" s="229"/>
      <c r="AA1329" s="229"/>
      <c r="AB1329" s="222">
        <f t="shared" si="181"/>
        <v>0</v>
      </c>
      <c r="AC1329" s="230">
        <f t="shared" si="182"/>
        <v>0</v>
      </c>
      <c r="AD1329" s="222" t="str">
        <f t="shared" si="183"/>
        <v/>
      </c>
      <c r="AE1329" s="201"/>
      <c r="AF1329" s="231" t="str">
        <f>+IFERROR(VLOOKUP(L1329,Data!$F$4:$G$97,2,0),"")</f>
        <v/>
      </c>
    </row>
    <row r="1330" spans="9:32" ht="15" customHeight="1" x14ac:dyDescent="0.3">
      <c r="I1330" s="201" t="str">
        <f t="shared" si="176"/>
        <v/>
      </c>
      <c r="J1330" s="218">
        <f t="shared" si="177"/>
        <v>1327</v>
      </c>
      <c r="K1330" s="250"/>
      <c r="L1330" s="219"/>
      <c r="M1330" s="218"/>
      <c r="N1330" s="220" t="str">
        <f>IFERROR(VLOOKUP(M1330,Data!$C$4:$D$395,2,0),"")</f>
        <v/>
      </c>
      <c r="O1330" s="220"/>
      <c r="P1330" s="229"/>
      <c r="Q1330" s="221"/>
      <c r="R1330" s="222" t="str">
        <f t="shared" si="178"/>
        <v>-</v>
      </c>
      <c r="S1330" s="223"/>
      <c r="T1330" s="224"/>
      <c r="U1330" s="225">
        <f t="shared" si="179"/>
        <v>0</v>
      </c>
      <c r="V1330" s="226">
        <v>0</v>
      </c>
      <c r="W1330" s="227"/>
      <c r="X1330" s="228">
        <f t="shared" si="180"/>
        <v>0</v>
      </c>
      <c r="Y1330" s="229"/>
      <c r="Z1330" s="229"/>
      <c r="AA1330" s="229"/>
      <c r="AB1330" s="222">
        <f t="shared" si="181"/>
        <v>0</v>
      </c>
      <c r="AC1330" s="230">
        <f t="shared" si="182"/>
        <v>0</v>
      </c>
      <c r="AD1330" s="222" t="str">
        <f t="shared" si="183"/>
        <v/>
      </c>
      <c r="AE1330" s="201"/>
      <c r="AF1330" s="231" t="str">
        <f>+IFERROR(VLOOKUP(L1330,Data!$F$4:$G$97,2,0),"")</f>
        <v/>
      </c>
    </row>
    <row r="1331" spans="9:32" ht="15" customHeight="1" x14ac:dyDescent="0.3">
      <c r="I1331" s="201" t="str">
        <f t="shared" si="176"/>
        <v/>
      </c>
      <c r="J1331" s="218">
        <f t="shared" si="177"/>
        <v>1328</v>
      </c>
      <c r="K1331" s="250"/>
      <c r="L1331" s="219"/>
      <c r="M1331" s="218"/>
      <c r="N1331" s="220" t="str">
        <f>IFERROR(VLOOKUP(M1331,Data!$C$4:$D$395,2,0),"")</f>
        <v/>
      </c>
      <c r="O1331" s="220"/>
      <c r="P1331" s="229"/>
      <c r="Q1331" s="221"/>
      <c r="R1331" s="222" t="str">
        <f t="shared" si="178"/>
        <v>-</v>
      </c>
      <c r="S1331" s="223"/>
      <c r="T1331" s="224"/>
      <c r="U1331" s="225">
        <f t="shared" si="179"/>
        <v>0</v>
      </c>
      <c r="V1331" s="226">
        <v>0</v>
      </c>
      <c r="W1331" s="227"/>
      <c r="X1331" s="228">
        <f t="shared" si="180"/>
        <v>0</v>
      </c>
      <c r="Y1331" s="229"/>
      <c r="Z1331" s="229"/>
      <c r="AA1331" s="229"/>
      <c r="AB1331" s="222">
        <f t="shared" si="181"/>
        <v>0</v>
      </c>
      <c r="AC1331" s="230">
        <f t="shared" si="182"/>
        <v>0</v>
      </c>
      <c r="AD1331" s="222" t="str">
        <f t="shared" si="183"/>
        <v/>
      </c>
      <c r="AE1331" s="201"/>
      <c r="AF1331" s="231" t="str">
        <f>+IFERROR(VLOOKUP(L1331,Data!$F$4:$G$97,2,0),"")</f>
        <v/>
      </c>
    </row>
    <row r="1332" spans="9:32" ht="15" customHeight="1" x14ac:dyDescent="0.3">
      <c r="I1332" s="201" t="str">
        <f t="shared" si="176"/>
        <v/>
      </c>
      <c r="J1332" s="218">
        <f t="shared" si="177"/>
        <v>1329</v>
      </c>
      <c r="K1332" s="250"/>
      <c r="L1332" s="219"/>
      <c r="M1332" s="218"/>
      <c r="N1332" s="220" t="str">
        <f>IFERROR(VLOOKUP(M1332,Data!$C$4:$D$395,2,0),"")</f>
        <v/>
      </c>
      <c r="O1332" s="220"/>
      <c r="P1332" s="229"/>
      <c r="Q1332" s="221"/>
      <c r="R1332" s="222" t="str">
        <f t="shared" si="178"/>
        <v>-</v>
      </c>
      <c r="S1332" s="223"/>
      <c r="T1332" s="224"/>
      <c r="U1332" s="225">
        <f t="shared" si="179"/>
        <v>0</v>
      </c>
      <c r="V1332" s="226">
        <v>0</v>
      </c>
      <c r="W1332" s="227"/>
      <c r="X1332" s="228">
        <f t="shared" si="180"/>
        <v>0</v>
      </c>
      <c r="Y1332" s="229"/>
      <c r="Z1332" s="229"/>
      <c r="AA1332" s="229"/>
      <c r="AB1332" s="222">
        <f t="shared" si="181"/>
        <v>0</v>
      </c>
      <c r="AC1332" s="230">
        <f t="shared" si="182"/>
        <v>0</v>
      </c>
      <c r="AD1332" s="222" t="str">
        <f t="shared" si="183"/>
        <v/>
      </c>
      <c r="AE1332" s="201"/>
      <c r="AF1332" s="231" t="str">
        <f>+IFERROR(VLOOKUP(L1332,Data!$F$4:$G$97,2,0),"")</f>
        <v/>
      </c>
    </row>
    <row r="1333" spans="9:32" ht="15" customHeight="1" x14ac:dyDescent="0.3">
      <c r="I1333" s="201" t="str">
        <f t="shared" si="176"/>
        <v/>
      </c>
      <c r="J1333" s="218">
        <f t="shared" si="177"/>
        <v>1330</v>
      </c>
      <c r="K1333" s="250"/>
      <c r="L1333" s="219"/>
      <c r="M1333" s="218"/>
      <c r="N1333" s="220" t="str">
        <f>IFERROR(VLOOKUP(M1333,Data!$C$4:$D$395,2,0),"")</f>
        <v/>
      </c>
      <c r="O1333" s="220"/>
      <c r="P1333" s="229"/>
      <c r="Q1333" s="221"/>
      <c r="R1333" s="222" t="str">
        <f t="shared" si="178"/>
        <v>-</v>
      </c>
      <c r="S1333" s="223"/>
      <c r="T1333" s="224"/>
      <c r="U1333" s="225">
        <f t="shared" si="179"/>
        <v>0</v>
      </c>
      <c r="V1333" s="226">
        <v>0</v>
      </c>
      <c r="W1333" s="227"/>
      <c r="X1333" s="228">
        <f t="shared" si="180"/>
        <v>0</v>
      </c>
      <c r="Y1333" s="229"/>
      <c r="Z1333" s="229"/>
      <c r="AA1333" s="229"/>
      <c r="AB1333" s="222">
        <f t="shared" si="181"/>
        <v>0</v>
      </c>
      <c r="AC1333" s="230">
        <f t="shared" si="182"/>
        <v>0</v>
      </c>
      <c r="AD1333" s="222" t="str">
        <f t="shared" si="183"/>
        <v/>
      </c>
      <c r="AE1333" s="201"/>
      <c r="AF1333" s="231" t="str">
        <f>+IFERROR(VLOOKUP(L1333,Data!$F$4:$G$97,2,0),"")</f>
        <v/>
      </c>
    </row>
    <row r="1334" spans="9:32" ht="15" customHeight="1" x14ac:dyDescent="0.3">
      <c r="I1334" s="201" t="str">
        <f t="shared" si="176"/>
        <v/>
      </c>
      <c r="J1334" s="218">
        <f t="shared" si="177"/>
        <v>1331</v>
      </c>
      <c r="K1334" s="250"/>
      <c r="L1334" s="219"/>
      <c r="M1334" s="218"/>
      <c r="N1334" s="220" t="str">
        <f>IFERROR(VLOOKUP(M1334,Data!$C$4:$D$395,2,0),"")</f>
        <v/>
      </c>
      <c r="O1334" s="220"/>
      <c r="P1334" s="229"/>
      <c r="Q1334" s="221"/>
      <c r="R1334" s="222" t="str">
        <f t="shared" si="178"/>
        <v>-</v>
      </c>
      <c r="S1334" s="223"/>
      <c r="T1334" s="224"/>
      <c r="U1334" s="225">
        <f t="shared" si="179"/>
        <v>0</v>
      </c>
      <c r="V1334" s="226">
        <v>0</v>
      </c>
      <c r="W1334" s="227"/>
      <c r="X1334" s="228">
        <f t="shared" si="180"/>
        <v>0</v>
      </c>
      <c r="Y1334" s="229"/>
      <c r="Z1334" s="229"/>
      <c r="AA1334" s="229"/>
      <c r="AB1334" s="222">
        <f t="shared" si="181"/>
        <v>0</v>
      </c>
      <c r="AC1334" s="230">
        <f t="shared" si="182"/>
        <v>0</v>
      </c>
      <c r="AD1334" s="222" t="str">
        <f t="shared" si="183"/>
        <v/>
      </c>
      <c r="AE1334" s="201"/>
      <c r="AF1334" s="231" t="str">
        <f>+IFERROR(VLOOKUP(L1334,Data!$F$4:$G$97,2,0),"")</f>
        <v/>
      </c>
    </row>
    <row r="1335" spans="9:32" ht="15" customHeight="1" x14ac:dyDescent="0.3">
      <c r="I1335" s="201" t="str">
        <f t="shared" si="176"/>
        <v/>
      </c>
      <c r="J1335" s="218">
        <f t="shared" si="177"/>
        <v>1332</v>
      </c>
      <c r="K1335" s="250"/>
      <c r="L1335" s="219"/>
      <c r="M1335" s="218"/>
      <c r="N1335" s="220" t="str">
        <f>IFERROR(VLOOKUP(M1335,Data!$C$4:$D$395,2,0),"")</f>
        <v/>
      </c>
      <c r="O1335" s="220"/>
      <c r="P1335" s="229"/>
      <c r="Q1335" s="221"/>
      <c r="R1335" s="222" t="str">
        <f t="shared" si="178"/>
        <v>-</v>
      </c>
      <c r="S1335" s="223"/>
      <c r="T1335" s="224"/>
      <c r="U1335" s="225">
        <f t="shared" si="179"/>
        <v>0</v>
      </c>
      <c r="V1335" s="226">
        <v>0</v>
      </c>
      <c r="W1335" s="227"/>
      <c r="X1335" s="228">
        <f t="shared" si="180"/>
        <v>0</v>
      </c>
      <c r="Y1335" s="229"/>
      <c r="Z1335" s="229"/>
      <c r="AA1335" s="229"/>
      <c r="AB1335" s="222">
        <f t="shared" si="181"/>
        <v>0</v>
      </c>
      <c r="AC1335" s="230">
        <f t="shared" si="182"/>
        <v>0</v>
      </c>
      <c r="AD1335" s="222" t="str">
        <f t="shared" si="183"/>
        <v/>
      </c>
      <c r="AE1335" s="201"/>
      <c r="AF1335" s="231" t="str">
        <f>+IFERROR(VLOOKUP(L1335,Data!$F$4:$G$97,2,0),"")</f>
        <v/>
      </c>
    </row>
    <row r="1336" spans="9:32" ht="15" customHeight="1" x14ac:dyDescent="0.3">
      <c r="I1336" s="201" t="str">
        <f t="shared" si="176"/>
        <v/>
      </c>
      <c r="J1336" s="218">
        <f t="shared" si="177"/>
        <v>1333</v>
      </c>
      <c r="K1336" s="250"/>
      <c r="L1336" s="219"/>
      <c r="M1336" s="218"/>
      <c r="N1336" s="220" t="str">
        <f>IFERROR(VLOOKUP(M1336,Data!$C$4:$D$395,2,0),"")</f>
        <v/>
      </c>
      <c r="O1336" s="220"/>
      <c r="P1336" s="229"/>
      <c r="Q1336" s="221"/>
      <c r="R1336" s="222" t="str">
        <f t="shared" si="178"/>
        <v>-</v>
      </c>
      <c r="S1336" s="223"/>
      <c r="T1336" s="224"/>
      <c r="U1336" s="225">
        <f t="shared" si="179"/>
        <v>0</v>
      </c>
      <c r="V1336" s="226">
        <v>0</v>
      </c>
      <c r="W1336" s="227"/>
      <c r="X1336" s="228">
        <f t="shared" si="180"/>
        <v>0</v>
      </c>
      <c r="Y1336" s="229"/>
      <c r="Z1336" s="229"/>
      <c r="AA1336" s="229"/>
      <c r="AB1336" s="222">
        <f t="shared" si="181"/>
        <v>0</v>
      </c>
      <c r="AC1336" s="230">
        <f t="shared" si="182"/>
        <v>0</v>
      </c>
      <c r="AD1336" s="222" t="str">
        <f t="shared" si="183"/>
        <v/>
      </c>
      <c r="AE1336" s="201"/>
      <c r="AF1336" s="231" t="str">
        <f>+IFERROR(VLOOKUP(L1336,Data!$F$4:$G$97,2,0),"")</f>
        <v/>
      </c>
    </row>
    <row r="1337" spans="9:32" ht="15" customHeight="1" x14ac:dyDescent="0.3">
      <c r="I1337" s="201" t="str">
        <f t="shared" si="176"/>
        <v/>
      </c>
      <c r="J1337" s="218">
        <f t="shared" si="177"/>
        <v>1334</v>
      </c>
      <c r="K1337" s="250"/>
      <c r="L1337" s="219"/>
      <c r="M1337" s="218"/>
      <c r="N1337" s="220" t="str">
        <f>IFERROR(VLOOKUP(M1337,Data!$C$4:$D$395,2,0),"")</f>
        <v/>
      </c>
      <c r="O1337" s="220"/>
      <c r="P1337" s="229"/>
      <c r="Q1337" s="221"/>
      <c r="R1337" s="222" t="str">
        <f t="shared" si="178"/>
        <v>-</v>
      </c>
      <c r="S1337" s="223"/>
      <c r="T1337" s="224"/>
      <c r="U1337" s="225">
        <f t="shared" si="179"/>
        <v>0</v>
      </c>
      <c r="V1337" s="226">
        <v>0</v>
      </c>
      <c r="W1337" s="227"/>
      <c r="X1337" s="228">
        <f t="shared" si="180"/>
        <v>0</v>
      </c>
      <c r="Y1337" s="229"/>
      <c r="Z1337" s="229"/>
      <c r="AA1337" s="229"/>
      <c r="AB1337" s="222">
        <f t="shared" si="181"/>
        <v>0</v>
      </c>
      <c r="AC1337" s="230">
        <f t="shared" si="182"/>
        <v>0</v>
      </c>
      <c r="AD1337" s="222" t="str">
        <f t="shared" si="183"/>
        <v/>
      </c>
      <c r="AE1337" s="201"/>
      <c r="AF1337" s="231" t="str">
        <f>+IFERROR(VLOOKUP(L1337,Data!$F$4:$G$97,2,0),"")</f>
        <v/>
      </c>
    </row>
    <row r="1338" spans="9:32" ht="15" customHeight="1" x14ac:dyDescent="0.3">
      <c r="I1338" s="201" t="str">
        <f t="shared" si="176"/>
        <v/>
      </c>
      <c r="J1338" s="218">
        <f t="shared" si="177"/>
        <v>1335</v>
      </c>
      <c r="K1338" s="250"/>
      <c r="L1338" s="219"/>
      <c r="M1338" s="218"/>
      <c r="N1338" s="220" t="str">
        <f>IFERROR(VLOOKUP(M1338,Data!$C$4:$D$395,2,0),"")</f>
        <v/>
      </c>
      <c r="O1338" s="220"/>
      <c r="P1338" s="229"/>
      <c r="Q1338" s="221"/>
      <c r="R1338" s="222" t="str">
        <f t="shared" si="178"/>
        <v>-</v>
      </c>
      <c r="S1338" s="223"/>
      <c r="T1338" s="224"/>
      <c r="U1338" s="225">
        <f t="shared" si="179"/>
        <v>0</v>
      </c>
      <c r="V1338" s="226">
        <v>0</v>
      </c>
      <c r="W1338" s="227"/>
      <c r="X1338" s="228">
        <f t="shared" si="180"/>
        <v>0</v>
      </c>
      <c r="Y1338" s="229"/>
      <c r="Z1338" s="229"/>
      <c r="AA1338" s="229"/>
      <c r="AB1338" s="222">
        <f t="shared" si="181"/>
        <v>0</v>
      </c>
      <c r="AC1338" s="230">
        <f t="shared" si="182"/>
        <v>0</v>
      </c>
      <c r="AD1338" s="222" t="str">
        <f t="shared" si="183"/>
        <v/>
      </c>
      <c r="AE1338" s="201"/>
      <c r="AF1338" s="231" t="str">
        <f>+IFERROR(VLOOKUP(L1338,Data!$F$4:$G$97,2,0),"")</f>
        <v/>
      </c>
    </row>
    <row r="1339" spans="9:32" ht="15" customHeight="1" x14ac:dyDescent="0.3">
      <c r="I1339" s="201" t="str">
        <f t="shared" si="176"/>
        <v/>
      </c>
      <c r="J1339" s="218">
        <f t="shared" si="177"/>
        <v>1336</v>
      </c>
      <c r="K1339" s="250"/>
      <c r="L1339" s="219"/>
      <c r="M1339" s="218"/>
      <c r="N1339" s="220" t="str">
        <f>IFERROR(VLOOKUP(M1339,Data!$C$4:$D$395,2,0),"")</f>
        <v/>
      </c>
      <c r="O1339" s="220"/>
      <c r="P1339" s="229"/>
      <c r="Q1339" s="221"/>
      <c r="R1339" s="222" t="str">
        <f t="shared" si="178"/>
        <v>-</v>
      </c>
      <c r="S1339" s="223"/>
      <c r="T1339" s="224"/>
      <c r="U1339" s="225">
        <f t="shared" si="179"/>
        <v>0</v>
      </c>
      <c r="V1339" s="226">
        <v>0</v>
      </c>
      <c r="W1339" s="227"/>
      <c r="X1339" s="228">
        <f t="shared" si="180"/>
        <v>0</v>
      </c>
      <c r="Y1339" s="229"/>
      <c r="Z1339" s="229"/>
      <c r="AA1339" s="229"/>
      <c r="AB1339" s="222">
        <f t="shared" si="181"/>
        <v>0</v>
      </c>
      <c r="AC1339" s="230">
        <f t="shared" si="182"/>
        <v>0</v>
      </c>
      <c r="AD1339" s="222" t="str">
        <f t="shared" si="183"/>
        <v/>
      </c>
      <c r="AE1339" s="201"/>
      <c r="AF1339" s="231" t="str">
        <f>+IFERROR(VLOOKUP(L1339,Data!$F$4:$G$97,2,0),"")</f>
        <v/>
      </c>
    </row>
    <row r="1340" spans="9:32" ht="15" customHeight="1" x14ac:dyDescent="0.3">
      <c r="I1340" s="201" t="str">
        <f t="shared" si="176"/>
        <v/>
      </c>
      <c r="J1340" s="218">
        <f t="shared" si="177"/>
        <v>1337</v>
      </c>
      <c r="K1340" s="250"/>
      <c r="L1340" s="219"/>
      <c r="M1340" s="218"/>
      <c r="N1340" s="220" t="str">
        <f>IFERROR(VLOOKUP(M1340,Data!$C$4:$D$395,2,0),"")</f>
        <v/>
      </c>
      <c r="O1340" s="220"/>
      <c r="P1340" s="229"/>
      <c r="Q1340" s="221"/>
      <c r="R1340" s="222" t="str">
        <f t="shared" si="178"/>
        <v>-</v>
      </c>
      <c r="S1340" s="223"/>
      <c r="T1340" s="224"/>
      <c r="U1340" s="225">
        <f t="shared" si="179"/>
        <v>0</v>
      </c>
      <c r="V1340" s="226">
        <v>0</v>
      </c>
      <c r="W1340" s="227"/>
      <c r="X1340" s="228">
        <f t="shared" si="180"/>
        <v>0</v>
      </c>
      <c r="Y1340" s="229"/>
      <c r="Z1340" s="229"/>
      <c r="AA1340" s="229"/>
      <c r="AB1340" s="222">
        <f t="shared" si="181"/>
        <v>0</v>
      </c>
      <c r="AC1340" s="230">
        <f t="shared" si="182"/>
        <v>0</v>
      </c>
      <c r="AD1340" s="222" t="str">
        <f t="shared" si="183"/>
        <v/>
      </c>
      <c r="AE1340" s="201"/>
      <c r="AF1340" s="231" t="str">
        <f>+IFERROR(VLOOKUP(L1340,Data!$F$4:$G$97,2,0),"")</f>
        <v/>
      </c>
    </row>
    <row r="1341" spans="9:32" ht="15" customHeight="1" x14ac:dyDescent="0.3">
      <c r="I1341" s="201" t="str">
        <f t="shared" ref="I1341:I1404" si="184">+AF1341</f>
        <v/>
      </c>
      <c r="J1341" s="218">
        <f t="shared" si="177"/>
        <v>1338</v>
      </c>
      <c r="K1341" s="250"/>
      <c r="L1341" s="219"/>
      <c r="M1341" s="218"/>
      <c r="N1341" s="220" t="str">
        <f>IFERROR(VLOOKUP(M1341,Data!$C$4:$D$395,2,0),"")</f>
        <v/>
      </c>
      <c r="O1341" s="220"/>
      <c r="P1341" s="229"/>
      <c r="Q1341" s="221"/>
      <c r="R1341" s="222" t="str">
        <f t="shared" si="178"/>
        <v>-</v>
      </c>
      <c r="S1341" s="223"/>
      <c r="T1341" s="224"/>
      <c r="U1341" s="225">
        <f t="shared" si="179"/>
        <v>0</v>
      </c>
      <c r="V1341" s="226">
        <v>0</v>
      </c>
      <c r="W1341" s="227"/>
      <c r="X1341" s="228">
        <f t="shared" si="180"/>
        <v>0</v>
      </c>
      <c r="Y1341" s="229"/>
      <c r="Z1341" s="229"/>
      <c r="AA1341" s="229"/>
      <c r="AB1341" s="222">
        <f t="shared" si="181"/>
        <v>0</v>
      </c>
      <c r="AC1341" s="230">
        <f t="shared" si="182"/>
        <v>0</v>
      </c>
      <c r="AD1341" s="222" t="str">
        <f t="shared" si="183"/>
        <v/>
      </c>
      <c r="AE1341" s="201"/>
      <c r="AF1341" s="231" t="str">
        <f>+IFERROR(VLOOKUP(L1341,Data!$F$4:$G$97,2,0),"")</f>
        <v/>
      </c>
    </row>
    <row r="1342" spans="9:32" ht="15" customHeight="1" x14ac:dyDescent="0.3">
      <c r="I1342" s="201" t="str">
        <f t="shared" si="184"/>
        <v/>
      </c>
      <c r="J1342" s="218">
        <f t="shared" ref="J1342:J1405" si="185">J1341+1</f>
        <v>1339</v>
      </c>
      <c r="K1342" s="250"/>
      <c r="L1342" s="219"/>
      <c r="M1342" s="218"/>
      <c r="N1342" s="220" t="str">
        <f>IFERROR(VLOOKUP(M1342,Data!$C$4:$D$395,2,0),"")</f>
        <v/>
      </c>
      <c r="O1342" s="220"/>
      <c r="P1342" s="229"/>
      <c r="Q1342" s="221"/>
      <c r="R1342" s="222" t="str">
        <f t="shared" si="178"/>
        <v>-</v>
      </c>
      <c r="S1342" s="223"/>
      <c r="T1342" s="224"/>
      <c r="U1342" s="225">
        <f t="shared" si="179"/>
        <v>0</v>
      </c>
      <c r="V1342" s="226">
        <v>0</v>
      </c>
      <c r="W1342" s="227"/>
      <c r="X1342" s="228">
        <f t="shared" si="180"/>
        <v>0</v>
      </c>
      <c r="Y1342" s="229"/>
      <c r="Z1342" s="229"/>
      <c r="AA1342" s="229"/>
      <c r="AB1342" s="222">
        <f t="shared" si="181"/>
        <v>0</v>
      </c>
      <c r="AC1342" s="230">
        <f t="shared" si="182"/>
        <v>0</v>
      </c>
      <c r="AD1342" s="222" t="str">
        <f t="shared" si="183"/>
        <v/>
      </c>
      <c r="AE1342" s="201"/>
      <c r="AF1342" s="231" t="str">
        <f>+IFERROR(VLOOKUP(L1342,Data!$F$4:$G$97,2,0),"")</f>
        <v/>
      </c>
    </row>
    <row r="1343" spans="9:32" ht="15" customHeight="1" x14ac:dyDescent="0.3">
      <c r="I1343" s="201" t="str">
        <f t="shared" si="184"/>
        <v/>
      </c>
      <c r="J1343" s="218">
        <f t="shared" si="185"/>
        <v>1340</v>
      </c>
      <c r="K1343" s="250"/>
      <c r="L1343" s="219"/>
      <c r="M1343" s="218"/>
      <c r="N1343" s="220" t="str">
        <f>IFERROR(VLOOKUP(M1343,Data!$C$4:$D$395,2,0),"")</f>
        <v/>
      </c>
      <c r="O1343" s="220"/>
      <c r="P1343" s="229"/>
      <c r="Q1343" s="221"/>
      <c r="R1343" s="222" t="str">
        <f t="shared" si="178"/>
        <v>-</v>
      </c>
      <c r="S1343" s="223"/>
      <c r="T1343" s="224"/>
      <c r="U1343" s="225">
        <f t="shared" si="179"/>
        <v>0</v>
      </c>
      <c r="V1343" s="226">
        <v>0</v>
      </c>
      <c r="W1343" s="227"/>
      <c r="X1343" s="228">
        <f t="shared" si="180"/>
        <v>0</v>
      </c>
      <c r="Y1343" s="229"/>
      <c r="Z1343" s="229"/>
      <c r="AA1343" s="229"/>
      <c r="AB1343" s="222">
        <f t="shared" si="181"/>
        <v>0</v>
      </c>
      <c r="AC1343" s="230">
        <f t="shared" si="182"/>
        <v>0</v>
      </c>
      <c r="AD1343" s="222" t="str">
        <f t="shared" si="183"/>
        <v/>
      </c>
      <c r="AE1343" s="201"/>
      <c r="AF1343" s="231" t="str">
        <f>+IFERROR(VLOOKUP(L1343,Data!$F$4:$G$97,2,0),"")</f>
        <v/>
      </c>
    </row>
    <row r="1344" spans="9:32" ht="15" customHeight="1" x14ac:dyDescent="0.3">
      <c r="I1344" s="201" t="str">
        <f t="shared" si="184"/>
        <v/>
      </c>
      <c r="J1344" s="218">
        <f t="shared" si="185"/>
        <v>1341</v>
      </c>
      <c r="K1344" s="250"/>
      <c r="L1344" s="219"/>
      <c r="M1344" s="218"/>
      <c r="N1344" s="220" t="str">
        <f>IFERROR(VLOOKUP(M1344,Data!$C$4:$D$395,2,0),"")</f>
        <v/>
      </c>
      <c r="O1344" s="220"/>
      <c r="P1344" s="229"/>
      <c r="Q1344" s="221"/>
      <c r="R1344" s="222" t="str">
        <f t="shared" ref="R1344:R1407" si="186">IFERROR(Q1344/P1344, "-")</f>
        <v>-</v>
      </c>
      <c r="S1344" s="223"/>
      <c r="T1344" s="224"/>
      <c r="U1344" s="225">
        <f t="shared" ref="U1344:U1407" si="187">+Q1344*S1344+P1344*T1344</f>
        <v>0</v>
      </c>
      <c r="V1344" s="226">
        <v>0</v>
      </c>
      <c r="W1344" s="227"/>
      <c r="X1344" s="228">
        <f t="shared" ref="X1344:X1407" si="188">+Q1344*V1344+P1344*W1344</f>
        <v>0</v>
      </c>
      <c r="Y1344" s="229"/>
      <c r="Z1344" s="229"/>
      <c r="AA1344" s="229"/>
      <c r="AB1344" s="222">
        <f t="shared" ref="AB1344:AB1407" si="189">+Y1344+Z1344+AA1344</f>
        <v>0</v>
      </c>
      <c r="AC1344" s="230">
        <f t="shared" ref="AC1344:AC1407" si="190">IF((U1344-Y1344-Z1344-AA1344)&lt;0,"",(U1344-Y1344-Z1344-AA1344))</f>
        <v>0</v>
      </c>
      <c r="AD1344" s="222" t="str">
        <f t="shared" ref="AD1344:AD1407" si="191">IF((U1344-Y1344-Z1344-AA1344)&lt;0,(Y1344+Z1344+AA1344-U1344),"")</f>
        <v/>
      </c>
      <c r="AE1344" s="201"/>
      <c r="AF1344" s="231" t="str">
        <f>+IFERROR(VLOOKUP(L1344,Data!$F$4:$G$97,2,0),"")</f>
        <v/>
      </c>
    </row>
    <row r="1345" spans="9:32" ht="15" customHeight="1" x14ac:dyDescent="0.3">
      <c r="I1345" s="201" t="str">
        <f t="shared" si="184"/>
        <v/>
      </c>
      <c r="J1345" s="218">
        <f t="shared" si="185"/>
        <v>1342</v>
      </c>
      <c r="K1345" s="250"/>
      <c r="L1345" s="219"/>
      <c r="M1345" s="218"/>
      <c r="N1345" s="220" t="str">
        <f>IFERROR(VLOOKUP(M1345,Data!$C$4:$D$395,2,0),"")</f>
        <v/>
      </c>
      <c r="O1345" s="220"/>
      <c r="P1345" s="229"/>
      <c r="Q1345" s="221"/>
      <c r="R1345" s="222" t="str">
        <f t="shared" si="186"/>
        <v>-</v>
      </c>
      <c r="S1345" s="223"/>
      <c r="T1345" s="224"/>
      <c r="U1345" s="225">
        <f t="shared" si="187"/>
        <v>0</v>
      </c>
      <c r="V1345" s="226">
        <v>0</v>
      </c>
      <c r="W1345" s="227"/>
      <c r="X1345" s="228">
        <f t="shared" si="188"/>
        <v>0</v>
      </c>
      <c r="Y1345" s="229"/>
      <c r="Z1345" s="229"/>
      <c r="AA1345" s="229"/>
      <c r="AB1345" s="222">
        <f t="shared" si="189"/>
        <v>0</v>
      </c>
      <c r="AC1345" s="230">
        <f t="shared" si="190"/>
        <v>0</v>
      </c>
      <c r="AD1345" s="222" t="str">
        <f t="shared" si="191"/>
        <v/>
      </c>
      <c r="AE1345" s="201"/>
      <c r="AF1345" s="231" t="str">
        <f>+IFERROR(VLOOKUP(L1345,Data!$F$4:$G$97,2,0),"")</f>
        <v/>
      </c>
    </row>
    <row r="1346" spans="9:32" ht="15" customHeight="1" x14ac:dyDescent="0.3">
      <c r="I1346" s="201" t="str">
        <f t="shared" si="184"/>
        <v/>
      </c>
      <c r="J1346" s="218">
        <f t="shared" si="185"/>
        <v>1343</v>
      </c>
      <c r="K1346" s="250"/>
      <c r="L1346" s="219"/>
      <c r="M1346" s="218"/>
      <c r="N1346" s="220" t="str">
        <f>IFERROR(VLOOKUP(M1346,Data!$C$4:$D$395,2,0),"")</f>
        <v/>
      </c>
      <c r="O1346" s="220"/>
      <c r="P1346" s="229"/>
      <c r="Q1346" s="221"/>
      <c r="R1346" s="222" t="str">
        <f t="shared" si="186"/>
        <v>-</v>
      </c>
      <c r="S1346" s="223"/>
      <c r="T1346" s="224"/>
      <c r="U1346" s="225">
        <f t="shared" si="187"/>
        <v>0</v>
      </c>
      <c r="V1346" s="226">
        <v>0</v>
      </c>
      <c r="W1346" s="227"/>
      <c r="X1346" s="228">
        <f t="shared" si="188"/>
        <v>0</v>
      </c>
      <c r="Y1346" s="229"/>
      <c r="Z1346" s="229"/>
      <c r="AA1346" s="229"/>
      <c r="AB1346" s="222">
        <f t="shared" si="189"/>
        <v>0</v>
      </c>
      <c r="AC1346" s="230">
        <f t="shared" si="190"/>
        <v>0</v>
      </c>
      <c r="AD1346" s="222" t="str">
        <f t="shared" si="191"/>
        <v/>
      </c>
      <c r="AE1346" s="201"/>
      <c r="AF1346" s="231" t="str">
        <f>+IFERROR(VLOOKUP(L1346,Data!$F$4:$G$97,2,0),"")</f>
        <v/>
      </c>
    </row>
    <row r="1347" spans="9:32" ht="15" customHeight="1" x14ac:dyDescent="0.3">
      <c r="I1347" s="201" t="str">
        <f t="shared" si="184"/>
        <v/>
      </c>
      <c r="J1347" s="218">
        <f t="shared" si="185"/>
        <v>1344</v>
      </c>
      <c r="K1347" s="250"/>
      <c r="L1347" s="219"/>
      <c r="M1347" s="218"/>
      <c r="N1347" s="220" t="str">
        <f>IFERROR(VLOOKUP(M1347,Data!$C$4:$D$395,2,0),"")</f>
        <v/>
      </c>
      <c r="O1347" s="220"/>
      <c r="P1347" s="229"/>
      <c r="Q1347" s="221"/>
      <c r="R1347" s="222" t="str">
        <f t="shared" si="186"/>
        <v>-</v>
      </c>
      <c r="S1347" s="223"/>
      <c r="T1347" s="224"/>
      <c r="U1347" s="225">
        <f t="shared" si="187"/>
        <v>0</v>
      </c>
      <c r="V1347" s="226">
        <v>0</v>
      </c>
      <c r="W1347" s="227"/>
      <c r="X1347" s="228">
        <f t="shared" si="188"/>
        <v>0</v>
      </c>
      <c r="Y1347" s="229"/>
      <c r="Z1347" s="229"/>
      <c r="AA1347" s="229"/>
      <c r="AB1347" s="222">
        <f t="shared" si="189"/>
        <v>0</v>
      </c>
      <c r="AC1347" s="230">
        <f t="shared" si="190"/>
        <v>0</v>
      </c>
      <c r="AD1347" s="222" t="str">
        <f t="shared" si="191"/>
        <v/>
      </c>
      <c r="AE1347" s="201"/>
      <c r="AF1347" s="231" t="str">
        <f>+IFERROR(VLOOKUP(L1347,Data!$F$4:$G$97,2,0),"")</f>
        <v/>
      </c>
    </row>
    <row r="1348" spans="9:32" ht="15" customHeight="1" x14ac:dyDescent="0.3">
      <c r="I1348" s="201" t="str">
        <f t="shared" si="184"/>
        <v/>
      </c>
      <c r="J1348" s="218">
        <f t="shared" si="185"/>
        <v>1345</v>
      </c>
      <c r="K1348" s="250"/>
      <c r="L1348" s="219"/>
      <c r="M1348" s="218"/>
      <c r="N1348" s="220" t="str">
        <f>IFERROR(VLOOKUP(M1348,Data!$C$4:$D$395,2,0),"")</f>
        <v/>
      </c>
      <c r="O1348" s="220"/>
      <c r="P1348" s="229"/>
      <c r="Q1348" s="221"/>
      <c r="R1348" s="222" t="str">
        <f t="shared" si="186"/>
        <v>-</v>
      </c>
      <c r="S1348" s="223"/>
      <c r="T1348" s="224"/>
      <c r="U1348" s="225">
        <f t="shared" si="187"/>
        <v>0</v>
      </c>
      <c r="V1348" s="226">
        <v>0</v>
      </c>
      <c r="W1348" s="227"/>
      <c r="X1348" s="228">
        <f t="shared" si="188"/>
        <v>0</v>
      </c>
      <c r="Y1348" s="229"/>
      <c r="Z1348" s="229"/>
      <c r="AA1348" s="229"/>
      <c r="AB1348" s="222">
        <f t="shared" si="189"/>
        <v>0</v>
      </c>
      <c r="AC1348" s="230">
        <f t="shared" si="190"/>
        <v>0</v>
      </c>
      <c r="AD1348" s="222" t="str">
        <f t="shared" si="191"/>
        <v/>
      </c>
      <c r="AE1348" s="201"/>
      <c r="AF1348" s="231" t="str">
        <f>+IFERROR(VLOOKUP(L1348,Data!$F$4:$G$97,2,0),"")</f>
        <v/>
      </c>
    </row>
    <row r="1349" spans="9:32" ht="15" customHeight="1" x14ac:dyDescent="0.3">
      <c r="I1349" s="201" t="str">
        <f t="shared" si="184"/>
        <v/>
      </c>
      <c r="J1349" s="218">
        <f t="shared" si="185"/>
        <v>1346</v>
      </c>
      <c r="K1349" s="250"/>
      <c r="L1349" s="219"/>
      <c r="M1349" s="218"/>
      <c r="N1349" s="220" t="str">
        <f>IFERROR(VLOOKUP(M1349,Data!$C$4:$D$395,2,0),"")</f>
        <v/>
      </c>
      <c r="O1349" s="220"/>
      <c r="P1349" s="229"/>
      <c r="Q1349" s="221"/>
      <c r="R1349" s="222" t="str">
        <f t="shared" si="186"/>
        <v>-</v>
      </c>
      <c r="S1349" s="223"/>
      <c r="T1349" s="224"/>
      <c r="U1349" s="225">
        <f t="shared" si="187"/>
        <v>0</v>
      </c>
      <c r="V1349" s="226">
        <v>0</v>
      </c>
      <c r="W1349" s="227"/>
      <c r="X1349" s="228">
        <f t="shared" si="188"/>
        <v>0</v>
      </c>
      <c r="Y1349" s="229"/>
      <c r="Z1349" s="229"/>
      <c r="AA1349" s="229"/>
      <c r="AB1349" s="222">
        <f t="shared" si="189"/>
        <v>0</v>
      </c>
      <c r="AC1349" s="230">
        <f t="shared" si="190"/>
        <v>0</v>
      </c>
      <c r="AD1349" s="222" t="str">
        <f t="shared" si="191"/>
        <v/>
      </c>
      <c r="AE1349" s="201"/>
      <c r="AF1349" s="231" t="str">
        <f>+IFERROR(VLOOKUP(L1349,Data!$F$4:$G$97,2,0),"")</f>
        <v/>
      </c>
    </row>
    <row r="1350" spans="9:32" ht="15" customHeight="1" x14ac:dyDescent="0.3">
      <c r="I1350" s="201" t="str">
        <f t="shared" si="184"/>
        <v/>
      </c>
      <c r="J1350" s="218">
        <f t="shared" si="185"/>
        <v>1347</v>
      </c>
      <c r="K1350" s="250"/>
      <c r="L1350" s="219"/>
      <c r="M1350" s="218"/>
      <c r="N1350" s="220" t="str">
        <f>IFERROR(VLOOKUP(M1350,Data!$C$4:$D$395,2,0),"")</f>
        <v/>
      </c>
      <c r="O1350" s="220"/>
      <c r="P1350" s="229"/>
      <c r="Q1350" s="221"/>
      <c r="R1350" s="222" t="str">
        <f t="shared" si="186"/>
        <v>-</v>
      </c>
      <c r="S1350" s="223"/>
      <c r="T1350" s="224"/>
      <c r="U1350" s="225">
        <f t="shared" si="187"/>
        <v>0</v>
      </c>
      <c r="V1350" s="226">
        <v>0</v>
      </c>
      <c r="W1350" s="227"/>
      <c r="X1350" s="228">
        <f t="shared" si="188"/>
        <v>0</v>
      </c>
      <c r="Y1350" s="229"/>
      <c r="Z1350" s="229"/>
      <c r="AA1350" s="229"/>
      <c r="AB1350" s="222">
        <f t="shared" si="189"/>
        <v>0</v>
      </c>
      <c r="AC1350" s="230">
        <f t="shared" si="190"/>
        <v>0</v>
      </c>
      <c r="AD1350" s="222" t="str">
        <f t="shared" si="191"/>
        <v/>
      </c>
      <c r="AE1350" s="201"/>
      <c r="AF1350" s="231" t="str">
        <f>+IFERROR(VLOOKUP(L1350,Data!$F$4:$G$97,2,0),"")</f>
        <v/>
      </c>
    </row>
    <row r="1351" spans="9:32" ht="15" customHeight="1" x14ac:dyDescent="0.3">
      <c r="I1351" s="201" t="str">
        <f t="shared" si="184"/>
        <v/>
      </c>
      <c r="J1351" s="218">
        <f t="shared" si="185"/>
        <v>1348</v>
      </c>
      <c r="K1351" s="250"/>
      <c r="L1351" s="219"/>
      <c r="M1351" s="218"/>
      <c r="N1351" s="220" t="str">
        <f>IFERROR(VLOOKUP(M1351,Data!$C$4:$D$395,2,0),"")</f>
        <v/>
      </c>
      <c r="O1351" s="220"/>
      <c r="P1351" s="229"/>
      <c r="Q1351" s="221"/>
      <c r="R1351" s="222" t="str">
        <f t="shared" si="186"/>
        <v>-</v>
      </c>
      <c r="S1351" s="223"/>
      <c r="T1351" s="224"/>
      <c r="U1351" s="225">
        <f t="shared" si="187"/>
        <v>0</v>
      </c>
      <c r="V1351" s="226">
        <v>0</v>
      </c>
      <c r="W1351" s="227"/>
      <c r="X1351" s="228">
        <f t="shared" si="188"/>
        <v>0</v>
      </c>
      <c r="Y1351" s="229"/>
      <c r="Z1351" s="229"/>
      <c r="AA1351" s="229"/>
      <c r="AB1351" s="222">
        <f t="shared" si="189"/>
        <v>0</v>
      </c>
      <c r="AC1351" s="230">
        <f t="shared" si="190"/>
        <v>0</v>
      </c>
      <c r="AD1351" s="222" t="str">
        <f t="shared" si="191"/>
        <v/>
      </c>
      <c r="AE1351" s="201"/>
      <c r="AF1351" s="231" t="str">
        <f>+IFERROR(VLOOKUP(L1351,Data!$F$4:$G$97,2,0),"")</f>
        <v/>
      </c>
    </row>
    <row r="1352" spans="9:32" ht="15" customHeight="1" x14ac:dyDescent="0.3">
      <c r="I1352" s="201" t="str">
        <f t="shared" si="184"/>
        <v/>
      </c>
      <c r="J1352" s="218">
        <f t="shared" si="185"/>
        <v>1349</v>
      </c>
      <c r="K1352" s="250"/>
      <c r="L1352" s="219"/>
      <c r="M1352" s="218"/>
      <c r="N1352" s="220" t="str">
        <f>IFERROR(VLOOKUP(M1352,Data!$C$4:$D$395,2,0),"")</f>
        <v/>
      </c>
      <c r="O1352" s="220"/>
      <c r="P1352" s="229"/>
      <c r="Q1352" s="221"/>
      <c r="R1352" s="222" t="str">
        <f t="shared" si="186"/>
        <v>-</v>
      </c>
      <c r="S1352" s="223"/>
      <c r="T1352" s="224"/>
      <c r="U1352" s="225">
        <f t="shared" si="187"/>
        <v>0</v>
      </c>
      <c r="V1352" s="226">
        <v>0</v>
      </c>
      <c r="W1352" s="227"/>
      <c r="X1352" s="228">
        <f t="shared" si="188"/>
        <v>0</v>
      </c>
      <c r="Y1352" s="229"/>
      <c r="Z1352" s="229"/>
      <c r="AA1352" s="229"/>
      <c r="AB1352" s="222">
        <f t="shared" si="189"/>
        <v>0</v>
      </c>
      <c r="AC1352" s="230">
        <f t="shared" si="190"/>
        <v>0</v>
      </c>
      <c r="AD1352" s="222" t="str">
        <f t="shared" si="191"/>
        <v/>
      </c>
      <c r="AE1352" s="201"/>
      <c r="AF1352" s="231" t="str">
        <f>+IFERROR(VLOOKUP(L1352,Data!$F$4:$G$97,2,0),"")</f>
        <v/>
      </c>
    </row>
    <row r="1353" spans="9:32" ht="15" customHeight="1" x14ac:dyDescent="0.3">
      <c r="I1353" s="201" t="str">
        <f t="shared" si="184"/>
        <v/>
      </c>
      <c r="J1353" s="218">
        <f t="shared" si="185"/>
        <v>1350</v>
      </c>
      <c r="K1353" s="250"/>
      <c r="L1353" s="219"/>
      <c r="M1353" s="218"/>
      <c r="N1353" s="220" t="str">
        <f>IFERROR(VLOOKUP(M1353,Data!$C$4:$D$395,2,0),"")</f>
        <v/>
      </c>
      <c r="O1353" s="220"/>
      <c r="P1353" s="229"/>
      <c r="Q1353" s="221"/>
      <c r="R1353" s="222" t="str">
        <f t="shared" si="186"/>
        <v>-</v>
      </c>
      <c r="S1353" s="223"/>
      <c r="T1353" s="224"/>
      <c r="U1353" s="225">
        <f t="shared" si="187"/>
        <v>0</v>
      </c>
      <c r="V1353" s="226">
        <v>0</v>
      </c>
      <c r="W1353" s="227"/>
      <c r="X1353" s="228">
        <f t="shared" si="188"/>
        <v>0</v>
      </c>
      <c r="Y1353" s="229"/>
      <c r="Z1353" s="229"/>
      <c r="AA1353" s="229"/>
      <c r="AB1353" s="222">
        <f t="shared" si="189"/>
        <v>0</v>
      </c>
      <c r="AC1353" s="230">
        <f t="shared" si="190"/>
        <v>0</v>
      </c>
      <c r="AD1353" s="222" t="str">
        <f t="shared" si="191"/>
        <v/>
      </c>
      <c r="AE1353" s="201"/>
      <c r="AF1353" s="231" t="str">
        <f>+IFERROR(VLOOKUP(L1353,Data!$F$4:$G$97,2,0),"")</f>
        <v/>
      </c>
    </row>
    <row r="1354" spans="9:32" ht="15" customHeight="1" x14ac:dyDescent="0.3">
      <c r="I1354" s="201" t="str">
        <f t="shared" si="184"/>
        <v/>
      </c>
      <c r="J1354" s="218">
        <f t="shared" si="185"/>
        <v>1351</v>
      </c>
      <c r="K1354" s="250"/>
      <c r="L1354" s="219"/>
      <c r="M1354" s="218"/>
      <c r="N1354" s="220" t="str">
        <f>IFERROR(VLOOKUP(M1354,Data!$C$4:$D$395,2,0),"")</f>
        <v/>
      </c>
      <c r="O1354" s="220"/>
      <c r="P1354" s="229"/>
      <c r="Q1354" s="221"/>
      <c r="R1354" s="222" t="str">
        <f t="shared" si="186"/>
        <v>-</v>
      </c>
      <c r="S1354" s="223"/>
      <c r="T1354" s="224"/>
      <c r="U1354" s="225">
        <f t="shared" si="187"/>
        <v>0</v>
      </c>
      <c r="V1354" s="226">
        <v>0</v>
      </c>
      <c r="W1354" s="227"/>
      <c r="X1354" s="228">
        <f t="shared" si="188"/>
        <v>0</v>
      </c>
      <c r="Y1354" s="229"/>
      <c r="Z1354" s="229"/>
      <c r="AA1354" s="229"/>
      <c r="AB1354" s="222">
        <f t="shared" si="189"/>
        <v>0</v>
      </c>
      <c r="AC1354" s="230">
        <f t="shared" si="190"/>
        <v>0</v>
      </c>
      <c r="AD1354" s="222" t="str">
        <f t="shared" si="191"/>
        <v/>
      </c>
      <c r="AE1354" s="201"/>
      <c r="AF1354" s="231" t="str">
        <f>+IFERROR(VLOOKUP(L1354,Data!$F$4:$G$97,2,0),"")</f>
        <v/>
      </c>
    </row>
    <row r="1355" spans="9:32" ht="15" customHeight="1" x14ac:dyDescent="0.3">
      <c r="I1355" s="201" t="str">
        <f t="shared" si="184"/>
        <v/>
      </c>
      <c r="J1355" s="218">
        <f t="shared" si="185"/>
        <v>1352</v>
      </c>
      <c r="K1355" s="250"/>
      <c r="L1355" s="219"/>
      <c r="M1355" s="218"/>
      <c r="N1355" s="220" t="str">
        <f>IFERROR(VLOOKUP(M1355,Data!$C$4:$D$395,2,0),"")</f>
        <v/>
      </c>
      <c r="O1355" s="220"/>
      <c r="P1355" s="229"/>
      <c r="Q1355" s="221"/>
      <c r="R1355" s="222" t="str">
        <f t="shared" si="186"/>
        <v>-</v>
      </c>
      <c r="S1355" s="223"/>
      <c r="T1355" s="224"/>
      <c r="U1355" s="225">
        <f t="shared" si="187"/>
        <v>0</v>
      </c>
      <c r="V1355" s="226">
        <v>0</v>
      </c>
      <c r="W1355" s="227"/>
      <c r="X1355" s="228">
        <f t="shared" si="188"/>
        <v>0</v>
      </c>
      <c r="Y1355" s="229"/>
      <c r="Z1355" s="229"/>
      <c r="AA1355" s="229"/>
      <c r="AB1355" s="222">
        <f t="shared" si="189"/>
        <v>0</v>
      </c>
      <c r="AC1355" s="230">
        <f t="shared" si="190"/>
        <v>0</v>
      </c>
      <c r="AD1355" s="222" t="str">
        <f t="shared" si="191"/>
        <v/>
      </c>
      <c r="AE1355" s="201"/>
      <c r="AF1355" s="231" t="str">
        <f>+IFERROR(VLOOKUP(L1355,Data!$F$4:$G$97,2,0),"")</f>
        <v/>
      </c>
    </row>
    <row r="1356" spans="9:32" ht="15" customHeight="1" x14ac:dyDescent="0.3">
      <c r="I1356" s="201" t="str">
        <f t="shared" si="184"/>
        <v/>
      </c>
      <c r="J1356" s="218">
        <f t="shared" si="185"/>
        <v>1353</v>
      </c>
      <c r="K1356" s="250"/>
      <c r="L1356" s="219"/>
      <c r="M1356" s="218"/>
      <c r="N1356" s="220" t="str">
        <f>IFERROR(VLOOKUP(M1356,Data!$C$4:$D$395,2,0),"")</f>
        <v/>
      </c>
      <c r="O1356" s="220"/>
      <c r="P1356" s="229"/>
      <c r="Q1356" s="221"/>
      <c r="R1356" s="222" t="str">
        <f t="shared" si="186"/>
        <v>-</v>
      </c>
      <c r="S1356" s="223"/>
      <c r="T1356" s="224"/>
      <c r="U1356" s="225">
        <f t="shared" si="187"/>
        <v>0</v>
      </c>
      <c r="V1356" s="226">
        <v>0</v>
      </c>
      <c r="W1356" s="227"/>
      <c r="X1356" s="228">
        <f t="shared" si="188"/>
        <v>0</v>
      </c>
      <c r="Y1356" s="229"/>
      <c r="Z1356" s="229"/>
      <c r="AA1356" s="229"/>
      <c r="AB1356" s="222">
        <f t="shared" si="189"/>
        <v>0</v>
      </c>
      <c r="AC1356" s="230">
        <f t="shared" si="190"/>
        <v>0</v>
      </c>
      <c r="AD1356" s="222" t="str">
        <f t="shared" si="191"/>
        <v/>
      </c>
      <c r="AE1356" s="201"/>
      <c r="AF1356" s="231" t="str">
        <f>+IFERROR(VLOOKUP(L1356,Data!$F$4:$G$97,2,0),"")</f>
        <v/>
      </c>
    </row>
    <row r="1357" spans="9:32" ht="15" customHeight="1" x14ac:dyDescent="0.3">
      <c r="I1357" s="201" t="str">
        <f t="shared" si="184"/>
        <v/>
      </c>
      <c r="J1357" s="218">
        <f t="shared" si="185"/>
        <v>1354</v>
      </c>
      <c r="K1357" s="250"/>
      <c r="L1357" s="219"/>
      <c r="M1357" s="218"/>
      <c r="N1357" s="220" t="str">
        <f>IFERROR(VLOOKUP(M1357,Data!$C$4:$D$395,2,0),"")</f>
        <v/>
      </c>
      <c r="O1357" s="220"/>
      <c r="P1357" s="229"/>
      <c r="Q1357" s="221"/>
      <c r="R1357" s="222" t="str">
        <f t="shared" si="186"/>
        <v>-</v>
      </c>
      <c r="S1357" s="223"/>
      <c r="T1357" s="224"/>
      <c r="U1357" s="225">
        <f t="shared" si="187"/>
        <v>0</v>
      </c>
      <c r="V1357" s="226">
        <v>0</v>
      </c>
      <c r="W1357" s="227"/>
      <c r="X1357" s="228">
        <f t="shared" si="188"/>
        <v>0</v>
      </c>
      <c r="Y1357" s="229"/>
      <c r="Z1357" s="229"/>
      <c r="AA1357" s="229"/>
      <c r="AB1357" s="222">
        <f t="shared" si="189"/>
        <v>0</v>
      </c>
      <c r="AC1357" s="230">
        <f t="shared" si="190"/>
        <v>0</v>
      </c>
      <c r="AD1357" s="222" t="str">
        <f t="shared" si="191"/>
        <v/>
      </c>
      <c r="AE1357" s="201"/>
      <c r="AF1357" s="231" t="str">
        <f>+IFERROR(VLOOKUP(L1357,Data!$F$4:$G$97,2,0),"")</f>
        <v/>
      </c>
    </row>
    <row r="1358" spans="9:32" ht="15" customHeight="1" x14ac:dyDescent="0.3">
      <c r="I1358" s="201" t="str">
        <f t="shared" si="184"/>
        <v/>
      </c>
      <c r="J1358" s="218">
        <f t="shared" si="185"/>
        <v>1355</v>
      </c>
      <c r="K1358" s="250"/>
      <c r="L1358" s="219"/>
      <c r="M1358" s="218"/>
      <c r="N1358" s="220" t="str">
        <f>IFERROR(VLOOKUP(M1358,Data!$C$4:$D$395,2,0),"")</f>
        <v/>
      </c>
      <c r="O1358" s="220"/>
      <c r="P1358" s="229"/>
      <c r="Q1358" s="221"/>
      <c r="R1358" s="222" t="str">
        <f t="shared" si="186"/>
        <v>-</v>
      </c>
      <c r="S1358" s="223"/>
      <c r="T1358" s="224"/>
      <c r="U1358" s="225">
        <f t="shared" si="187"/>
        <v>0</v>
      </c>
      <c r="V1358" s="226">
        <v>0</v>
      </c>
      <c r="W1358" s="227"/>
      <c r="X1358" s="228">
        <f t="shared" si="188"/>
        <v>0</v>
      </c>
      <c r="Y1358" s="229"/>
      <c r="Z1358" s="229"/>
      <c r="AA1358" s="229"/>
      <c r="AB1358" s="222">
        <f t="shared" si="189"/>
        <v>0</v>
      </c>
      <c r="AC1358" s="230">
        <f t="shared" si="190"/>
        <v>0</v>
      </c>
      <c r="AD1358" s="222" t="str">
        <f t="shared" si="191"/>
        <v/>
      </c>
      <c r="AE1358" s="201"/>
      <c r="AF1358" s="231" t="str">
        <f>+IFERROR(VLOOKUP(L1358,Data!$F$4:$G$97,2,0),"")</f>
        <v/>
      </c>
    </row>
    <row r="1359" spans="9:32" ht="15" customHeight="1" x14ac:dyDescent="0.3">
      <c r="I1359" s="201" t="str">
        <f t="shared" si="184"/>
        <v/>
      </c>
      <c r="J1359" s="218">
        <f t="shared" si="185"/>
        <v>1356</v>
      </c>
      <c r="K1359" s="250"/>
      <c r="L1359" s="219"/>
      <c r="M1359" s="218"/>
      <c r="N1359" s="220" t="str">
        <f>IFERROR(VLOOKUP(M1359,Data!$C$4:$D$395,2,0),"")</f>
        <v/>
      </c>
      <c r="O1359" s="220"/>
      <c r="P1359" s="229"/>
      <c r="Q1359" s="221"/>
      <c r="R1359" s="222" t="str">
        <f t="shared" si="186"/>
        <v>-</v>
      </c>
      <c r="S1359" s="223"/>
      <c r="T1359" s="224"/>
      <c r="U1359" s="225">
        <f t="shared" si="187"/>
        <v>0</v>
      </c>
      <c r="V1359" s="226">
        <v>0</v>
      </c>
      <c r="W1359" s="227"/>
      <c r="X1359" s="228">
        <f t="shared" si="188"/>
        <v>0</v>
      </c>
      <c r="Y1359" s="229"/>
      <c r="Z1359" s="229"/>
      <c r="AA1359" s="229"/>
      <c r="AB1359" s="222">
        <f t="shared" si="189"/>
        <v>0</v>
      </c>
      <c r="AC1359" s="230">
        <f t="shared" si="190"/>
        <v>0</v>
      </c>
      <c r="AD1359" s="222" t="str">
        <f t="shared" si="191"/>
        <v/>
      </c>
      <c r="AE1359" s="201"/>
      <c r="AF1359" s="231" t="str">
        <f>+IFERROR(VLOOKUP(L1359,Data!$F$4:$G$97,2,0),"")</f>
        <v/>
      </c>
    </row>
    <row r="1360" spans="9:32" ht="15" customHeight="1" x14ac:dyDescent="0.3">
      <c r="I1360" s="201" t="str">
        <f t="shared" si="184"/>
        <v/>
      </c>
      <c r="J1360" s="218">
        <f t="shared" si="185"/>
        <v>1357</v>
      </c>
      <c r="K1360" s="250"/>
      <c r="L1360" s="219"/>
      <c r="M1360" s="218"/>
      <c r="N1360" s="220" t="str">
        <f>IFERROR(VLOOKUP(M1360,Data!$C$4:$D$395,2,0),"")</f>
        <v/>
      </c>
      <c r="O1360" s="220"/>
      <c r="P1360" s="229"/>
      <c r="Q1360" s="221"/>
      <c r="R1360" s="222" t="str">
        <f t="shared" si="186"/>
        <v>-</v>
      </c>
      <c r="S1360" s="223"/>
      <c r="T1360" s="224"/>
      <c r="U1360" s="225">
        <f t="shared" si="187"/>
        <v>0</v>
      </c>
      <c r="V1360" s="226">
        <v>0</v>
      </c>
      <c r="W1360" s="227"/>
      <c r="X1360" s="228">
        <f t="shared" si="188"/>
        <v>0</v>
      </c>
      <c r="Y1360" s="229"/>
      <c r="Z1360" s="229"/>
      <c r="AA1360" s="229"/>
      <c r="AB1360" s="222">
        <f t="shared" si="189"/>
        <v>0</v>
      </c>
      <c r="AC1360" s="230">
        <f t="shared" si="190"/>
        <v>0</v>
      </c>
      <c r="AD1360" s="222" t="str">
        <f t="shared" si="191"/>
        <v/>
      </c>
      <c r="AE1360" s="201"/>
      <c r="AF1360" s="231" t="str">
        <f>+IFERROR(VLOOKUP(L1360,Data!$F$4:$G$97,2,0),"")</f>
        <v/>
      </c>
    </row>
    <row r="1361" spans="9:32" ht="15" customHeight="1" x14ac:dyDescent="0.3">
      <c r="I1361" s="201" t="str">
        <f t="shared" si="184"/>
        <v/>
      </c>
      <c r="J1361" s="218">
        <f t="shared" si="185"/>
        <v>1358</v>
      </c>
      <c r="K1361" s="250"/>
      <c r="L1361" s="219"/>
      <c r="M1361" s="218"/>
      <c r="N1361" s="220" t="str">
        <f>IFERROR(VLOOKUP(M1361,Data!$C$4:$D$395,2,0),"")</f>
        <v/>
      </c>
      <c r="O1361" s="220"/>
      <c r="P1361" s="229"/>
      <c r="Q1361" s="221"/>
      <c r="R1361" s="222" t="str">
        <f t="shared" si="186"/>
        <v>-</v>
      </c>
      <c r="S1361" s="223"/>
      <c r="T1361" s="224"/>
      <c r="U1361" s="225">
        <f t="shared" si="187"/>
        <v>0</v>
      </c>
      <c r="V1361" s="226">
        <v>0</v>
      </c>
      <c r="W1361" s="227"/>
      <c r="X1361" s="228">
        <f t="shared" si="188"/>
        <v>0</v>
      </c>
      <c r="Y1361" s="229"/>
      <c r="Z1361" s="229"/>
      <c r="AA1361" s="229"/>
      <c r="AB1361" s="222">
        <f t="shared" si="189"/>
        <v>0</v>
      </c>
      <c r="AC1361" s="230">
        <f t="shared" si="190"/>
        <v>0</v>
      </c>
      <c r="AD1361" s="222" t="str">
        <f t="shared" si="191"/>
        <v/>
      </c>
      <c r="AE1361" s="201"/>
      <c r="AF1361" s="231" t="str">
        <f>+IFERROR(VLOOKUP(L1361,Data!$F$4:$G$97,2,0),"")</f>
        <v/>
      </c>
    </row>
    <row r="1362" spans="9:32" ht="15" customHeight="1" x14ac:dyDescent="0.3">
      <c r="I1362" s="201" t="str">
        <f t="shared" si="184"/>
        <v/>
      </c>
      <c r="J1362" s="218">
        <f t="shared" si="185"/>
        <v>1359</v>
      </c>
      <c r="K1362" s="250"/>
      <c r="L1362" s="219"/>
      <c r="M1362" s="218"/>
      <c r="N1362" s="220" t="str">
        <f>IFERROR(VLOOKUP(M1362,Data!$C$4:$D$395,2,0),"")</f>
        <v/>
      </c>
      <c r="O1362" s="220"/>
      <c r="P1362" s="229"/>
      <c r="Q1362" s="221"/>
      <c r="R1362" s="222" t="str">
        <f t="shared" si="186"/>
        <v>-</v>
      </c>
      <c r="S1362" s="223"/>
      <c r="T1362" s="224"/>
      <c r="U1362" s="225">
        <f t="shared" si="187"/>
        <v>0</v>
      </c>
      <c r="V1362" s="226">
        <v>0</v>
      </c>
      <c r="W1362" s="227"/>
      <c r="X1362" s="228">
        <f t="shared" si="188"/>
        <v>0</v>
      </c>
      <c r="Y1362" s="229"/>
      <c r="Z1362" s="229"/>
      <c r="AA1362" s="229"/>
      <c r="AB1362" s="222">
        <f t="shared" si="189"/>
        <v>0</v>
      </c>
      <c r="AC1362" s="230">
        <f t="shared" si="190"/>
        <v>0</v>
      </c>
      <c r="AD1362" s="222" t="str">
        <f t="shared" si="191"/>
        <v/>
      </c>
      <c r="AE1362" s="201"/>
      <c r="AF1362" s="231" t="str">
        <f>+IFERROR(VLOOKUP(L1362,Data!$F$4:$G$97,2,0),"")</f>
        <v/>
      </c>
    </row>
    <row r="1363" spans="9:32" ht="15" customHeight="1" x14ac:dyDescent="0.3">
      <c r="I1363" s="201" t="str">
        <f t="shared" si="184"/>
        <v/>
      </c>
      <c r="J1363" s="218">
        <f t="shared" si="185"/>
        <v>1360</v>
      </c>
      <c r="K1363" s="250"/>
      <c r="L1363" s="219"/>
      <c r="M1363" s="218"/>
      <c r="N1363" s="220" t="str">
        <f>IFERROR(VLOOKUP(M1363,Data!$C$4:$D$395,2,0),"")</f>
        <v/>
      </c>
      <c r="O1363" s="220"/>
      <c r="P1363" s="229"/>
      <c r="Q1363" s="221"/>
      <c r="R1363" s="222" t="str">
        <f t="shared" si="186"/>
        <v>-</v>
      </c>
      <c r="S1363" s="223"/>
      <c r="T1363" s="224"/>
      <c r="U1363" s="225">
        <f t="shared" si="187"/>
        <v>0</v>
      </c>
      <c r="V1363" s="226">
        <v>0</v>
      </c>
      <c r="W1363" s="227"/>
      <c r="X1363" s="228">
        <f t="shared" si="188"/>
        <v>0</v>
      </c>
      <c r="Y1363" s="229"/>
      <c r="Z1363" s="229"/>
      <c r="AA1363" s="229"/>
      <c r="AB1363" s="222">
        <f t="shared" si="189"/>
        <v>0</v>
      </c>
      <c r="AC1363" s="230">
        <f t="shared" si="190"/>
        <v>0</v>
      </c>
      <c r="AD1363" s="222" t="str">
        <f t="shared" si="191"/>
        <v/>
      </c>
      <c r="AE1363" s="201"/>
      <c r="AF1363" s="231" t="str">
        <f>+IFERROR(VLOOKUP(L1363,Data!$F$4:$G$97,2,0),"")</f>
        <v/>
      </c>
    </row>
    <row r="1364" spans="9:32" ht="15" customHeight="1" x14ac:dyDescent="0.3">
      <c r="I1364" s="201" t="str">
        <f t="shared" si="184"/>
        <v/>
      </c>
      <c r="J1364" s="218">
        <f t="shared" si="185"/>
        <v>1361</v>
      </c>
      <c r="K1364" s="250"/>
      <c r="L1364" s="219"/>
      <c r="M1364" s="218"/>
      <c r="N1364" s="220" t="str">
        <f>IFERROR(VLOOKUP(M1364,Data!$C$4:$D$395,2,0),"")</f>
        <v/>
      </c>
      <c r="O1364" s="220"/>
      <c r="P1364" s="229"/>
      <c r="Q1364" s="221"/>
      <c r="R1364" s="222" t="str">
        <f t="shared" si="186"/>
        <v>-</v>
      </c>
      <c r="S1364" s="223"/>
      <c r="T1364" s="224"/>
      <c r="U1364" s="225">
        <f t="shared" si="187"/>
        <v>0</v>
      </c>
      <c r="V1364" s="226">
        <v>0</v>
      </c>
      <c r="W1364" s="227"/>
      <c r="X1364" s="228">
        <f t="shared" si="188"/>
        <v>0</v>
      </c>
      <c r="Y1364" s="229"/>
      <c r="Z1364" s="229"/>
      <c r="AA1364" s="229"/>
      <c r="AB1364" s="222">
        <f t="shared" si="189"/>
        <v>0</v>
      </c>
      <c r="AC1364" s="230">
        <f t="shared" si="190"/>
        <v>0</v>
      </c>
      <c r="AD1364" s="222" t="str">
        <f t="shared" si="191"/>
        <v/>
      </c>
      <c r="AE1364" s="201"/>
      <c r="AF1364" s="231" t="str">
        <f>+IFERROR(VLOOKUP(L1364,Data!$F$4:$G$97,2,0),"")</f>
        <v/>
      </c>
    </row>
    <row r="1365" spans="9:32" ht="15" customHeight="1" x14ac:dyDescent="0.3">
      <c r="I1365" s="201" t="str">
        <f t="shared" si="184"/>
        <v/>
      </c>
      <c r="J1365" s="218">
        <f t="shared" si="185"/>
        <v>1362</v>
      </c>
      <c r="K1365" s="250"/>
      <c r="L1365" s="219"/>
      <c r="M1365" s="218"/>
      <c r="N1365" s="220" t="str">
        <f>IFERROR(VLOOKUP(M1365,Data!$C$4:$D$395,2,0),"")</f>
        <v/>
      </c>
      <c r="O1365" s="220"/>
      <c r="P1365" s="229"/>
      <c r="Q1365" s="221"/>
      <c r="R1365" s="222" t="str">
        <f t="shared" si="186"/>
        <v>-</v>
      </c>
      <c r="S1365" s="223"/>
      <c r="T1365" s="224"/>
      <c r="U1365" s="225">
        <f t="shared" si="187"/>
        <v>0</v>
      </c>
      <c r="V1365" s="226">
        <v>0</v>
      </c>
      <c r="W1365" s="227"/>
      <c r="X1365" s="228">
        <f t="shared" si="188"/>
        <v>0</v>
      </c>
      <c r="Y1365" s="229"/>
      <c r="Z1365" s="229"/>
      <c r="AA1365" s="229"/>
      <c r="AB1365" s="222">
        <f t="shared" si="189"/>
        <v>0</v>
      </c>
      <c r="AC1365" s="230">
        <f t="shared" si="190"/>
        <v>0</v>
      </c>
      <c r="AD1365" s="222" t="str">
        <f t="shared" si="191"/>
        <v/>
      </c>
      <c r="AE1365" s="201"/>
      <c r="AF1365" s="231" t="str">
        <f>+IFERROR(VLOOKUP(L1365,Data!$F$4:$G$97,2,0),"")</f>
        <v/>
      </c>
    </row>
    <row r="1366" spans="9:32" ht="15" customHeight="1" x14ac:dyDescent="0.3">
      <c r="I1366" s="201" t="str">
        <f t="shared" si="184"/>
        <v/>
      </c>
      <c r="J1366" s="218">
        <f t="shared" si="185"/>
        <v>1363</v>
      </c>
      <c r="K1366" s="250"/>
      <c r="L1366" s="219"/>
      <c r="M1366" s="218"/>
      <c r="N1366" s="220" t="str">
        <f>IFERROR(VLOOKUP(M1366,Data!$C$4:$D$395,2,0),"")</f>
        <v/>
      </c>
      <c r="O1366" s="220"/>
      <c r="P1366" s="229"/>
      <c r="Q1366" s="221"/>
      <c r="R1366" s="222" t="str">
        <f t="shared" si="186"/>
        <v>-</v>
      </c>
      <c r="S1366" s="223"/>
      <c r="T1366" s="224"/>
      <c r="U1366" s="225">
        <f t="shared" si="187"/>
        <v>0</v>
      </c>
      <c r="V1366" s="226">
        <v>0</v>
      </c>
      <c r="W1366" s="227"/>
      <c r="X1366" s="228">
        <f t="shared" si="188"/>
        <v>0</v>
      </c>
      <c r="Y1366" s="229"/>
      <c r="Z1366" s="229"/>
      <c r="AA1366" s="229"/>
      <c r="AB1366" s="222">
        <f t="shared" si="189"/>
        <v>0</v>
      </c>
      <c r="AC1366" s="230">
        <f t="shared" si="190"/>
        <v>0</v>
      </c>
      <c r="AD1366" s="222" t="str">
        <f t="shared" si="191"/>
        <v/>
      </c>
      <c r="AE1366" s="201"/>
      <c r="AF1366" s="231" t="str">
        <f>+IFERROR(VLOOKUP(L1366,Data!$F$4:$G$97,2,0),"")</f>
        <v/>
      </c>
    </row>
    <row r="1367" spans="9:32" ht="15" customHeight="1" x14ac:dyDescent="0.3">
      <c r="I1367" s="201" t="str">
        <f t="shared" si="184"/>
        <v/>
      </c>
      <c r="J1367" s="218">
        <f t="shared" si="185"/>
        <v>1364</v>
      </c>
      <c r="K1367" s="250"/>
      <c r="L1367" s="219"/>
      <c r="M1367" s="218"/>
      <c r="N1367" s="220" t="str">
        <f>IFERROR(VLOOKUP(M1367,Data!$C$4:$D$395,2,0),"")</f>
        <v/>
      </c>
      <c r="O1367" s="220"/>
      <c r="P1367" s="229"/>
      <c r="Q1367" s="221"/>
      <c r="R1367" s="222" t="str">
        <f t="shared" si="186"/>
        <v>-</v>
      </c>
      <c r="S1367" s="223"/>
      <c r="T1367" s="224"/>
      <c r="U1367" s="225">
        <f t="shared" si="187"/>
        <v>0</v>
      </c>
      <c r="V1367" s="226">
        <v>0</v>
      </c>
      <c r="W1367" s="227"/>
      <c r="X1367" s="228">
        <f t="shared" si="188"/>
        <v>0</v>
      </c>
      <c r="Y1367" s="229"/>
      <c r="Z1367" s="229"/>
      <c r="AA1367" s="229"/>
      <c r="AB1367" s="222">
        <f t="shared" si="189"/>
        <v>0</v>
      </c>
      <c r="AC1367" s="230">
        <f t="shared" si="190"/>
        <v>0</v>
      </c>
      <c r="AD1367" s="222" t="str">
        <f t="shared" si="191"/>
        <v/>
      </c>
      <c r="AE1367" s="201"/>
      <c r="AF1367" s="231" t="str">
        <f>+IFERROR(VLOOKUP(L1367,Data!$F$4:$G$97,2,0),"")</f>
        <v/>
      </c>
    </row>
    <row r="1368" spans="9:32" ht="15" customHeight="1" x14ac:dyDescent="0.3">
      <c r="I1368" s="201" t="str">
        <f t="shared" si="184"/>
        <v/>
      </c>
      <c r="J1368" s="218">
        <f t="shared" si="185"/>
        <v>1365</v>
      </c>
      <c r="K1368" s="250"/>
      <c r="L1368" s="219"/>
      <c r="M1368" s="218"/>
      <c r="N1368" s="220" t="str">
        <f>IFERROR(VLOOKUP(M1368,Data!$C$4:$D$395,2,0),"")</f>
        <v/>
      </c>
      <c r="O1368" s="220"/>
      <c r="P1368" s="229"/>
      <c r="Q1368" s="221"/>
      <c r="R1368" s="222" t="str">
        <f t="shared" si="186"/>
        <v>-</v>
      </c>
      <c r="S1368" s="223"/>
      <c r="T1368" s="224"/>
      <c r="U1368" s="225">
        <f t="shared" si="187"/>
        <v>0</v>
      </c>
      <c r="V1368" s="226">
        <v>0</v>
      </c>
      <c r="W1368" s="227"/>
      <c r="X1368" s="228">
        <f t="shared" si="188"/>
        <v>0</v>
      </c>
      <c r="Y1368" s="229"/>
      <c r="Z1368" s="229"/>
      <c r="AA1368" s="229"/>
      <c r="AB1368" s="222">
        <f t="shared" si="189"/>
        <v>0</v>
      </c>
      <c r="AC1368" s="230">
        <f t="shared" si="190"/>
        <v>0</v>
      </c>
      <c r="AD1368" s="222" t="str">
        <f t="shared" si="191"/>
        <v/>
      </c>
      <c r="AE1368" s="201"/>
      <c r="AF1368" s="231" t="str">
        <f>+IFERROR(VLOOKUP(L1368,Data!$F$4:$G$97,2,0),"")</f>
        <v/>
      </c>
    </row>
    <row r="1369" spans="9:32" ht="15" customHeight="1" x14ac:dyDescent="0.3">
      <c r="I1369" s="201" t="str">
        <f t="shared" si="184"/>
        <v/>
      </c>
      <c r="J1369" s="218">
        <f t="shared" si="185"/>
        <v>1366</v>
      </c>
      <c r="K1369" s="250"/>
      <c r="L1369" s="219"/>
      <c r="M1369" s="218"/>
      <c r="N1369" s="220" t="str">
        <f>IFERROR(VLOOKUP(M1369,Data!$C$4:$D$395,2,0),"")</f>
        <v/>
      </c>
      <c r="O1369" s="220"/>
      <c r="P1369" s="229"/>
      <c r="Q1369" s="221"/>
      <c r="R1369" s="222" t="str">
        <f t="shared" si="186"/>
        <v>-</v>
      </c>
      <c r="S1369" s="223"/>
      <c r="T1369" s="224"/>
      <c r="U1369" s="225">
        <f t="shared" si="187"/>
        <v>0</v>
      </c>
      <c r="V1369" s="226">
        <v>0</v>
      </c>
      <c r="W1369" s="227"/>
      <c r="X1369" s="228">
        <f t="shared" si="188"/>
        <v>0</v>
      </c>
      <c r="Y1369" s="229"/>
      <c r="Z1369" s="229"/>
      <c r="AA1369" s="229"/>
      <c r="AB1369" s="222">
        <f t="shared" si="189"/>
        <v>0</v>
      </c>
      <c r="AC1369" s="230">
        <f t="shared" si="190"/>
        <v>0</v>
      </c>
      <c r="AD1369" s="222" t="str">
        <f t="shared" si="191"/>
        <v/>
      </c>
      <c r="AE1369" s="201"/>
      <c r="AF1369" s="231" t="str">
        <f>+IFERROR(VLOOKUP(L1369,Data!$F$4:$G$97,2,0),"")</f>
        <v/>
      </c>
    </row>
    <row r="1370" spans="9:32" ht="15" customHeight="1" x14ac:dyDescent="0.3">
      <c r="I1370" s="201" t="str">
        <f t="shared" si="184"/>
        <v/>
      </c>
      <c r="J1370" s="218">
        <f t="shared" si="185"/>
        <v>1367</v>
      </c>
      <c r="K1370" s="250"/>
      <c r="L1370" s="219"/>
      <c r="M1370" s="218"/>
      <c r="N1370" s="220" t="str">
        <f>IFERROR(VLOOKUP(M1370,Data!$C$4:$D$395,2,0),"")</f>
        <v/>
      </c>
      <c r="O1370" s="220"/>
      <c r="P1370" s="229"/>
      <c r="Q1370" s="221"/>
      <c r="R1370" s="222" t="str">
        <f t="shared" si="186"/>
        <v>-</v>
      </c>
      <c r="S1370" s="223"/>
      <c r="T1370" s="224"/>
      <c r="U1370" s="225">
        <f t="shared" si="187"/>
        <v>0</v>
      </c>
      <c r="V1370" s="226">
        <v>0</v>
      </c>
      <c r="W1370" s="227"/>
      <c r="X1370" s="228">
        <f t="shared" si="188"/>
        <v>0</v>
      </c>
      <c r="Y1370" s="229"/>
      <c r="Z1370" s="229"/>
      <c r="AA1370" s="229"/>
      <c r="AB1370" s="222">
        <f t="shared" si="189"/>
        <v>0</v>
      </c>
      <c r="AC1370" s="230">
        <f t="shared" si="190"/>
        <v>0</v>
      </c>
      <c r="AD1370" s="222" t="str">
        <f t="shared" si="191"/>
        <v/>
      </c>
      <c r="AE1370" s="201"/>
      <c r="AF1370" s="231" t="str">
        <f>+IFERROR(VLOOKUP(L1370,Data!$F$4:$G$97,2,0),"")</f>
        <v/>
      </c>
    </row>
    <row r="1371" spans="9:32" ht="15" customHeight="1" x14ac:dyDescent="0.3">
      <c r="I1371" s="201" t="str">
        <f t="shared" si="184"/>
        <v/>
      </c>
      <c r="J1371" s="218">
        <f t="shared" si="185"/>
        <v>1368</v>
      </c>
      <c r="K1371" s="250"/>
      <c r="L1371" s="219"/>
      <c r="M1371" s="218"/>
      <c r="N1371" s="220" t="str">
        <f>IFERROR(VLOOKUP(M1371,Data!$C$4:$D$395,2,0),"")</f>
        <v/>
      </c>
      <c r="O1371" s="220"/>
      <c r="P1371" s="229"/>
      <c r="Q1371" s="221"/>
      <c r="R1371" s="222" t="str">
        <f t="shared" si="186"/>
        <v>-</v>
      </c>
      <c r="S1371" s="223"/>
      <c r="T1371" s="224"/>
      <c r="U1371" s="225">
        <f t="shared" si="187"/>
        <v>0</v>
      </c>
      <c r="V1371" s="226">
        <v>0</v>
      </c>
      <c r="W1371" s="227"/>
      <c r="X1371" s="228">
        <f t="shared" si="188"/>
        <v>0</v>
      </c>
      <c r="Y1371" s="229"/>
      <c r="Z1371" s="229"/>
      <c r="AA1371" s="229"/>
      <c r="AB1371" s="222">
        <f t="shared" si="189"/>
        <v>0</v>
      </c>
      <c r="AC1371" s="230">
        <f t="shared" si="190"/>
        <v>0</v>
      </c>
      <c r="AD1371" s="222" t="str">
        <f t="shared" si="191"/>
        <v/>
      </c>
      <c r="AE1371" s="201"/>
      <c r="AF1371" s="231" t="str">
        <f>+IFERROR(VLOOKUP(L1371,Data!$F$4:$G$97,2,0),"")</f>
        <v/>
      </c>
    </row>
    <row r="1372" spans="9:32" ht="15" customHeight="1" x14ac:dyDescent="0.3">
      <c r="I1372" s="201" t="str">
        <f t="shared" si="184"/>
        <v/>
      </c>
      <c r="J1372" s="218">
        <f t="shared" si="185"/>
        <v>1369</v>
      </c>
      <c r="K1372" s="250"/>
      <c r="L1372" s="219"/>
      <c r="M1372" s="218"/>
      <c r="N1372" s="220" t="str">
        <f>IFERROR(VLOOKUP(M1372,Data!$C$4:$D$395,2,0),"")</f>
        <v/>
      </c>
      <c r="O1372" s="220"/>
      <c r="P1372" s="229"/>
      <c r="Q1372" s="221"/>
      <c r="R1372" s="222" t="str">
        <f t="shared" si="186"/>
        <v>-</v>
      </c>
      <c r="S1372" s="223"/>
      <c r="T1372" s="224"/>
      <c r="U1372" s="225">
        <f t="shared" si="187"/>
        <v>0</v>
      </c>
      <c r="V1372" s="226">
        <v>0</v>
      </c>
      <c r="W1372" s="227"/>
      <c r="X1372" s="228">
        <f t="shared" si="188"/>
        <v>0</v>
      </c>
      <c r="Y1372" s="229"/>
      <c r="Z1372" s="229"/>
      <c r="AA1372" s="229"/>
      <c r="AB1372" s="222">
        <f t="shared" si="189"/>
        <v>0</v>
      </c>
      <c r="AC1372" s="230">
        <f t="shared" si="190"/>
        <v>0</v>
      </c>
      <c r="AD1372" s="222" t="str">
        <f t="shared" si="191"/>
        <v/>
      </c>
      <c r="AE1372" s="201"/>
      <c r="AF1372" s="231" t="str">
        <f>+IFERROR(VLOOKUP(L1372,Data!$F$4:$G$97,2,0),"")</f>
        <v/>
      </c>
    </row>
    <row r="1373" spans="9:32" ht="15" customHeight="1" x14ac:dyDescent="0.3">
      <c r="I1373" s="201" t="str">
        <f t="shared" si="184"/>
        <v/>
      </c>
      <c r="J1373" s="218">
        <f t="shared" si="185"/>
        <v>1370</v>
      </c>
      <c r="K1373" s="250"/>
      <c r="L1373" s="219"/>
      <c r="M1373" s="218"/>
      <c r="N1373" s="220" t="str">
        <f>IFERROR(VLOOKUP(M1373,Data!$C$4:$D$395,2,0),"")</f>
        <v/>
      </c>
      <c r="O1373" s="220"/>
      <c r="P1373" s="229"/>
      <c r="Q1373" s="221"/>
      <c r="R1373" s="222" t="str">
        <f t="shared" si="186"/>
        <v>-</v>
      </c>
      <c r="S1373" s="223"/>
      <c r="T1373" s="224"/>
      <c r="U1373" s="225">
        <f t="shared" si="187"/>
        <v>0</v>
      </c>
      <c r="V1373" s="226">
        <v>0</v>
      </c>
      <c r="W1373" s="227"/>
      <c r="X1373" s="228">
        <f t="shared" si="188"/>
        <v>0</v>
      </c>
      <c r="Y1373" s="229"/>
      <c r="Z1373" s="229"/>
      <c r="AA1373" s="229"/>
      <c r="AB1373" s="222">
        <f t="shared" si="189"/>
        <v>0</v>
      </c>
      <c r="AC1373" s="230">
        <f t="shared" si="190"/>
        <v>0</v>
      </c>
      <c r="AD1373" s="222" t="str">
        <f t="shared" si="191"/>
        <v/>
      </c>
      <c r="AE1373" s="201"/>
      <c r="AF1373" s="231" t="str">
        <f>+IFERROR(VLOOKUP(L1373,Data!$F$4:$G$97,2,0),"")</f>
        <v/>
      </c>
    </row>
    <row r="1374" spans="9:32" ht="15" customHeight="1" x14ac:dyDescent="0.3">
      <c r="I1374" s="201" t="str">
        <f t="shared" si="184"/>
        <v/>
      </c>
      <c r="J1374" s="218">
        <f t="shared" si="185"/>
        <v>1371</v>
      </c>
      <c r="K1374" s="250"/>
      <c r="L1374" s="219"/>
      <c r="M1374" s="218"/>
      <c r="N1374" s="220" t="str">
        <f>IFERROR(VLOOKUP(M1374,Data!$C$4:$D$395,2,0),"")</f>
        <v/>
      </c>
      <c r="O1374" s="220"/>
      <c r="P1374" s="229"/>
      <c r="Q1374" s="221"/>
      <c r="R1374" s="222" t="str">
        <f t="shared" si="186"/>
        <v>-</v>
      </c>
      <c r="S1374" s="223"/>
      <c r="T1374" s="224"/>
      <c r="U1374" s="225">
        <f t="shared" si="187"/>
        <v>0</v>
      </c>
      <c r="V1374" s="226">
        <v>0</v>
      </c>
      <c r="W1374" s="227"/>
      <c r="X1374" s="228">
        <f t="shared" si="188"/>
        <v>0</v>
      </c>
      <c r="Y1374" s="229"/>
      <c r="Z1374" s="229"/>
      <c r="AA1374" s="229"/>
      <c r="AB1374" s="222">
        <f t="shared" si="189"/>
        <v>0</v>
      </c>
      <c r="AC1374" s="230">
        <f t="shared" si="190"/>
        <v>0</v>
      </c>
      <c r="AD1374" s="222" t="str">
        <f t="shared" si="191"/>
        <v/>
      </c>
      <c r="AE1374" s="201"/>
      <c r="AF1374" s="231" t="str">
        <f>+IFERROR(VLOOKUP(L1374,Data!$F$4:$G$97,2,0),"")</f>
        <v/>
      </c>
    </row>
    <row r="1375" spans="9:32" ht="15" customHeight="1" x14ac:dyDescent="0.3">
      <c r="I1375" s="201" t="str">
        <f t="shared" si="184"/>
        <v/>
      </c>
      <c r="J1375" s="218">
        <f t="shared" si="185"/>
        <v>1372</v>
      </c>
      <c r="K1375" s="250"/>
      <c r="L1375" s="219"/>
      <c r="M1375" s="218"/>
      <c r="N1375" s="220" t="str">
        <f>IFERROR(VLOOKUP(M1375,Data!$C$4:$D$395,2,0),"")</f>
        <v/>
      </c>
      <c r="O1375" s="220"/>
      <c r="P1375" s="229"/>
      <c r="Q1375" s="221"/>
      <c r="R1375" s="222" t="str">
        <f t="shared" si="186"/>
        <v>-</v>
      </c>
      <c r="S1375" s="223"/>
      <c r="T1375" s="224"/>
      <c r="U1375" s="225">
        <f t="shared" si="187"/>
        <v>0</v>
      </c>
      <c r="V1375" s="226">
        <v>0</v>
      </c>
      <c r="W1375" s="227"/>
      <c r="X1375" s="228">
        <f t="shared" si="188"/>
        <v>0</v>
      </c>
      <c r="Y1375" s="229"/>
      <c r="Z1375" s="229"/>
      <c r="AA1375" s="229"/>
      <c r="AB1375" s="222">
        <f t="shared" si="189"/>
        <v>0</v>
      </c>
      <c r="AC1375" s="230">
        <f t="shared" si="190"/>
        <v>0</v>
      </c>
      <c r="AD1375" s="222" t="str">
        <f t="shared" si="191"/>
        <v/>
      </c>
      <c r="AE1375" s="201"/>
      <c r="AF1375" s="231" t="str">
        <f>+IFERROR(VLOOKUP(L1375,Data!$F$4:$G$97,2,0),"")</f>
        <v/>
      </c>
    </row>
    <row r="1376" spans="9:32" ht="15" customHeight="1" x14ac:dyDescent="0.3">
      <c r="I1376" s="201" t="str">
        <f t="shared" si="184"/>
        <v/>
      </c>
      <c r="J1376" s="218">
        <f t="shared" si="185"/>
        <v>1373</v>
      </c>
      <c r="K1376" s="250"/>
      <c r="L1376" s="219"/>
      <c r="M1376" s="218"/>
      <c r="N1376" s="220" t="str">
        <f>IFERROR(VLOOKUP(M1376,Data!$C$4:$D$395,2,0),"")</f>
        <v/>
      </c>
      <c r="O1376" s="220"/>
      <c r="P1376" s="229"/>
      <c r="Q1376" s="221"/>
      <c r="R1376" s="222" t="str">
        <f t="shared" si="186"/>
        <v>-</v>
      </c>
      <c r="S1376" s="223"/>
      <c r="T1376" s="224"/>
      <c r="U1376" s="225">
        <f t="shared" si="187"/>
        <v>0</v>
      </c>
      <c r="V1376" s="226">
        <v>0</v>
      </c>
      <c r="W1376" s="227"/>
      <c r="X1376" s="228">
        <f t="shared" si="188"/>
        <v>0</v>
      </c>
      <c r="Y1376" s="229"/>
      <c r="Z1376" s="229"/>
      <c r="AA1376" s="229"/>
      <c r="AB1376" s="222">
        <f t="shared" si="189"/>
        <v>0</v>
      </c>
      <c r="AC1376" s="230">
        <f t="shared" si="190"/>
        <v>0</v>
      </c>
      <c r="AD1376" s="222" t="str">
        <f t="shared" si="191"/>
        <v/>
      </c>
      <c r="AE1376" s="201"/>
      <c r="AF1376" s="231" t="str">
        <f>+IFERROR(VLOOKUP(L1376,Data!$F$4:$G$97,2,0),"")</f>
        <v/>
      </c>
    </row>
    <row r="1377" spans="9:32" ht="15" customHeight="1" x14ac:dyDescent="0.3">
      <c r="I1377" s="201" t="str">
        <f t="shared" si="184"/>
        <v/>
      </c>
      <c r="J1377" s="218">
        <f t="shared" si="185"/>
        <v>1374</v>
      </c>
      <c r="K1377" s="250"/>
      <c r="L1377" s="219"/>
      <c r="M1377" s="218"/>
      <c r="N1377" s="220" t="str">
        <f>IFERROR(VLOOKUP(M1377,Data!$C$4:$D$395,2,0),"")</f>
        <v/>
      </c>
      <c r="O1377" s="220"/>
      <c r="P1377" s="229"/>
      <c r="Q1377" s="221"/>
      <c r="R1377" s="222" t="str">
        <f t="shared" si="186"/>
        <v>-</v>
      </c>
      <c r="S1377" s="223"/>
      <c r="T1377" s="224"/>
      <c r="U1377" s="225">
        <f t="shared" si="187"/>
        <v>0</v>
      </c>
      <c r="V1377" s="226">
        <v>0</v>
      </c>
      <c r="W1377" s="227"/>
      <c r="X1377" s="228">
        <f t="shared" si="188"/>
        <v>0</v>
      </c>
      <c r="Y1377" s="229"/>
      <c r="Z1377" s="229"/>
      <c r="AA1377" s="229"/>
      <c r="AB1377" s="222">
        <f t="shared" si="189"/>
        <v>0</v>
      </c>
      <c r="AC1377" s="230">
        <f t="shared" si="190"/>
        <v>0</v>
      </c>
      <c r="AD1377" s="222" t="str">
        <f t="shared" si="191"/>
        <v/>
      </c>
      <c r="AE1377" s="201"/>
      <c r="AF1377" s="231" t="str">
        <f>+IFERROR(VLOOKUP(L1377,Data!$F$4:$G$97,2,0),"")</f>
        <v/>
      </c>
    </row>
    <row r="1378" spans="9:32" ht="15" customHeight="1" x14ac:dyDescent="0.3">
      <c r="I1378" s="201" t="str">
        <f t="shared" si="184"/>
        <v/>
      </c>
      <c r="J1378" s="218">
        <f t="shared" si="185"/>
        <v>1375</v>
      </c>
      <c r="K1378" s="250"/>
      <c r="L1378" s="219"/>
      <c r="M1378" s="218"/>
      <c r="N1378" s="220" t="str">
        <f>IFERROR(VLOOKUP(M1378,Data!$C$4:$D$395,2,0),"")</f>
        <v/>
      </c>
      <c r="O1378" s="220"/>
      <c r="P1378" s="229"/>
      <c r="Q1378" s="221"/>
      <c r="R1378" s="222" t="str">
        <f t="shared" si="186"/>
        <v>-</v>
      </c>
      <c r="S1378" s="223"/>
      <c r="T1378" s="224"/>
      <c r="U1378" s="225">
        <f t="shared" si="187"/>
        <v>0</v>
      </c>
      <c r="V1378" s="226">
        <v>0</v>
      </c>
      <c r="W1378" s="227"/>
      <c r="X1378" s="228">
        <f t="shared" si="188"/>
        <v>0</v>
      </c>
      <c r="Y1378" s="229"/>
      <c r="Z1378" s="229"/>
      <c r="AA1378" s="229"/>
      <c r="AB1378" s="222">
        <f t="shared" si="189"/>
        <v>0</v>
      </c>
      <c r="AC1378" s="230">
        <f t="shared" si="190"/>
        <v>0</v>
      </c>
      <c r="AD1378" s="222" t="str">
        <f t="shared" si="191"/>
        <v/>
      </c>
      <c r="AE1378" s="201"/>
      <c r="AF1378" s="231" t="str">
        <f>+IFERROR(VLOOKUP(L1378,Data!$F$4:$G$97,2,0),"")</f>
        <v/>
      </c>
    </row>
    <row r="1379" spans="9:32" ht="15" customHeight="1" x14ac:dyDescent="0.3">
      <c r="I1379" s="201" t="str">
        <f t="shared" si="184"/>
        <v/>
      </c>
      <c r="J1379" s="218">
        <f t="shared" si="185"/>
        <v>1376</v>
      </c>
      <c r="K1379" s="250"/>
      <c r="L1379" s="219"/>
      <c r="M1379" s="218"/>
      <c r="N1379" s="220" t="str">
        <f>IFERROR(VLOOKUP(M1379,Data!$C$4:$D$395,2,0),"")</f>
        <v/>
      </c>
      <c r="O1379" s="220"/>
      <c r="P1379" s="229"/>
      <c r="Q1379" s="221"/>
      <c r="R1379" s="222" t="str">
        <f t="shared" si="186"/>
        <v>-</v>
      </c>
      <c r="S1379" s="223"/>
      <c r="T1379" s="224"/>
      <c r="U1379" s="225">
        <f t="shared" si="187"/>
        <v>0</v>
      </c>
      <c r="V1379" s="226">
        <v>0</v>
      </c>
      <c r="W1379" s="227"/>
      <c r="X1379" s="228">
        <f t="shared" si="188"/>
        <v>0</v>
      </c>
      <c r="Y1379" s="229"/>
      <c r="Z1379" s="229"/>
      <c r="AA1379" s="229"/>
      <c r="AB1379" s="222">
        <f t="shared" si="189"/>
        <v>0</v>
      </c>
      <c r="AC1379" s="230">
        <f t="shared" si="190"/>
        <v>0</v>
      </c>
      <c r="AD1379" s="222" t="str">
        <f t="shared" si="191"/>
        <v/>
      </c>
      <c r="AE1379" s="201"/>
      <c r="AF1379" s="231" t="str">
        <f>+IFERROR(VLOOKUP(L1379,Data!$F$4:$G$97,2,0),"")</f>
        <v/>
      </c>
    </row>
    <row r="1380" spans="9:32" ht="15" customHeight="1" x14ac:dyDescent="0.3">
      <c r="I1380" s="201" t="str">
        <f t="shared" si="184"/>
        <v/>
      </c>
      <c r="J1380" s="218">
        <f t="shared" si="185"/>
        <v>1377</v>
      </c>
      <c r="K1380" s="250"/>
      <c r="L1380" s="219"/>
      <c r="M1380" s="218"/>
      <c r="N1380" s="220" t="str">
        <f>IFERROR(VLOOKUP(M1380,Data!$C$4:$D$395,2,0),"")</f>
        <v/>
      </c>
      <c r="O1380" s="220"/>
      <c r="P1380" s="229"/>
      <c r="Q1380" s="221"/>
      <c r="R1380" s="222" t="str">
        <f t="shared" si="186"/>
        <v>-</v>
      </c>
      <c r="S1380" s="223"/>
      <c r="T1380" s="224"/>
      <c r="U1380" s="225">
        <f t="shared" si="187"/>
        <v>0</v>
      </c>
      <c r="V1380" s="226">
        <v>0</v>
      </c>
      <c r="W1380" s="227"/>
      <c r="X1380" s="228">
        <f t="shared" si="188"/>
        <v>0</v>
      </c>
      <c r="Y1380" s="229"/>
      <c r="Z1380" s="229"/>
      <c r="AA1380" s="229"/>
      <c r="AB1380" s="222">
        <f t="shared" si="189"/>
        <v>0</v>
      </c>
      <c r="AC1380" s="230">
        <f t="shared" si="190"/>
        <v>0</v>
      </c>
      <c r="AD1380" s="222" t="str">
        <f t="shared" si="191"/>
        <v/>
      </c>
      <c r="AE1380" s="201"/>
      <c r="AF1380" s="231" t="str">
        <f>+IFERROR(VLOOKUP(L1380,Data!$F$4:$G$97,2,0),"")</f>
        <v/>
      </c>
    </row>
    <row r="1381" spans="9:32" ht="15" customHeight="1" x14ac:dyDescent="0.3">
      <c r="I1381" s="201" t="str">
        <f t="shared" si="184"/>
        <v/>
      </c>
      <c r="J1381" s="218">
        <f t="shared" si="185"/>
        <v>1378</v>
      </c>
      <c r="K1381" s="250"/>
      <c r="L1381" s="219"/>
      <c r="M1381" s="218"/>
      <c r="N1381" s="220" t="str">
        <f>IFERROR(VLOOKUP(M1381,Data!$C$4:$D$395,2,0),"")</f>
        <v/>
      </c>
      <c r="O1381" s="220"/>
      <c r="P1381" s="229"/>
      <c r="Q1381" s="221"/>
      <c r="R1381" s="222" t="str">
        <f t="shared" si="186"/>
        <v>-</v>
      </c>
      <c r="S1381" s="223"/>
      <c r="T1381" s="224"/>
      <c r="U1381" s="225">
        <f t="shared" si="187"/>
        <v>0</v>
      </c>
      <c r="V1381" s="226">
        <v>0</v>
      </c>
      <c r="W1381" s="227"/>
      <c r="X1381" s="228">
        <f t="shared" si="188"/>
        <v>0</v>
      </c>
      <c r="Y1381" s="229"/>
      <c r="Z1381" s="229"/>
      <c r="AA1381" s="229"/>
      <c r="AB1381" s="222">
        <f t="shared" si="189"/>
        <v>0</v>
      </c>
      <c r="AC1381" s="230">
        <f t="shared" si="190"/>
        <v>0</v>
      </c>
      <c r="AD1381" s="222" t="str">
        <f t="shared" si="191"/>
        <v/>
      </c>
      <c r="AE1381" s="201"/>
      <c r="AF1381" s="231" t="str">
        <f>+IFERROR(VLOOKUP(L1381,Data!$F$4:$G$97,2,0),"")</f>
        <v/>
      </c>
    </row>
    <row r="1382" spans="9:32" ht="15" customHeight="1" x14ac:dyDescent="0.3">
      <c r="I1382" s="201" t="str">
        <f t="shared" si="184"/>
        <v/>
      </c>
      <c r="J1382" s="218">
        <f t="shared" si="185"/>
        <v>1379</v>
      </c>
      <c r="K1382" s="250"/>
      <c r="L1382" s="219"/>
      <c r="M1382" s="218"/>
      <c r="N1382" s="220" t="str">
        <f>IFERROR(VLOOKUP(M1382,Data!$C$4:$D$395,2,0),"")</f>
        <v/>
      </c>
      <c r="O1382" s="220"/>
      <c r="P1382" s="229"/>
      <c r="Q1382" s="221"/>
      <c r="R1382" s="222" t="str">
        <f t="shared" si="186"/>
        <v>-</v>
      </c>
      <c r="S1382" s="223"/>
      <c r="T1382" s="224"/>
      <c r="U1382" s="225">
        <f t="shared" si="187"/>
        <v>0</v>
      </c>
      <c r="V1382" s="226">
        <v>0</v>
      </c>
      <c r="W1382" s="227"/>
      <c r="X1382" s="228">
        <f t="shared" si="188"/>
        <v>0</v>
      </c>
      <c r="Y1382" s="229"/>
      <c r="Z1382" s="229"/>
      <c r="AA1382" s="229"/>
      <c r="AB1382" s="222">
        <f t="shared" si="189"/>
        <v>0</v>
      </c>
      <c r="AC1382" s="230">
        <f t="shared" si="190"/>
        <v>0</v>
      </c>
      <c r="AD1382" s="222" t="str">
        <f t="shared" si="191"/>
        <v/>
      </c>
      <c r="AE1382" s="201"/>
      <c r="AF1382" s="231" t="str">
        <f>+IFERROR(VLOOKUP(L1382,Data!$F$4:$G$97,2,0),"")</f>
        <v/>
      </c>
    </row>
    <row r="1383" spans="9:32" ht="15" customHeight="1" x14ac:dyDescent="0.3">
      <c r="I1383" s="201" t="str">
        <f t="shared" si="184"/>
        <v/>
      </c>
      <c r="J1383" s="218">
        <f t="shared" si="185"/>
        <v>1380</v>
      </c>
      <c r="K1383" s="250"/>
      <c r="L1383" s="219"/>
      <c r="M1383" s="218"/>
      <c r="N1383" s="220" t="str">
        <f>IFERROR(VLOOKUP(M1383,Data!$C$4:$D$395,2,0),"")</f>
        <v/>
      </c>
      <c r="O1383" s="220"/>
      <c r="P1383" s="229"/>
      <c r="Q1383" s="221"/>
      <c r="R1383" s="222" t="str">
        <f t="shared" si="186"/>
        <v>-</v>
      </c>
      <c r="S1383" s="223"/>
      <c r="T1383" s="224"/>
      <c r="U1383" s="225">
        <f t="shared" si="187"/>
        <v>0</v>
      </c>
      <c r="V1383" s="226">
        <v>0</v>
      </c>
      <c r="W1383" s="227"/>
      <c r="X1383" s="228">
        <f t="shared" si="188"/>
        <v>0</v>
      </c>
      <c r="Y1383" s="229"/>
      <c r="Z1383" s="229"/>
      <c r="AA1383" s="229"/>
      <c r="AB1383" s="222">
        <f t="shared" si="189"/>
        <v>0</v>
      </c>
      <c r="AC1383" s="230">
        <f t="shared" si="190"/>
        <v>0</v>
      </c>
      <c r="AD1383" s="222" t="str">
        <f t="shared" si="191"/>
        <v/>
      </c>
      <c r="AE1383" s="201"/>
      <c r="AF1383" s="231" t="str">
        <f>+IFERROR(VLOOKUP(L1383,Data!$F$4:$G$97,2,0),"")</f>
        <v/>
      </c>
    </row>
    <row r="1384" spans="9:32" ht="15" customHeight="1" x14ac:dyDescent="0.3">
      <c r="I1384" s="201" t="str">
        <f t="shared" si="184"/>
        <v/>
      </c>
      <c r="J1384" s="218">
        <f t="shared" si="185"/>
        <v>1381</v>
      </c>
      <c r="K1384" s="250"/>
      <c r="L1384" s="219"/>
      <c r="M1384" s="218"/>
      <c r="N1384" s="220" t="str">
        <f>IFERROR(VLOOKUP(M1384,Data!$C$4:$D$395,2,0),"")</f>
        <v/>
      </c>
      <c r="O1384" s="220"/>
      <c r="P1384" s="229"/>
      <c r="Q1384" s="221"/>
      <c r="R1384" s="222" t="str">
        <f t="shared" si="186"/>
        <v>-</v>
      </c>
      <c r="S1384" s="223"/>
      <c r="T1384" s="224"/>
      <c r="U1384" s="225">
        <f t="shared" si="187"/>
        <v>0</v>
      </c>
      <c r="V1384" s="226">
        <v>0</v>
      </c>
      <c r="W1384" s="227"/>
      <c r="X1384" s="228">
        <f t="shared" si="188"/>
        <v>0</v>
      </c>
      <c r="Y1384" s="229"/>
      <c r="Z1384" s="229"/>
      <c r="AA1384" s="229"/>
      <c r="AB1384" s="222">
        <f t="shared" si="189"/>
        <v>0</v>
      </c>
      <c r="AC1384" s="230">
        <f t="shared" si="190"/>
        <v>0</v>
      </c>
      <c r="AD1384" s="222" t="str">
        <f t="shared" si="191"/>
        <v/>
      </c>
      <c r="AE1384" s="201"/>
      <c r="AF1384" s="231" t="str">
        <f>+IFERROR(VLOOKUP(L1384,Data!$F$4:$G$97,2,0),"")</f>
        <v/>
      </c>
    </row>
    <row r="1385" spans="9:32" ht="15" customHeight="1" x14ac:dyDescent="0.3">
      <c r="I1385" s="201" t="str">
        <f t="shared" si="184"/>
        <v/>
      </c>
      <c r="J1385" s="218">
        <f t="shared" si="185"/>
        <v>1382</v>
      </c>
      <c r="K1385" s="250"/>
      <c r="L1385" s="219"/>
      <c r="M1385" s="218"/>
      <c r="N1385" s="220" t="str">
        <f>IFERROR(VLOOKUP(M1385,Data!$C$4:$D$395,2,0),"")</f>
        <v/>
      </c>
      <c r="O1385" s="220"/>
      <c r="P1385" s="229"/>
      <c r="Q1385" s="221"/>
      <c r="R1385" s="222" t="str">
        <f t="shared" si="186"/>
        <v>-</v>
      </c>
      <c r="S1385" s="223"/>
      <c r="T1385" s="224"/>
      <c r="U1385" s="225">
        <f t="shared" si="187"/>
        <v>0</v>
      </c>
      <c r="V1385" s="226">
        <v>0</v>
      </c>
      <c r="W1385" s="227"/>
      <c r="X1385" s="228">
        <f t="shared" si="188"/>
        <v>0</v>
      </c>
      <c r="Y1385" s="229"/>
      <c r="Z1385" s="229"/>
      <c r="AA1385" s="229"/>
      <c r="AB1385" s="222">
        <f t="shared" si="189"/>
        <v>0</v>
      </c>
      <c r="AC1385" s="230">
        <f t="shared" si="190"/>
        <v>0</v>
      </c>
      <c r="AD1385" s="222" t="str">
        <f t="shared" si="191"/>
        <v/>
      </c>
      <c r="AE1385" s="201"/>
      <c r="AF1385" s="231" t="str">
        <f>+IFERROR(VLOOKUP(L1385,Data!$F$4:$G$97,2,0),"")</f>
        <v/>
      </c>
    </row>
    <row r="1386" spans="9:32" ht="15" customHeight="1" x14ac:dyDescent="0.3">
      <c r="I1386" s="201" t="str">
        <f t="shared" si="184"/>
        <v/>
      </c>
      <c r="J1386" s="218">
        <f t="shared" si="185"/>
        <v>1383</v>
      </c>
      <c r="K1386" s="250"/>
      <c r="L1386" s="219"/>
      <c r="M1386" s="218"/>
      <c r="N1386" s="220" t="str">
        <f>IFERROR(VLOOKUP(M1386,Data!$C$4:$D$395,2,0),"")</f>
        <v/>
      </c>
      <c r="O1386" s="220"/>
      <c r="P1386" s="229"/>
      <c r="Q1386" s="221"/>
      <c r="R1386" s="222" t="str">
        <f t="shared" si="186"/>
        <v>-</v>
      </c>
      <c r="S1386" s="223"/>
      <c r="T1386" s="224"/>
      <c r="U1386" s="225">
        <f t="shared" si="187"/>
        <v>0</v>
      </c>
      <c r="V1386" s="226">
        <v>0</v>
      </c>
      <c r="W1386" s="227"/>
      <c r="X1386" s="228">
        <f t="shared" si="188"/>
        <v>0</v>
      </c>
      <c r="Y1386" s="229"/>
      <c r="Z1386" s="229"/>
      <c r="AA1386" s="229"/>
      <c r="AB1386" s="222">
        <f t="shared" si="189"/>
        <v>0</v>
      </c>
      <c r="AC1386" s="230">
        <f t="shared" si="190"/>
        <v>0</v>
      </c>
      <c r="AD1386" s="222" t="str">
        <f t="shared" si="191"/>
        <v/>
      </c>
      <c r="AE1386" s="201"/>
      <c r="AF1386" s="231" t="str">
        <f>+IFERROR(VLOOKUP(L1386,Data!$F$4:$G$97,2,0),"")</f>
        <v/>
      </c>
    </row>
    <row r="1387" spans="9:32" ht="15" customHeight="1" x14ac:dyDescent="0.3">
      <c r="I1387" s="201" t="str">
        <f t="shared" si="184"/>
        <v/>
      </c>
      <c r="J1387" s="218">
        <f t="shared" si="185"/>
        <v>1384</v>
      </c>
      <c r="K1387" s="250"/>
      <c r="L1387" s="219"/>
      <c r="M1387" s="218"/>
      <c r="N1387" s="220" t="str">
        <f>IFERROR(VLOOKUP(M1387,Data!$C$4:$D$395,2,0),"")</f>
        <v/>
      </c>
      <c r="O1387" s="220"/>
      <c r="P1387" s="229"/>
      <c r="Q1387" s="221"/>
      <c r="R1387" s="222" t="str">
        <f t="shared" si="186"/>
        <v>-</v>
      </c>
      <c r="S1387" s="223"/>
      <c r="T1387" s="224"/>
      <c r="U1387" s="225">
        <f t="shared" si="187"/>
        <v>0</v>
      </c>
      <c r="V1387" s="226">
        <v>0</v>
      </c>
      <c r="W1387" s="227"/>
      <c r="X1387" s="228">
        <f t="shared" si="188"/>
        <v>0</v>
      </c>
      <c r="Y1387" s="229"/>
      <c r="Z1387" s="229"/>
      <c r="AA1387" s="229"/>
      <c r="AB1387" s="222">
        <f t="shared" si="189"/>
        <v>0</v>
      </c>
      <c r="AC1387" s="230">
        <f t="shared" si="190"/>
        <v>0</v>
      </c>
      <c r="AD1387" s="222" t="str">
        <f t="shared" si="191"/>
        <v/>
      </c>
      <c r="AE1387" s="201"/>
      <c r="AF1387" s="231" t="str">
        <f>+IFERROR(VLOOKUP(L1387,Data!$F$4:$G$97,2,0),"")</f>
        <v/>
      </c>
    </row>
    <row r="1388" spans="9:32" ht="15" customHeight="1" x14ac:dyDescent="0.3">
      <c r="I1388" s="201" t="str">
        <f t="shared" si="184"/>
        <v/>
      </c>
      <c r="J1388" s="218">
        <f t="shared" si="185"/>
        <v>1385</v>
      </c>
      <c r="K1388" s="250"/>
      <c r="L1388" s="219"/>
      <c r="M1388" s="218"/>
      <c r="N1388" s="220" t="str">
        <f>IFERROR(VLOOKUP(M1388,Data!$C$4:$D$395,2,0),"")</f>
        <v/>
      </c>
      <c r="O1388" s="220"/>
      <c r="P1388" s="229"/>
      <c r="Q1388" s="221"/>
      <c r="R1388" s="222" t="str">
        <f t="shared" si="186"/>
        <v>-</v>
      </c>
      <c r="S1388" s="223"/>
      <c r="T1388" s="224"/>
      <c r="U1388" s="225">
        <f t="shared" si="187"/>
        <v>0</v>
      </c>
      <c r="V1388" s="226">
        <v>0</v>
      </c>
      <c r="W1388" s="227"/>
      <c r="X1388" s="228">
        <f t="shared" si="188"/>
        <v>0</v>
      </c>
      <c r="Y1388" s="229"/>
      <c r="Z1388" s="229"/>
      <c r="AA1388" s="229"/>
      <c r="AB1388" s="222">
        <f t="shared" si="189"/>
        <v>0</v>
      </c>
      <c r="AC1388" s="230">
        <f t="shared" si="190"/>
        <v>0</v>
      </c>
      <c r="AD1388" s="222" t="str">
        <f t="shared" si="191"/>
        <v/>
      </c>
      <c r="AE1388" s="201"/>
      <c r="AF1388" s="231" t="str">
        <f>+IFERROR(VLOOKUP(L1388,Data!$F$4:$G$97,2,0),"")</f>
        <v/>
      </c>
    </row>
    <row r="1389" spans="9:32" ht="15" customHeight="1" x14ac:dyDescent="0.3">
      <c r="I1389" s="201" t="str">
        <f t="shared" si="184"/>
        <v/>
      </c>
      <c r="J1389" s="218">
        <f t="shared" si="185"/>
        <v>1386</v>
      </c>
      <c r="K1389" s="250"/>
      <c r="L1389" s="219"/>
      <c r="M1389" s="218"/>
      <c r="N1389" s="220" t="str">
        <f>IFERROR(VLOOKUP(M1389,Data!$C$4:$D$395,2,0),"")</f>
        <v/>
      </c>
      <c r="O1389" s="220"/>
      <c r="P1389" s="229"/>
      <c r="Q1389" s="221"/>
      <c r="R1389" s="222" t="str">
        <f t="shared" si="186"/>
        <v>-</v>
      </c>
      <c r="S1389" s="223"/>
      <c r="T1389" s="224"/>
      <c r="U1389" s="225">
        <f t="shared" si="187"/>
        <v>0</v>
      </c>
      <c r="V1389" s="226">
        <v>0</v>
      </c>
      <c r="W1389" s="227"/>
      <c r="X1389" s="228">
        <f t="shared" si="188"/>
        <v>0</v>
      </c>
      <c r="Y1389" s="229"/>
      <c r="Z1389" s="229"/>
      <c r="AA1389" s="229"/>
      <c r="AB1389" s="222">
        <f t="shared" si="189"/>
        <v>0</v>
      </c>
      <c r="AC1389" s="230">
        <f t="shared" si="190"/>
        <v>0</v>
      </c>
      <c r="AD1389" s="222" t="str">
        <f t="shared" si="191"/>
        <v/>
      </c>
      <c r="AE1389" s="201"/>
      <c r="AF1389" s="231" t="str">
        <f>+IFERROR(VLOOKUP(L1389,Data!$F$4:$G$97,2,0),"")</f>
        <v/>
      </c>
    </row>
    <row r="1390" spans="9:32" ht="15" customHeight="1" x14ac:dyDescent="0.3">
      <c r="I1390" s="201" t="str">
        <f t="shared" si="184"/>
        <v/>
      </c>
      <c r="J1390" s="218">
        <f t="shared" si="185"/>
        <v>1387</v>
      </c>
      <c r="K1390" s="250"/>
      <c r="L1390" s="219"/>
      <c r="M1390" s="218"/>
      <c r="N1390" s="220" t="str">
        <f>IFERROR(VLOOKUP(M1390,Data!$C$4:$D$395,2,0),"")</f>
        <v/>
      </c>
      <c r="O1390" s="220"/>
      <c r="P1390" s="229"/>
      <c r="Q1390" s="221"/>
      <c r="R1390" s="222" t="str">
        <f t="shared" si="186"/>
        <v>-</v>
      </c>
      <c r="S1390" s="223"/>
      <c r="T1390" s="224"/>
      <c r="U1390" s="225">
        <f t="shared" si="187"/>
        <v>0</v>
      </c>
      <c r="V1390" s="226">
        <v>0</v>
      </c>
      <c r="W1390" s="227"/>
      <c r="X1390" s="228">
        <f t="shared" si="188"/>
        <v>0</v>
      </c>
      <c r="Y1390" s="229"/>
      <c r="Z1390" s="229"/>
      <c r="AA1390" s="229"/>
      <c r="AB1390" s="222">
        <f t="shared" si="189"/>
        <v>0</v>
      </c>
      <c r="AC1390" s="230">
        <f t="shared" si="190"/>
        <v>0</v>
      </c>
      <c r="AD1390" s="222" t="str">
        <f t="shared" si="191"/>
        <v/>
      </c>
      <c r="AE1390" s="201"/>
      <c r="AF1390" s="231" t="str">
        <f>+IFERROR(VLOOKUP(L1390,Data!$F$4:$G$97,2,0),"")</f>
        <v/>
      </c>
    </row>
    <row r="1391" spans="9:32" ht="15" customHeight="1" x14ac:dyDescent="0.3">
      <c r="I1391" s="201" t="str">
        <f t="shared" si="184"/>
        <v/>
      </c>
      <c r="J1391" s="218">
        <f t="shared" si="185"/>
        <v>1388</v>
      </c>
      <c r="K1391" s="250"/>
      <c r="L1391" s="219"/>
      <c r="M1391" s="218"/>
      <c r="N1391" s="220" t="str">
        <f>IFERROR(VLOOKUP(M1391,Data!$C$4:$D$395,2,0),"")</f>
        <v/>
      </c>
      <c r="O1391" s="220"/>
      <c r="P1391" s="229"/>
      <c r="Q1391" s="221"/>
      <c r="R1391" s="222" t="str">
        <f t="shared" si="186"/>
        <v>-</v>
      </c>
      <c r="S1391" s="223"/>
      <c r="T1391" s="224"/>
      <c r="U1391" s="225">
        <f t="shared" si="187"/>
        <v>0</v>
      </c>
      <c r="V1391" s="226">
        <v>0</v>
      </c>
      <c r="W1391" s="227"/>
      <c r="X1391" s="228">
        <f t="shared" si="188"/>
        <v>0</v>
      </c>
      <c r="Y1391" s="229"/>
      <c r="Z1391" s="229"/>
      <c r="AA1391" s="229"/>
      <c r="AB1391" s="222">
        <f t="shared" si="189"/>
        <v>0</v>
      </c>
      <c r="AC1391" s="230">
        <f t="shared" si="190"/>
        <v>0</v>
      </c>
      <c r="AD1391" s="222" t="str">
        <f t="shared" si="191"/>
        <v/>
      </c>
      <c r="AE1391" s="201"/>
      <c r="AF1391" s="231" t="str">
        <f>+IFERROR(VLOOKUP(L1391,Data!$F$4:$G$97,2,0),"")</f>
        <v/>
      </c>
    </row>
    <row r="1392" spans="9:32" ht="15" customHeight="1" x14ac:dyDescent="0.3">
      <c r="I1392" s="201" t="str">
        <f t="shared" si="184"/>
        <v/>
      </c>
      <c r="J1392" s="218">
        <f t="shared" si="185"/>
        <v>1389</v>
      </c>
      <c r="K1392" s="250"/>
      <c r="L1392" s="219"/>
      <c r="M1392" s="218"/>
      <c r="N1392" s="220" t="str">
        <f>IFERROR(VLOOKUP(M1392,Data!$C$4:$D$395,2,0),"")</f>
        <v/>
      </c>
      <c r="O1392" s="220"/>
      <c r="P1392" s="229"/>
      <c r="Q1392" s="221"/>
      <c r="R1392" s="222" t="str">
        <f t="shared" si="186"/>
        <v>-</v>
      </c>
      <c r="S1392" s="223"/>
      <c r="T1392" s="224"/>
      <c r="U1392" s="225">
        <f t="shared" si="187"/>
        <v>0</v>
      </c>
      <c r="V1392" s="226">
        <v>0</v>
      </c>
      <c r="W1392" s="227"/>
      <c r="X1392" s="228">
        <f t="shared" si="188"/>
        <v>0</v>
      </c>
      <c r="Y1392" s="229"/>
      <c r="Z1392" s="229"/>
      <c r="AA1392" s="229"/>
      <c r="AB1392" s="222">
        <f t="shared" si="189"/>
        <v>0</v>
      </c>
      <c r="AC1392" s="230">
        <f t="shared" si="190"/>
        <v>0</v>
      </c>
      <c r="AD1392" s="222" t="str">
        <f t="shared" si="191"/>
        <v/>
      </c>
      <c r="AE1392" s="201"/>
      <c r="AF1392" s="231" t="str">
        <f>+IFERROR(VLOOKUP(L1392,Data!$F$4:$G$97,2,0),"")</f>
        <v/>
      </c>
    </row>
    <row r="1393" spans="9:32" ht="15" customHeight="1" x14ac:dyDescent="0.3">
      <c r="I1393" s="201" t="str">
        <f t="shared" si="184"/>
        <v/>
      </c>
      <c r="J1393" s="218">
        <f t="shared" si="185"/>
        <v>1390</v>
      </c>
      <c r="K1393" s="250"/>
      <c r="L1393" s="219"/>
      <c r="M1393" s="218"/>
      <c r="N1393" s="220" t="str">
        <f>IFERROR(VLOOKUP(M1393,Data!$C$4:$D$395,2,0),"")</f>
        <v/>
      </c>
      <c r="O1393" s="220"/>
      <c r="P1393" s="229"/>
      <c r="Q1393" s="221"/>
      <c r="R1393" s="222" t="str">
        <f t="shared" si="186"/>
        <v>-</v>
      </c>
      <c r="S1393" s="223"/>
      <c r="T1393" s="224"/>
      <c r="U1393" s="225">
        <f t="shared" si="187"/>
        <v>0</v>
      </c>
      <c r="V1393" s="226">
        <v>0</v>
      </c>
      <c r="W1393" s="227"/>
      <c r="X1393" s="228">
        <f t="shared" si="188"/>
        <v>0</v>
      </c>
      <c r="Y1393" s="229"/>
      <c r="Z1393" s="229"/>
      <c r="AA1393" s="229"/>
      <c r="AB1393" s="222">
        <f t="shared" si="189"/>
        <v>0</v>
      </c>
      <c r="AC1393" s="230">
        <f t="shared" si="190"/>
        <v>0</v>
      </c>
      <c r="AD1393" s="222" t="str">
        <f t="shared" si="191"/>
        <v/>
      </c>
      <c r="AE1393" s="201"/>
      <c r="AF1393" s="231" t="str">
        <f>+IFERROR(VLOOKUP(L1393,Data!$F$4:$G$97,2,0),"")</f>
        <v/>
      </c>
    </row>
    <row r="1394" spans="9:32" ht="15" customHeight="1" x14ac:dyDescent="0.3">
      <c r="I1394" s="201" t="str">
        <f t="shared" si="184"/>
        <v/>
      </c>
      <c r="J1394" s="218">
        <f t="shared" si="185"/>
        <v>1391</v>
      </c>
      <c r="K1394" s="250"/>
      <c r="L1394" s="219"/>
      <c r="M1394" s="218"/>
      <c r="N1394" s="220" t="str">
        <f>IFERROR(VLOOKUP(M1394,Data!$C$4:$D$395,2,0),"")</f>
        <v/>
      </c>
      <c r="O1394" s="220"/>
      <c r="P1394" s="229"/>
      <c r="Q1394" s="221"/>
      <c r="R1394" s="222" t="str">
        <f t="shared" si="186"/>
        <v>-</v>
      </c>
      <c r="S1394" s="223"/>
      <c r="T1394" s="224"/>
      <c r="U1394" s="225">
        <f t="shared" si="187"/>
        <v>0</v>
      </c>
      <c r="V1394" s="226">
        <v>0</v>
      </c>
      <c r="W1394" s="227"/>
      <c r="X1394" s="228">
        <f t="shared" si="188"/>
        <v>0</v>
      </c>
      <c r="Y1394" s="229"/>
      <c r="Z1394" s="229"/>
      <c r="AA1394" s="229"/>
      <c r="AB1394" s="222">
        <f t="shared" si="189"/>
        <v>0</v>
      </c>
      <c r="AC1394" s="230">
        <f t="shared" si="190"/>
        <v>0</v>
      </c>
      <c r="AD1394" s="222" t="str">
        <f t="shared" si="191"/>
        <v/>
      </c>
      <c r="AE1394" s="201"/>
      <c r="AF1394" s="231" t="str">
        <f>+IFERROR(VLOOKUP(L1394,Data!$F$4:$G$97,2,0),"")</f>
        <v/>
      </c>
    </row>
    <row r="1395" spans="9:32" ht="15" customHeight="1" x14ac:dyDescent="0.3">
      <c r="I1395" s="201" t="str">
        <f t="shared" si="184"/>
        <v/>
      </c>
      <c r="J1395" s="218">
        <f t="shared" si="185"/>
        <v>1392</v>
      </c>
      <c r="K1395" s="250"/>
      <c r="L1395" s="219"/>
      <c r="M1395" s="218"/>
      <c r="N1395" s="220" t="str">
        <f>IFERROR(VLOOKUP(M1395,Data!$C$4:$D$395,2,0),"")</f>
        <v/>
      </c>
      <c r="O1395" s="220"/>
      <c r="P1395" s="229"/>
      <c r="Q1395" s="221"/>
      <c r="R1395" s="222" t="str">
        <f t="shared" si="186"/>
        <v>-</v>
      </c>
      <c r="S1395" s="223"/>
      <c r="T1395" s="224"/>
      <c r="U1395" s="225">
        <f t="shared" si="187"/>
        <v>0</v>
      </c>
      <c r="V1395" s="226">
        <v>0</v>
      </c>
      <c r="W1395" s="227"/>
      <c r="X1395" s="228">
        <f t="shared" si="188"/>
        <v>0</v>
      </c>
      <c r="Y1395" s="229"/>
      <c r="Z1395" s="229"/>
      <c r="AA1395" s="229"/>
      <c r="AB1395" s="222">
        <f t="shared" si="189"/>
        <v>0</v>
      </c>
      <c r="AC1395" s="230">
        <f t="shared" si="190"/>
        <v>0</v>
      </c>
      <c r="AD1395" s="222" t="str">
        <f t="shared" si="191"/>
        <v/>
      </c>
      <c r="AE1395" s="201"/>
      <c r="AF1395" s="231" t="str">
        <f>+IFERROR(VLOOKUP(L1395,Data!$F$4:$G$97,2,0),"")</f>
        <v/>
      </c>
    </row>
    <row r="1396" spans="9:32" ht="15" customHeight="1" x14ac:dyDescent="0.3">
      <c r="I1396" s="201" t="str">
        <f t="shared" si="184"/>
        <v/>
      </c>
      <c r="J1396" s="218">
        <f t="shared" si="185"/>
        <v>1393</v>
      </c>
      <c r="K1396" s="250"/>
      <c r="L1396" s="219"/>
      <c r="M1396" s="218"/>
      <c r="N1396" s="220" t="str">
        <f>IFERROR(VLOOKUP(M1396,Data!$C$4:$D$395,2,0),"")</f>
        <v/>
      </c>
      <c r="O1396" s="220"/>
      <c r="P1396" s="229"/>
      <c r="Q1396" s="221"/>
      <c r="R1396" s="222" t="str">
        <f t="shared" si="186"/>
        <v>-</v>
      </c>
      <c r="S1396" s="223"/>
      <c r="T1396" s="224"/>
      <c r="U1396" s="225">
        <f t="shared" si="187"/>
        <v>0</v>
      </c>
      <c r="V1396" s="226">
        <v>0</v>
      </c>
      <c r="W1396" s="227"/>
      <c r="X1396" s="228">
        <f t="shared" si="188"/>
        <v>0</v>
      </c>
      <c r="Y1396" s="229"/>
      <c r="Z1396" s="229"/>
      <c r="AA1396" s="229"/>
      <c r="AB1396" s="222">
        <f t="shared" si="189"/>
        <v>0</v>
      </c>
      <c r="AC1396" s="230">
        <f t="shared" si="190"/>
        <v>0</v>
      </c>
      <c r="AD1396" s="222" t="str">
        <f t="shared" si="191"/>
        <v/>
      </c>
      <c r="AE1396" s="201"/>
      <c r="AF1396" s="231" t="str">
        <f>+IFERROR(VLOOKUP(L1396,Data!$F$4:$G$97,2,0),"")</f>
        <v/>
      </c>
    </row>
    <row r="1397" spans="9:32" ht="15" customHeight="1" x14ac:dyDescent="0.3">
      <c r="I1397" s="201" t="str">
        <f t="shared" si="184"/>
        <v/>
      </c>
      <c r="J1397" s="218">
        <f t="shared" si="185"/>
        <v>1394</v>
      </c>
      <c r="K1397" s="250"/>
      <c r="L1397" s="219"/>
      <c r="M1397" s="218"/>
      <c r="N1397" s="220" t="str">
        <f>IFERROR(VLOOKUP(M1397,Data!$C$4:$D$395,2,0),"")</f>
        <v/>
      </c>
      <c r="O1397" s="220"/>
      <c r="P1397" s="229"/>
      <c r="Q1397" s="221"/>
      <c r="R1397" s="222" t="str">
        <f t="shared" si="186"/>
        <v>-</v>
      </c>
      <c r="S1397" s="223"/>
      <c r="T1397" s="224"/>
      <c r="U1397" s="225">
        <f t="shared" si="187"/>
        <v>0</v>
      </c>
      <c r="V1397" s="226">
        <v>0</v>
      </c>
      <c r="W1397" s="227"/>
      <c r="X1397" s="228">
        <f t="shared" si="188"/>
        <v>0</v>
      </c>
      <c r="Y1397" s="229"/>
      <c r="Z1397" s="229"/>
      <c r="AA1397" s="229"/>
      <c r="AB1397" s="222">
        <f t="shared" si="189"/>
        <v>0</v>
      </c>
      <c r="AC1397" s="230">
        <f t="shared" si="190"/>
        <v>0</v>
      </c>
      <c r="AD1397" s="222" t="str">
        <f t="shared" si="191"/>
        <v/>
      </c>
      <c r="AE1397" s="201"/>
      <c r="AF1397" s="231" t="str">
        <f>+IFERROR(VLOOKUP(L1397,Data!$F$4:$G$97,2,0),"")</f>
        <v/>
      </c>
    </row>
    <row r="1398" spans="9:32" ht="15" customHeight="1" x14ac:dyDescent="0.3">
      <c r="I1398" s="201" t="str">
        <f t="shared" si="184"/>
        <v/>
      </c>
      <c r="J1398" s="218">
        <f t="shared" si="185"/>
        <v>1395</v>
      </c>
      <c r="K1398" s="250"/>
      <c r="L1398" s="219"/>
      <c r="M1398" s="218"/>
      <c r="N1398" s="220" t="str">
        <f>IFERROR(VLOOKUP(M1398,Data!$C$4:$D$395,2,0),"")</f>
        <v/>
      </c>
      <c r="O1398" s="220"/>
      <c r="P1398" s="229"/>
      <c r="Q1398" s="221"/>
      <c r="R1398" s="222" t="str">
        <f t="shared" si="186"/>
        <v>-</v>
      </c>
      <c r="S1398" s="223"/>
      <c r="T1398" s="224"/>
      <c r="U1398" s="225">
        <f t="shared" si="187"/>
        <v>0</v>
      </c>
      <c r="V1398" s="226">
        <v>0</v>
      </c>
      <c r="W1398" s="227"/>
      <c r="X1398" s="228">
        <f t="shared" si="188"/>
        <v>0</v>
      </c>
      <c r="Y1398" s="229"/>
      <c r="Z1398" s="229"/>
      <c r="AA1398" s="229"/>
      <c r="AB1398" s="222">
        <f t="shared" si="189"/>
        <v>0</v>
      </c>
      <c r="AC1398" s="230">
        <f t="shared" si="190"/>
        <v>0</v>
      </c>
      <c r="AD1398" s="222" t="str">
        <f t="shared" si="191"/>
        <v/>
      </c>
      <c r="AE1398" s="201"/>
      <c r="AF1398" s="231" t="str">
        <f>+IFERROR(VLOOKUP(L1398,Data!$F$4:$G$97,2,0),"")</f>
        <v/>
      </c>
    </row>
    <row r="1399" spans="9:32" ht="15" customHeight="1" x14ac:dyDescent="0.3">
      <c r="I1399" s="201" t="str">
        <f t="shared" si="184"/>
        <v/>
      </c>
      <c r="J1399" s="218">
        <f t="shared" si="185"/>
        <v>1396</v>
      </c>
      <c r="K1399" s="250"/>
      <c r="L1399" s="219"/>
      <c r="M1399" s="218"/>
      <c r="N1399" s="220" t="str">
        <f>IFERROR(VLOOKUP(M1399,Data!$C$4:$D$395,2,0),"")</f>
        <v/>
      </c>
      <c r="O1399" s="220"/>
      <c r="P1399" s="229"/>
      <c r="Q1399" s="221"/>
      <c r="R1399" s="222" t="str">
        <f t="shared" si="186"/>
        <v>-</v>
      </c>
      <c r="S1399" s="223"/>
      <c r="T1399" s="224"/>
      <c r="U1399" s="225">
        <f t="shared" si="187"/>
        <v>0</v>
      </c>
      <c r="V1399" s="226">
        <v>0</v>
      </c>
      <c r="W1399" s="227"/>
      <c r="X1399" s="228">
        <f t="shared" si="188"/>
        <v>0</v>
      </c>
      <c r="Y1399" s="229"/>
      <c r="Z1399" s="229"/>
      <c r="AA1399" s="229"/>
      <c r="AB1399" s="222">
        <f t="shared" si="189"/>
        <v>0</v>
      </c>
      <c r="AC1399" s="230">
        <f t="shared" si="190"/>
        <v>0</v>
      </c>
      <c r="AD1399" s="222" t="str">
        <f t="shared" si="191"/>
        <v/>
      </c>
      <c r="AE1399" s="201"/>
      <c r="AF1399" s="231" t="str">
        <f>+IFERROR(VLOOKUP(L1399,Data!$F$4:$G$97,2,0),"")</f>
        <v/>
      </c>
    </row>
    <row r="1400" spans="9:32" ht="15" customHeight="1" x14ac:dyDescent="0.3">
      <c r="I1400" s="201" t="str">
        <f t="shared" si="184"/>
        <v/>
      </c>
      <c r="J1400" s="218">
        <f t="shared" si="185"/>
        <v>1397</v>
      </c>
      <c r="K1400" s="250"/>
      <c r="L1400" s="219"/>
      <c r="M1400" s="218"/>
      <c r="N1400" s="220" t="str">
        <f>IFERROR(VLOOKUP(M1400,Data!$C$4:$D$395,2,0),"")</f>
        <v/>
      </c>
      <c r="O1400" s="220"/>
      <c r="P1400" s="229"/>
      <c r="Q1400" s="221"/>
      <c r="R1400" s="222" t="str">
        <f t="shared" si="186"/>
        <v>-</v>
      </c>
      <c r="S1400" s="223"/>
      <c r="T1400" s="224"/>
      <c r="U1400" s="225">
        <f t="shared" si="187"/>
        <v>0</v>
      </c>
      <c r="V1400" s="226">
        <v>0</v>
      </c>
      <c r="W1400" s="227"/>
      <c r="X1400" s="228">
        <f t="shared" si="188"/>
        <v>0</v>
      </c>
      <c r="Y1400" s="229"/>
      <c r="Z1400" s="229"/>
      <c r="AA1400" s="229"/>
      <c r="AB1400" s="222">
        <f t="shared" si="189"/>
        <v>0</v>
      </c>
      <c r="AC1400" s="230">
        <f t="shared" si="190"/>
        <v>0</v>
      </c>
      <c r="AD1400" s="222" t="str">
        <f t="shared" si="191"/>
        <v/>
      </c>
      <c r="AE1400" s="201"/>
      <c r="AF1400" s="231" t="str">
        <f>+IFERROR(VLOOKUP(L1400,Data!$F$4:$G$97,2,0),"")</f>
        <v/>
      </c>
    </row>
    <row r="1401" spans="9:32" ht="15" customHeight="1" x14ac:dyDescent="0.3">
      <c r="I1401" s="201" t="str">
        <f t="shared" si="184"/>
        <v/>
      </c>
      <c r="J1401" s="218">
        <f t="shared" si="185"/>
        <v>1398</v>
      </c>
      <c r="K1401" s="250"/>
      <c r="L1401" s="219"/>
      <c r="M1401" s="218"/>
      <c r="N1401" s="220" t="str">
        <f>IFERROR(VLOOKUP(M1401,Data!$C$4:$D$395,2,0),"")</f>
        <v/>
      </c>
      <c r="O1401" s="220"/>
      <c r="P1401" s="229"/>
      <c r="Q1401" s="221"/>
      <c r="R1401" s="222" t="str">
        <f t="shared" si="186"/>
        <v>-</v>
      </c>
      <c r="S1401" s="223"/>
      <c r="T1401" s="224"/>
      <c r="U1401" s="225">
        <f t="shared" si="187"/>
        <v>0</v>
      </c>
      <c r="V1401" s="226">
        <v>0</v>
      </c>
      <c r="W1401" s="227"/>
      <c r="X1401" s="228">
        <f t="shared" si="188"/>
        <v>0</v>
      </c>
      <c r="Y1401" s="229"/>
      <c r="Z1401" s="229"/>
      <c r="AA1401" s="229"/>
      <c r="AB1401" s="222">
        <f t="shared" si="189"/>
        <v>0</v>
      </c>
      <c r="AC1401" s="230">
        <f t="shared" si="190"/>
        <v>0</v>
      </c>
      <c r="AD1401" s="222" t="str">
        <f t="shared" si="191"/>
        <v/>
      </c>
      <c r="AE1401" s="201"/>
      <c r="AF1401" s="231" t="str">
        <f>+IFERROR(VLOOKUP(L1401,Data!$F$4:$G$97,2,0),"")</f>
        <v/>
      </c>
    </row>
    <row r="1402" spans="9:32" ht="15" customHeight="1" x14ac:dyDescent="0.3">
      <c r="I1402" s="201" t="str">
        <f t="shared" si="184"/>
        <v/>
      </c>
      <c r="J1402" s="218">
        <f t="shared" si="185"/>
        <v>1399</v>
      </c>
      <c r="K1402" s="250"/>
      <c r="L1402" s="219"/>
      <c r="M1402" s="218"/>
      <c r="N1402" s="220" t="str">
        <f>IFERROR(VLOOKUP(M1402,Data!$C$4:$D$395,2,0),"")</f>
        <v/>
      </c>
      <c r="O1402" s="220"/>
      <c r="P1402" s="229"/>
      <c r="Q1402" s="221"/>
      <c r="R1402" s="222" t="str">
        <f t="shared" si="186"/>
        <v>-</v>
      </c>
      <c r="S1402" s="223"/>
      <c r="T1402" s="224"/>
      <c r="U1402" s="225">
        <f t="shared" si="187"/>
        <v>0</v>
      </c>
      <c r="V1402" s="226">
        <v>0</v>
      </c>
      <c r="W1402" s="227"/>
      <c r="X1402" s="228">
        <f t="shared" si="188"/>
        <v>0</v>
      </c>
      <c r="Y1402" s="229"/>
      <c r="Z1402" s="229"/>
      <c r="AA1402" s="229"/>
      <c r="AB1402" s="222">
        <f t="shared" si="189"/>
        <v>0</v>
      </c>
      <c r="AC1402" s="230">
        <f t="shared" si="190"/>
        <v>0</v>
      </c>
      <c r="AD1402" s="222" t="str">
        <f t="shared" si="191"/>
        <v/>
      </c>
      <c r="AE1402" s="201"/>
      <c r="AF1402" s="231" t="str">
        <f>+IFERROR(VLOOKUP(L1402,Data!$F$4:$G$97,2,0),"")</f>
        <v/>
      </c>
    </row>
    <row r="1403" spans="9:32" ht="15" customHeight="1" x14ac:dyDescent="0.3">
      <c r="I1403" s="201" t="str">
        <f t="shared" si="184"/>
        <v/>
      </c>
      <c r="J1403" s="218">
        <f t="shared" si="185"/>
        <v>1400</v>
      </c>
      <c r="K1403" s="250"/>
      <c r="L1403" s="219"/>
      <c r="M1403" s="218"/>
      <c r="N1403" s="220" t="str">
        <f>IFERROR(VLOOKUP(M1403,Data!$C$4:$D$395,2,0),"")</f>
        <v/>
      </c>
      <c r="O1403" s="220"/>
      <c r="P1403" s="229"/>
      <c r="Q1403" s="221"/>
      <c r="R1403" s="222" t="str">
        <f t="shared" si="186"/>
        <v>-</v>
      </c>
      <c r="S1403" s="223"/>
      <c r="T1403" s="224"/>
      <c r="U1403" s="225">
        <f t="shared" si="187"/>
        <v>0</v>
      </c>
      <c r="V1403" s="226">
        <v>0</v>
      </c>
      <c r="W1403" s="227"/>
      <c r="X1403" s="228">
        <f t="shared" si="188"/>
        <v>0</v>
      </c>
      <c r="Y1403" s="229"/>
      <c r="Z1403" s="229"/>
      <c r="AA1403" s="229"/>
      <c r="AB1403" s="222">
        <f t="shared" si="189"/>
        <v>0</v>
      </c>
      <c r="AC1403" s="230">
        <f t="shared" si="190"/>
        <v>0</v>
      </c>
      <c r="AD1403" s="222" t="str">
        <f t="shared" si="191"/>
        <v/>
      </c>
      <c r="AE1403" s="201"/>
      <c r="AF1403" s="231" t="str">
        <f>+IFERROR(VLOOKUP(L1403,Data!$F$4:$G$97,2,0),"")</f>
        <v/>
      </c>
    </row>
    <row r="1404" spans="9:32" ht="15" customHeight="1" x14ac:dyDescent="0.3">
      <c r="I1404" s="201" t="str">
        <f t="shared" si="184"/>
        <v/>
      </c>
      <c r="J1404" s="218">
        <f t="shared" si="185"/>
        <v>1401</v>
      </c>
      <c r="K1404" s="250"/>
      <c r="L1404" s="219"/>
      <c r="M1404" s="218"/>
      <c r="N1404" s="220" t="str">
        <f>IFERROR(VLOOKUP(M1404,Data!$C$4:$D$395,2,0),"")</f>
        <v/>
      </c>
      <c r="O1404" s="220"/>
      <c r="P1404" s="229"/>
      <c r="Q1404" s="221"/>
      <c r="R1404" s="222" t="str">
        <f t="shared" si="186"/>
        <v>-</v>
      </c>
      <c r="S1404" s="223"/>
      <c r="T1404" s="224"/>
      <c r="U1404" s="225">
        <f t="shared" si="187"/>
        <v>0</v>
      </c>
      <c r="V1404" s="226">
        <v>0</v>
      </c>
      <c r="W1404" s="227"/>
      <c r="X1404" s="228">
        <f t="shared" si="188"/>
        <v>0</v>
      </c>
      <c r="Y1404" s="229"/>
      <c r="Z1404" s="229"/>
      <c r="AA1404" s="229"/>
      <c r="AB1404" s="222">
        <f t="shared" si="189"/>
        <v>0</v>
      </c>
      <c r="AC1404" s="230">
        <f t="shared" si="190"/>
        <v>0</v>
      </c>
      <c r="AD1404" s="222" t="str">
        <f t="shared" si="191"/>
        <v/>
      </c>
      <c r="AE1404" s="201"/>
      <c r="AF1404" s="231" t="str">
        <f>+IFERROR(VLOOKUP(L1404,Data!$F$4:$G$97,2,0),"")</f>
        <v/>
      </c>
    </row>
    <row r="1405" spans="9:32" ht="15" customHeight="1" x14ac:dyDescent="0.3">
      <c r="I1405" s="201" t="str">
        <f t="shared" ref="I1405:I1468" si="192">+AF1405</f>
        <v/>
      </c>
      <c r="J1405" s="218">
        <f t="shared" si="185"/>
        <v>1402</v>
      </c>
      <c r="K1405" s="250"/>
      <c r="L1405" s="219"/>
      <c r="M1405" s="218"/>
      <c r="N1405" s="220" t="str">
        <f>IFERROR(VLOOKUP(M1405,Data!$C$4:$D$395,2,0),"")</f>
        <v/>
      </c>
      <c r="O1405" s="220"/>
      <c r="P1405" s="229"/>
      <c r="Q1405" s="221"/>
      <c r="R1405" s="222" t="str">
        <f t="shared" si="186"/>
        <v>-</v>
      </c>
      <c r="S1405" s="223"/>
      <c r="T1405" s="224"/>
      <c r="U1405" s="225">
        <f t="shared" si="187"/>
        <v>0</v>
      </c>
      <c r="V1405" s="226">
        <v>0</v>
      </c>
      <c r="W1405" s="227"/>
      <c r="X1405" s="228">
        <f t="shared" si="188"/>
        <v>0</v>
      </c>
      <c r="Y1405" s="229"/>
      <c r="Z1405" s="229"/>
      <c r="AA1405" s="229"/>
      <c r="AB1405" s="222">
        <f t="shared" si="189"/>
        <v>0</v>
      </c>
      <c r="AC1405" s="230">
        <f t="shared" si="190"/>
        <v>0</v>
      </c>
      <c r="AD1405" s="222" t="str">
        <f t="shared" si="191"/>
        <v/>
      </c>
      <c r="AE1405" s="201"/>
      <c r="AF1405" s="231" t="str">
        <f>+IFERROR(VLOOKUP(L1405,Data!$F$4:$G$97,2,0),"")</f>
        <v/>
      </c>
    </row>
    <row r="1406" spans="9:32" ht="15" customHeight="1" x14ac:dyDescent="0.3">
      <c r="I1406" s="201" t="str">
        <f t="shared" si="192"/>
        <v/>
      </c>
      <c r="J1406" s="218">
        <f t="shared" ref="J1406:J1469" si="193">J1405+1</f>
        <v>1403</v>
      </c>
      <c r="K1406" s="250"/>
      <c r="L1406" s="219"/>
      <c r="M1406" s="218"/>
      <c r="N1406" s="220" t="str">
        <f>IFERROR(VLOOKUP(M1406,Data!$C$4:$D$395,2,0),"")</f>
        <v/>
      </c>
      <c r="O1406" s="220"/>
      <c r="P1406" s="229"/>
      <c r="Q1406" s="221"/>
      <c r="R1406" s="222" t="str">
        <f t="shared" si="186"/>
        <v>-</v>
      </c>
      <c r="S1406" s="223"/>
      <c r="T1406" s="224"/>
      <c r="U1406" s="225">
        <f t="shared" si="187"/>
        <v>0</v>
      </c>
      <c r="V1406" s="226">
        <v>0</v>
      </c>
      <c r="W1406" s="227"/>
      <c r="X1406" s="228">
        <f t="shared" si="188"/>
        <v>0</v>
      </c>
      <c r="Y1406" s="229"/>
      <c r="Z1406" s="229"/>
      <c r="AA1406" s="229"/>
      <c r="AB1406" s="222">
        <f t="shared" si="189"/>
        <v>0</v>
      </c>
      <c r="AC1406" s="230">
        <f t="shared" si="190"/>
        <v>0</v>
      </c>
      <c r="AD1406" s="222" t="str">
        <f t="shared" si="191"/>
        <v/>
      </c>
      <c r="AE1406" s="201"/>
      <c r="AF1406" s="231" t="str">
        <f>+IFERROR(VLOOKUP(L1406,Data!$F$4:$G$97,2,0),"")</f>
        <v/>
      </c>
    </row>
    <row r="1407" spans="9:32" ht="15" customHeight="1" x14ac:dyDescent="0.3">
      <c r="I1407" s="201" t="str">
        <f t="shared" si="192"/>
        <v/>
      </c>
      <c r="J1407" s="218">
        <f t="shared" si="193"/>
        <v>1404</v>
      </c>
      <c r="K1407" s="250"/>
      <c r="L1407" s="219"/>
      <c r="M1407" s="218"/>
      <c r="N1407" s="220" t="str">
        <f>IFERROR(VLOOKUP(M1407,Data!$C$4:$D$395,2,0),"")</f>
        <v/>
      </c>
      <c r="O1407" s="220"/>
      <c r="P1407" s="229"/>
      <c r="Q1407" s="221"/>
      <c r="R1407" s="222" t="str">
        <f t="shared" si="186"/>
        <v>-</v>
      </c>
      <c r="S1407" s="223"/>
      <c r="T1407" s="224"/>
      <c r="U1407" s="225">
        <f t="shared" si="187"/>
        <v>0</v>
      </c>
      <c r="V1407" s="226">
        <v>0</v>
      </c>
      <c r="W1407" s="227"/>
      <c r="X1407" s="228">
        <f t="shared" si="188"/>
        <v>0</v>
      </c>
      <c r="Y1407" s="229"/>
      <c r="Z1407" s="229"/>
      <c r="AA1407" s="229"/>
      <c r="AB1407" s="222">
        <f t="shared" si="189"/>
        <v>0</v>
      </c>
      <c r="AC1407" s="230">
        <f t="shared" si="190"/>
        <v>0</v>
      </c>
      <c r="AD1407" s="222" t="str">
        <f t="shared" si="191"/>
        <v/>
      </c>
      <c r="AE1407" s="201"/>
      <c r="AF1407" s="231" t="str">
        <f>+IFERROR(VLOOKUP(L1407,Data!$F$4:$G$97,2,0),"")</f>
        <v/>
      </c>
    </row>
    <row r="1408" spans="9:32" ht="15" customHeight="1" x14ac:dyDescent="0.3">
      <c r="I1408" s="201" t="str">
        <f t="shared" si="192"/>
        <v/>
      </c>
      <c r="J1408" s="218">
        <f t="shared" si="193"/>
        <v>1405</v>
      </c>
      <c r="K1408" s="250"/>
      <c r="L1408" s="219"/>
      <c r="M1408" s="218"/>
      <c r="N1408" s="220" t="str">
        <f>IFERROR(VLOOKUP(M1408,Data!$C$4:$D$395,2,0),"")</f>
        <v/>
      </c>
      <c r="O1408" s="220"/>
      <c r="P1408" s="229"/>
      <c r="Q1408" s="221"/>
      <c r="R1408" s="222" t="str">
        <f t="shared" ref="R1408:R1471" si="194">IFERROR(Q1408/P1408, "-")</f>
        <v>-</v>
      </c>
      <c r="S1408" s="223"/>
      <c r="T1408" s="224"/>
      <c r="U1408" s="225">
        <f t="shared" ref="U1408:U1471" si="195">+Q1408*S1408+P1408*T1408</f>
        <v>0</v>
      </c>
      <c r="V1408" s="226">
        <v>0</v>
      </c>
      <c r="W1408" s="227"/>
      <c r="X1408" s="228">
        <f t="shared" ref="X1408:X1471" si="196">+Q1408*V1408+P1408*W1408</f>
        <v>0</v>
      </c>
      <c r="Y1408" s="229"/>
      <c r="Z1408" s="229"/>
      <c r="AA1408" s="229"/>
      <c r="AB1408" s="222">
        <f t="shared" ref="AB1408:AB1471" si="197">+Y1408+Z1408+AA1408</f>
        <v>0</v>
      </c>
      <c r="AC1408" s="230">
        <f t="shared" ref="AC1408:AC1471" si="198">IF((U1408-Y1408-Z1408-AA1408)&lt;0,"",(U1408-Y1408-Z1408-AA1408))</f>
        <v>0</v>
      </c>
      <c r="AD1408" s="222" t="str">
        <f t="shared" ref="AD1408:AD1471" si="199">IF((U1408-Y1408-Z1408-AA1408)&lt;0,(Y1408+Z1408+AA1408-U1408),"")</f>
        <v/>
      </c>
      <c r="AE1408" s="201"/>
      <c r="AF1408" s="231" t="str">
        <f>+IFERROR(VLOOKUP(L1408,Data!$F$4:$G$97,2,0),"")</f>
        <v/>
      </c>
    </row>
    <row r="1409" spans="9:32" ht="15" customHeight="1" x14ac:dyDescent="0.3">
      <c r="I1409" s="201" t="str">
        <f t="shared" si="192"/>
        <v/>
      </c>
      <c r="J1409" s="218">
        <f t="shared" si="193"/>
        <v>1406</v>
      </c>
      <c r="K1409" s="250"/>
      <c r="L1409" s="219"/>
      <c r="M1409" s="218"/>
      <c r="N1409" s="220" t="str">
        <f>IFERROR(VLOOKUP(M1409,Data!$C$4:$D$395,2,0),"")</f>
        <v/>
      </c>
      <c r="O1409" s="220"/>
      <c r="P1409" s="229"/>
      <c r="Q1409" s="221"/>
      <c r="R1409" s="222" t="str">
        <f t="shared" si="194"/>
        <v>-</v>
      </c>
      <c r="S1409" s="223"/>
      <c r="T1409" s="224"/>
      <c r="U1409" s="225">
        <f t="shared" si="195"/>
        <v>0</v>
      </c>
      <c r="V1409" s="226">
        <v>0</v>
      </c>
      <c r="W1409" s="227"/>
      <c r="X1409" s="228">
        <f t="shared" si="196"/>
        <v>0</v>
      </c>
      <c r="Y1409" s="229"/>
      <c r="Z1409" s="229"/>
      <c r="AA1409" s="229"/>
      <c r="AB1409" s="222">
        <f t="shared" si="197"/>
        <v>0</v>
      </c>
      <c r="AC1409" s="230">
        <f t="shared" si="198"/>
        <v>0</v>
      </c>
      <c r="AD1409" s="222" t="str">
        <f t="shared" si="199"/>
        <v/>
      </c>
      <c r="AE1409" s="201"/>
      <c r="AF1409" s="231" t="str">
        <f>+IFERROR(VLOOKUP(L1409,Data!$F$4:$G$97,2,0),"")</f>
        <v/>
      </c>
    </row>
    <row r="1410" spans="9:32" ht="15" customHeight="1" x14ac:dyDescent="0.3">
      <c r="I1410" s="201" t="str">
        <f t="shared" si="192"/>
        <v/>
      </c>
      <c r="J1410" s="218">
        <f t="shared" si="193"/>
        <v>1407</v>
      </c>
      <c r="K1410" s="250"/>
      <c r="L1410" s="219"/>
      <c r="M1410" s="218"/>
      <c r="N1410" s="220" t="str">
        <f>IFERROR(VLOOKUP(M1410,Data!$C$4:$D$395,2,0),"")</f>
        <v/>
      </c>
      <c r="O1410" s="220"/>
      <c r="P1410" s="229"/>
      <c r="Q1410" s="221"/>
      <c r="R1410" s="222" t="str">
        <f t="shared" si="194"/>
        <v>-</v>
      </c>
      <c r="S1410" s="223"/>
      <c r="T1410" s="224"/>
      <c r="U1410" s="225">
        <f t="shared" si="195"/>
        <v>0</v>
      </c>
      <c r="V1410" s="226">
        <v>0</v>
      </c>
      <c r="W1410" s="227"/>
      <c r="X1410" s="228">
        <f t="shared" si="196"/>
        <v>0</v>
      </c>
      <c r="Y1410" s="229"/>
      <c r="Z1410" s="229"/>
      <c r="AA1410" s="229"/>
      <c r="AB1410" s="222">
        <f t="shared" si="197"/>
        <v>0</v>
      </c>
      <c r="AC1410" s="230">
        <f t="shared" si="198"/>
        <v>0</v>
      </c>
      <c r="AD1410" s="222" t="str">
        <f t="shared" si="199"/>
        <v/>
      </c>
      <c r="AE1410" s="201"/>
      <c r="AF1410" s="231" t="str">
        <f>+IFERROR(VLOOKUP(L1410,Data!$F$4:$G$97,2,0),"")</f>
        <v/>
      </c>
    </row>
    <row r="1411" spans="9:32" ht="15" customHeight="1" x14ac:dyDescent="0.3">
      <c r="I1411" s="201" t="str">
        <f t="shared" si="192"/>
        <v/>
      </c>
      <c r="J1411" s="218">
        <f t="shared" si="193"/>
        <v>1408</v>
      </c>
      <c r="K1411" s="250"/>
      <c r="L1411" s="219"/>
      <c r="M1411" s="218"/>
      <c r="N1411" s="220" t="str">
        <f>IFERROR(VLOOKUP(M1411,Data!$C$4:$D$395,2,0),"")</f>
        <v/>
      </c>
      <c r="O1411" s="220"/>
      <c r="P1411" s="229"/>
      <c r="Q1411" s="221"/>
      <c r="R1411" s="222" t="str">
        <f t="shared" si="194"/>
        <v>-</v>
      </c>
      <c r="S1411" s="223"/>
      <c r="T1411" s="224"/>
      <c r="U1411" s="225">
        <f t="shared" si="195"/>
        <v>0</v>
      </c>
      <c r="V1411" s="226">
        <v>0</v>
      </c>
      <c r="W1411" s="227"/>
      <c r="X1411" s="228">
        <f t="shared" si="196"/>
        <v>0</v>
      </c>
      <c r="Y1411" s="229"/>
      <c r="Z1411" s="229"/>
      <c r="AA1411" s="229"/>
      <c r="AB1411" s="222">
        <f t="shared" si="197"/>
        <v>0</v>
      </c>
      <c r="AC1411" s="230">
        <f t="shared" si="198"/>
        <v>0</v>
      </c>
      <c r="AD1411" s="222" t="str">
        <f t="shared" si="199"/>
        <v/>
      </c>
      <c r="AE1411" s="201"/>
      <c r="AF1411" s="231" t="str">
        <f>+IFERROR(VLOOKUP(L1411,Data!$F$4:$G$97,2,0),"")</f>
        <v/>
      </c>
    </row>
    <row r="1412" spans="9:32" ht="15" customHeight="1" x14ac:dyDescent="0.3">
      <c r="I1412" s="201" t="str">
        <f t="shared" si="192"/>
        <v/>
      </c>
      <c r="J1412" s="218">
        <f t="shared" si="193"/>
        <v>1409</v>
      </c>
      <c r="K1412" s="250"/>
      <c r="L1412" s="219"/>
      <c r="M1412" s="218"/>
      <c r="N1412" s="220" t="str">
        <f>IFERROR(VLOOKUP(M1412,Data!$C$4:$D$395,2,0),"")</f>
        <v/>
      </c>
      <c r="O1412" s="220"/>
      <c r="P1412" s="229"/>
      <c r="Q1412" s="221"/>
      <c r="R1412" s="222" t="str">
        <f t="shared" si="194"/>
        <v>-</v>
      </c>
      <c r="S1412" s="223"/>
      <c r="T1412" s="224"/>
      <c r="U1412" s="225">
        <f t="shared" si="195"/>
        <v>0</v>
      </c>
      <c r="V1412" s="226">
        <v>0</v>
      </c>
      <c r="W1412" s="227"/>
      <c r="X1412" s="228">
        <f t="shared" si="196"/>
        <v>0</v>
      </c>
      <c r="Y1412" s="229"/>
      <c r="Z1412" s="229"/>
      <c r="AA1412" s="229"/>
      <c r="AB1412" s="222">
        <f t="shared" si="197"/>
        <v>0</v>
      </c>
      <c r="AC1412" s="230">
        <f t="shared" si="198"/>
        <v>0</v>
      </c>
      <c r="AD1412" s="222" t="str">
        <f t="shared" si="199"/>
        <v/>
      </c>
      <c r="AE1412" s="201"/>
      <c r="AF1412" s="231" t="str">
        <f>+IFERROR(VLOOKUP(L1412,Data!$F$4:$G$97,2,0),"")</f>
        <v/>
      </c>
    </row>
    <row r="1413" spans="9:32" ht="15" customHeight="1" x14ac:dyDescent="0.3">
      <c r="I1413" s="201" t="str">
        <f t="shared" si="192"/>
        <v/>
      </c>
      <c r="J1413" s="218">
        <f t="shared" si="193"/>
        <v>1410</v>
      </c>
      <c r="K1413" s="250"/>
      <c r="L1413" s="219"/>
      <c r="M1413" s="218"/>
      <c r="N1413" s="220" t="str">
        <f>IFERROR(VLOOKUP(M1413,Data!$C$4:$D$395,2,0),"")</f>
        <v/>
      </c>
      <c r="O1413" s="220"/>
      <c r="P1413" s="229"/>
      <c r="Q1413" s="221"/>
      <c r="R1413" s="222" t="str">
        <f t="shared" si="194"/>
        <v>-</v>
      </c>
      <c r="S1413" s="223"/>
      <c r="T1413" s="224"/>
      <c r="U1413" s="225">
        <f t="shared" si="195"/>
        <v>0</v>
      </c>
      <c r="V1413" s="226">
        <v>0</v>
      </c>
      <c r="W1413" s="227"/>
      <c r="X1413" s="228">
        <f t="shared" si="196"/>
        <v>0</v>
      </c>
      <c r="Y1413" s="229"/>
      <c r="Z1413" s="229"/>
      <c r="AA1413" s="229"/>
      <c r="AB1413" s="222">
        <f t="shared" si="197"/>
        <v>0</v>
      </c>
      <c r="AC1413" s="230">
        <f t="shared" si="198"/>
        <v>0</v>
      </c>
      <c r="AD1413" s="222" t="str">
        <f t="shared" si="199"/>
        <v/>
      </c>
      <c r="AE1413" s="201"/>
      <c r="AF1413" s="231" t="str">
        <f>+IFERROR(VLOOKUP(L1413,Data!$F$4:$G$97,2,0),"")</f>
        <v/>
      </c>
    </row>
    <row r="1414" spans="9:32" ht="15" customHeight="1" x14ac:dyDescent="0.3">
      <c r="I1414" s="201" t="str">
        <f t="shared" si="192"/>
        <v/>
      </c>
      <c r="J1414" s="218">
        <f t="shared" si="193"/>
        <v>1411</v>
      </c>
      <c r="K1414" s="250"/>
      <c r="L1414" s="219"/>
      <c r="M1414" s="218"/>
      <c r="N1414" s="220" t="str">
        <f>IFERROR(VLOOKUP(M1414,Data!$C$4:$D$395,2,0),"")</f>
        <v/>
      </c>
      <c r="O1414" s="220"/>
      <c r="P1414" s="229"/>
      <c r="Q1414" s="221"/>
      <c r="R1414" s="222" t="str">
        <f t="shared" si="194"/>
        <v>-</v>
      </c>
      <c r="S1414" s="223"/>
      <c r="T1414" s="224"/>
      <c r="U1414" s="225">
        <f t="shared" si="195"/>
        <v>0</v>
      </c>
      <c r="V1414" s="226">
        <v>0</v>
      </c>
      <c r="W1414" s="227"/>
      <c r="X1414" s="228">
        <f t="shared" si="196"/>
        <v>0</v>
      </c>
      <c r="Y1414" s="229"/>
      <c r="Z1414" s="229"/>
      <c r="AA1414" s="229"/>
      <c r="AB1414" s="222">
        <f t="shared" si="197"/>
        <v>0</v>
      </c>
      <c r="AC1414" s="230">
        <f t="shared" si="198"/>
        <v>0</v>
      </c>
      <c r="AD1414" s="222" t="str">
        <f t="shared" si="199"/>
        <v/>
      </c>
      <c r="AE1414" s="201"/>
      <c r="AF1414" s="231" t="str">
        <f>+IFERROR(VLOOKUP(L1414,Data!$F$4:$G$97,2,0),"")</f>
        <v/>
      </c>
    </row>
    <row r="1415" spans="9:32" ht="15" customHeight="1" x14ac:dyDescent="0.3">
      <c r="I1415" s="201" t="str">
        <f t="shared" si="192"/>
        <v/>
      </c>
      <c r="J1415" s="218">
        <f t="shared" si="193"/>
        <v>1412</v>
      </c>
      <c r="K1415" s="250"/>
      <c r="L1415" s="219"/>
      <c r="M1415" s="218"/>
      <c r="N1415" s="220" t="str">
        <f>IFERROR(VLOOKUP(M1415,Data!$C$4:$D$395,2,0),"")</f>
        <v/>
      </c>
      <c r="O1415" s="220"/>
      <c r="P1415" s="229"/>
      <c r="Q1415" s="221"/>
      <c r="R1415" s="222" t="str">
        <f t="shared" si="194"/>
        <v>-</v>
      </c>
      <c r="S1415" s="223"/>
      <c r="T1415" s="224"/>
      <c r="U1415" s="225">
        <f t="shared" si="195"/>
        <v>0</v>
      </c>
      <c r="V1415" s="226">
        <v>0</v>
      </c>
      <c r="W1415" s="227"/>
      <c r="X1415" s="228">
        <f t="shared" si="196"/>
        <v>0</v>
      </c>
      <c r="Y1415" s="229"/>
      <c r="Z1415" s="229"/>
      <c r="AA1415" s="229"/>
      <c r="AB1415" s="222">
        <f t="shared" si="197"/>
        <v>0</v>
      </c>
      <c r="AC1415" s="230">
        <f t="shared" si="198"/>
        <v>0</v>
      </c>
      <c r="AD1415" s="222" t="str">
        <f t="shared" si="199"/>
        <v/>
      </c>
      <c r="AE1415" s="201"/>
      <c r="AF1415" s="231" t="str">
        <f>+IFERROR(VLOOKUP(L1415,Data!$F$4:$G$97,2,0),"")</f>
        <v/>
      </c>
    </row>
    <row r="1416" spans="9:32" ht="15" customHeight="1" x14ac:dyDescent="0.3">
      <c r="I1416" s="201" t="str">
        <f t="shared" si="192"/>
        <v/>
      </c>
      <c r="J1416" s="218">
        <f t="shared" si="193"/>
        <v>1413</v>
      </c>
      <c r="K1416" s="250"/>
      <c r="L1416" s="219"/>
      <c r="M1416" s="218"/>
      <c r="N1416" s="220" t="str">
        <f>IFERROR(VLOOKUP(M1416,Data!$C$4:$D$395,2,0),"")</f>
        <v/>
      </c>
      <c r="O1416" s="220"/>
      <c r="P1416" s="229"/>
      <c r="Q1416" s="221"/>
      <c r="R1416" s="222" t="str">
        <f t="shared" si="194"/>
        <v>-</v>
      </c>
      <c r="S1416" s="223"/>
      <c r="T1416" s="224"/>
      <c r="U1416" s="225">
        <f t="shared" si="195"/>
        <v>0</v>
      </c>
      <c r="V1416" s="226">
        <v>0</v>
      </c>
      <c r="W1416" s="227"/>
      <c r="X1416" s="228">
        <f t="shared" si="196"/>
        <v>0</v>
      </c>
      <c r="Y1416" s="229"/>
      <c r="Z1416" s="229"/>
      <c r="AA1416" s="229"/>
      <c r="AB1416" s="222">
        <f t="shared" si="197"/>
        <v>0</v>
      </c>
      <c r="AC1416" s="230">
        <f t="shared" si="198"/>
        <v>0</v>
      </c>
      <c r="AD1416" s="222" t="str">
        <f t="shared" si="199"/>
        <v/>
      </c>
      <c r="AE1416" s="201"/>
      <c r="AF1416" s="231" t="str">
        <f>+IFERROR(VLOOKUP(L1416,Data!$F$4:$G$97,2,0),"")</f>
        <v/>
      </c>
    </row>
    <row r="1417" spans="9:32" ht="15" customHeight="1" x14ac:dyDescent="0.3">
      <c r="I1417" s="201" t="str">
        <f t="shared" si="192"/>
        <v/>
      </c>
      <c r="J1417" s="218">
        <f t="shared" si="193"/>
        <v>1414</v>
      </c>
      <c r="K1417" s="250"/>
      <c r="L1417" s="219"/>
      <c r="M1417" s="218"/>
      <c r="N1417" s="220" t="str">
        <f>IFERROR(VLOOKUP(M1417,Data!$C$4:$D$395,2,0),"")</f>
        <v/>
      </c>
      <c r="O1417" s="220"/>
      <c r="P1417" s="229"/>
      <c r="Q1417" s="221"/>
      <c r="R1417" s="222" t="str">
        <f t="shared" si="194"/>
        <v>-</v>
      </c>
      <c r="S1417" s="223"/>
      <c r="T1417" s="224"/>
      <c r="U1417" s="225">
        <f t="shared" si="195"/>
        <v>0</v>
      </c>
      <c r="V1417" s="226">
        <v>0</v>
      </c>
      <c r="W1417" s="227"/>
      <c r="X1417" s="228">
        <f t="shared" si="196"/>
        <v>0</v>
      </c>
      <c r="Y1417" s="229"/>
      <c r="Z1417" s="229"/>
      <c r="AA1417" s="229"/>
      <c r="AB1417" s="222">
        <f t="shared" si="197"/>
        <v>0</v>
      </c>
      <c r="AC1417" s="230">
        <f t="shared" si="198"/>
        <v>0</v>
      </c>
      <c r="AD1417" s="222" t="str">
        <f t="shared" si="199"/>
        <v/>
      </c>
      <c r="AE1417" s="201"/>
      <c r="AF1417" s="231" t="str">
        <f>+IFERROR(VLOOKUP(L1417,Data!$F$4:$G$97,2,0),"")</f>
        <v/>
      </c>
    </row>
    <row r="1418" spans="9:32" ht="15" customHeight="1" x14ac:dyDescent="0.3">
      <c r="I1418" s="201" t="str">
        <f t="shared" si="192"/>
        <v/>
      </c>
      <c r="J1418" s="218">
        <f t="shared" si="193"/>
        <v>1415</v>
      </c>
      <c r="K1418" s="250"/>
      <c r="L1418" s="219"/>
      <c r="M1418" s="218"/>
      <c r="N1418" s="220" t="str">
        <f>IFERROR(VLOOKUP(M1418,Data!$C$4:$D$395,2,0),"")</f>
        <v/>
      </c>
      <c r="O1418" s="220"/>
      <c r="P1418" s="229"/>
      <c r="Q1418" s="221"/>
      <c r="R1418" s="222" t="str">
        <f t="shared" si="194"/>
        <v>-</v>
      </c>
      <c r="S1418" s="223"/>
      <c r="T1418" s="224"/>
      <c r="U1418" s="225">
        <f t="shared" si="195"/>
        <v>0</v>
      </c>
      <c r="V1418" s="226">
        <v>0</v>
      </c>
      <c r="W1418" s="227"/>
      <c r="X1418" s="228">
        <f t="shared" si="196"/>
        <v>0</v>
      </c>
      <c r="Y1418" s="229"/>
      <c r="Z1418" s="229"/>
      <c r="AA1418" s="229"/>
      <c r="AB1418" s="222">
        <f t="shared" si="197"/>
        <v>0</v>
      </c>
      <c r="AC1418" s="230">
        <f t="shared" si="198"/>
        <v>0</v>
      </c>
      <c r="AD1418" s="222" t="str">
        <f t="shared" si="199"/>
        <v/>
      </c>
      <c r="AE1418" s="201"/>
      <c r="AF1418" s="231" t="str">
        <f>+IFERROR(VLOOKUP(L1418,Data!$F$4:$G$97,2,0),"")</f>
        <v/>
      </c>
    </row>
    <row r="1419" spans="9:32" ht="15" customHeight="1" x14ac:dyDescent="0.3">
      <c r="I1419" s="201" t="str">
        <f t="shared" si="192"/>
        <v/>
      </c>
      <c r="J1419" s="218">
        <f t="shared" si="193"/>
        <v>1416</v>
      </c>
      <c r="K1419" s="250"/>
      <c r="L1419" s="219"/>
      <c r="M1419" s="218"/>
      <c r="N1419" s="220" t="str">
        <f>IFERROR(VLOOKUP(M1419,Data!$C$4:$D$395,2,0),"")</f>
        <v/>
      </c>
      <c r="O1419" s="220"/>
      <c r="P1419" s="229"/>
      <c r="Q1419" s="221"/>
      <c r="R1419" s="222" t="str">
        <f t="shared" si="194"/>
        <v>-</v>
      </c>
      <c r="S1419" s="223"/>
      <c r="T1419" s="224"/>
      <c r="U1419" s="225">
        <f t="shared" si="195"/>
        <v>0</v>
      </c>
      <c r="V1419" s="226">
        <v>0</v>
      </c>
      <c r="W1419" s="227"/>
      <c r="X1419" s="228">
        <f t="shared" si="196"/>
        <v>0</v>
      </c>
      <c r="Y1419" s="229"/>
      <c r="Z1419" s="229"/>
      <c r="AA1419" s="229"/>
      <c r="AB1419" s="222">
        <f t="shared" si="197"/>
        <v>0</v>
      </c>
      <c r="AC1419" s="230">
        <f t="shared" si="198"/>
        <v>0</v>
      </c>
      <c r="AD1419" s="222" t="str">
        <f t="shared" si="199"/>
        <v/>
      </c>
      <c r="AE1419" s="201"/>
      <c r="AF1419" s="231" t="str">
        <f>+IFERROR(VLOOKUP(L1419,Data!$F$4:$G$97,2,0),"")</f>
        <v/>
      </c>
    </row>
    <row r="1420" spans="9:32" ht="15" customHeight="1" x14ac:dyDescent="0.3">
      <c r="I1420" s="201" t="str">
        <f t="shared" si="192"/>
        <v/>
      </c>
      <c r="J1420" s="218">
        <f t="shared" si="193"/>
        <v>1417</v>
      </c>
      <c r="K1420" s="250"/>
      <c r="L1420" s="219"/>
      <c r="M1420" s="218"/>
      <c r="N1420" s="220" t="str">
        <f>IFERROR(VLOOKUP(M1420,Data!$C$4:$D$395,2,0),"")</f>
        <v/>
      </c>
      <c r="O1420" s="220"/>
      <c r="P1420" s="229"/>
      <c r="Q1420" s="221"/>
      <c r="R1420" s="222" t="str">
        <f t="shared" si="194"/>
        <v>-</v>
      </c>
      <c r="S1420" s="223"/>
      <c r="T1420" s="224"/>
      <c r="U1420" s="225">
        <f t="shared" si="195"/>
        <v>0</v>
      </c>
      <c r="V1420" s="226">
        <v>0</v>
      </c>
      <c r="W1420" s="227"/>
      <c r="X1420" s="228">
        <f t="shared" si="196"/>
        <v>0</v>
      </c>
      <c r="Y1420" s="229"/>
      <c r="Z1420" s="229"/>
      <c r="AA1420" s="229"/>
      <c r="AB1420" s="222">
        <f t="shared" si="197"/>
        <v>0</v>
      </c>
      <c r="AC1420" s="230">
        <f t="shared" si="198"/>
        <v>0</v>
      </c>
      <c r="AD1420" s="222" t="str">
        <f t="shared" si="199"/>
        <v/>
      </c>
      <c r="AE1420" s="201"/>
      <c r="AF1420" s="231" t="str">
        <f>+IFERROR(VLOOKUP(L1420,Data!$F$4:$G$97,2,0),"")</f>
        <v/>
      </c>
    </row>
    <row r="1421" spans="9:32" ht="15" customHeight="1" x14ac:dyDescent="0.3">
      <c r="I1421" s="201" t="str">
        <f t="shared" si="192"/>
        <v/>
      </c>
      <c r="J1421" s="218">
        <f t="shared" si="193"/>
        <v>1418</v>
      </c>
      <c r="K1421" s="250"/>
      <c r="L1421" s="219"/>
      <c r="M1421" s="218"/>
      <c r="N1421" s="220" t="str">
        <f>IFERROR(VLOOKUP(M1421,Data!$C$4:$D$395,2,0),"")</f>
        <v/>
      </c>
      <c r="O1421" s="220"/>
      <c r="P1421" s="229"/>
      <c r="Q1421" s="221"/>
      <c r="R1421" s="222" t="str">
        <f t="shared" si="194"/>
        <v>-</v>
      </c>
      <c r="S1421" s="223"/>
      <c r="T1421" s="224"/>
      <c r="U1421" s="225">
        <f t="shared" si="195"/>
        <v>0</v>
      </c>
      <c r="V1421" s="226">
        <v>0</v>
      </c>
      <c r="W1421" s="227"/>
      <c r="X1421" s="228">
        <f t="shared" si="196"/>
        <v>0</v>
      </c>
      <c r="Y1421" s="229"/>
      <c r="Z1421" s="229"/>
      <c r="AA1421" s="229"/>
      <c r="AB1421" s="222">
        <f t="shared" si="197"/>
        <v>0</v>
      </c>
      <c r="AC1421" s="230">
        <f t="shared" si="198"/>
        <v>0</v>
      </c>
      <c r="AD1421" s="222" t="str">
        <f t="shared" si="199"/>
        <v/>
      </c>
      <c r="AE1421" s="201"/>
      <c r="AF1421" s="231" t="str">
        <f>+IFERROR(VLOOKUP(L1421,Data!$F$4:$G$97,2,0),"")</f>
        <v/>
      </c>
    </row>
    <row r="1422" spans="9:32" ht="15" customHeight="1" x14ac:dyDescent="0.3">
      <c r="I1422" s="201" t="str">
        <f t="shared" si="192"/>
        <v/>
      </c>
      <c r="J1422" s="218">
        <f t="shared" si="193"/>
        <v>1419</v>
      </c>
      <c r="K1422" s="250"/>
      <c r="L1422" s="219"/>
      <c r="M1422" s="218"/>
      <c r="N1422" s="220" t="str">
        <f>IFERROR(VLOOKUP(M1422,Data!$C$4:$D$395,2,0),"")</f>
        <v/>
      </c>
      <c r="O1422" s="220"/>
      <c r="P1422" s="229"/>
      <c r="Q1422" s="221"/>
      <c r="R1422" s="222" t="str">
        <f t="shared" si="194"/>
        <v>-</v>
      </c>
      <c r="S1422" s="223"/>
      <c r="T1422" s="224"/>
      <c r="U1422" s="225">
        <f t="shared" si="195"/>
        <v>0</v>
      </c>
      <c r="V1422" s="226">
        <v>0</v>
      </c>
      <c r="W1422" s="227"/>
      <c r="X1422" s="228">
        <f t="shared" si="196"/>
        <v>0</v>
      </c>
      <c r="Y1422" s="229"/>
      <c r="Z1422" s="229"/>
      <c r="AA1422" s="229"/>
      <c r="AB1422" s="222">
        <f t="shared" si="197"/>
        <v>0</v>
      </c>
      <c r="AC1422" s="230">
        <f t="shared" si="198"/>
        <v>0</v>
      </c>
      <c r="AD1422" s="222" t="str">
        <f t="shared" si="199"/>
        <v/>
      </c>
      <c r="AE1422" s="201"/>
      <c r="AF1422" s="231" t="str">
        <f>+IFERROR(VLOOKUP(L1422,Data!$F$4:$G$97,2,0),"")</f>
        <v/>
      </c>
    </row>
    <row r="1423" spans="9:32" ht="15" customHeight="1" x14ac:dyDescent="0.3">
      <c r="I1423" s="201" t="str">
        <f t="shared" si="192"/>
        <v/>
      </c>
      <c r="J1423" s="218">
        <f t="shared" si="193"/>
        <v>1420</v>
      </c>
      <c r="K1423" s="250"/>
      <c r="L1423" s="219"/>
      <c r="M1423" s="218"/>
      <c r="N1423" s="220" t="str">
        <f>IFERROR(VLOOKUP(M1423,Data!$C$4:$D$395,2,0),"")</f>
        <v/>
      </c>
      <c r="O1423" s="220"/>
      <c r="P1423" s="229"/>
      <c r="Q1423" s="221"/>
      <c r="R1423" s="222" t="str">
        <f t="shared" si="194"/>
        <v>-</v>
      </c>
      <c r="S1423" s="223"/>
      <c r="T1423" s="224"/>
      <c r="U1423" s="225">
        <f t="shared" si="195"/>
        <v>0</v>
      </c>
      <c r="V1423" s="226">
        <v>0</v>
      </c>
      <c r="W1423" s="227"/>
      <c r="X1423" s="228">
        <f t="shared" si="196"/>
        <v>0</v>
      </c>
      <c r="Y1423" s="229"/>
      <c r="Z1423" s="229"/>
      <c r="AA1423" s="229"/>
      <c r="AB1423" s="222">
        <f t="shared" si="197"/>
        <v>0</v>
      </c>
      <c r="AC1423" s="230">
        <f t="shared" si="198"/>
        <v>0</v>
      </c>
      <c r="AD1423" s="222" t="str">
        <f t="shared" si="199"/>
        <v/>
      </c>
      <c r="AE1423" s="201"/>
      <c r="AF1423" s="231" t="str">
        <f>+IFERROR(VLOOKUP(L1423,Data!$F$4:$G$97,2,0),"")</f>
        <v/>
      </c>
    </row>
    <row r="1424" spans="9:32" ht="15" customHeight="1" x14ac:dyDescent="0.3">
      <c r="I1424" s="201" t="str">
        <f t="shared" si="192"/>
        <v/>
      </c>
      <c r="J1424" s="218">
        <f t="shared" si="193"/>
        <v>1421</v>
      </c>
      <c r="K1424" s="250"/>
      <c r="L1424" s="219"/>
      <c r="M1424" s="218"/>
      <c r="N1424" s="220" t="str">
        <f>IFERROR(VLOOKUP(M1424,Data!$C$4:$D$395,2,0),"")</f>
        <v/>
      </c>
      <c r="O1424" s="220"/>
      <c r="P1424" s="229"/>
      <c r="Q1424" s="221"/>
      <c r="R1424" s="222" t="str">
        <f t="shared" si="194"/>
        <v>-</v>
      </c>
      <c r="S1424" s="223"/>
      <c r="T1424" s="224"/>
      <c r="U1424" s="225">
        <f t="shared" si="195"/>
        <v>0</v>
      </c>
      <c r="V1424" s="226">
        <v>0</v>
      </c>
      <c r="W1424" s="227"/>
      <c r="X1424" s="228">
        <f t="shared" si="196"/>
        <v>0</v>
      </c>
      <c r="Y1424" s="229"/>
      <c r="Z1424" s="229"/>
      <c r="AA1424" s="229"/>
      <c r="AB1424" s="222">
        <f t="shared" si="197"/>
        <v>0</v>
      </c>
      <c r="AC1424" s="230">
        <f t="shared" si="198"/>
        <v>0</v>
      </c>
      <c r="AD1424" s="222" t="str">
        <f t="shared" si="199"/>
        <v/>
      </c>
      <c r="AE1424" s="201"/>
      <c r="AF1424" s="231" t="str">
        <f>+IFERROR(VLOOKUP(L1424,Data!$F$4:$G$97,2,0),"")</f>
        <v/>
      </c>
    </row>
    <row r="1425" spans="9:32" ht="15" customHeight="1" x14ac:dyDescent="0.3">
      <c r="I1425" s="201" t="str">
        <f t="shared" si="192"/>
        <v/>
      </c>
      <c r="J1425" s="218">
        <f t="shared" si="193"/>
        <v>1422</v>
      </c>
      <c r="K1425" s="250"/>
      <c r="L1425" s="219"/>
      <c r="M1425" s="218"/>
      <c r="N1425" s="220" t="str">
        <f>IFERROR(VLOOKUP(M1425,Data!$C$4:$D$395,2,0),"")</f>
        <v/>
      </c>
      <c r="O1425" s="220"/>
      <c r="P1425" s="229"/>
      <c r="Q1425" s="221"/>
      <c r="R1425" s="222" t="str">
        <f t="shared" si="194"/>
        <v>-</v>
      </c>
      <c r="S1425" s="223"/>
      <c r="T1425" s="224"/>
      <c r="U1425" s="225">
        <f t="shared" si="195"/>
        <v>0</v>
      </c>
      <c r="V1425" s="226">
        <v>0</v>
      </c>
      <c r="W1425" s="227"/>
      <c r="X1425" s="228">
        <f t="shared" si="196"/>
        <v>0</v>
      </c>
      <c r="Y1425" s="229"/>
      <c r="Z1425" s="229"/>
      <c r="AA1425" s="229"/>
      <c r="AB1425" s="222">
        <f t="shared" si="197"/>
        <v>0</v>
      </c>
      <c r="AC1425" s="230">
        <f t="shared" si="198"/>
        <v>0</v>
      </c>
      <c r="AD1425" s="222" t="str">
        <f t="shared" si="199"/>
        <v/>
      </c>
      <c r="AE1425" s="201"/>
      <c r="AF1425" s="231" t="str">
        <f>+IFERROR(VLOOKUP(L1425,Data!$F$4:$G$97,2,0),"")</f>
        <v/>
      </c>
    </row>
    <row r="1426" spans="9:32" ht="15" customHeight="1" x14ac:dyDescent="0.3">
      <c r="I1426" s="201" t="str">
        <f t="shared" si="192"/>
        <v/>
      </c>
      <c r="J1426" s="218">
        <f t="shared" si="193"/>
        <v>1423</v>
      </c>
      <c r="K1426" s="250"/>
      <c r="L1426" s="219"/>
      <c r="M1426" s="218"/>
      <c r="N1426" s="220" t="str">
        <f>IFERROR(VLOOKUP(M1426,Data!$C$4:$D$395,2,0),"")</f>
        <v/>
      </c>
      <c r="O1426" s="220"/>
      <c r="P1426" s="229"/>
      <c r="Q1426" s="221"/>
      <c r="R1426" s="222" t="str">
        <f t="shared" si="194"/>
        <v>-</v>
      </c>
      <c r="S1426" s="223"/>
      <c r="T1426" s="224"/>
      <c r="U1426" s="225">
        <f t="shared" si="195"/>
        <v>0</v>
      </c>
      <c r="V1426" s="226">
        <v>0</v>
      </c>
      <c r="W1426" s="227"/>
      <c r="X1426" s="228">
        <f t="shared" si="196"/>
        <v>0</v>
      </c>
      <c r="Y1426" s="229"/>
      <c r="Z1426" s="229"/>
      <c r="AA1426" s="229"/>
      <c r="AB1426" s="222">
        <f t="shared" si="197"/>
        <v>0</v>
      </c>
      <c r="AC1426" s="230">
        <f t="shared" si="198"/>
        <v>0</v>
      </c>
      <c r="AD1426" s="222" t="str">
        <f t="shared" si="199"/>
        <v/>
      </c>
      <c r="AE1426" s="201"/>
      <c r="AF1426" s="231" t="str">
        <f>+IFERROR(VLOOKUP(L1426,Data!$F$4:$G$97,2,0),"")</f>
        <v/>
      </c>
    </row>
    <row r="1427" spans="9:32" ht="15" customHeight="1" x14ac:dyDescent="0.3">
      <c r="I1427" s="201" t="str">
        <f t="shared" si="192"/>
        <v/>
      </c>
      <c r="J1427" s="218">
        <f t="shared" si="193"/>
        <v>1424</v>
      </c>
      <c r="K1427" s="250"/>
      <c r="L1427" s="219"/>
      <c r="M1427" s="218"/>
      <c r="N1427" s="220" t="str">
        <f>IFERROR(VLOOKUP(M1427,Data!$C$4:$D$395,2,0),"")</f>
        <v/>
      </c>
      <c r="O1427" s="220"/>
      <c r="P1427" s="229"/>
      <c r="Q1427" s="221"/>
      <c r="R1427" s="222" t="str">
        <f t="shared" si="194"/>
        <v>-</v>
      </c>
      <c r="S1427" s="223"/>
      <c r="T1427" s="224"/>
      <c r="U1427" s="225">
        <f t="shared" si="195"/>
        <v>0</v>
      </c>
      <c r="V1427" s="226">
        <v>0</v>
      </c>
      <c r="W1427" s="227"/>
      <c r="X1427" s="228">
        <f t="shared" si="196"/>
        <v>0</v>
      </c>
      <c r="Y1427" s="229"/>
      <c r="Z1427" s="229"/>
      <c r="AA1427" s="229"/>
      <c r="AB1427" s="222">
        <f t="shared" si="197"/>
        <v>0</v>
      </c>
      <c r="AC1427" s="230">
        <f t="shared" si="198"/>
        <v>0</v>
      </c>
      <c r="AD1427" s="222" t="str">
        <f t="shared" si="199"/>
        <v/>
      </c>
      <c r="AE1427" s="201"/>
      <c r="AF1427" s="231" t="str">
        <f>+IFERROR(VLOOKUP(L1427,Data!$F$4:$G$97,2,0),"")</f>
        <v/>
      </c>
    </row>
    <row r="1428" spans="9:32" ht="15" customHeight="1" x14ac:dyDescent="0.3">
      <c r="I1428" s="201" t="str">
        <f t="shared" si="192"/>
        <v/>
      </c>
      <c r="J1428" s="218">
        <f t="shared" si="193"/>
        <v>1425</v>
      </c>
      <c r="K1428" s="250"/>
      <c r="L1428" s="219"/>
      <c r="M1428" s="218"/>
      <c r="N1428" s="220" t="str">
        <f>IFERROR(VLOOKUP(M1428,Data!$C$4:$D$395,2,0),"")</f>
        <v/>
      </c>
      <c r="O1428" s="220"/>
      <c r="P1428" s="229"/>
      <c r="Q1428" s="221"/>
      <c r="R1428" s="222" t="str">
        <f t="shared" si="194"/>
        <v>-</v>
      </c>
      <c r="S1428" s="223"/>
      <c r="T1428" s="224"/>
      <c r="U1428" s="225">
        <f t="shared" si="195"/>
        <v>0</v>
      </c>
      <c r="V1428" s="226">
        <v>0</v>
      </c>
      <c r="W1428" s="227"/>
      <c r="X1428" s="228">
        <f t="shared" si="196"/>
        <v>0</v>
      </c>
      <c r="Y1428" s="229"/>
      <c r="Z1428" s="229"/>
      <c r="AA1428" s="229"/>
      <c r="AB1428" s="222">
        <f t="shared" si="197"/>
        <v>0</v>
      </c>
      <c r="AC1428" s="230">
        <f t="shared" si="198"/>
        <v>0</v>
      </c>
      <c r="AD1428" s="222" t="str">
        <f t="shared" si="199"/>
        <v/>
      </c>
      <c r="AE1428" s="201"/>
      <c r="AF1428" s="231" t="str">
        <f>+IFERROR(VLOOKUP(L1428,Data!$F$4:$G$97,2,0),"")</f>
        <v/>
      </c>
    </row>
    <row r="1429" spans="9:32" ht="15" customHeight="1" x14ac:dyDescent="0.3">
      <c r="I1429" s="201" t="str">
        <f t="shared" si="192"/>
        <v/>
      </c>
      <c r="J1429" s="218">
        <f t="shared" si="193"/>
        <v>1426</v>
      </c>
      <c r="K1429" s="250"/>
      <c r="L1429" s="219"/>
      <c r="M1429" s="218"/>
      <c r="N1429" s="220" t="str">
        <f>IFERROR(VLOOKUP(M1429,Data!$C$4:$D$395,2,0),"")</f>
        <v/>
      </c>
      <c r="O1429" s="220"/>
      <c r="P1429" s="229"/>
      <c r="Q1429" s="221"/>
      <c r="R1429" s="222" t="str">
        <f t="shared" si="194"/>
        <v>-</v>
      </c>
      <c r="S1429" s="223"/>
      <c r="T1429" s="224"/>
      <c r="U1429" s="225">
        <f t="shared" si="195"/>
        <v>0</v>
      </c>
      <c r="V1429" s="226">
        <v>0</v>
      </c>
      <c r="W1429" s="227"/>
      <c r="X1429" s="228">
        <f t="shared" si="196"/>
        <v>0</v>
      </c>
      <c r="Y1429" s="229"/>
      <c r="Z1429" s="229"/>
      <c r="AA1429" s="229"/>
      <c r="AB1429" s="222">
        <f t="shared" si="197"/>
        <v>0</v>
      </c>
      <c r="AC1429" s="230">
        <f t="shared" si="198"/>
        <v>0</v>
      </c>
      <c r="AD1429" s="222" t="str">
        <f t="shared" si="199"/>
        <v/>
      </c>
      <c r="AE1429" s="201"/>
      <c r="AF1429" s="231" t="str">
        <f>+IFERROR(VLOOKUP(L1429,Data!$F$4:$G$97,2,0),"")</f>
        <v/>
      </c>
    </row>
    <row r="1430" spans="9:32" ht="15" customHeight="1" x14ac:dyDescent="0.3">
      <c r="I1430" s="201" t="str">
        <f t="shared" si="192"/>
        <v/>
      </c>
      <c r="J1430" s="218">
        <f t="shared" si="193"/>
        <v>1427</v>
      </c>
      <c r="K1430" s="250"/>
      <c r="L1430" s="219"/>
      <c r="M1430" s="218"/>
      <c r="N1430" s="220" t="str">
        <f>IFERROR(VLOOKUP(M1430,Data!$C$4:$D$395,2,0),"")</f>
        <v/>
      </c>
      <c r="O1430" s="220"/>
      <c r="P1430" s="229"/>
      <c r="Q1430" s="221"/>
      <c r="R1430" s="222" t="str">
        <f t="shared" si="194"/>
        <v>-</v>
      </c>
      <c r="S1430" s="223"/>
      <c r="T1430" s="224"/>
      <c r="U1430" s="225">
        <f t="shared" si="195"/>
        <v>0</v>
      </c>
      <c r="V1430" s="226">
        <v>0</v>
      </c>
      <c r="W1430" s="227"/>
      <c r="X1430" s="228">
        <f t="shared" si="196"/>
        <v>0</v>
      </c>
      <c r="Y1430" s="229"/>
      <c r="Z1430" s="229"/>
      <c r="AA1430" s="229"/>
      <c r="AB1430" s="222">
        <f t="shared" si="197"/>
        <v>0</v>
      </c>
      <c r="AC1430" s="230">
        <f t="shared" si="198"/>
        <v>0</v>
      </c>
      <c r="AD1430" s="222" t="str">
        <f t="shared" si="199"/>
        <v/>
      </c>
      <c r="AE1430" s="201"/>
      <c r="AF1430" s="231" t="str">
        <f>+IFERROR(VLOOKUP(L1430,Data!$F$4:$G$97,2,0),"")</f>
        <v/>
      </c>
    </row>
    <row r="1431" spans="9:32" ht="15" customHeight="1" x14ac:dyDescent="0.3">
      <c r="I1431" s="201" t="str">
        <f t="shared" si="192"/>
        <v/>
      </c>
      <c r="J1431" s="218">
        <f t="shared" si="193"/>
        <v>1428</v>
      </c>
      <c r="K1431" s="250"/>
      <c r="L1431" s="219"/>
      <c r="M1431" s="218"/>
      <c r="N1431" s="220" t="str">
        <f>IFERROR(VLOOKUP(M1431,Data!$C$4:$D$395,2,0),"")</f>
        <v/>
      </c>
      <c r="O1431" s="220"/>
      <c r="P1431" s="229"/>
      <c r="Q1431" s="221"/>
      <c r="R1431" s="222" t="str">
        <f t="shared" si="194"/>
        <v>-</v>
      </c>
      <c r="S1431" s="223"/>
      <c r="T1431" s="224"/>
      <c r="U1431" s="225">
        <f t="shared" si="195"/>
        <v>0</v>
      </c>
      <c r="V1431" s="226">
        <v>0</v>
      </c>
      <c r="W1431" s="227"/>
      <c r="X1431" s="228">
        <f t="shared" si="196"/>
        <v>0</v>
      </c>
      <c r="Y1431" s="229"/>
      <c r="Z1431" s="229"/>
      <c r="AA1431" s="229"/>
      <c r="AB1431" s="222">
        <f t="shared" si="197"/>
        <v>0</v>
      </c>
      <c r="AC1431" s="230">
        <f t="shared" si="198"/>
        <v>0</v>
      </c>
      <c r="AD1431" s="222" t="str">
        <f t="shared" si="199"/>
        <v/>
      </c>
      <c r="AE1431" s="201"/>
      <c r="AF1431" s="231" t="str">
        <f>+IFERROR(VLOOKUP(L1431,Data!$F$4:$G$97,2,0),"")</f>
        <v/>
      </c>
    </row>
    <row r="1432" spans="9:32" ht="15" customHeight="1" x14ac:dyDescent="0.3">
      <c r="I1432" s="201" t="str">
        <f t="shared" si="192"/>
        <v/>
      </c>
      <c r="J1432" s="218">
        <f t="shared" si="193"/>
        <v>1429</v>
      </c>
      <c r="K1432" s="250"/>
      <c r="L1432" s="219"/>
      <c r="M1432" s="218"/>
      <c r="N1432" s="220" t="str">
        <f>IFERROR(VLOOKUP(M1432,Data!$C$4:$D$395,2,0),"")</f>
        <v/>
      </c>
      <c r="O1432" s="220"/>
      <c r="P1432" s="229"/>
      <c r="Q1432" s="221"/>
      <c r="R1432" s="222" t="str">
        <f t="shared" si="194"/>
        <v>-</v>
      </c>
      <c r="S1432" s="223"/>
      <c r="T1432" s="224"/>
      <c r="U1432" s="225">
        <f t="shared" si="195"/>
        <v>0</v>
      </c>
      <c r="V1432" s="226">
        <v>0</v>
      </c>
      <c r="W1432" s="227"/>
      <c r="X1432" s="228">
        <f t="shared" si="196"/>
        <v>0</v>
      </c>
      <c r="Y1432" s="229"/>
      <c r="Z1432" s="229"/>
      <c r="AA1432" s="229"/>
      <c r="AB1432" s="222">
        <f t="shared" si="197"/>
        <v>0</v>
      </c>
      <c r="AC1432" s="230">
        <f t="shared" si="198"/>
        <v>0</v>
      </c>
      <c r="AD1432" s="222" t="str">
        <f t="shared" si="199"/>
        <v/>
      </c>
      <c r="AE1432" s="201"/>
      <c r="AF1432" s="231" t="str">
        <f>+IFERROR(VLOOKUP(L1432,Data!$F$4:$G$97,2,0),"")</f>
        <v/>
      </c>
    </row>
    <row r="1433" spans="9:32" ht="15" customHeight="1" x14ac:dyDescent="0.3">
      <c r="I1433" s="201" t="str">
        <f t="shared" si="192"/>
        <v/>
      </c>
      <c r="J1433" s="218">
        <f t="shared" si="193"/>
        <v>1430</v>
      </c>
      <c r="K1433" s="250"/>
      <c r="L1433" s="219"/>
      <c r="M1433" s="218"/>
      <c r="N1433" s="220" t="str">
        <f>IFERROR(VLOOKUP(M1433,Data!$C$4:$D$395,2,0),"")</f>
        <v/>
      </c>
      <c r="O1433" s="220"/>
      <c r="P1433" s="229"/>
      <c r="Q1433" s="221"/>
      <c r="R1433" s="222" t="str">
        <f t="shared" si="194"/>
        <v>-</v>
      </c>
      <c r="S1433" s="223"/>
      <c r="T1433" s="224"/>
      <c r="U1433" s="225">
        <f t="shared" si="195"/>
        <v>0</v>
      </c>
      <c r="V1433" s="226">
        <v>0</v>
      </c>
      <c r="W1433" s="227"/>
      <c r="X1433" s="228">
        <f t="shared" si="196"/>
        <v>0</v>
      </c>
      <c r="Y1433" s="229"/>
      <c r="Z1433" s="229"/>
      <c r="AA1433" s="229"/>
      <c r="AB1433" s="222">
        <f t="shared" si="197"/>
        <v>0</v>
      </c>
      <c r="AC1433" s="230">
        <f t="shared" si="198"/>
        <v>0</v>
      </c>
      <c r="AD1433" s="222" t="str">
        <f t="shared" si="199"/>
        <v/>
      </c>
      <c r="AE1433" s="201"/>
      <c r="AF1433" s="231" t="str">
        <f>+IFERROR(VLOOKUP(L1433,Data!$F$4:$G$97,2,0),"")</f>
        <v/>
      </c>
    </row>
    <row r="1434" spans="9:32" ht="15" customHeight="1" x14ac:dyDescent="0.3">
      <c r="I1434" s="201" t="str">
        <f t="shared" si="192"/>
        <v/>
      </c>
      <c r="J1434" s="218">
        <f t="shared" si="193"/>
        <v>1431</v>
      </c>
      <c r="K1434" s="250"/>
      <c r="L1434" s="219"/>
      <c r="M1434" s="218"/>
      <c r="N1434" s="220" t="str">
        <f>IFERROR(VLOOKUP(M1434,Data!$C$4:$D$395,2,0),"")</f>
        <v/>
      </c>
      <c r="O1434" s="220"/>
      <c r="P1434" s="229"/>
      <c r="Q1434" s="221"/>
      <c r="R1434" s="222" t="str">
        <f t="shared" si="194"/>
        <v>-</v>
      </c>
      <c r="S1434" s="223"/>
      <c r="T1434" s="224"/>
      <c r="U1434" s="225">
        <f t="shared" si="195"/>
        <v>0</v>
      </c>
      <c r="V1434" s="226">
        <v>0</v>
      </c>
      <c r="W1434" s="227"/>
      <c r="X1434" s="228">
        <f t="shared" si="196"/>
        <v>0</v>
      </c>
      <c r="Y1434" s="229"/>
      <c r="Z1434" s="229"/>
      <c r="AA1434" s="229"/>
      <c r="AB1434" s="222">
        <f t="shared" si="197"/>
        <v>0</v>
      </c>
      <c r="AC1434" s="230">
        <f t="shared" si="198"/>
        <v>0</v>
      </c>
      <c r="AD1434" s="222" t="str">
        <f t="shared" si="199"/>
        <v/>
      </c>
      <c r="AE1434" s="201"/>
      <c r="AF1434" s="231" t="str">
        <f>+IFERROR(VLOOKUP(L1434,Data!$F$4:$G$97,2,0),"")</f>
        <v/>
      </c>
    </row>
    <row r="1435" spans="9:32" ht="15" customHeight="1" x14ac:dyDescent="0.3">
      <c r="I1435" s="201" t="str">
        <f t="shared" si="192"/>
        <v/>
      </c>
      <c r="J1435" s="218">
        <f t="shared" si="193"/>
        <v>1432</v>
      </c>
      <c r="K1435" s="250"/>
      <c r="L1435" s="219"/>
      <c r="M1435" s="218"/>
      <c r="N1435" s="220" t="str">
        <f>IFERROR(VLOOKUP(M1435,Data!$C$4:$D$395,2,0),"")</f>
        <v/>
      </c>
      <c r="O1435" s="220"/>
      <c r="P1435" s="229"/>
      <c r="Q1435" s="221"/>
      <c r="R1435" s="222" t="str">
        <f t="shared" si="194"/>
        <v>-</v>
      </c>
      <c r="S1435" s="223"/>
      <c r="T1435" s="224"/>
      <c r="U1435" s="225">
        <f t="shared" si="195"/>
        <v>0</v>
      </c>
      <c r="V1435" s="226">
        <v>0</v>
      </c>
      <c r="W1435" s="227"/>
      <c r="X1435" s="228">
        <f t="shared" si="196"/>
        <v>0</v>
      </c>
      <c r="Y1435" s="229"/>
      <c r="Z1435" s="229"/>
      <c r="AA1435" s="229"/>
      <c r="AB1435" s="222">
        <f t="shared" si="197"/>
        <v>0</v>
      </c>
      <c r="AC1435" s="230">
        <f t="shared" si="198"/>
        <v>0</v>
      </c>
      <c r="AD1435" s="222" t="str">
        <f t="shared" si="199"/>
        <v/>
      </c>
      <c r="AE1435" s="201"/>
      <c r="AF1435" s="231" t="str">
        <f>+IFERROR(VLOOKUP(L1435,Data!$F$4:$G$97,2,0),"")</f>
        <v/>
      </c>
    </row>
    <row r="1436" spans="9:32" ht="15" customHeight="1" x14ac:dyDescent="0.3">
      <c r="I1436" s="201" t="str">
        <f t="shared" si="192"/>
        <v/>
      </c>
      <c r="J1436" s="218">
        <f t="shared" si="193"/>
        <v>1433</v>
      </c>
      <c r="K1436" s="250"/>
      <c r="L1436" s="219"/>
      <c r="M1436" s="218"/>
      <c r="N1436" s="220" t="str">
        <f>IFERROR(VLOOKUP(M1436,Data!$C$4:$D$395,2,0),"")</f>
        <v/>
      </c>
      <c r="O1436" s="220"/>
      <c r="P1436" s="229"/>
      <c r="Q1436" s="221"/>
      <c r="R1436" s="222" t="str">
        <f t="shared" si="194"/>
        <v>-</v>
      </c>
      <c r="S1436" s="223"/>
      <c r="T1436" s="224"/>
      <c r="U1436" s="225">
        <f t="shared" si="195"/>
        <v>0</v>
      </c>
      <c r="V1436" s="226">
        <v>0</v>
      </c>
      <c r="W1436" s="227"/>
      <c r="X1436" s="228">
        <f t="shared" si="196"/>
        <v>0</v>
      </c>
      <c r="Y1436" s="229"/>
      <c r="Z1436" s="229"/>
      <c r="AA1436" s="229"/>
      <c r="AB1436" s="222">
        <f t="shared" si="197"/>
        <v>0</v>
      </c>
      <c r="AC1436" s="230">
        <f t="shared" si="198"/>
        <v>0</v>
      </c>
      <c r="AD1436" s="222" t="str">
        <f t="shared" si="199"/>
        <v/>
      </c>
      <c r="AE1436" s="201"/>
      <c r="AF1436" s="231" t="str">
        <f>+IFERROR(VLOOKUP(L1436,Data!$F$4:$G$97,2,0),"")</f>
        <v/>
      </c>
    </row>
    <row r="1437" spans="9:32" ht="15" customHeight="1" x14ac:dyDescent="0.3">
      <c r="I1437" s="201" t="str">
        <f t="shared" si="192"/>
        <v/>
      </c>
      <c r="J1437" s="218">
        <f t="shared" si="193"/>
        <v>1434</v>
      </c>
      <c r="K1437" s="250"/>
      <c r="L1437" s="219"/>
      <c r="M1437" s="218"/>
      <c r="N1437" s="220" t="str">
        <f>IFERROR(VLOOKUP(M1437,Data!$C$4:$D$395,2,0),"")</f>
        <v/>
      </c>
      <c r="O1437" s="220"/>
      <c r="P1437" s="229"/>
      <c r="Q1437" s="221"/>
      <c r="R1437" s="222" t="str">
        <f t="shared" si="194"/>
        <v>-</v>
      </c>
      <c r="S1437" s="223"/>
      <c r="T1437" s="224"/>
      <c r="U1437" s="225">
        <f t="shared" si="195"/>
        <v>0</v>
      </c>
      <c r="V1437" s="226">
        <v>0</v>
      </c>
      <c r="W1437" s="227"/>
      <c r="X1437" s="228">
        <f t="shared" si="196"/>
        <v>0</v>
      </c>
      <c r="Y1437" s="229"/>
      <c r="Z1437" s="229"/>
      <c r="AA1437" s="229"/>
      <c r="AB1437" s="222">
        <f t="shared" si="197"/>
        <v>0</v>
      </c>
      <c r="AC1437" s="230">
        <f t="shared" si="198"/>
        <v>0</v>
      </c>
      <c r="AD1437" s="222" t="str">
        <f t="shared" si="199"/>
        <v/>
      </c>
      <c r="AE1437" s="201"/>
      <c r="AF1437" s="231" t="str">
        <f>+IFERROR(VLOOKUP(L1437,Data!$F$4:$G$97,2,0),"")</f>
        <v/>
      </c>
    </row>
    <row r="1438" spans="9:32" ht="15" customHeight="1" x14ac:dyDescent="0.3">
      <c r="I1438" s="201" t="str">
        <f t="shared" si="192"/>
        <v/>
      </c>
      <c r="J1438" s="218">
        <f t="shared" si="193"/>
        <v>1435</v>
      </c>
      <c r="K1438" s="250"/>
      <c r="L1438" s="219"/>
      <c r="M1438" s="218"/>
      <c r="N1438" s="220" t="str">
        <f>IFERROR(VLOOKUP(M1438,Data!$C$4:$D$395,2,0),"")</f>
        <v/>
      </c>
      <c r="O1438" s="220"/>
      <c r="P1438" s="229"/>
      <c r="Q1438" s="221"/>
      <c r="R1438" s="222" t="str">
        <f t="shared" si="194"/>
        <v>-</v>
      </c>
      <c r="S1438" s="223"/>
      <c r="T1438" s="224"/>
      <c r="U1438" s="225">
        <f t="shared" si="195"/>
        <v>0</v>
      </c>
      <c r="V1438" s="226">
        <v>0</v>
      </c>
      <c r="W1438" s="227"/>
      <c r="X1438" s="228">
        <f t="shared" si="196"/>
        <v>0</v>
      </c>
      <c r="Y1438" s="229"/>
      <c r="Z1438" s="229"/>
      <c r="AA1438" s="229"/>
      <c r="AB1438" s="222">
        <f t="shared" si="197"/>
        <v>0</v>
      </c>
      <c r="AC1438" s="230">
        <f t="shared" si="198"/>
        <v>0</v>
      </c>
      <c r="AD1438" s="222" t="str">
        <f t="shared" si="199"/>
        <v/>
      </c>
      <c r="AE1438" s="201"/>
      <c r="AF1438" s="231" t="str">
        <f>+IFERROR(VLOOKUP(L1438,Data!$F$4:$G$97,2,0),"")</f>
        <v/>
      </c>
    </row>
    <row r="1439" spans="9:32" ht="15" customHeight="1" x14ac:dyDescent="0.3">
      <c r="I1439" s="201" t="str">
        <f t="shared" si="192"/>
        <v/>
      </c>
      <c r="J1439" s="218">
        <f t="shared" si="193"/>
        <v>1436</v>
      </c>
      <c r="K1439" s="250"/>
      <c r="L1439" s="219"/>
      <c r="M1439" s="218"/>
      <c r="N1439" s="220" t="str">
        <f>IFERROR(VLOOKUP(M1439,Data!$C$4:$D$395,2,0),"")</f>
        <v/>
      </c>
      <c r="O1439" s="220"/>
      <c r="P1439" s="229"/>
      <c r="Q1439" s="221"/>
      <c r="R1439" s="222" t="str">
        <f t="shared" si="194"/>
        <v>-</v>
      </c>
      <c r="S1439" s="223"/>
      <c r="T1439" s="224"/>
      <c r="U1439" s="225">
        <f t="shared" si="195"/>
        <v>0</v>
      </c>
      <c r="V1439" s="226">
        <v>0</v>
      </c>
      <c r="W1439" s="227"/>
      <c r="X1439" s="228">
        <f t="shared" si="196"/>
        <v>0</v>
      </c>
      <c r="Y1439" s="229"/>
      <c r="Z1439" s="229"/>
      <c r="AA1439" s="229"/>
      <c r="AB1439" s="222">
        <f t="shared" si="197"/>
        <v>0</v>
      </c>
      <c r="AC1439" s="230">
        <f t="shared" si="198"/>
        <v>0</v>
      </c>
      <c r="AD1439" s="222" t="str">
        <f t="shared" si="199"/>
        <v/>
      </c>
      <c r="AE1439" s="201"/>
      <c r="AF1439" s="231" t="str">
        <f>+IFERROR(VLOOKUP(L1439,Data!$F$4:$G$97,2,0),"")</f>
        <v/>
      </c>
    </row>
    <row r="1440" spans="9:32" ht="15" customHeight="1" x14ac:dyDescent="0.3">
      <c r="I1440" s="201" t="str">
        <f t="shared" si="192"/>
        <v/>
      </c>
      <c r="J1440" s="218">
        <f t="shared" si="193"/>
        <v>1437</v>
      </c>
      <c r="K1440" s="250"/>
      <c r="L1440" s="219"/>
      <c r="M1440" s="218"/>
      <c r="N1440" s="220" t="str">
        <f>IFERROR(VLOOKUP(M1440,Data!$C$4:$D$395,2,0),"")</f>
        <v/>
      </c>
      <c r="O1440" s="220"/>
      <c r="P1440" s="229"/>
      <c r="Q1440" s="221"/>
      <c r="R1440" s="222" t="str">
        <f t="shared" si="194"/>
        <v>-</v>
      </c>
      <c r="S1440" s="223"/>
      <c r="T1440" s="224"/>
      <c r="U1440" s="225">
        <f t="shared" si="195"/>
        <v>0</v>
      </c>
      <c r="V1440" s="226">
        <v>0</v>
      </c>
      <c r="W1440" s="227"/>
      <c r="X1440" s="228">
        <f t="shared" si="196"/>
        <v>0</v>
      </c>
      <c r="Y1440" s="229"/>
      <c r="Z1440" s="229"/>
      <c r="AA1440" s="229"/>
      <c r="AB1440" s="222">
        <f t="shared" si="197"/>
        <v>0</v>
      </c>
      <c r="AC1440" s="230">
        <f t="shared" si="198"/>
        <v>0</v>
      </c>
      <c r="AD1440" s="222" t="str">
        <f t="shared" si="199"/>
        <v/>
      </c>
      <c r="AE1440" s="201"/>
      <c r="AF1440" s="231" t="str">
        <f>+IFERROR(VLOOKUP(L1440,Data!$F$4:$G$97,2,0),"")</f>
        <v/>
      </c>
    </row>
    <row r="1441" spans="9:32" ht="15" customHeight="1" x14ac:dyDescent="0.3">
      <c r="I1441" s="201" t="str">
        <f t="shared" si="192"/>
        <v/>
      </c>
      <c r="J1441" s="218">
        <f t="shared" si="193"/>
        <v>1438</v>
      </c>
      <c r="K1441" s="250"/>
      <c r="L1441" s="219"/>
      <c r="M1441" s="218"/>
      <c r="N1441" s="220" t="str">
        <f>IFERROR(VLOOKUP(M1441,Data!$C$4:$D$395,2,0),"")</f>
        <v/>
      </c>
      <c r="O1441" s="220"/>
      <c r="P1441" s="229"/>
      <c r="Q1441" s="221"/>
      <c r="R1441" s="222" t="str">
        <f t="shared" si="194"/>
        <v>-</v>
      </c>
      <c r="S1441" s="223"/>
      <c r="T1441" s="224"/>
      <c r="U1441" s="225">
        <f t="shared" si="195"/>
        <v>0</v>
      </c>
      <c r="V1441" s="226">
        <v>0</v>
      </c>
      <c r="W1441" s="227"/>
      <c r="X1441" s="228">
        <f t="shared" si="196"/>
        <v>0</v>
      </c>
      <c r="Y1441" s="229"/>
      <c r="Z1441" s="229"/>
      <c r="AA1441" s="229"/>
      <c r="AB1441" s="222">
        <f t="shared" si="197"/>
        <v>0</v>
      </c>
      <c r="AC1441" s="230">
        <f t="shared" si="198"/>
        <v>0</v>
      </c>
      <c r="AD1441" s="222" t="str">
        <f t="shared" si="199"/>
        <v/>
      </c>
      <c r="AE1441" s="201"/>
      <c r="AF1441" s="231" t="str">
        <f>+IFERROR(VLOOKUP(L1441,Data!$F$4:$G$97,2,0),"")</f>
        <v/>
      </c>
    </row>
    <row r="1442" spans="9:32" ht="15" customHeight="1" x14ac:dyDescent="0.3">
      <c r="I1442" s="201" t="str">
        <f t="shared" si="192"/>
        <v/>
      </c>
      <c r="J1442" s="218">
        <f t="shared" si="193"/>
        <v>1439</v>
      </c>
      <c r="K1442" s="250"/>
      <c r="L1442" s="219"/>
      <c r="M1442" s="218"/>
      <c r="N1442" s="220" t="str">
        <f>IFERROR(VLOOKUP(M1442,Data!$C$4:$D$395,2,0),"")</f>
        <v/>
      </c>
      <c r="O1442" s="220"/>
      <c r="P1442" s="229"/>
      <c r="Q1442" s="221"/>
      <c r="R1442" s="222" t="str">
        <f t="shared" si="194"/>
        <v>-</v>
      </c>
      <c r="S1442" s="223"/>
      <c r="T1442" s="224"/>
      <c r="U1442" s="225">
        <f t="shared" si="195"/>
        <v>0</v>
      </c>
      <c r="V1442" s="226">
        <v>0</v>
      </c>
      <c r="W1442" s="227"/>
      <c r="X1442" s="228">
        <f t="shared" si="196"/>
        <v>0</v>
      </c>
      <c r="Y1442" s="229"/>
      <c r="Z1442" s="229"/>
      <c r="AA1442" s="229"/>
      <c r="AB1442" s="222">
        <f t="shared" si="197"/>
        <v>0</v>
      </c>
      <c r="AC1442" s="230">
        <f t="shared" si="198"/>
        <v>0</v>
      </c>
      <c r="AD1442" s="222" t="str">
        <f t="shared" si="199"/>
        <v/>
      </c>
      <c r="AE1442" s="201"/>
      <c r="AF1442" s="231" t="str">
        <f>+IFERROR(VLOOKUP(L1442,Data!$F$4:$G$97,2,0),"")</f>
        <v/>
      </c>
    </row>
    <row r="1443" spans="9:32" ht="15" customHeight="1" x14ac:dyDescent="0.3">
      <c r="I1443" s="201" t="str">
        <f t="shared" si="192"/>
        <v/>
      </c>
      <c r="J1443" s="218">
        <f t="shared" si="193"/>
        <v>1440</v>
      </c>
      <c r="K1443" s="250"/>
      <c r="L1443" s="219"/>
      <c r="M1443" s="218"/>
      <c r="N1443" s="220" t="str">
        <f>IFERROR(VLOOKUP(M1443,Data!$C$4:$D$395,2,0),"")</f>
        <v/>
      </c>
      <c r="O1443" s="220"/>
      <c r="P1443" s="229"/>
      <c r="Q1443" s="221"/>
      <c r="R1443" s="222" t="str">
        <f t="shared" si="194"/>
        <v>-</v>
      </c>
      <c r="S1443" s="223"/>
      <c r="T1443" s="224"/>
      <c r="U1443" s="225">
        <f t="shared" si="195"/>
        <v>0</v>
      </c>
      <c r="V1443" s="226">
        <v>0</v>
      </c>
      <c r="W1443" s="227"/>
      <c r="X1443" s="228">
        <f t="shared" si="196"/>
        <v>0</v>
      </c>
      <c r="Y1443" s="229"/>
      <c r="Z1443" s="229"/>
      <c r="AA1443" s="229"/>
      <c r="AB1443" s="222">
        <f t="shared" si="197"/>
        <v>0</v>
      </c>
      <c r="AC1443" s="230">
        <f t="shared" si="198"/>
        <v>0</v>
      </c>
      <c r="AD1443" s="222" t="str">
        <f t="shared" si="199"/>
        <v/>
      </c>
      <c r="AE1443" s="201"/>
      <c r="AF1443" s="231" t="str">
        <f>+IFERROR(VLOOKUP(L1443,Data!$F$4:$G$97,2,0),"")</f>
        <v/>
      </c>
    </row>
    <row r="1444" spans="9:32" ht="15" customHeight="1" x14ac:dyDescent="0.3">
      <c r="I1444" s="201" t="str">
        <f t="shared" si="192"/>
        <v/>
      </c>
      <c r="J1444" s="218">
        <f t="shared" si="193"/>
        <v>1441</v>
      </c>
      <c r="K1444" s="250"/>
      <c r="L1444" s="219"/>
      <c r="M1444" s="218"/>
      <c r="N1444" s="220" t="str">
        <f>IFERROR(VLOOKUP(M1444,Data!$C$4:$D$395,2,0),"")</f>
        <v/>
      </c>
      <c r="O1444" s="220"/>
      <c r="P1444" s="229"/>
      <c r="Q1444" s="221"/>
      <c r="R1444" s="222" t="str">
        <f t="shared" si="194"/>
        <v>-</v>
      </c>
      <c r="S1444" s="223"/>
      <c r="T1444" s="224"/>
      <c r="U1444" s="225">
        <f t="shared" si="195"/>
        <v>0</v>
      </c>
      <c r="V1444" s="226">
        <v>0</v>
      </c>
      <c r="W1444" s="227"/>
      <c r="X1444" s="228">
        <f t="shared" si="196"/>
        <v>0</v>
      </c>
      <c r="Y1444" s="229"/>
      <c r="Z1444" s="229"/>
      <c r="AA1444" s="229"/>
      <c r="AB1444" s="222">
        <f t="shared" si="197"/>
        <v>0</v>
      </c>
      <c r="AC1444" s="230">
        <f t="shared" si="198"/>
        <v>0</v>
      </c>
      <c r="AD1444" s="222" t="str">
        <f t="shared" si="199"/>
        <v/>
      </c>
      <c r="AE1444" s="201"/>
      <c r="AF1444" s="231" t="str">
        <f>+IFERROR(VLOOKUP(L1444,Data!$F$4:$G$97,2,0),"")</f>
        <v/>
      </c>
    </row>
    <row r="1445" spans="9:32" ht="15" customHeight="1" x14ac:dyDescent="0.3">
      <c r="I1445" s="201" t="str">
        <f t="shared" si="192"/>
        <v/>
      </c>
      <c r="J1445" s="218">
        <f t="shared" si="193"/>
        <v>1442</v>
      </c>
      <c r="K1445" s="250"/>
      <c r="L1445" s="219"/>
      <c r="M1445" s="218"/>
      <c r="N1445" s="220" t="str">
        <f>IFERROR(VLOOKUP(M1445,Data!$C$4:$D$395,2,0),"")</f>
        <v/>
      </c>
      <c r="O1445" s="220"/>
      <c r="P1445" s="229"/>
      <c r="Q1445" s="221"/>
      <c r="R1445" s="222" t="str">
        <f t="shared" si="194"/>
        <v>-</v>
      </c>
      <c r="S1445" s="223"/>
      <c r="T1445" s="224"/>
      <c r="U1445" s="225">
        <f t="shared" si="195"/>
        <v>0</v>
      </c>
      <c r="V1445" s="226">
        <v>0</v>
      </c>
      <c r="W1445" s="227"/>
      <c r="X1445" s="228">
        <f t="shared" si="196"/>
        <v>0</v>
      </c>
      <c r="Y1445" s="229"/>
      <c r="Z1445" s="229"/>
      <c r="AA1445" s="229"/>
      <c r="AB1445" s="222">
        <f t="shared" si="197"/>
        <v>0</v>
      </c>
      <c r="AC1445" s="230">
        <f t="shared" si="198"/>
        <v>0</v>
      </c>
      <c r="AD1445" s="222" t="str">
        <f t="shared" si="199"/>
        <v/>
      </c>
      <c r="AE1445" s="201"/>
      <c r="AF1445" s="231" t="str">
        <f>+IFERROR(VLOOKUP(L1445,Data!$F$4:$G$97,2,0),"")</f>
        <v/>
      </c>
    </row>
    <row r="1446" spans="9:32" ht="15" customHeight="1" x14ac:dyDescent="0.3">
      <c r="I1446" s="201" t="str">
        <f t="shared" si="192"/>
        <v/>
      </c>
      <c r="J1446" s="218">
        <f t="shared" si="193"/>
        <v>1443</v>
      </c>
      <c r="K1446" s="250"/>
      <c r="L1446" s="219"/>
      <c r="M1446" s="218"/>
      <c r="N1446" s="220" t="str">
        <f>IFERROR(VLOOKUP(M1446,Data!$C$4:$D$395,2,0),"")</f>
        <v/>
      </c>
      <c r="O1446" s="220"/>
      <c r="P1446" s="229"/>
      <c r="Q1446" s="221"/>
      <c r="R1446" s="222" t="str">
        <f t="shared" si="194"/>
        <v>-</v>
      </c>
      <c r="S1446" s="223"/>
      <c r="T1446" s="224"/>
      <c r="U1446" s="225">
        <f t="shared" si="195"/>
        <v>0</v>
      </c>
      <c r="V1446" s="226">
        <v>0</v>
      </c>
      <c r="W1446" s="227"/>
      <c r="X1446" s="228">
        <f t="shared" si="196"/>
        <v>0</v>
      </c>
      <c r="Y1446" s="229"/>
      <c r="Z1446" s="229"/>
      <c r="AA1446" s="229"/>
      <c r="AB1446" s="222">
        <f t="shared" si="197"/>
        <v>0</v>
      </c>
      <c r="AC1446" s="230">
        <f t="shared" si="198"/>
        <v>0</v>
      </c>
      <c r="AD1446" s="222" t="str">
        <f t="shared" si="199"/>
        <v/>
      </c>
      <c r="AE1446" s="201"/>
      <c r="AF1446" s="231" t="str">
        <f>+IFERROR(VLOOKUP(L1446,Data!$F$4:$G$97,2,0),"")</f>
        <v/>
      </c>
    </row>
    <row r="1447" spans="9:32" ht="15" customHeight="1" x14ac:dyDescent="0.3">
      <c r="I1447" s="201" t="str">
        <f t="shared" si="192"/>
        <v/>
      </c>
      <c r="J1447" s="218">
        <f t="shared" si="193"/>
        <v>1444</v>
      </c>
      <c r="K1447" s="250"/>
      <c r="L1447" s="219"/>
      <c r="M1447" s="218"/>
      <c r="N1447" s="220" t="str">
        <f>IFERROR(VLOOKUP(M1447,Data!$C$4:$D$395,2,0),"")</f>
        <v/>
      </c>
      <c r="O1447" s="220"/>
      <c r="P1447" s="229"/>
      <c r="Q1447" s="221"/>
      <c r="R1447" s="222" t="str">
        <f t="shared" si="194"/>
        <v>-</v>
      </c>
      <c r="S1447" s="223"/>
      <c r="T1447" s="224"/>
      <c r="U1447" s="225">
        <f t="shared" si="195"/>
        <v>0</v>
      </c>
      <c r="V1447" s="226">
        <v>0</v>
      </c>
      <c r="W1447" s="227"/>
      <c r="X1447" s="228">
        <f t="shared" si="196"/>
        <v>0</v>
      </c>
      <c r="Y1447" s="229"/>
      <c r="Z1447" s="229"/>
      <c r="AA1447" s="229"/>
      <c r="AB1447" s="222">
        <f t="shared" si="197"/>
        <v>0</v>
      </c>
      <c r="AC1447" s="230">
        <f t="shared" si="198"/>
        <v>0</v>
      </c>
      <c r="AD1447" s="222" t="str">
        <f t="shared" si="199"/>
        <v/>
      </c>
      <c r="AE1447" s="201"/>
      <c r="AF1447" s="231" t="str">
        <f>+IFERROR(VLOOKUP(L1447,Data!$F$4:$G$97,2,0),"")</f>
        <v/>
      </c>
    </row>
    <row r="1448" spans="9:32" ht="15" customHeight="1" x14ac:dyDescent="0.3">
      <c r="I1448" s="201" t="str">
        <f t="shared" si="192"/>
        <v/>
      </c>
      <c r="J1448" s="218">
        <f t="shared" si="193"/>
        <v>1445</v>
      </c>
      <c r="K1448" s="250"/>
      <c r="L1448" s="219"/>
      <c r="M1448" s="218"/>
      <c r="N1448" s="220" t="str">
        <f>IFERROR(VLOOKUP(M1448,Data!$C$4:$D$395,2,0),"")</f>
        <v/>
      </c>
      <c r="O1448" s="220"/>
      <c r="P1448" s="229"/>
      <c r="Q1448" s="221"/>
      <c r="R1448" s="222" t="str">
        <f t="shared" si="194"/>
        <v>-</v>
      </c>
      <c r="S1448" s="223"/>
      <c r="T1448" s="224"/>
      <c r="U1448" s="225">
        <f t="shared" si="195"/>
        <v>0</v>
      </c>
      <c r="V1448" s="226">
        <v>0</v>
      </c>
      <c r="W1448" s="227"/>
      <c r="X1448" s="228">
        <f t="shared" si="196"/>
        <v>0</v>
      </c>
      <c r="Y1448" s="229"/>
      <c r="Z1448" s="229"/>
      <c r="AA1448" s="229"/>
      <c r="AB1448" s="222">
        <f t="shared" si="197"/>
        <v>0</v>
      </c>
      <c r="AC1448" s="230">
        <f t="shared" si="198"/>
        <v>0</v>
      </c>
      <c r="AD1448" s="222" t="str">
        <f t="shared" si="199"/>
        <v/>
      </c>
      <c r="AE1448" s="201"/>
      <c r="AF1448" s="231" t="str">
        <f>+IFERROR(VLOOKUP(L1448,Data!$F$4:$G$97,2,0),"")</f>
        <v/>
      </c>
    </row>
    <row r="1449" spans="9:32" ht="15" customHeight="1" x14ac:dyDescent="0.3">
      <c r="I1449" s="201" t="str">
        <f t="shared" si="192"/>
        <v/>
      </c>
      <c r="J1449" s="218">
        <f t="shared" si="193"/>
        <v>1446</v>
      </c>
      <c r="K1449" s="250"/>
      <c r="L1449" s="219"/>
      <c r="M1449" s="218"/>
      <c r="N1449" s="220" t="str">
        <f>IFERROR(VLOOKUP(M1449,Data!$C$4:$D$395,2,0),"")</f>
        <v/>
      </c>
      <c r="O1449" s="220"/>
      <c r="P1449" s="229"/>
      <c r="Q1449" s="221"/>
      <c r="R1449" s="222" t="str">
        <f t="shared" si="194"/>
        <v>-</v>
      </c>
      <c r="S1449" s="223"/>
      <c r="T1449" s="224"/>
      <c r="U1449" s="225">
        <f t="shared" si="195"/>
        <v>0</v>
      </c>
      <c r="V1449" s="226">
        <v>0</v>
      </c>
      <c r="W1449" s="227"/>
      <c r="X1449" s="228">
        <f t="shared" si="196"/>
        <v>0</v>
      </c>
      <c r="Y1449" s="229"/>
      <c r="Z1449" s="229"/>
      <c r="AA1449" s="229"/>
      <c r="AB1449" s="222">
        <f t="shared" si="197"/>
        <v>0</v>
      </c>
      <c r="AC1449" s="230">
        <f t="shared" si="198"/>
        <v>0</v>
      </c>
      <c r="AD1449" s="222" t="str">
        <f t="shared" si="199"/>
        <v/>
      </c>
      <c r="AE1449" s="201"/>
      <c r="AF1449" s="231" t="str">
        <f>+IFERROR(VLOOKUP(L1449,Data!$F$4:$G$97,2,0),"")</f>
        <v/>
      </c>
    </row>
    <row r="1450" spans="9:32" ht="15" customHeight="1" x14ac:dyDescent="0.3">
      <c r="I1450" s="201" t="str">
        <f t="shared" si="192"/>
        <v/>
      </c>
      <c r="J1450" s="218">
        <f t="shared" si="193"/>
        <v>1447</v>
      </c>
      <c r="K1450" s="250"/>
      <c r="L1450" s="219"/>
      <c r="M1450" s="218"/>
      <c r="N1450" s="220" t="str">
        <f>IFERROR(VLOOKUP(M1450,Data!$C$4:$D$395,2,0),"")</f>
        <v/>
      </c>
      <c r="O1450" s="220"/>
      <c r="P1450" s="229"/>
      <c r="Q1450" s="221"/>
      <c r="R1450" s="222" t="str">
        <f t="shared" si="194"/>
        <v>-</v>
      </c>
      <c r="S1450" s="223"/>
      <c r="T1450" s="224"/>
      <c r="U1450" s="225">
        <f t="shared" si="195"/>
        <v>0</v>
      </c>
      <c r="V1450" s="226">
        <v>0</v>
      </c>
      <c r="W1450" s="227"/>
      <c r="X1450" s="228">
        <f t="shared" si="196"/>
        <v>0</v>
      </c>
      <c r="Y1450" s="229"/>
      <c r="Z1450" s="229"/>
      <c r="AA1450" s="229"/>
      <c r="AB1450" s="222">
        <f t="shared" si="197"/>
        <v>0</v>
      </c>
      <c r="AC1450" s="230">
        <f t="shared" si="198"/>
        <v>0</v>
      </c>
      <c r="AD1450" s="222" t="str">
        <f t="shared" si="199"/>
        <v/>
      </c>
      <c r="AE1450" s="201"/>
      <c r="AF1450" s="231" t="str">
        <f>+IFERROR(VLOOKUP(L1450,Data!$F$4:$G$97,2,0),"")</f>
        <v/>
      </c>
    </row>
    <row r="1451" spans="9:32" ht="15" customHeight="1" x14ac:dyDescent="0.3">
      <c r="I1451" s="201" t="str">
        <f t="shared" si="192"/>
        <v/>
      </c>
      <c r="J1451" s="218">
        <f t="shared" si="193"/>
        <v>1448</v>
      </c>
      <c r="K1451" s="250"/>
      <c r="L1451" s="219"/>
      <c r="M1451" s="218"/>
      <c r="N1451" s="220" t="str">
        <f>IFERROR(VLOOKUP(M1451,Data!$C$4:$D$395,2,0),"")</f>
        <v/>
      </c>
      <c r="O1451" s="220"/>
      <c r="P1451" s="229"/>
      <c r="Q1451" s="221"/>
      <c r="R1451" s="222" t="str">
        <f t="shared" si="194"/>
        <v>-</v>
      </c>
      <c r="S1451" s="223"/>
      <c r="T1451" s="224"/>
      <c r="U1451" s="225">
        <f t="shared" si="195"/>
        <v>0</v>
      </c>
      <c r="V1451" s="226">
        <v>0</v>
      </c>
      <c r="W1451" s="227"/>
      <c r="X1451" s="228">
        <f t="shared" si="196"/>
        <v>0</v>
      </c>
      <c r="Y1451" s="229"/>
      <c r="Z1451" s="229"/>
      <c r="AA1451" s="229"/>
      <c r="AB1451" s="222">
        <f t="shared" si="197"/>
        <v>0</v>
      </c>
      <c r="AC1451" s="230">
        <f t="shared" si="198"/>
        <v>0</v>
      </c>
      <c r="AD1451" s="222" t="str">
        <f t="shared" si="199"/>
        <v/>
      </c>
      <c r="AE1451" s="201"/>
      <c r="AF1451" s="231" t="str">
        <f>+IFERROR(VLOOKUP(L1451,Data!$F$4:$G$97,2,0),"")</f>
        <v/>
      </c>
    </row>
    <row r="1452" spans="9:32" ht="15" customHeight="1" x14ac:dyDescent="0.3">
      <c r="I1452" s="201" t="str">
        <f t="shared" si="192"/>
        <v/>
      </c>
      <c r="J1452" s="218">
        <f t="shared" si="193"/>
        <v>1449</v>
      </c>
      <c r="K1452" s="250"/>
      <c r="L1452" s="219"/>
      <c r="M1452" s="218"/>
      <c r="N1452" s="220" t="str">
        <f>IFERROR(VLOOKUP(M1452,Data!$C$4:$D$395,2,0),"")</f>
        <v/>
      </c>
      <c r="O1452" s="220"/>
      <c r="P1452" s="229"/>
      <c r="Q1452" s="221"/>
      <c r="R1452" s="222" t="str">
        <f t="shared" si="194"/>
        <v>-</v>
      </c>
      <c r="S1452" s="223"/>
      <c r="T1452" s="224"/>
      <c r="U1452" s="225">
        <f t="shared" si="195"/>
        <v>0</v>
      </c>
      <c r="V1452" s="226">
        <v>0</v>
      </c>
      <c r="W1452" s="227"/>
      <c r="X1452" s="228">
        <f t="shared" si="196"/>
        <v>0</v>
      </c>
      <c r="Y1452" s="229"/>
      <c r="Z1452" s="229"/>
      <c r="AA1452" s="229"/>
      <c r="AB1452" s="222">
        <f t="shared" si="197"/>
        <v>0</v>
      </c>
      <c r="AC1452" s="230">
        <f t="shared" si="198"/>
        <v>0</v>
      </c>
      <c r="AD1452" s="222" t="str">
        <f t="shared" si="199"/>
        <v/>
      </c>
      <c r="AE1452" s="201"/>
      <c r="AF1452" s="231" t="str">
        <f>+IFERROR(VLOOKUP(L1452,Data!$F$4:$G$97,2,0),"")</f>
        <v/>
      </c>
    </row>
    <row r="1453" spans="9:32" ht="15" customHeight="1" x14ac:dyDescent="0.3">
      <c r="I1453" s="201" t="str">
        <f t="shared" si="192"/>
        <v/>
      </c>
      <c r="J1453" s="218">
        <f t="shared" si="193"/>
        <v>1450</v>
      </c>
      <c r="K1453" s="250"/>
      <c r="L1453" s="219"/>
      <c r="M1453" s="218"/>
      <c r="N1453" s="220" t="str">
        <f>IFERROR(VLOOKUP(M1453,Data!$C$4:$D$395,2,0),"")</f>
        <v/>
      </c>
      <c r="O1453" s="220"/>
      <c r="P1453" s="229"/>
      <c r="Q1453" s="221"/>
      <c r="R1453" s="222" t="str">
        <f t="shared" si="194"/>
        <v>-</v>
      </c>
      <c r="S1453" s="223"/>
      <c r="T1453" s="224"/>
      <c r="U1453" s="225">
        <f t="shared" si="195"/>
        <v>0</v>
      </c>
      <c r="V1453" s="226">
        <v>0</v>
      </c>
      <c r="W1453" s="227"/>
      <c r="X1453" s="228">
        <f t="shared" si="196"/>
        <v>0</v>
      </c>
      <c r="Y1453" s="229"/>
      <c r="Z1453" s="229"/>
      <c r="AA1453" s="229"/>
      <c r="AB1453" s="222">
        <f t="shared" si="197"/>
        <v>0</v>
      </c>
      <c r="AC1453" s="230">
        <f t="shared" si="198"/>
        <v>0</v>
      </c>
      <c r="AD1453" s="222" t="str">
        <f t="shared" si="199"/>
        <v/>
      </c>
      <c r="AE1453" s="201"/>
      <c r="AF1453" s="231" t="str">
        <f>+IFERROR(VLOOKUP(L1453,Data!$F$4:$G$97,2,0),"")</f>
        <v/>
      </c>
    </row>
    <row r="1454" spans="9:32" ht="15" customHeight="1" x14ac:dyDescent="0.3">
      <c r="I1454" s="201" t="str">
        <f t="shared" si="192"/>
        <v/>
      </c>
      <c r="J1454" s="218">
        <f t="shared" si="193"/>
        <v>1451</v>
      </c>
      <c r="K1454" s="250"/>
      <c r="L1454" s="219"/>
      <c r="M1454" s="218"/>
      <c r="N1454" s="220" t="str">
        <f>IFERROR(VLOOKUP(M1454,Data!$C$4:$D$395,2,0),"")</f>
        <v/>
      </c>
      <c r="O1454" s="220"/>
      <c r="P1454" s="229"/>
      <c r="Q1454" s="221"/>
      <c r="R1454" s="222" t="str">
        <f t="shared" si="194"/>
        <v>-</v>
      </c>
      <c r="S1454" s="223"/>
      <c r="T1454" s="224"/>
      <c r="U1454" s="225">
        <f t="shared" si="195"/>
        <v>0</v>
      </c>
      <c r="V1454" s="226">
        <v>0</v>
      </c>
      <c r="W1454" s="227"/>
      <c r="X1454" s="228">
        <f t="shared" si="196"/>
        <v>0</v>
      </c>
      <c r="Y1454" s="229"/>
      <c r="Z1454" s="229"/>
      <c r="AA1454" s="229"/>
      <c r="AB1454" s="222">
        <f t="shared" si="197"/>
        <v>0</v>
      </c>
      <c r="AC1454" s="230">
        <f t="shared" si="198"/>
        <v>0</v>
      </c>
      <c r="AD1454" s="222" t="str">
        <f t="shared" si="199"/>
        <v/>
      </c>
      <c r="AE1454" s="201"/>
      <c r="AF1454" s="231" t="str">
        <f>+IFERROR(VLOOKUP(L1454,Data!$F$4:$G$97,2,0),"")</f>
        <v/>
      </c>
    </row>
    <row r="1455" spans="9:32" ht="15" customHeight="1" x14ac:dyDescent="0.3">
      <c r="I1455" s="201" t="str">
        <f t="shared" si="192"/>
        <v/>
      </c>
      <c r="J1455" s="218">
        <f t="shared" si="193"/>
        <v>1452</v>
      </c>
      <c r="K1455" s="250"/>
      <c r="L1455" s="219"/>
      <c r="M1455" s="218"/>
      <c r="N1455" s="220" t="str">
        <f>IFERROR(VLOOKUP(M1455,Data!$C$4:$D$395,2,0),"")</f>
        <v/>
      </c>
      <c r="O1455" s="220"/>
      <c r="P1455" s="229"/>
      <c r="Q1455" s="221"/>
      <c r="R1455" s="222" t="str">
        <f t="shared" si="194"/>
        <v>-</v>
      </c>
      <c r="S1455" s="223"/>
      <c r="T1455" s="224"/>
      <c r="U1455" s="225">
        <f t="shared" si="195"/>
        <v>0</v>
      </c>
      <c r="V1455" s="226">
        <v>0</v>
      </c>
      <c r="W1455" s="227"/>
      <c r="X1455" s="228">
        <f t="shared" si="196"/>
        <v>0</v>
      </c>
      <c r="Y1455" s="229"/>
      <c r="Z1455" s="229"/>
      <c r="AA1455" s="229"/>
      <c r="AB1455" s="222">
        <f t="shared" si="197"/>
        <v>0</v>
      </c>
      <c r="AC1455" s="230">
        <f t="shared" si="198"/>
        <v>0</v>
      </c>
      <c r="AD1455" s="222" t="str">
        <f t="shared" si="199"/>
        <v/>
      </c>
      <c r="AE1455" s="201"/>
      <c r="AF1455" s="231" t="str">
        <f>+IFERROR(VLOOKUP(L1455,Data!$F$4:$G$97,2,0),"")</f>
        <v/>
      </c>
    </row>
    <row r="1456" spans="9:32" ht="15" customHeight="1" x14ac:dyDescent="0.3">
      <c r="I1456" s="201" t="str">
        <f t="shared" si="192"/>
        <v/>
      </c>
      <c r="J1456" s="218">
        <f t="shared" si="193"/>
        <v>1453</v>
      </c>
      <c r="K1456" s="250"/>
      <c r="L1456" s="219"/>
      <c r="M1456" s="218"/>
      <c r="N1456" s="220" t="str">
        <f>IFERROR(VLOOKUP(M1456,Data!$C$4:$D$395,2,0),"")</f>
        <v/>
      </c>
      <c r="O1456" s="220"/>
      <c r="P1456" s="229"/>
      <c r="Q1456" s="221"/>
      <c r="R1456" s="222" t="str">
        <f t="shared" si="194"/>
        <v>-</v>
      </c>
      <c r="S1456" s="223"/>
      <c r="T1456" s="224"/>
      <c r="U1456" s="225">
        <f t="shared" si="195"/>
        <v>0</v>
      </c>
      <c r="V1456" s="226">
        <v>0</v>
      </c>
      <c r="W1456" s="227"/>
      <c r="X1456" s="228">
        <f t="shared" si="196"/>
        <v>0</v>
      </c>
      <c r="Y1456" s="229"/>
      <c r="Z1456" s="229"/>
      <c r="AA1456" s="229"/>
      <c r="AB1456" s="222">
        <f t="shared" si="197"/>
        <v>0</v>
      </c>
      <c r="AC1456" s="230">
        <f t="shared" si="198"/>
        <v>0</v>
      </c>
      <c r="AD1456" s="222" t="str">
        <f t="shared" si="199"/>
        <v/>
      </c>
      <c r="AE1456" s="201"/>
      <c r="AF1456" s="231" t="str">
        <f>+IFERROR(VLOOKUP(L1456,Data!$F$4:$G$97,2,0),"")</f>
        <v/>
      </c>
    </row>
    <row r="1457" spans="9:32" ht="15" customHeight="1" x14ac:dyDescent="0.3">
      <c r="I1457" s="201" t="str">
        <f t="shared" si="192"/>
        <v/>
      </c>
      <c r="J1457" s="218">
        <f t="shared" si="193"/>
        <v>1454</v>
      </c>
      <c r="K1457" s="250"/>
      <c r="L1457" s="219"/>
      <c r="M1457" s="218"/>
      <c r="N1457" s="220" t="str">
        <f>IFERROR(VLOOKUP(M1457,Data!$C$4:$D$395,2,0),"")</f>
        <v/>
      </c>
      <c r="O1457" s="220"/>
      <c r="P1457" s="229"/>
      <c r="Q1457" s="221"/>
      <c r="R1457" s="222" t="str">
        <f t="shared" si="194"/>
        <v>-</v>
      </c>
      <c r="S1457" s="223"/>
      <c r="T1457" s="224"/>
      <c r="U1457" s="225">
        <f t="shared" si="195"/>
        <v>0</v>
      </c>
      <c r="V1457" s="226">
        <v>0</v>
      </c>
      <c r="W1457" s="227"/>
      <c r="X1457" s="228">
        <f t="shared" si="196"/>
        <v>0</v>
      </c>
      <c r="Y1457" s="229"/>
      <c r="Z1457" s="229"/>
      <c r="AA1457" s="229"/>
      <c r="AB1457" s="222">
        <f t="shared" si="197"/>
        <v>0</v>
      </c>
      <c r="AC1457" s="230">
        <f t="shared" si="198"/>
        <v>0</v>
      </c>
      <c r="AD1457" s="222" t="str">
        <f t="shared" si="199"/>
        <v/>
      </c>
      <c r="AE1457" s="201"/>
      <c r="AF1457" s="231" t="str">
        <f>+IFERROR(VLOOKUP(L1457,Data!$F$4:$G$97,2,0),"")</f>
        <v/>
      </c>
    </row>
    <row r="1458" spans="9:32" ht="15" customHeight="1" x14ac:dyDescent="0.3">
      <c r="I1458" s="201" t="str">
        <f t="shared" si="192"/>
        <v/>
      </c>
      <c r="J1458" s="218">
        <f t="shared" si="193"/>
        <v>1455</v>
      </c>
      <c r="K1458" s="250"/>
      <c r="L1458" s="219"/>
      <c r="M1458" s="218"/>
      <c r="N1458" s="220" t="str">
        <f>IFERROR(VLOOKUP(M1458,Data!$C$4:$D$395,2,0),"")</f>
        <v/>
      </c>
      <c r="O1458" s="220"/>
      <c r="P1458" s="229"/>
      <c r="Q1458" s="221"/>
      <c r="R1458" s="222" t="str">
        <f t="shared" si="194"/>
        <v>-</v>
      </c>
      <c r="S1458" s="223"/>
      <c r="T1458" s="224"/>
      <c r="U1458" s="225">
        <f t="shared" si="195"/>
        <v>0</v>
      </c>
      <c r="V1458" s="226">
        <v>0</v>
      </c>
      <c r="W1458" s="227"/>
      <c r="X1458" s="228">
        <f t="shared" si="196"/>
        <v>0</v>
      </c>
      <c r="Y1458" s="229"/>
      <c r="Z1458" s="229"/>
      <c r="AA1458" s="229"/>
      <c r="AB1458" s="222">
        <f t="shared" si="197"/>
        <v>0</v>
      </c>
      <c r="AC1458" s="230">
        <f t="shared" si="198"/>
        <v>0</v>
      </c>
      <c r="AD1458" s="222" t="str">
        <f t="shared" si="199"/>
        <v/>
      </c>
      <c r="AE1458" s="201"/>
      <c r="AF1458" s="231" t="str">
        <f>+IFERROR(VLOOKUP(L1458,Data!$F$4:$G$97,2,0),"")</f>
        <v/>
      </c>
    </row>
    <row r="1459" spans="9:32" ht="15" customHeight="1" x14ac:dyDescent="0.3">
      <c r="I1459" s="201" t="str">
        <f t="shared" si="192"/>
        <v/>
      </c>
      <c r="J1459" s="218">
        <f t="shared" si="193"/>
        <v>1456</v>
      </c>
      <c r="K1459" s="250"/>
      <c r="L1459" s="219"/>
      <c r="M1459" s="218"/>
      <c r="N1459" s="220" t="str">
        <f>IFERROR(VLOOKUP(M1459,Data!$C$4:$D$395,2,0),"")</f>
        <v/>
      </c>
      <c r="O1459" s="220"/>
      <c r="P1459" s="229"/>
      <c r="Q1459" s="221"/>
      <c r="R1459" s="222" t="str">
        <f t="shared" si="194"/>
        <v>-</v>
      </c>
      <c r="S1459" s="223"/>
      <c r="T1459" s="224"/>
      <c r="U1459" s="225">
        <f t="shared" si="195"/>
        <v>0</v>
      </c>
      <c r="V1459" s="226">
        <v>0</v>
      </c>
      <c r="W1459" s="227"/>
      <c r="X1459" s="228">
        <f t="shared" si="196"/>
        <v>0</v>
      </c>
      <c r="Y1459" s="229"/>
      <c r="Z1459" s="229"/>
      <c r="AA1459" s="229"/>
      <c r="AB1459" s="222">
        <f t="shared" si="197"/>
        <v>0</v>
      </c>
      <c r="AC1459" s="230">
        <f t="shared" si="198"/>
        <v>0</v>
      </c>
      <c r="AD1459" s="222" t="str">
        <f t="shared" si="199"/>
        <v/>
      </c>
      <c r="AE1459" s="201"/>
      <c r="AF1459" s="231" t="str">
        <f>+IFERROR(VLOOKUP(L1459,Data!$F$4:$G$97,2,0),"")</f>
        <v/>
      </c>
    </row>
    <row r="1460" spans="9:32" ht="15" customHeight="1" x14ac:dyDescent="0.3">
      <c r="I1460" s="201" t="str">
        <f t="shared" si="192"/>
        <v/>
      </c>
      <c r="J1460" s="218">
        <f t="shared" si="193"/>
        <v>1457</v>
      </c>
      <c r="K1460" s="250"/>
      <c r="L1460" s="219"/>
      <c r="M1460" s="218"/>
      <c r="N1460" s="220" t="str">
        <f>IFERROR(VLOOKUP(M1460,Data!$C$4:$D$395,2,0),"")</f>
        <v/>
      </c>
      <c r="O1460" s="220"/>
      <c r="P1460" s="229"/>
      <c r="Q1460" s="221"/>
      <c r="R1460" s="222" t="str">
        <f t="shared" si="194"/>
        <v>-</v>
      </c>
      <c r="S1460" s="223"/>
      <c r="T1460" s="224"/>
      <c r="U1460" s="225">
        <f t="shared" si="195"/>
        <v>0</v>
      </c>
      <c r="V1460" s="226">
        <v>0</v>
      </c>
      <c r="W1460" s="227"/>
      <c r="X1460" s="228">
        <f t="shared" si="196"/>
        <v>0</v>
      </c>
      <c r="Y1460" s="229"/>
      <c r="Z1460" s="229"/>
      <c r="AA1460" s="229"/>
      <c r="AB1460" s="222">
        <f t="shared" si="197"/>
        <v>0</v>
      </c>
      <c r="AC1460" s="230">
        <f t="shared" si="198"/>
        <v>0</v>
      </c>
      <c r="AD1460" s="222" t="str">
        <f t="shared" si="199"/>
        <v/>
      </c>
      <c r="AE1460" s="201"/>
      <c r="AF1460" s="231" t="str">
        <f>+IFERROR(VLOOKUP(L1460,Data!$F$4:$G$97,2,0),"")</f>
        <v/>
      </c>
    </row>
    <row r="1461" spans="9:32" ht="15" customHeight="1" x14ac:dyDescent="0.3">
      <c r="I1461" s="201" t="str">
        <f t="shared" si="192"/>
        <v/>
      </c>
      <c r="J1461" s="218">
        <f t="shared" si="193"/>
        <v>1458</v>
      </c>
      <c r="K1461" s="250"/>
      <c r="L1461" s="219"/>
      <c r="M1461" s="218"/>
      <c r="N1461" s="220" t="str">
        <f>IFERROR(VLOOKUP(M1461,Data!$C$4:$D$395,2,0),"")</f>
        <v/>
      </c>
      <c r="O1461" s="220"/>
      <c r="P1461" s="229"/>
      <c r="Q1461" s="221"/>
      <c r="R1461" s="222" t="str">
        <f t="shared" si="194"/>
        <v>-</v>
      </c>
      <c r="S1461" s="223"/>
      <c r="T1461" s="224"/>
      <c r="U1461" s="225">
        <f t="shared" si="195"/>
        <v>0</v>
      </c>
      <c r="V1461" s="226">
        <v>0</v>
      </c>
      <c r="W1461" s="227"/>
      <c r="X1461" s="228">
        <f t="shared" si="196"/>
        <v>0</v>
      </c>
      <c r="Y1461" s="229"/>
      <c r="Z1461" s="229"/>
      <c r="AA1461" s="229"/>
      <c r="AB1461" s="222">
        <f t="shared" si="197"/>
        <v>0</v>
      </c>
      <c r="AC1461" s="230">
        <f t="shared" si="198"/>
        <v>0</v>
      </c>
      <c r="AD1461" s="222" t="str">
        <f t="shared" si="199"/>
        <v/>
      </c>
      <c r="AE1461" s="201"/>
      <c r="AF1461" s="231" t="str">
        <f>+IFERROR(VLOOKUP(L1461,Data!$F$4:$G$97,2,0),"")</f>
        <v/>
      </c>
    </row>
    <row r="1462" spans="9:32" ht="15" customHeight="1" x14ac:dyDescent="0.3">
      <c r="I1462" s="201" t="str">
        <f t="shared" si="192"/>
        <v/>
      </c>
      <c r="J1462" s="218">
        <f t="shared" si="193"/>
        <v>1459</v>
      </c>
      <c r="K1462" s="250"/>
      <c r="L1462" s="219"/>
      <c r="M1462" s="218"/>
      <c r="N1462" s="220" t="str">
        <f>IFERROR(VLOOKUP(M1462,Data!$C$4:$D$395,2,0),"")</f>
        <v/>
      </c>
      <c r="O1462" s="220"/>
      <c r="P1462" s="229"/>
      <c r="Q1462" s="221"/>
      <c r="R1462" s="222" t="str">
        <f t="shared" si="194"/>
        <v>-</v>
      </c>
      <c r="S1462" s="223"/>
      <c r="T1462" s="224"/>
      <c r="U1462" s="225">
        <f t="shared" si="195"/>
        <v>0</v>
      </c>
      <c r="V1462" s="226">
        <v>0</v>
      </c>
      <c r="W1462" s="227"/>
      <c r="X1462" s="228">
        <f t="shared" si="196"/>
        <v>0</v>
      </c>
      <c r="Y1462" s="229"/>
      <c r="Z1462" s="229"/>
      <c r="AA1462" s="229"/>
      <c r="AB1462" s="222">
        <f t="shared" si="197"/>
        <v>0</v>
      </c>
      <c r="AC1462" s="230">
        <f t="shared" si="198"/>
        <v>0</v>
      </c>
      <c r="AD1462" s="222" t="str">
        <f t="shared" si="199"/>
        <v/>
      </c>
      <c r="AE1462" s="201"/>
      <c r="AF1462" s="231" t="str">
        <f>+IFERROR(VLOOKUP(L1462,Data!$F$4:$G$97,2,0),"")</f>
        <v/>
      </c>
    </row>
    <row r="1463" spans="9:32" ht="15" customHeight="1" x14ac:dyDescent="0.3">
      <c r="I1463" s="201" t="str">
        <f t="shared" si="192"/>
        <v/>
      </c>
      <c r="J1463" s="218">
        <f t="shared" si="193"/>
        <v>1460</v>
      </c>
      <c r="K1463" s="250"/>
      <c r="L1463" s="219"/>
      <c r="M1463" s="218"/>
      <c r="N1463" s="220" t="str">
        <f>IFERROR(VLOOKUP(M1463,Data!$C$4:$D$395,2,0),"")</f>
        <v/>
      </c>
      <c r="O1463" s="220"/>
      <c r="P1463" s="229"/>
      <c r="Q1463" s="221"/>
      <c r="R1463" s="222" t="str">
        <f t="shared" si="194"/>
        <v>-</v>
      </c>
      <c r="S1463" s="223"/>
      <c r="T1463" s="224"/>
      <c r="U1463" s="225">
        <f t="shared" si="195"/>
        <v>0</v>
      </c>
      <c r="V1463" s="226">
        <v>0</v>
      </c>
      <c r="W1463" s="227"/>
      <c r="X1463" s="228">
        <f t="shared" si="196"/>
        <v>0</v>
      </c>
      <c r="Y1463" s="229"/>
      <c r="Z1463" s="229"/>
      <c r="AA1463" s="229"/>
      <c r="AB1463" s="222">
        <f t="shared" si="197"/>
        <v>0</v>
      </c>
      <c r="AC1463" s="230">
        <f t="shared" si="198"/>
        <v>0</v>
      </c>
      <c r="AD1463" s="222" t="str">
        <f t="shared" si="199"/>
        <v/>
      </c>
      <c r="AE1463" s="201"/>
      <c r="AF1463" s="231" t="str">
        <f>+IFERROR(VLOOKUP(L1463,Data!$F$4:$G$97,2,0),"")</f>
        <v/>
      </c>
    </row>
    <row r="1464" spans="9:32" ht="15" customHeight="1" x14ac:dyDescent="0.3">
      <c r="I1464" s="201" t="str">
        <f t="shared" si="192"/>
        <v/>
      </c>
      <c r="J1464" s="218">
        <f t="shared" si="193"/>
        <v>1461</v>
      </c>
      <c r="K1464" s="250"/>
      <c r="L1464" s="219"/>
      <c r="M1464" s="218"/>
      <c r="N1464" s="220" t="str">
        <f>IFERROR(VLOOKUP(M1464,Data!$C$4:$D$395,2,0),"")</f>
        <v/>
      </c>
      <c r="O1464" s="220"/>
      <c r="P1464" s="229"/>
      <c r="Q1464" s="221"/>
      <c r="R1464" s="222" t="str">
        <f t="shared" si="194"/>
        <v>-</v>
      </c>
      <c r="S1464" s="223"/>
      <c r="T1464" s="224"/>
      <c r="U1464" s="225">
        <f t="shared" si="195"/>
        <v>0</v>
      </c>
      <c r="V1464" s="226">
        <v>0</v>
      </c>
      <c r="W1464" s="227"/>
      <c r="X1464" s="228">
        <f t="shared" si="196"/>
        <v>0</v>
      </c>
      <c r="Y1464" s="229"/>
      <c r="Z1464" s="229"/>
      <c r="AA1464" s="229"/>
      <c r="AB1464" s="222">
        <f t="shared" si="197"/>
        <v>0</v>
      </c>
      <c r="AC1464" s="230">
        <f t="shared" si="198"/>
        <v>0</v>
      </c>
      <c r="AD1464" s="222" t="str">
        <f t="shared" si="199"/>
        <v/>
      </c>
      <c r="AE1464" s="201"/>
      <c r="AF1464" s="231" t="str">
        <f>+IFERROR(VLOOKUP(L1464,Data!$F$4:$G$97,2,0),"")</f>
        <v/>
      </c>
    </row>
    <row r="1465" spans="9:32" ht="15" customHeight="1" x14ac:dyDescent="0.3">
      <c r="I1465" s="201" t="str">
        <f t="shared" si="192"/>
        <v/>
      </c>
      <c r="J1465" s="218">
        <f t="shared" si="193"/>
        <v>1462</v>
      </c>
      <c r="K1465" s="250"/>
      <c r="L1465" s="219"/>
      <c r="M1465" s="218"/>
      <c r="N1465" s="220" t="str">
        <f>IFERROR(VLOOKUP(M1465,Data!$C$4:$D$395,2,0),"")</f>
        <v/>
      </c>
      <c r="O1465" s="220"/>
      <c r="P1465" s="229"/>
      <c r="Q1465" s="221"/>
      <c r="R1465" s="222" t="str">
        <f t="shared" si="194"/>
        <v>-</v>
      </c>
      <c r="S1465" s="223"/>
      <c r="T1465" s="224"/>
      <c r="U1465" s="225">
        <f t="shared" si="195"/>
        <v>0</v>
      </c>
      <c r="V1465" s="226">
        <v>0</v>
      </c>
      <c r="W1465" s="227"/>
      <c r="X1465" s="228">
        <f t="shared" si="196"/>
        <v>0</v>
      </c>
      <c r="Y1465" s="229"/>
      <c r="Z1465" s="229"/>
      <c r="AA1465" s="229"/>
      <c r="AB1465" s="222">
        <f t="shared" si="197"/>
        <v>0</v>
      </c>
      <c r="AC1465" s="230">
        <f t="shared" si="198"/>
        <v>0</v>
      </c>
      <c r="AD1465" s="222" t="str">
        <f t="shared" si="199"/>
        <v/>
      </c>
      <c r="AE1465" s="201"/>
      <c r="AF1465" s="231" t="str">
        <f>+IFERROR(VLOOKUP(L1465,Data!$F$4:$G$97,2,0),"")</f>
        <v/>
      </c>
    </row>
    <row r="1466" spans="9:32" ht="15" customHeight="1" x14ac:dyDescent="0.3">
      <c r="I1466" s="201" t="str">
        <f t="shared" si="192"/>
        <v/>
      </c>
      <c r="J1466" s="218">
        <f t="shared" si="193"/>
        <v>1463</v>
      </c>
      <c r="K1466" s="250"/>
      <c r="L1466" s="219"/>
      <c r="M1466" s="218"/>
      <c r="N1466" s="220" t="str">
        <f>IFERROR(VLOOKUP(M1466,Data!$C$4:$D$395,2,0),"")</f>
        <v/>
      </c>
      <c r="O1466" s="220"/>
      <c r="P1466" s="229"/>
      <c r="Q1466" s="221"/>
      <c r="R1466" s="222" t="str">
        <f t="shared" si="194"/>
        <v>-</v>
      </c>
      <c r="S1466" s="223"/>
      <c r="T1466" s="224"/>
      <c r="U1466" s="225">
        <f t="shared" si="195"/>
        <v>0</v>
      </c>
      <c r="V1466" s="226">
        <v>0</v>
      </c>
      <c r="W1466" s="227"/>
      <c r="X1466" s="228">
        <f t="shared" si="196"/>
        <v>0</v>
      </c>
      <c r="Y1466" s="229"/>
      <c r="Z1466" s="229"/>
      <c r="AA1466" s="229"/>
      <c r="AB1466" s="222">
        <f t="shared" si="197"/>
        <v>0</v>
      </c>
      <c r="AC1466" s="230">
        <f t="shared" si="198"/>
        <v>0</v>
      </c>
      <c r="AD1466" s="222" t="str">
        <f t="shared" si="199"/>
        <v/>
      </c>
      <c r="AE1466" s="201"/>
      <c r="AF1466" s="231" t="str">
        <f>+IFERROR(VLOOKUP(L1466,Data!$F$4:$G$97,2,0),"")</f>
        <v/>
      </c>
    </row>
    <row r="1467" spans="9:32" ht="15" customHeight="1" x14ac:dyDescent="0.3">
      <c r="I1467" s="201" t="str">
        <f t="shared" si="192"/>
        <v/>
      </c>
      <c r="J1467" s="218">
        <f t="shared" si="193"/>
        <v>1464</v>
      </c>
      <c r="K1467" s="250"/>
      <c r="L1467" s="219"/>
      <c r="M1467" s="218"/>
      <c r="N1467" s="220" t="str">
        <f>IFERROR(VLOOKUP(M1467,Data!$C$4:$D$395,2,0),"")</f>
        <v/>
      </c>
      <c r="O1467" s="220"/>
      <c r="P1467" s="229"/>
      <c r="Q1467" s="221"/>
      <c r="R1467" s="222" t="str">
        <f t="shared" si="194"/>
        <v>-</v>
      </c>
      <c r="S1467" s="223"/>
      <c r="T1467" s="224"/>
      <c r="U1467" s="225">
        <f t="shared" si="195"/>
        <v>0</v>
      </c>
      <c r="V1467" s="226">
        <v>0</v>
      </c>
      <c r="W1467" s="227"/>
      <c r="X1467" s="228">
        <f t="shared" si="196"/>
        <v>0</v>
      </c>
      <c r="Y1467" s="229"/>
      <c r="Z1467" s="229"/>
      <c r="AA1467" s="229"/>
      <c r="AB1467" s="222">
        <f t="shared" si="197"/>
        <v>0</v>
      </c>
      <c r="AC1467" s="230">
        <f t="shared" si="198"/>
        <v>0</v>
      </c>
      <c r="AD1467" s="222" t="str">
        <f t="shared" si="199"/>
        <v/>
      </c>
      <c r="AE1467" s="201"/>
      <c r="AF1467" s="231" t="str">
        <f>+IFERROR(VLOOKUP(L1467,Data!$F$4:$G$97,2,0),"")</f>
        <v/>
      </c>
    </row>
    <row r="1468" spans="9:32" ht="15" customHeight="1" x14ac:dyDescent="0.3">
      <c r="I1468" s="201" t="str">
        <f t="shared" si="192"/>
        <v/>
      </c>
      <c r="J1468" s="218">
        <f t="shared" si="193"/>
        <v>1465</v>
      </c>
      <c r="K1468" s="250"/>
      <c r="L1468" s="219"/>
      <c r="M1468" s="218"/>
      <c r="N1468" s="220" t="str">
        <f>IFERROR(VLOOKUP(M1468,Data!$C$4:$D$395,2,0),"")</f>
        <v/>
      </c>
      <c r="O1468" s="220"/>
      <c r="P1468" s="229"/>
      <c r="Q1468" s="221"/>
      <c r="R1468" s="222" t="str">
        <f t="shared" si="194"/>
        <v>-</v>
      </c>
      <c r="S1468" s="223"/>
      <c r="T1468" s="224"/>
      <c r="U1468" s="225">
        <f t="shared" si="195"/>
        <v>0</v>
      </c>
      <c r="V1468" s="226">
        <v>0</v>
      </c>
      <c r="W1468" s="227"/>
      <c r="X1468" s="228">
        <f t="shared" si="196"/>
        <v>0</v>
      </c>
      <c r="Y1468" s="229"/>
      <c r="Z1468" s="229"/>
      <c r="AA1468" s="229"/>
      <c r="AB1468" s="222">
        <f t="shared" si="197"/>
        <v>0</v>
      </c>
      <c r="AC1468" s="230">
        <f t="shared" si="198"/>
        <v>0</v>
      </c>
      <c r="AD1468" s="222" t="str">
        <f t="shared" si="199"/>
        <v/>
      </c>
      <c r="AE1468" s="201"/>
      <c r="AF1468" s="231" t="str">
        <f>+IFERROR(VLOOKUP(L1468,Data!$F$4:$G$97,2,0),"")</f>
        <v/>
      </c>
    </row>
    <row r="1469" spans="9:32" ht="15" customHeight="1" x14ac:dyDescent="0.3">
      <c r="I1469" s="201" t="str">
        <f t="shared" ref="I1469:I1532" si="200">+AF1469</f>
        <v/>
      </c>
      <c r="J1469" s="218">
        <f t="shared" si="193"/>
        <v>1466</v>
      </c>
      <c r="K1469" s="250"/>
      <c r="L1469" s="219"/>
      <c r="M1469" s="218"/>
      <c r="N1469" s="220" t="str">
        <f>IFERROR(VLOOKUP(M1469,Data!$C$4:$D$395,2,0),"")</f>
        <v/>
      </c>
      <c r="O1469" s="220"/>
      <c r="P1469" s="229"/>
      <c r="Q1469" s="221"/>
      <c r="R1469" s="222" t="str">
        <f t="shared" si="194"/>
        <v>-</v>
      </c>
      <c r="S1469" s="223"/>
      <c r="T1469" s="224"/>
      <c r="U1469" s="225">
        <f t="shared" si="195"/>
        <v>0</v>
      </c>
      <c r="V1469" s="226">
        <v>0</v>
      </c>
      <c r="W1469" s="227"/>
      <c r="X1469" s="228">
        <f t="shared" si="196"/>
        <v>0</v>
      </c>
      <c r="Y1469" s="229"/>
      <c r="Z1469" s="229"/>
      <c r="AA1469" s="229"/>
      <c r="AB1469" s="222">
        <f t="shared" si="197"/>
        <v>0</v>
      </c>
      <c r="AC1469" s="230">
        <f t="shared" si="198"/>
        <v>0</v>
      </c>
      <c r="AD1469" s="222" t="str">
        <f t="shared" si="199"/>
        <v/>
      </c>
      <c r="AE1469" s="201"/>
      <c r="AF1469" s="231" t="str">
        <f>+IFERROR(VLOOKUP(L1469,Data!$F$4:$G$97,2,0),"")</f>
        <v/>
      </c>
    </row>
    <row r="1470" spans="9:32" ht="15" customHeight="1" x14ac:dyDescent="0.3">
      <c r="I1470" s="201" t="str">
        <f t="shared" si="200"/>
        <v/>
      </c>
      <c r="J1470" s="218">
        <f t="shared" ref="J1470:J1533" si="201">J1469+1</f>
        <v>1467</v>
      </c>
      <c r="K1470" s="250"/>
      <c r="L1470" s="219"/>
      <c r="M1470" s="218"/>
      <c r="N1470" s="220" t="str">
        <f>IFERROR(VLOOKUP(M1470,Data!$C$4:$D$395,2,0),"")</f>
        <v/>
      </c>
      <c r="O1470" s="220"/>
      <c r="P1470" s="229"/>
      <c r="Q1470" s="221"/>
      <c r="R1470" s="222" t="str">
        <f t="shared" si="194"/>
        <v>-</v>
      </c>
      <c r="S1470" s="223"/>
      <c r="T1470" s="224"/>
      <c r="U1470" s="225">
        <f t="shared" si="195"/>
        <v>0</v>
      </c>
      <c r="V1470" s="226">
        <v>0</v>
      </c>
      <c r="W1470" s="227"/>
      <c r="X1470" s="228">
        <f t="shared" si="196"/>
        <v>0</v>
      </c>
      <c r="Y1470" s="229"/>
      <c r="Z1470" s="229"/>
      <c r="AA1470" s="229"/>
      <c r="AB1470" s="222">
        <f t="shared" si="197"/>
        <v>0</v>
      </c>
      <c r="AC1470" s="230">
        <f t="shared" si="198"/>
        <v>0</v>
      </c>
      <c r="AD1470" s="222" t="str">
        <f t="shared" si="199"/>
        <v/>
      </c>
      <c r="AE1470" s="201"/>
      <c r="AF1470" s="231" t="str">
        <f>+IFERROR(VLOOKUP(L1470,Data!$F$4:$G$97,2,0),"")</f>
        <v/>
      </c>
    </row>
    <row r="1471" spans="9:32" ht="15" customHeight="1" x14ac:dyDescent="0.3">
      <c r="I1471" s="201" t="str">
        <f t="shared" si="200"/>
        <v/>
      </c>
      <c r="J1471" s="218">
        <f t="shared" si="201"/>
        <v>1468</v>
      </c>
      <c r="K1471" s="250"/>
      <c r="L1471" s="219"/>
      <c r="M1471" s="218"/>
      <c r="N1471" s="220" t="str">
        <f>IFERROR(VLOOKUP(M1471,Data!$C$4:$D$395,2,0),"")</f>
        <v/>
      </c>
      <c r="O1471" s="220"/>
      <c r="P1471" s="229"/>
      <c r="Q1471" s="221"/>
      <c r="R1471" s="222" t="str">
        <f t="shared" si="194"/>
        <v>-</v>
      </c>
      <c r="S1471" s="223"/>
      <c r="T1471" s="224"/>
      <c r="U1471" s="225">
        <f t="shared" si="195"/>
        <v>0</v>
      </c>
      <c r="V1471" s="226">
        <v>0</v>
      </c>
      <c r="W1471" s="227"/>
      <c r="X1471" s="228">
        <f t="shared" si="196"/>
        <v>0</v>
      </c>
      <c r="Y1471" s="229"/>
      <c r="Z1471" s="229"/>
      <c r="AA1471" s="229"/>
      <c r="AB1471" s="222">
        <f t="shared" si="197"/>
        <v>0</v>
      </c>
      <c r="AC1471" s="230">
        <f t="shared" si="198"/>
        <v>0</v>
      </c>
      <c r="AD1471" s="222" t="str">
        <f t="shared" si="199"/>
        <v/>
      </c>
      <c r="AE1471" s="201"/>
      <c r="AF1471" s="231" t="str">
        <f>+IFERROR(VLOOKUP(L1471,Data!$F$4:$G$97,2,0),"")</f>
        <v/>
      </c>
    </row>
    <row r="1472" spans="9:32" ht="15" customHeight="1" x14ac:dyDescent="0.3">
      <c r="I1472" s="201" t="str">
        <f t="shared" si="200"/>
        <v/>
      </c>
      <c r="J1472" s="218">
        <f t="shared" si="201"/>
        <v>1469</v>
      </c>
      <c r="K1472" s="250"/>
      <c r="L1472" s="219"/>
      <c r="M1472" s="218"/>
      <c r="N1472" s="220" t="str">
        <f>IFERROR(VLOOKUP(M1472,Data!$C$4:$D$395,2,0),"")</f>
        <v/>
      </c>
      <c r="O1472" s="220"/>
      <c r="P1472" s="229"/>
      <c r="Q1472" s="221"/>
      <c r="R1472" s="222" t="str">
        <f t="shared" ref="R1472:R1535" si="202">IFERROR(Q1472/P1472, "-")</f>
        <v>-</v>
      </c>
      <c r="S1472" s="223"/>
      <c r="T1472" s="224"/>
      <c r="U1472" s="225">
        <f t="shared" ref="U1472:U1535" si="203">+Q1472*S1472+P1472*T1472</f>
        <v>0</v>
      </c>
      <c r="V1472" s="226">
        <v>0</v>
      </c>
      <c r="W1472" s="227"/>
      <c r="X1472" s="228">
        <f t="shared" ref="X1472:X1535" si="204">+Q1472*V1472+P1472*W1472</f>
        <v>0</v>
      </c>
      <c r="Y1472" s="229"/>
      <c r="Z1472" s="229"/>
      <c r="AA1472" s="229"/>
      <c r="AB1472" s="222">
        <f t="shared" ref="AB1472:AB1535" si="205">+Y1472+Z1472+AA1472</f>
        <v>0</v>
      </c>
      <c r="AC1472" s="230">
        <f t="shared" ref="AC1472:AC1535" si="206">IF((U1472-Y1472-Z1472-AA1472)&lt;0,"",(U1472-Y1472-Z1472-AA1472))</f>
        <v>0</v>
      </c>
      <c r="AD1472" s="222" t="str">
        <f t="shared" ref="AD1472:AD1535" si="207">IF((U1472-Y1472-Z1472-AA1472)&lt;0,(Y1472+Z1472+AA1472-U1472),"")</f>
        <v/>
      </c>
      <c r="AE1472" s="201"/>
      <c r="AF1472" s="231" t="str">
        <f>+IFERROR(VLOOKUP(L1472,Data!$F$4:$G$97,2,0),"")</f>
        <v/>
      </c>
    </row>
    <row r="1473" spans="9:32" ht="15" customHeight="1" x14ac:dyDescent="0.3">
      <c r="I1473" s="201" t="str">
        <f t="shared" si="200"/>
        <v/>
      </c>
      <c r="J1473" s="218">
        <f t="shared" si="201"/>
        <v>1470</v>
      </c>
      <c r="K1473" s="250"/>
      <c r="L1473" s="219"/>
      <c r="M1473" s="218"/>
      <c r="N1473" s="220" t="str">
        <f>IFERROR(VLOOKUP(M1473,Data!$C$4:$D$395,2,0),"")</f>
        <v/>
      </c>
      <c r="O1473" s="220"/>
      <c r="P1473" s="229"/>
      <c r="Q1473" s="221"/>
      <c r="R1473" s="222" t="str">
        <f t="shared" si="202"/>
        <v>-</v>
      </c>
      <c r="S1473" s="223"/>
      <c r="T1473" s="224"/>
      <c r="U1473" s="225">
        <f t="shared" si="203"/>
        <v>0</v>
      </c>
      <c r="V1473" s="226">
        <v>0</v>
      </c>
      <c r="W1473" s="227"/>
      <c r="X1473" s="228">
        <f t="shared" si="204"/>
        <v>0</v>
      </c>
      <c r="Y1473" s="229"/>
      <c r="Z1473" s="229"/>
      <c r="AA1473" s="229"/>
      <c r="AB1473" s="222">
        <f t="shared" si="205"/>
        <v>0</v>
      </c>
      <c r="AC1473" s="230">
        <f t="shared" si="206"/>
        <v>0</v>
      </c>
      <c r="AD1473" s="222" t="str">
        <f t="shared" si="207"/>
        <v/>
      </c>
      <c r="AE1473" s="201"/>
      <c r="AF1473" s="231" t="str">
        <f>+IFERROR(VLOOKUP(L1473,Data!$F$4:$G$97,2,0),"")</f>
        <v/>
      </c>
    </row>
    <row r="1474" spans="9:32" ht="15" customHeight="1" x14ac:dyDescent="0.3">
      <c r="I1474" s="201" t="str">
        <f t="shared" si="200"/>
        <v/>
      </c>
      <c r="J1474" s="218">
        <f t="shared" si="201"/>
        <v>1471</v>
      </c>
      <c r="K1474" s="250"/>
      <c r="L1474" s="219"/>
      <c r="M1474" s="218"/>
      <c r="N1474" s="220" t="str">
        <f>IFERROR(VLOOKUP(M1474,Data!$C$4:$D$395,2,0),"")</f>
        <v/>
      </c>
      <c r="O1474" s="220"/>
      <c r="P1474" s="229"/>
      <c r="Q1474" s="221"/>
      <c r="R1474" s="222" t="str">
        <f t="shared" si="202"/>
        <v>-</v>
      </c>
      <c r="S1474" s="223"/>
      <c r="T1474" s="224"/>
      <c r="U1474" s="225">
        <f t="shared" si="203"/>
        <v>0</v>
      </c>
      <c r="V1474" s="226">
        <v>0</v>
      </c>
      <c r="W1474" s="227"/>
      <c r="X1474" s="228">
        <f t="shared" si="204"/>
        <v>0</v>
      </c>
      <c r="Y1474" s="229"/>
      <c r="Z1474" s="229"/>
      <c r="AA1474" s="229"/>
      <c r="AB1474" s="222">
        <f t="shared" si="205"/>
        <v>0</v>
      </c>
      <c r="AC1474" s="230">
        <f t="shared" si="206"/>
        <v>0</v>
      </c>
      <c r="AD1474" s="222" t="str">
        <f t="shared" si="207"/>
        <v/>
      </c>
      <c r="AE1474" s="201"/>
      <c r="AF1474" s="231" t="str">
        <f>+IFERROR(VLOOKUP(L1474,Data!$F$4:$G$97,2,0),"")</f>
        <v/>
      </c>
    </row>
    <row r="1475" spans="9:32" ht="15" customHeight="1" x14ac:dyDescent="0.3">
      <c r="I1475" s="201" t="str">
        <f t="shared" si="200"/>
        <v/>
      </c>
      <c r="J1475" s="218">
        <f t="shared" si="201"/>
        <v>1472</v>
      </c>
      <c r="K1475" s="250"/>
      <c r="L1475" s="219"/>
      <c r="M1475" s="218"/>
      <c r="N1475" s="220" t="str">
        <f>IFERROR(VLOOKUP(M1475,Data!$C$4:$D$395,2,0),"")</f>
        <v/>
      </c>
      <c r="O1475" s="220"/>
      <c r="P1475" s="229"/>
      <c r="Q1475" s="221"/>
      <c r="R1475" s="222" t="str">
        <f t="shared" si="202"/>
        <v>-</v>
      </c>
      <c r="S1475" s="223"/>
      <c r="T1475" s="224"/>
      <c r="U1475" s="225">
        <f t="shared" si="203"/>
        <v>0</v>
      </c>
      <c r="V1475" s="226">
        <v>0</v>
      </c>
      <c r="W1475" s="227"/>
      <c r="X1475" s="228">
        <f t="shared" si="204"/>
        <v>0</v>
      </c>
      <c r="Y1475" s="229"/>
      <c r="Z1475" s="229"/>
      <c r="AA1475" s="229"/>
      <c r="AB1475" s="222">
        <f t="shared" si="205"/>
        <v>0</v>
      </c>
      <c r="AC1475" s="230">
        <f t="shared" si="206"/>
        <v>0</v>
      </c>
      <c r="AD1475" s="222" t="str">
        <f t="shared" si="207"/>
        <v/>
      </c>
      <c r="AE1475" s="201"/>
      <c r="AF1475" s="231" t="str">
        <f>+IFERROR(VLOOKUP(L1475,Data!$F$4:$G$97,2,0),"")</f>
        <v/>
      </c>
    </row>
    <row r="1476" spans="9:32" ht="15" customHeight="1" x14ac:dyDescent="0.3">
      <c r="I1476" s="201" t="str">
        <f t="shared" si="200"/>
        <v/>
      </c>
      <c r="J1476" s="218">
        <f t="shared" si="201"/>
        <v>1473</v>
      </c>
      <c r="K1476" s="250"/>
      <c r="L1476" s="219"/>
      <c r="M1476" s="218"/>
      <c r="N1476" s="220" t="str">
        <f>IFERROR(VLOOKUP(M1476,Data!$C$4:$D$395,2,0),"")</f>
        <v/>
      </c>
      <c r="O1476" s="220"/>
      <c r="P1476" s="229"/>
      <c r="Q1476" s="221"/>
      <c r="R1476" s="222" t="str">
        <f t="shared" si="202"/>
        <v>-</v>
      </c>
      <c r="S1476" s="223"/>
      <c r="T1476" s="224"/>
      <c r="U1476" s="225">
        <f t="shared" si="203"/>
        <v>0</v>
      </c>
      <c r="V1476" s="226">
        <v>0</v>
      </c>
      <c r="W1476" s="227"/>
      <c r="X1476" s="228">
        <f t="shared" si="204"/>
        <v>0</v>
      </c>
      <c r="Y1476" s="229"/>
      <c r="Z1476" s="229"/>
      <c r="AA1476" s="229"/>
      <c r="AB1476" s="222">
        <f t="shared" si="205"/>
        <v>0</v>
      </c>
      <c r="AC1476" s="230">
        <f t="shared" si="206"/>
        <v>0</v>
      </c>
      <c r="AD1476" s="222" t="str">
        <f t="shared" si="207"/>
        <v/>
      </c>
      <c r="AE1476" s="201"/>
      <c r="AF1476" s="231" t="str">
        <f>+IFERROR(VLOOKUP(L1476,Data!$F$4:$G$97,2,0),"")</f>
        <v/>
      </c>
    </row>
    <row r="1477" spans="9:32" ht="15" customHeight="1" x14ac:dyDescent="0.3">
      <c r="I1477" s="201" t="str">
        <f t="shared" si="200"/>
        <v/>
      </c>
      <c r="J1477" s="218">
        <f t="shared" si="201"/>
        <v>1474</v>
      </c>
      <c r="K1477" s="250"/>
      <c r="L1477" s="219"/>
      <c r="M1477" s="218"/>
      <c r="N1477" s="220" t="str">
        <f>IFERROR(VLOOKUP(M1477,Data!$C$4:$D$395,2,0),"")</f>
        <v/>
      </c>
      <c r="O1477" s="220"/>
      <c r="P1477" s="229"/>
      <c r="Q1477" s="221"/>
      <c r="R1477" s="222" t="str">
        <f t="shared" si="202"/>
        <v>-</v>
      </c>
      <c r="S1477" s="223"/>
      <c r="T1477" s="224"/>
      <c r="U1477" s="225">
        <f t="shared" si="203"/>
        <v>0</v>
      </c>
      <c r="V1477" s="226">
        <v>0</v>
      </c>
      <c r="W1477" s="227"/>
      <c r="X1477" s="228">
        <f t="shared" si="204"/>
        <v>0</v>
      </c>
      <c r="Y1477" s="229"/>
      <c r="Z1477" s="229"/>
      <c r="AA1477" s="229"/>
      <c r="AB1477" s="222">
        <f t="shared" si="205"/>
        <v>0</v>
      </c>
      <c r="AC1477" s="230">
        <f t="shared" si="206"/>
        <v>0</v>
      </c>
      <c r="AD1477" s="222" t="str">
        <f t="shared" si="207"/>
        <v/>
      </c>
      <c r="AE1477" s="201"/>
      <c r="AF1477" s="231" t="str">
        <f>+IFERROR(VLOOKUP(L1477,Data!$F$4:$G$97,2,0),"")</f>
        <v/>
      </c>
    </row>
    <row r="1478" spans="9:32" ht="15" customHeight="1" x14ac:dyDescent="0.3">
      <c r="I1478" s="201" t="str">
        <f t="shared" si="200"/>
        <v/>
      </c>
      <c r="J1478" s="218">
        <f t="shared" si="201"/>
        <v>1475</v>
      </c>
      <c r="K1478" s="250"/>
      <c r="L1478" s="219"/>
      <c r="M1478" s="218"/>
      <c r="N1478" s="220" t="str">
        <f>IFERROR(VLOOKUP(M1478,Data!$C$4:$D$395,2,0),"")</f>
        <v/>
      </c>
      <c r="O1478" s="220"/>
      <c r="P1478" s="229"/>
      <c r="Q1478" s="221"/>
      <c r="R1478" s="222" t="str">
        <f t="shared" si="202"/>
        <v>-</v>
      </c>
      <c r="S1478" s="223"/>
      <c r="T1478" s="224"/>
      <c r="U1478" s="225">
        <f t="shared" si="203"/>
        <v>0</v>
      </c>
      <c r="V1478" s="226">
        <v>0</v>
      </c>
      <c r="W1478" s="227"/>
      <c r="X1478" s="228">
        <f t="shared" si="204"/>
        <v>0</v>
      </c>
      <c r="Y1478" s="229"/>
      <c r="Z1478" s="229"/>
      <c r="AA1478" s="229"/>
      <c r="AB1478" s="222">
        <f t="shared" si="205"/>
        <v>0</v>
      </c>
      <c r="AC1478" s="230">
        <f t="shared" si="206"/>
        <v>0</v>
      </c>
      <c r="AD1478" s="222" t="str">
        <f t="shared" si="207"/>
        <v/>
      </c>
      <c r="AE1478" s="201"/>
      <c r="AF1478" s="231" t="str">
        <f>+IFERROR(VLOOKUP(L1478,Data!$F$4:$G$97,2,0),"")</f>
        <v/>
      </c>
    </row>
    <row r="1479" spans="9:32" ht="15" customHeight="1" x14ac:dyDescent="0.3">
      <c r="I1479" s="201" t="str">
        <f t="shared" si="200"/>
        <v/>
      </c>
      <c r="J1479" s="218">
        <f t="shared" si="201"/>
        <v>1476</v>
      </c>
      <c r="K1479" s="250"/>
      <c r="L1479" s="219"/>
      <c r="M1479" s="218"/>
      <c r="N1479" s="220" t="str">
        <f>IFERROR(VLOOKUP(M1479,Data!$C$4:$D$395,2,0),"")</f>
        <v/>
      </c>
      <c r="O1479" s="220"/>
      <c r="P1479" s="229"/>
      <c r="Q1479" s="221"/>
      <c r="R1479" s="222" t="str">
        <f t="shared" si="202"/>
        <v>-</v>
      </c>
      <c r="S1479" s="223"/>
      <c r="T1479" s="224"/>
      <c r="U1479" s="225">
        <f t="shared" si="203"/>
        <v>0</v>
      </c>
      <c r="V1479" s="226">
        <v>0</v>
      </c>
      <c r="W1479" s="227"/>
      <c r="X1479" s="228">
        <f t="shared" si="204"/>
        <v>0</v>
      </c>
      <c r="Y1479" s="229"/>
      <c r="Z1479" s="229"/>
      <c r="AA1479" s="229"/>
      <c r="AB1479" s="222">
        <f t="shared" si="205"/>
        <v>0</v>
      </c>
      <c r="AC1479" s="230">
        <f t="shared" si="206"/>
        <v>0</v>
      </c>
      <c r="AD1479" s="222" t="str">
        <f t="shared" si="207"/>
        <v/>
      </c>
      <c r="AE1479" s="201"/>
      <c r="AF1479" s="231" t="str">
        <f>+IFERROR(VLOOKUP(L1479,Data!$F$4:$G$97,2,0),"")</f>
        <v/>
      </c>
    </row>
    <row r="1480" spans="9:32" ht="15" customHeight="1" x14ac:dyDescent="0.3">
      <c r="I1480" s="201" t="str">
        <f t="shared" si="200"/>
        <v/>
      </c>
      <c r="J1480" s="218">
        <f t="shared" si="201"/>
        <v>1477</v>
      </c>
      <c r="K1480" s="250"/>
      <c r="L1480" s="219"/>
      <c r="M1480" s="218"/>
      <c r="N1480" s="220" t="str">
        <f>IFERROR(VLOOKUP(M1480,Data!$C$4:$D$395,2,0),"")</f>
        <v/>
      </c>
      <c r="O1480" s="220"/>
      <c r="P1480" s="229"/>
      <c r="Q1480" s="221"/>
      <c r="R1480" s="222" t="str">
        <f t="shared" si="202"/>
        <v>-</v>
      </c>
      <c r="S1480" s="223"/>
      <c r="T1480" s="224"/>
      <c r="U1480" s="225">
        <f t="shared" si="203"/>
        <v>0</v>
      </c>
      <c r="V1480" s="226">
        <v>0</v>
      </c>
      <c r="W1480" s="227"/>
      <c r="X1480" s="228">
        <f t="shared" si="204"/>
        <v>0</v>
      </c>
      <c r="Y1480" s="229"/>
      <c r="Z1480" s="229"/>
      <c r="AA1480" s="229"/>
      <c r="AB1480" s="222">
        <f t="shared" si="205"/>
        <v>0</v>
      </c>
      <c r="AC1480" s="230">
        <f t="shared" si="206"/>
        <v>0</v>
      </c>
      <c r="AD1480" s="222" t="str">
        <f t="shared" si="207"/>
        <v/>
      </c>
      <c r="AE1480" s="201"/>
      <c r="AF1480" s="231" t="str">
        <f>+IFERROR(VLOOKUP(L1480,Data!$F$4:$G$97,2,0),"")</f>
        <v/>
      </c>
    </row>
    <row r="1481" spans="9:32" ht="15" customHeight="1" x14ac:dyDescent="0.3">
      <c r="I1481" s="201" t="str">
        <f t="shared" si="200"/>
        <v/>
      </c>
      <c r="J1481" s="218">
        <f t="shared" si="201"/>
        <v>1478</v>
      </c>
      <c r="K1481" s="250"/>
      <c r="L1481" s="219"/>
      <c r="M1481" s="218"/>
      <c r="N1481" s="220" t="str">
        <f>IFERROR(VLOOKUP(M1481,Data!$C$4:$D$395,2,0),"")</f>
        <v/>
      </c>
      <c r="O1481" s="220"/>
      <c r="P1481" s="229"/>
      <c r="Q1481" s="221"/>
      <c r="R1481" s="222" t="str">
        <f t="shared" si="202"/>
        <v>-</v>
      </c>
      <c r="S1481" s="223"/>
      <c r="T1481" s="224"/>
      <c r="U1481" s="225">
        <f t="shared" si="203"/>
        <v>0</v>
      </c>
      <c r="V1481" s="226">
        <v>0</v>
      </c>
      <c r="W1481" s="227"/>
      <c r="X1481" s="228">
        <f t="shared" si="204"/>
        <v>0</v>
      </c>
      <c r="Y1481" s="229"/>
      <c r="Z1481" s="229"/>
      <c r="AA1481" s="229"/>
      <c r="AB1481" s="222">
        <f t="shared" si="205"/>
        <v>0</v>
      </c>
      <c r="AC1481" s="230">
        <f t="shared" si="206"/>
        <v>0</v>
      </c>
      <c r="AD1481" s="222" t="str">
        <f t="shared" si="207"/>
        <v/>
      </c>
      <c r="AE1481" s="201"/>
      <c r="AF1481" s="231" t="str">
        <f>+IFERROR(VLOOKUP(L1481,Data!$F$4:$G$97,2,0),"")</f>
        <v/>
      </c>
    </row>
    <row r="1482" spans="9:32" ht="15" customHeight="1" x14ac:dyDescent="0.3">
      <c r="I1482" s="201" t="str">
        <f t="shared" si="200"/>
        <v/>
      </c>
      <c r="J1482" s="218">
        <f t="shared" si="201"/>
        <v>1479</v>
      </c>
      <c r="K1482" s="250"/>
      <c r="L1482" s="219"/>
      <c r="M1482" s="218"/>
      <c r="N1482" s="220" t="str">
        <f>IFERROR(VLOOKUP(M1482,Data!$C$4:$D$395,2,0),"")</f>
        <v/>
      </c>
      <c r="O1482" s="220"/>
      <c r="P1482" s="229"/>
      <c r="Q1482" s="221"/>
      <c r="R1482" s="222" t="str">
        <f t="shared" si="202"/>
        <v>-</v>
      </c>
      <c r="S1482" s="223"/>
      <c r="T1482" s="224"/>
      <c r="U1482" s="225">
        <f t="shared" si="203"/>
        <v>0</v>
      </c>
      <c r="V1482" s="226">
        <v>0</v>
      </c>
      <c r="W1482" s="227"/>
      <c r="X1482" s="228">
        <f t="shared" si="204"/>
        <v>0</v>
      </c>
      <c r="Y1482" s="229"/>
      <c r="Z1482" s="229"/>
      <c r="AA1482" s="229"/>
      <c r="AB1482" s="222">
        <f t="shared" si="205"/>
        <v>0</v>
      </c>
      <c r="AC1482" s="230">
        <f t="shared" si="206"/>
        <v>0</v>
      </c>
      <c r="AD1482" s="222" t="str">
        <f t="shared" si="207"/>
        <v/>
      </c>
      <c r="AE1482" s="201"/>
      <c r="AF1482" s="231" t="str">
        <f>+IFERROR(VLOOKUP(L1482,Data!$F$4:$G$97,2,0),"")</f>
        <v/>
      </c>
    </row>
    <row r="1483" spans="9:32" ht="15" customHeight="1" x14ac:dyDescent="0.3">
      <c r="I1483" s="201" t="str">
        <f t="shared" si="200"/>
        <v/>
      </c>
      <c r="J1483" s="218">
        <f t="shared" si="201"/>
        <v>1480</v>
      </c>
      <c r="K1483" s="250"/>
      <c r="L1483" s="219"/>
      <c r="M1483" s="218"/>
      <c r="N1483" s="220" t="str">
        <f>IFERROR(VLOOKUP(M1483,Data!$C$4:$D$395,2,0),"")</f>
        <v/>
      </c>
      <c r="O1483" s="220"/>
      <c r="P1483" s="229"/>
      <c r="Q1483" s="221"/>
      <c r="R1483" s="222" t="str">
        <f t="shared" si="202"/>
        <v>-</v>
      </c>
      <c r="S1483" s="223"/>
      <c r="T1483" s="224"/>
      <c r="U1483" s="225">
        <f t="shared" si="203"/>
        <v>0</v>
      </c>
      <c r="V1483" s="226">
        <v>0</v>
      </c>
      <c r="W1483" s="227"/>
      <c r="X1483" s="228">
        <f t="shared" si="204"/>
        <v>0</v>
      </c>
      <c r="Y1483" s="229"/>
      <c r="Z1483" s="229"/>
      <c r="AA1483" s="229"/>
      <c r="AB1483" s="222">
        <f t="shared" si="205"/>
        <v>0</v>
      </c>
      <c r="AC1483" s="230">
        <f t="shared" si="206"/>
        <v>0</v>
      </c>
      <c r="AD1483" s="222" t="str">
        <f t="shared" si="207"/>
        <v/>
      </c>
      <c r="AE1483" s="201"/>
      <c r="AF1483" s="231" t="str">
        <f>+IFERROR(VLOOKUP(L1483,Data!$F$4:$G$97,2,0),"")</f>
        <v/>
      </c>
    </row>
    <row r="1484" spans="9:32" ht="15" customHeight="1" x14ac:dyDescent="0.3">
      <c r="I1484" s="201" t="str">
        <f t="shared" si="200"/>
        <v/>
      </c>
      <c r="J1484" s="218">
        <f t="shared" si="201"/>
        <v>1481</v>
      </c>
      <c r="K1484" s="250"/>
      <c r="L1484" s="219"/>
      <c r="M1484" s="218"/>
      <c r="N1484" s="220" t="str">
        <f>IFERROR(VLOOKUP(M1484,Data!$C$4:$D$395,2,0),"")</f>
        <v/>
      </c>
      <c r="O1484" s="220"/>
      <c r="P1484" s="229"/>
      <c r="Q1484" s="221"/>
      <c r="R1484" s="222" t="str">
        <f t="shared" si="202"/>
        <v>-</v>
      </c>
      <c r="S1484" s="223"/>
      <c r="T1484" s="224"/>
      <c r="U1484" s="225">
        <f t="shared" si="203"/>
        <v>0</v>
      </c>
      <c r="V1484" s="226">
        <v>0</v>
      </c>
      <c r="W1484" s="227"/>
      <c r="X1484" s="228">
        <f t="shared" si="204"/>
        <v>0</v>
      </c>
      <c r="Y1484" s="229"/>
      <c r="Z1484" s="229"/>
      <c r="AA1484" s="229"/>
      <c r="AB1484" s="222">
        <f t="shared" si="205"/>
        <v>0</v>
      </c>
      <c r="AC1484" s="230">
        <f t="shared" si="206"/>
        <v>0</v>
      </c>
      <c r="AD1484" s="222" t="str">
        <f t="shared" si="207"/>
        <v/>
      </c>
      <c r="AE1484" s="201"/>
      <c r="AF1484" s="231" t="str">
        <f>+IFERROR(VLOOKUP(L1484,Data!$F$4:$G$97,2,0),"")</f>
        <v/>
      </c>
    </row>
    <row r="1485" spans="9:32" ht="15" customHeight="1" x14ac:dyDescent="0.3">
      <c r="I1485" s="201" t="str">
        <f t="shared" si="200"/>
        <v/>
      </c>
      <c r="J1485" s="218">
        <f t="shared" si="201"/>
        <v>1482</v>
      </c>
      <c r="K1485" s="250"/>
      <c r="L1485" s="219"/>
      <c r="M1485" s="218"/>
      <c r="N1485" s="220" t="str">
        <f>IFERROR(VLOOKUP(M1485,Data!$C$4:$D$395,2,0),"")</f>
        <v/>
      </c>
      <c r="O1485" s="220"/>
      <c r="P1485" s="229"/>
      <c r="Q1485" s="221"/>
      <c r="R1485" s="222" t="str">
        <f t="shared" si="202"/>
        <v>-</v>
      </c>
      <c r="S1485" s="223"/>
      <c r="T1485" s="224"/>
      <c r="U1485" s="225">
        <f t="shared" si="203"/>
        <v>0</v>
      </c>
      <c r="V1485" s="226">
        <v>0</v>
      </c>
      <c r="W1485" s="227"/>
      <c r="X1485" s="228">
        <f t="shared" si="204"/>
        <v>0</v>
      </c>
      <c r="Y1485" s="229"/>
      <c r="Z1485" s="229"/>
      <c r="AA1485" s="229"/>
      <c r="AB1485" s="222">
        <f t="shared" si="205"/>
        <v>0</v>
      </c>
      <c r="AC1485" s="230">
        <f t="shared" si="206"/>
        <v>0</v>
      </c>
      <c r="AD1485" s="222" t="str">
        <f t="shared" si="207"/>
        <v/>
      </c>
      <c r="AE1485" s="201"/>
      <c r="AF1485" s="231" t="str">
        <f>+IFERROR(VLOOKUP(L1485,Data!$F$4:$G$97,2,0),"")</f>
        <v/>
      </c>
    </row>
    <row r="1486" spans="9:32" ht="15" customHeight="1" x14ac:dyDescent="0.3">
      <c r="I1486" s="201" t="str">
        <f t="shared" si="200"/>
        <v/>
      </c>
      <c r="J1486" s="218">
        <f t="shared" si="201"/>
        <v>1483</v>
      </c>
      <c r="K1486" s="250"/>
      <c r="L1486" s="219"/>
      <c r="M1486" s="218"/>
      <c r="N1486" s="220" t="str">
        <f>IFERROR(VLOOKUP(M1486,Data!$C$4:$D$395,2,0),"")</f>
        <v/>
      </c>
      <c r="O1486" s="220"/>
      <c r="P1486" s="229"/>
      <c r="Q1486" s="221"/>
      <c r="R1486" s="222" t="str">
        <f t="shared" si="202"/>
        <v>-</v>
      </c>
      <c r="S1486" s="223"/>
      <c r="T1486" s="224"/>
      <c r="U1486" s="225">
        <f t="shared" si="203"/>
        <v>0</v>
      </c>
      <c r="V1486" s="226">
        <v>0</v>
      </c>
      <c r="W1486" s="227"/>
      <c r="X1486" s="228">
        <f t="shared" si="204"/>
        <v>0</v>
      </c>
      <c r="Y1486" s="229"/>
      <c r="Z1486" s="229"/>
      <c r="AA1486" s="229"/>
      <c r="AB1486" s="222">
        <f t="shared" si="205"/>
        <v>0</v>
      </c>
      <c r="AC1486" s="230">
        <f t="shared" si="206"/>
        <v>0</v>
      </c>
      <c r="AD1486" s="222" t="str">
        <f t="shared" si="207"/>
        <v/>
      </c>
      <c r="AE1486" s="201"/>
      <c r="AF1486" s="231" t="str">
        <f>+IFERROR(VLOOKUP(L1486,Data!$F$4:$G$97,2,0),"")</f>
        <v/>
      </c>
    </row>
    <row r="1487" spans="9:32" ht="15" customHeight="1" x14ac:dyDescent="0.3">
      <c r="I1487" s="201" t="str">
        <f t="shared" si="200"/>
        <v/>
      </c>
      <c r="J1487" s="218">
        <f t="shared" si="201"/>
        <v>1484</v>
      </c>
      <c r="K1487" s="250"/>
      <c r="L1487" s="219"/>
      <c r="M1487" s="218"/>
      <c r="N1487" s="220" t="str">
        <f>IFERROR(VLOOKUP(M1487,Data!$C$4:$D$395,2,0),"")</f>
        <v/>
      </c>
      <c r="O1487" s="220"/>
      <c r="P1487" s="229"/>
      <c r="Q1487" s="221"/>
      <c r="R1487" s="222" t="str">
        <f t="shared" si="202"/>
        <v>-</v>
      </c>
      <c r="S1487" s="223"/>
      <c r="T1487" s="224"/>
      <c r="U1487" s="225">
        <f t="shared" si="203"/>
        <v>0</v>
      </c>
      <c r="V1487" s="226">
        <v>0</v>
      </c>
      <c r="W1487" s="227"/>
      <c r="X1487" s="228">
        <f t="shared" si="204"/>
        <v>0</v>
      </c>
      <c r="Y1487" s="229"/>
      <c r="Z1487" s="229"/>
      <c r="AA1487" s="229"/>
      <c r="AB1487" s="222">
        <f t="shared" si="205"/>
        <v>0</v>
      </c>
      <c r="AC1487" s="230">
        <f t="shared" si="206"/>
        <v>0</v>
      </c>
      <c r="AD1487" s="222" t="str">
        <f t="shared" si="207"/>
        <v/>
      </c>
      <c r="AE1487" s="201"/>
      <c r="AF1487" s="231" t="str">
        <f>+IFERROR(VLOOKUP(L1487,Data!$F$4:$G$97,2,0),"")</f>
        <v/>
      </c>
    </row>
    <row r="1488" spans="9:32" ht="15" customHeight="1" x14ac:dyDescent="0.3">
      <c r="I1488" s="201" t="str">
        <f t="shared" si="200"/>
        <v/>
      </c>
      <c r="J1488" s="218">
        <f t="shared" si="201"/>
        <v>1485</v>
      </c>
      <c r="K1488" s="250"/>
      <c r="L1488" s="219"/>
      <c r="M1488" s="218"/>
      <c r="N1488" s="220" t="str">
        <f>IFERROR(VLOOKUP(M1488,Data!$C$4:$D$395,2,0),"")</f>
        <v/>
      </c>
      <c r="O1488" s="220"/>
      <c r="P1488" s="229"/>
      <c r="Q1488" s="221"/>
      <c r="R1488" s="222" t="str">
        <f t="shared" si="202"/>
        <v>-</v>
      </c>
      <c r="S1488" s="223"/>
      <c r="T1488" s="224"/>
      <c r="U1488" s="225">
        <f t="shared" si="203"/>
        <v>0</v>
      </c>
      <c r="V1488" s="226">
        <v>0</v>
      </c>
      <c r="W1488" s="227"/>
      <c r="X1488" s="228">
        <f t="shared" si="204"/>
        <v>0</v>
      </c>
      <c r="Y1488" s="229"/>
      <c r="Z1488" s="229"/>
      <c r="AA1488" s="229"/>
      <c r="AB1488" s="222">
        <f t="shared" si="205"/>
        <v>0</v>
      </c>
      <c r="AC1488" s="230">
        <f t="shared" si="206"/>
        <v>0</v>
      </c>
      <c r="AD1488" s="222" t="str">
        <f t="shared" si="207"/>
        <v/>
      </c>
      <c r="AE1488" s="201"/>
      <c r="AF1488" s="231" t="str">
        <f>+IFERROR(VLOOKUP(L1488,Data!$F$4:$G$97,2,0),"")</f>
        <v/>
      </c>
    </row>
    <row r="1489" spans="9:32" ht="15" customHeight="1" x14ac:dyDescent="0.3">
      <c r="I1489" s="201" t="str">
        <f t="shared" si="200"/>
        <v/>
      </c>
      <c r="J1489" s="218">
        <f t="shared" si="201"/>
        <v>1486</v>
      </c>
      <c r="K1489" s="250"/>
      <c r="L1489" s="219"/>
      <c r="M1489" s="218"/>
      <c r="N1489" s="220" t="str">
        <f>IFERROR(VLOOKUP(M1489,Data!$C$4:$D$395,2,0),"")</f>
        <v/>
      </c>
      <c r="O1489" s="220"/>
      <c r="P1489" s="229"/>
      <c r="Q1489" s="221"/>
      <c r="R1489" s="222" t="str">
        <f t="shared" si="202"/>
        <v>-</v>
      </c>
      <c r="S1489" s="223"/>
      <c r="T1489" s="224"/>
      <c r="U1489" s="225">
        <f t="shared" si="203"/>
        <v>0</v>
      </c>
      <c r="V1489" s="226">
        <v>0</v>
      </c>
      <c r="W1489" s="227"/>
      <c r="X1489" s="228">
        <f t="shared" si="204"/>
        <v>0</v>
      </c>
      <c r="Y1489" s="229"/>
      <c r="Z1489" s="229"/>
      <c r="AA1489" s="229"/>
      <c r="AB1489" s="222">
        <f t="shared" si="205"/>
        <v>0</v>
      </c>
      <c r="AC1489" s="230">
        <f t="shared" si="206"/>
        <v>0</v>
      </c>
      <c r="AD1489" s="222" t="str">
        <f t="shared" si="207"/>
        <v/>
      </c>
      <c r="AE1489" s="201"/>
      <c r="AF1489" s="231" t="str">
        <f>+IFERROR(VLOOKUP(L1489,Data!$F$4:$G$97,2,0),"")</f>
        <v/>
      </c>
    </row>
    <row r="1490" spans="9:32" ht="15" customHeight="1" x14ac:dyDescent="0.3">
      <c r="I1490" s="201" t="str">
        <f t="shared" si="200"/>
        <v/>
      </c>
      <c r="J1490" s="218">
        <f t="shared" si="201"/>
        <v>1487</v>
      </c>
      <c r="K1490" s="250"/>
      <c r="L1490" s="219"/>
      <c r="M1490" s="218"/>
      <c r="N1490" s="220" t="str">
        <f>IFERROR(VLOOKUP(M1490,Data!$C$4:$D$395,2,0),"")</f>
        <v/>
      </c>
      <c r="O1490" s="220"/>
      <c r="P1490" s="229"/>
      <c r="Q1490" s="221"/>
      <c r="R1490" s="222" t="str">
        <f t="shared" si="202"/>
        <v>-</v>
      </c>
      <c r="S1490" s="223"/>
      <c r="T1490" s="224"/>
      <c r="U1490" s="225">
        <f t="shared" si="203"/>
        <v>0</v>
      </c>
      <c r="V1490" s="226">
        <v>0</v>
      </c>
      <c r="W1490" s="227"/>
      <c r="X1490" s="228">
        <f t="shared" si="204"/>
        <v>0</v>
      </c>
      <c r="Y1490" s="229"/>
      <c r="Z1490" s="229"/>
      <c r="AA1490" s="229"/>
      <c r="AB1490" s="222">
        <f t="shared" si="205"/>
        <v>0</v>
      </c>
      <c r="AC1490" s="230">
        <f t="shared" si="206"/>
        <v>0</v>
      </c>
      <c r="AD1490" s="222" t="str">
        <f t="shared" si="207"/>
        <v/>
      </c>
      <c r="AE1490" s="201"/>
      <c r="AF1490" s="231" t="str">
        <f>+IFERROR(VLOOKUP(L1490,Data!$F$4:$G$97,2,0),"")</f>
        <v/>
      </c>
    </row>
    <row r="1491" spans="9:32" ht="15" customHeight="1" x14ac:dyDescent="0.3">
      <c r="I1491" s="201" t="str">
        <f t="shared" si="200"/>
        <v/>
      </c>
      <c r="J1491" s="218">
        <f t="shared" si="201"/>
        <v>1488</v>
      </c>
      <c r="K1491" s="250"/>
      <c r="L1491" s="219"/>
      <c r="M1491" s="218"/>
      <c r="N1491" s="220" t="str">
        <f>IFERROR(VLOOKUP(M1491,Data!$C$4:$D$395,2,0),"")</f>
        <v/>
      </c>
      <c r="O1491" s="220"/>
      <c r="P1491" s="229"/>
      <c r="Q1491" s="221"/>
      <c r="R1491" s="222" t="str">
        <f t="shared" si="202"/>
        <v>-</v>
      </c>
      <c r="S1491" s="223"/>
      <c r="T1491" s="224"/>
      <c r="U1491" s="225">
        <f t="shared" si="203"/>
        <v>0</v>
      </c>
      <c r="V1491" s="226">
        <v>0</v>
      </c>
      <c r="W1491" s="227"/>
      <c r="X1491" s="228">
        <f t="shared" si="204"/>
        <v>0</v>
      </c>
      <c r="Y1491" s="229"/>
      <c r="Z1491" s="229"/>
      <c r="AA1491" s="229"/>
      <c r="AB1491" s="222">
        <f t="shared" si="205"/>
        <v>0</v>
      </c>
      <c r="AC1491" s="230">
        <f t="shared" si="206"/>
        <v>0</v>
      </c>
      <c r="AD1491" s="222" t="str">
        <f t="shared" si="207"/>
        <v/>
      </c>
      <c r="AE1491" s="201"/>
      <c r="AF1491" s="231" t="str">
        <f>+IFERROR(VLOOKUP(L1491,Data!$F$4:$G$97,2,0),"")</f>
        <v/>
      </c>
    </row>
    <row r="1492" spans="9:32" ht="15" customHeight="1" x14ac:dyDescent="0.3">
      <c r="I1492" s="201" t="str">
        <f t="shared" si="200"/>
        <v/>
      </c>
      <c r="J1492" s="218">
        <f t="shared" si="201"/>
        <v>1489</v>
      </c>
      <c r="K1492" s="250"/>
      <c r="L1492" s="219"/>
      <c r="M1492" s="218"/>
      <c r="N1492" s="220" t="str">
        <f>IFERROR(VLOOKUP(M1492,Data!$C$4:$D$395,2,0),"")</f>
        <v/>
      </c>
      <c r="O1492" s="220"/>
      <c r="P1492" s="229"/>
      <c r="Q1492" s="221"/>
      <c r="R1492" s="222" t="str">
        <f t="shared" si="202"/>
        <v>-</v>
      </c>
      <c r="S1492" s="223"/>
      <c r="T1492" s="224"/>
      <c r="U1492" s="225">
        <f t="shared" si="203"/>
        <v>0</v>
      </c>
      <c r="V1492" s="226">
        <v>0</v>
      </c>
      <c r="W1492" s="227"/>
      <c r="X1492" s="228">
        <f t="shared" si="204"/>
        <v>0</v>
      </c>
      <c r="Y1492" s="229"/>
      <c r="Z1492" s="229"/>
      <c r="AA1492" s="229"/>
      <c r="AB1492" s="222">
        <f t="shared" si="205"/>
        <v>0</v>
      </c>
      <c r="AC1492" s="230">
        <f t="shared" si="206"/>
        <v>0</v>
      </c>
      <c r="AD1492" s="222" t="str">
        <f t="shared" si="207"/>
        <v/>
      </c>
      <c r="AE1492" s="201"/>
      <c r="AF1492" s="231" t="str">
        <f>+IFERROR(VLOOKUP(L1492,Data!$F$4:$G$97,2,0),"")</f>
        <v/>
      </c>
    </row>
    <row r="1493" spans="9:32" ht="15" customHeight="1" x14ac:dyDescent="0.3">
      <c r="I1493" s="201" t="str">
        <f t="shared" si="200"/>
        <v/>
      </c>
      <c r="J1493" s="218">
        <f t="shared" si="201"/>
        <v>1490</v>
      </c>
      <c r="K1493" s="250"/>
      <c r="L1493" s="219"/>
      <c r="M1493" s="218"/>
      <c r="N1493" s="220" t="str">
        <f>IFERROR(VLOOKUP(M1493,Data!$C$4:$D$395,2,0),"")</f>
        <v/>
      </c>
      <c r="O1493" s="220"/>
      <c r="P1493" s="229"/>
      <c r="Q1493" s="221"/>
      <c r="R1493" s="222" t="str">
        <f t="shared" si="202"/>
        <v>-</v>
      </c>
      <c r="S1493" s="223"/>
      <c r="T1493" s="224"/>
      <c r="U1493" s="225">
        <f t="shared" si="203"/>
        <v>0</v>
      </c>
      <c r="V1493" s="226">
        <v>0</v>
      </c>
      <c r="W1493" s="227"/>
      <c r="X1493" s="228">
        <f t="shared" si="204"/>
        <v>0</v>
      </c>
      <c r="Y1493" s="229"/>
      <c r="Z1493" s="229"/>
      <c r="AA1493" s="229"/>
      <c r="AB1493" s="222">
        <f t="shared" si="205"/>
        <v>0</v>
      </c>
      <c r="AC1493" s="230">
        <f t="shared" si="206"/>
        <v>0</v>
      </c>
      <c r="AD1493" s="222" t="str">
        <f t="shared" si="207"/>
        <v/>
      </c>
      <c r="AE1493" s="201"/>
      <c r="AF1493" s="231" t="str">
        <f>+IFERROR(VLOOKUP(L1493,Data!$F$4:$G$97,2,0),"")</f>
        <v/>
      </c>
    </row>
    <row r="1494" spans="9:32" ht="15" customHeight="1" x14ac:dyDescent="0.3">
      <c r="I1494" s="201" t="str">
        <f t="shared" si="200"/>
        <v/>
      </c>
      <c r="J1494" s="218">
        <f t="shared" si="201"/>
        <v>1491</v>
      </c>
      <c r="K1494" s="250"/>
      <c r="L1494" s="219"/>
      <c r="M1494" s="218"/>
      <c r="N1494" s="220" t="str">
        <f>IFERROR(VLOOKUP(M1494,Data!$C$4:$D$395,2,0),"")</f>
        <v/>
      </c>
      <c r="O1494" s="220"/>
      <c r="P1494" s="229"/>
      <c r="Q1494" s="221"/>
      <c r="R1494" s="222" t="str">
        <f t="shared" si="202"/>
        <v>-</v>
      </c>
      <c r="S1494" s="223"/>
      <c r="T1494" s="224"/>
      <c r="U1494" s="225">
        <f t="shared" si="203"/>
        <v>0</v>
      </c>
      <c r="V1494" s="226">
        <v>0</v>
      </c>
      <c r="W1494" s="227"/>
      <c r="X1494" s="228">
        <f t="shared" si="204"/>
        <v>0</v>
      </c>
      <c r="Y1494" s="229"/>
      <c r="Z1494" s="229"/>
      <c r="AA1494" s="229"/>
      <c r="AB1494" s="222">
        <f t="shared" si="205"/>
        <v>0</v>
      </c>
      <c r="AC1494" s="230">
        <f t="shared" si="206"/>
        <v>0</v>
      </c>
      <c r="AD1494" s="222" t="str">
        <f t="shared" si="207"/>
        <v/>
      </c>
      <c r="AE1494" s="201"/>
      <c r="AF1494" s="231" t="str">
        <f>+IFERROR(VLOOKUP(L1494,Data!$F$4:$G$97,2,0),"")</f>
        <v/>
      </c>
    </row>
    <row r="1495" spans="9:32" ht="15" customHeight="1" x14ac:dyDescent="0.3">
      <c r="I1495" s="201" t="str">
        <f t="shared" si="200"/>
        <v/>
      </c>
      <c r="J1495" s="218">
        <f t="shared" si="201"/>
        <v>1492</v>
      </c>
      <c r="K1495" s="250"/>
      <c r="L1495" s="219"/>
      <c r="M1495" s="218"/>
      <c r="N1495" s="220" t="str">
        <f>IFERROR(VLOOKUP(M1495,Data!$C$4:$D$395,2,0),"")</f>
        <v/>
      </c>
      <c r="O1495" s="220"/>
      <c r="P1495" s="229"/>
      <c r="Q1495" s="221"/>
      <c r="R1495" s="222" t="str">
        <f t="shared" si="202"/>
        <v>-</v>
      </c>
      <c r="S1495" s="223"/>
      <c r="T1495" s="224"/>
      <c r="U1495" s="225">
        <f t="shared" si="203"/>
        <v>0</v>
      </c>
      <c r="V1495" s="226">
        <v>0</v>
      </c>
      <c r="W1495" s="227"/>
      <c r="X1495" s="228">
        <f t="shared" si="204"/>
        <v>0</v>
      </c>
      <c r="Y1495" s="229"/>
      <c r="Z1495" s="229"/>
      <c r="AA1495" s="229"/>
      <c r="AB1495" s="222">
        <f t="shared" si="205"/>
        <v>0</v>
      </c>
      <c r="AC1495" s="230">
        <f t="shared" si="206"/>
        <v>0</v>
      </c>
      <c r="AD1495" s="222" t="str">
        <f t="shared" si="207"/>
        <v/>
      </c>
      <c r="AE1495" s="201"/>
      <c r="AF1495" s="231" t="str">
        <f>+IFERROR(VLOOKUP(L1495,Data!$F$4:$G$97,2,0),"")</f>
        <v/>
      </c>
    </row>
    <row r="1496" spans="9:32" ht="15" customHeight="1" x14ac:dyDescent="0.3">
      <c r="I1496" s="201" t="str">
        <f t="shared" si="200"/>
        <v/>
      </c>
      <c r="J1496" s="218">
        <f t="shared" si="201"/>
        <v>1493</v>
      </c>
      <c r="K1496" s="250"/>
      <c r="L1496" s="219"/>
      <c r="M1496" s="218"/>
      <c r="N1496" s="220" t="str">
        <f>IFERROR(VLOOKUP(M1496,Data!$C$4:$D$395,2,0),"")</f>
        <v/>
      </c>
      <c r="O1496" s="220"/>
      <c r="P1496" s="229"/>
      <c r="Q1496" s="221"/>
      <c r="R1496" s="222" t="str">
        <f t="shared" si="202"/>
        <v>-</v>
      </c>
      <c r="S1496" s="223"/>
      <c r="T1496" s="224"/>
      <c r="U1496" s="225">
        <f t="shared" si="203"/>
        <v>0</v>
      </c>
      <c r="V1496" s="226">
        <v>0</v>
      </c>
      <c r="W1496" s="227"/>
      <c r="X1496" s="228">
        <f t="shared" si="204"/>
        <v>0</v>
      </c>
      <c r="Y1496" s="229"/>
      <c r="Z1496" s="229"/>
      <c r="AA1496" s="229"/>
      <c r="AB1496" s="222">
        <f t="shared" si="205"/>
        <v>0</v>
      </c>
      <c r="AC1496" s="230">
        <f t="shared" si="206"/>
        <v>0</v>
      </c>
      <c r="AD1496" s="222" t="str">
        <f t="shared" si="207"/>
        <v/>
      </c>
      <c r="AE1496" s="201"/>
      <c r="AF1496" s="231" t="str">
        <f>+IFERROR(VLOOKUP(L1496,Data!$F$4:$G$97,2,0),"")</f>
        <v/>
      </c>
    </row>
    <row r="1497" spans="9:32" ht="15" customHeight="1" x14ac:dyDescent="0.3">
      <c r="I1497" s="201" t="str">
        <f t="shared" si="200"/>
        <v/>
      </c>
      <c r="J1497" s="218">
        <f t="shared" si="201"/>
        <v>1494</v>
      </c>
      <c r="K1497" s="250"/>
      <c r="L1497" s="219"/>
      <c r="M1497" s="218"/>
      <c r="N1497" s="220" t="str">
        <f>IFERROR(VLOOKUP(M1497,Data!$C$4:$D$395,2,0),"")</f>
        <v/>
      </c>
      <c r="O1497" s="220"/>
      <c r="P1497" s="229"/>
      <c r="Q1497" s="221"/>
      <c r="R1497" s="222" t="str">
        <f t="shared" si="202"/>
        <v>-</v>
      </c>
      <c r="S1497" s="223"/>
      <c r="T1497" s="224"/>
      <c r="U1497" s="225">
        <f t="shared" si="203"/>
        <v>0</v>
      </c>
      <c r="V1497" s="226">
        <v>0</v>
      </c>
      <c r="W1497" s="227"/>
      <c r="X1497" s="228">
        <f t="shared" si="204"/>
        <v>0</v>
      </c>
      <c r="Y1497" s="229"/>
      <c r="Z1497" s="229"/>
      <c r="AA1497" s="229"/>
      <c r="AB1497" s="222">
        <f t="shared" si="205"/>
        <v>0</v>
      </c>
      <c r="AC1497" s="230">
        <f t="shared" si="206"/>
        <v>0</v>
      </c>
      <c r="AD1497" s="222" t="str">
        <f t="shared" si="207"/>
        <v/>
      </c>
      <c r="AE1497" s="201"/>
      <c r="AF1497" s="231" t="str">
        <f>+IFERROR(VLOOKUP(L1497,Data!$F$4:$G$97,2,0),"")</f>
        <v/>
      </c>
    </row>
    <row r="1498" spans="9:32" ht="15" customHeight="1" x14ac:dyDescent="0.3">
      <c r="I1498" s="201" t="str">
        <f t="shared" si="200"/>
        <v/>
      </c>
      <c r="J1498" s="218">
        <f t="shared" si="201"/>
        <v>1495</v>
      </c>
      <c r="K1498" s="250"/>
      <c r="L1498" s="219"/>
      <c r="M1498" s="218"/>
      <c r="N1498" s="220" t="str">
        <f>IFERROR(VLOOKUP(M1498,Data!$C$4:$D$395,2,0),"")</f>
        <v/>
      </c>
      <c r="O1498" s="220"/>
      <c r="P1498" s="229"/>
      <c r="Q1498" s="221"/>
      <c r="R1498" s="222" t="str">
        <f t="shared" si="202"/>
        <v>-</v>
      </c>
      <c r="S1498" s="223"/>
      <c r="T1498" s="224"/>
      <c r="U1498" s="225">
        <f t="shared" si="203"/>
        <v>0</v>
      </c>
      <c r="V1498" s="226">
        <v>0</v>
      </c>
      <c r="W1498" s="227"/>
      <c r="X1498" s="228">
        <f t="shared" si="204"/>
        <v>0</v>
      </c>
      <c r="Y1498" s="229"/>
      <c r="Z1498" s="229"/>
      <c r="AA1498" s="229"/>
      <c r="AB1498" s="222">
        <f t="shared" si="205"/>
        <v>0</v>
      </c>
      <c r="AC1498" s="230">
        <f t="shared" si="206"/>
        <v>0</v>
      </c>
      <c r="AD1498" s="222" t="str">
        <f t="shared" si="207"/>
        <v/>
      </c>
      <c r="AE1498" s="201"/>
      <c r="AF1498" s="231" t="str">
        <f>+IFERROR(VLOOKUP(L1498,Data!$F$4:$G$97,2,0),"")</f>
        <v/>
      </c>
    </row>
    <row r="1499" spans="9:32" ht="15" customHeight="1" x14ac:dyDescent="0.3">
      <c r="I1499" s="201" t="str">
        <f t="shared" si="200"/>
        <v/>
      </c>
      <c r="J1499" s="218">
        <f t="shared" si="201"/>
        <v>1496</v>
      </c>
      <c r="K1499" s="250"/>
      <c r="L1499" s="219"/>
      <c r="M1499" s="218"/>
      <c r="N1499" s="220" t="str">
        <f>IFERROR(VLOOKUP(M1499,Data!$C$4:$D$395,2,0),"")</f>
        <v/>
      </c>
      <c r="O1499" s="220"/>
      <c r="P1499" s="229"/>
      <c r="Q1499" s="221"/>
      <c r="R1499" s="222" t="str">
        <f t="shared" si="202"/>
        <v>-</v>
      </c>
      <c r="S1499" s="223"/>
      <c r="T1499" s="224"/>
      <c r="U1499" s="225">
        <f t="shared" si="203"/>
        <v>0</v>
      </c>
      <c r="V1499" s="226">
        <v>0</v>
      </c>
      <c r="W1499" s="227"/>
      <c r="X1499" s="228">
        <f t="shared" si="204"/>
        <v>0</v>
      </c>
      <c r="Y1499" s="229"/>
      <c r="Z1499" s="229"/>
      <c r="AA1499" s="229"/>
      <c r="AB1499" s="222">
        <f t="shared" si="205"/>
        <v>0</v>
      </c>
      <c r="AC1499" s="230">
        <f t="shared" si="206"/>
        <v>0</v>
      </c>
      <c r="AD1499" s="222" t="str">
        <f t="shared" si="207"/>
        <v/>
      </c>
      <c r="AE1499" s="201"/>
      <c r="AF1499" s="231" t="str">
        <f>+IFERROR(VLOOKUP(L1499,Data!$F$4:$G$97,2,0),"")</f>
        <v/>
      </c>
    </row>
    <row r="1500" spans="9:32" ht="15" customHeight="1" x14ac:dyDescent="0.3">
      <c r="I1500" s="201" t="str">
        <f t="shared" si="200"/>
        <v/>
      </c>
      <c r="J1500" s="218">
        <f t="shared" si="201"/>
        <v>1497</v>
      </c>
      <c r="K1500" s="250"/>
      <c r="L1500" s="219"/>
      <c r="M1500" s="218"/>
      <c r="N1500" s="220" t="str">
        <f>IFERROR(VLOOKUP(M1500,Data!$C$4:$D$395,2,0),"")</f>
        <v/>
      </c>
      <c r="O1500" s="220"/>
      <c r="P1500" s="229"/>
      <c r="Q1500" s="221"/>
      <c r="R1500" s="222" t="str">
        <f t="shared" si="202"/>
        <v>-</v>
      </c>
      <c r="S1500" s="223"/>
      <c r="T1500" s="224"/>
      <c r="U1500" s="225">
        <f t="shared" si="203"/>
        <v>0</v>
      </c>
      <c r="V1500" s="226">
        <v>0</v>
      </c>
      <c r="W1500" s="227"/>
      <c r="X1500" s="228">
        <f t="shared" si="204"/>
        <v>0</v>
      </c>
      <c r="Y1500" s="229"/>
      <c r="Z1500" s="229"/>
      <c r="AA1500" s="229"/>
      <c r="AB1500" s="222">
        <f t="shared" si="205"/>
        <v>0</v>
      </c>
      <c r="AC1500" s="230">
        <f t="shared" si="206"/>
        <v>0</v>
      </c>
      <c r="AD1500" s="222" t="str">
        <f t="shared" si="207"/>
        <v/>
      </c>
      <c r="AE1500" s="201"/>
      <c r="AF1500" s="231" t="str">
        <f>+IFERROR(VLOOKUP(L1500,Data!$F$4:$G$97,2,0),"")</f>
        <v/>
      </c>
    </row>
    <row r="1501" spans="9:32" ht="15" customHeight="1" x14ac:dyDescent="0.3">
      <c r="I1501" s="201" t="str">
        <f t="shared" si="200"/>
        <v/>
      </c>
      <c r="J1501" s="218">
        <f t="shared" si="201"/>
        <v>1498</v>
      </c>
      <c r="K1501" s="250"/>
      <c r="L1501" s="219"/>
      <c r="M1501" s="218"/>
      <c r="N1501" s="220" t="str">
        <f>IFERROR(VLOOKUP(M1501,Data!$C$4:$D$395,2,0),"")</f>
        <v/>
      </c>
      <c r="O1501" s="220"/>
      <c r="P1501" s="229"/>
      <c r="Q1501" s="221"/>
      <c r="R1501" s="222" t="str">
        <f t="shared" si="202"/>
        <v>-</v>
      </c>
      <c r="S1501" s="223"/>
      <c r="T1501" s="224"/>
      <c r="U1501" s="225">
        <f t="shared" si="203"/>
        <v>0</v>
      </c>
      <c r="V1501" s="226">
        <v>0</v>
      </c>
      <c r="W1501" s="227"/>
      <c r="X1501" s="228">
        <f t="shared" si="204"/>
        <v>0</v>
      </c>
      <c r="Y1501" s="229"/>
      <c r="Z1501" s="229"/>
      <c r="AA1501" s="229"/>
      <c r="AB1501" s="222">
        <f t="shared" si="205"/>
        <v>0</v>
      </c>
      <c r="AC1501" s="230">
        <f t="shared" si="206"/>
        <v>0</v>
      </c>
      <c r="AD1501" s="222" t="str">
        <f t="shared" si="207"/>
        <v/>
      </c>
      <c r="AE1501" s="201"/>
      <c r="AF1501" s="231" t="str">
        <f>+IFERROR(VLOOKUP(L1501,Data!$F$4:$G$97,2,0),"")</f>
        <v/>
      </c>
    </row>
    <row r="1502" spans="9:32" ht="15" customHeight="1" x14ac:dyDescent="0.3">
      <c r="I1502" s="201" t="str">
        <f t="shared" si="200"/>
        <v/>
      </c>
      <c r="J1502" s="218">
        <f t="shared" si="201"/>
        <v>1499</v>
      </c>
      <c r="K1502" s="250"/>
      <c r="L1502" s="219"/>
      <c r="M1502" s="218"/>
      <c r="N1502" s="220" t="str">
        <f>IFERROR(VLOOKUP(M1502,Data!$C$4:$D$395,2,0),"")</f>
        <v/>
      </c>
      <c r="O1502" s="220"/>
      <c r="P1502" s="229"/>
      <c r="Q1502" s="221"/>
      <c r="R1502" s="222" t="str">
        <f t="shared" si="202"/>
        <v>-</v>
      </c>
      <c r="S1502" s="223"/>
      <c r="T1502" s="224"/>
      <c r="U1502" s="225">
        <f t="shared" si="203"/>
        <v>0</v>
      </c>
      <c r="V1502" s="226">
        <v>0</v>
      </c>
      <c r="W1502" s="227"/>
      <c r="X1502" s="228">
        <f t="shared" si="204"/>
        <v>0</v>
      </c>
      <c r="Y1502" s="229"/>
      <c r="Z1502" s="229"/>
      <c r="AA1502" s="229"/>
      <c r="AB1502" s="222">
        <f t="shared" si="205"/>
        <v>0</v>
      </c>
      <c r="AC1502" s="230">
        <f t="shared" si="206"/>
        <v>0</v>
      </c>
      <c r="AD1502" s="222" t="str">
        <f t="shared" si="207"/>
        <v/>
      </c>
      <c r="AE1502" s="201"/>
      <c r="AF1502" s="231" t="str">
        <f>+IFERROR(VLOOKUP(L1502,Data!$F$4:$G$97,2,0),"")</f>
        <v/>
      </c>
    </row>
    <row r="1503" spans="9:32" ht="15" customHeight="1" x14ac:dyDescent="0.3">
      <c r="I1503" s="201" t="str">
        <f t="shared" si="200"/>
        <v/>
      </c>
      <c r="J1503" s="218">
        <f t="shared" si="201"/>
        <v>1500</v>
      </c>
      <c r="K1503" s="250"/>
      <c r="L1503" s="219"/>
      <c r="M1503" s="218"/>
      <c r="N1503" s="220" t="str">
        <f>IFERROR(VLOOKUP(M1503,Data!$C$4:$D$395,2,0),"")</f>
        <v/>
      </c>
      <c r="O1503" s="220"/>
      <c r="P1503" s="229"/>
      <c r="Q1503" s="221"/>
      <c r="R1503" s="222" t="str">
        <f t="shared" si="202"/>
        <v>-</v>
      </c>
      <c r="S1503" s="223"/>
      <c r="T1503" s="224"/>
      <c r="U1503" s="225">
        <f t="shared" si="203"/>
        <v>0</v>
      </c>
      <c r="V1503" s="226">
        <v>0</v>
      </c>
      <c r="W1503" s="227"/>
      <c r="X1503" s="228">
        <f t="shared" si="204"/>
        <v>0</v>
      </c>
      <c r="Y1503" s="229"/>
      <c r="Z1503" s="229"/>
      <c r="AA1503" s="229"/>
      <c r="AB1503" s="222">
        <f t="shared" si="205"/>
        <v>0</v>
      </c>
      <c r="AC1503" s="230">
        <f t="shared" si="206"/>
        <v>0</v>
      </c>
      <c r="AD1503" s="222" t="str">
        <f t="shared" si="207"/>
        <v/>
      </c>
      <c r="AE1503" s="201"/>
      <c r="AF1503" s="231" t="str">
        <f>+IFERROR(VLOOKUP(L1503,Data!$F$4:$G$97,2,0),"")</f>
        <v/>
      </c>
    </row>
    <row r="1504" spans="9:32" ht="15" customHeight="1" x14ac:dyDescent="0.3">
      <c r="I1504" s="201" t="str">
        <f t="shared" si="200"/>
        <v/>
      </c>
      <c r="J1504" s="218">
        <f t="shared" si="201"/>
        <v>1501</v>
      </c>
      <c r="K1504" s="250"/>
      <c r="L1504" s="219"/>
      <c r="M1504" s="218"/>
      <c r="N1504" s="220" t="str">
        <f>IFERROR(VLOOKUP(M1504,Data!$C$4:$D$395,2,0),"")</f>
        <v/>
      </c>
      <c r="O1504" s="220"/>
      <c r="P1504" s="229"/>
      <c r="Q1504" s="221"/>
      <c r="R1504" s="222" t="str">
        <f t="shared" si="202"/>
        <v>-</v>
      </c>
      <c r="S1504" s="223"/>
      <c r="T1504" s="224"/>
      <c r="U1504" s="225">
        <f t="shared" si="203"/>
        <v>0</v>
      </c>
      <c r="V1504" s="226">
        <v>0</v>
      </c>
      <c r="W1504" s="227"/>
      <c r="X1504" s="228">
        <f t="shared" si="204"/>
        <v>0</v>
      </c>
      <c r="Y1504" s="229"/>
      <c r="Z1504" s="229"/>
      <c r="AA1504" s="229"/>
      <c r="AB1504" s="222">
        <f t="shared" si="205"/>
        <v>0</v>
      </c>
      <c r="AC1504" s="230">
        <f t="shared" si="206"/>
        <v>0</v>
      </c>
      <c r="AD1504" s="222" t="str">
        <f t="shared" si="207"/>
        <v/>
      </c>
      <c r="AE1504" s="201"/>
      <c r="AF1504" s="231" t="str">
        <f>+IFERROR(VLOOKUP(L1504,Data!$F$4:$G$97,2,0),"")</f>
        <v/>
      </c>
    </row>
    <row r="1505" spans="9:32" ht="15" customHeight="1" x14ac:dyDescent="0.3">
      <c r="I1505" s="201" t="str">
        <f t="shared" si="200"/>
        <v/>
      </c>
      <c r="J1505" s="218">
        <f t="shared" si="201"/>
        <v>1502</v>
      </c>
      <c r="K1505" s="250"/>
      <c r="L1505" s="219"/>
      <c r="M1505" s="218"/>
      <c r="N1505" s="220" t="str">
        <f>IFERROR(VLOOKUP(M1505,Data!$C$4:$D$395,2,0),"")</f>
        <v/>
      </c>
      <c r="O1505" s="220"/>
      <c r="P1505" s="229"/>
      <c r="Q1505" s="221"/>
      <c r="R1505" s="222" t="str">
        <f t="shared" si="202"/>
        <v>-</v>
      </c>
      <c r="S1505" s="223"/>
      <c r="T1505" s="224"/>
      <c r="U1505" s="225">
        <f t="shared" si="203"/>
        <v>0</v>
      </c>
      <c r="V1505" s="226">
        <v>0</v>
      </c>
      <c r="W1505" s="227"/>
      <c r="X1505" s="228">
        <f t="shared" si="204"/>
        <v>0</v>
      </c>
      <c r="Y1505" s="229"/>
      <c r="Z1505" s="229"/>
      <c r="AA1505" s="229"/>
      <c r="AB1505" s="222">
        <f t="shared" si="205"/>
        <v>0</v>
      </c>
      <c r="AC1505" s="230">
        <f t="shared" si="206"/>
        <v>0</v>
      </c>
      <c r="AD1505" s="222" t="str">
        <f t="shared" si="207"/>
        <v/>
      </c>
      <c r="AE1505" s="201"/>
      <c r="AF1505" s="231" t="str">
        <f>+IFERROR(VLOOKUP(L1505,Data!$F$4:$G$97,2,0),"")</f>
        <v/>
      </c>
    </row>
    <row r="1506" spans="9:32" ht="15" customHeight="1" x14ac:dyDescent="0.3">
      <c r="I1506" s="201" t="str">
        <f t="shared" si="200"/>
        <v/>
      </c>
      <c r="J1506" s="218">
        <f t="shared" si="201"/>
        <v>1503</v>
      </c>
      <c r="K1506" s="250"/>
      <c r="L1506" s="219"/>
      <c r="M1506" s="218"/>
      <c r="N1506" s="220" t="str">
        <f>IFERROR(VLOOKUP(M1506,Data!$C$4:$D$395,2,0),"")</f>
        <v/>
      </c>
      <c r="O1506" s="220"/>
      <c r="P1506" s="229"/>
      <c r="Q1506" s="221"/>
      <c r="R1506" s="222" t="str">
        <f t="shared" si="202"/>
        <v>-</v>
      </c>
      <c r="S1506" s="223"/>
      <c r="T1506" s="224"/>
      <c r="U1506" s="225">
        <f t="shared" si="203"/>
        <v>0</v>
      </c>
      <c r="V1506" s="226">
        <v>0</v>
      </c>
      <c r="W1506" s="227"/>
      <c r="X1506" s="228">
        <f t="shared" si="204"/>
        <v>0</v>
      </c>
      <c r="Y1506" s="229"/>
      <c r="Z1506" s="229"/>
      <c r="AA1506" s="229"/>
      <c r="AB1506" s="222">
        <f t="shared" si="205"/>
        <v>0</v>
      </c>
      <c r="AC1506" s="230">
        <f t="shared" si="206"/>
        <v>0</v>
      </c>
      <c r="AD1506" s="222" t="str">
        <f t="shared" si="207"/>
        <v/>
      </c>
      <c r="AE1506" s="201"/>
      <c r="AF1506" s="231" t="str">
        <f>+IFERROR(VLOOKUP(L1506,Data!$F$4:$G$97,2,0),"")</f>
        <v/>
      </c>
    </row>
    <row r="1507" spans="9:32" ht="15" customHeight="1" x14ac:dyDescent="0.3">
      <c r="I1507" s="201" t="str">
        <f t="shared" si="200"/>
        <v/>
      </c>
      <c r="J1507" s="218">
        <f t="shared" si="201"/>
        <v>1504</v>
      </c>
      <c r="K1507" s="250"/>
      <c r="L1507" s="219"/>
      <c r="M1507" s="218"/>
      <c r="N1507" s="220" t="str">
        <f>IFERROR(VLOOKUP(M1507,Data!$C$4:$D$395,2,0),"")</f>
        <v/>
      </c>
      <c r="O1507" s="220"/>
      <c r="P1507" s="229"/>
      <c r="Q1507" s="221"/>
      <c r="R1507" s="222" t="str">
        <f t="shared" si="202"/>
        <v>-</v>
      </c>
      <c r="S1507" s="223"/>
      <c r="T1507" s="224"/>
      <c r="U1507" s="225">
        <f t="shared" si="203"/>
        <v>0</v>
      </c>
      <c r="V1507" s="226">
        <v>0</v>
      </c>
      <c r="W1507" s="227"/>
      <c r="X1507" s="228">
        <f t="shared" si="204"/>
        <v>0</v>
      </c>
      <c r="Y1507" s="229"/>
      <c r="Z1507" s="229"/>
      <c r="AA1507" s="229"/>
      <c r="AB1507" s="222">
        <f t="shared" si="205"/>
        <v>0</v>
      </c>
      <c r="AC1507" s="230">
        <f t="shared" si="206"/>
        <v>0</v>
      </c>
      <c r="AD1507" s="222" t="str">
        <f t="shared" si="207"/>
        <v/>
      </c>
      <c r="AE1507" s="201"/>
      <c r="AF1507" s="231" t="str">
        <f>+IFERROR(VLOOKUP(L1507,Data!$F$4:$G$97,2,0),"")</f>
        <v/>
      </c>
    </row>
    <row r="1508" spans="9:32" ht="15" customHeight="1" x14ac:dyDescent="0.3">
      <c r="I1508" s="201" t="str">
        <f t="shared" si="200"/>
        <v/>
      </c>
      <c r="J1508" s="218">
        <f t="shared" si="201"/>
        <v>1505</v>
      </c>
      <c r="K1508" s="250"/>
      <c r="L1508" s="219"/>
      <c r="M1508" s="218"/>
      <c r="N1508" s="220" t="str">
        <f>IFERROR(VLOOKUP(M1508,Data!$C$4:$D$395,2,0),"")</f>
        <v/>
      </c>
      <c r="O1508" s="220"/>
      <c r="P1508" s="229"/>
      <c r="Q1508" s="221"/>
      <c r="R1508" s="222" t="str">
        <f t="shared" si="202"/>
        <v>-</v>
      </c>
      <c r="S1508" s="223"/>
      <c r="T1508" s="224"/>
      <c r="U1508" s="225">
        <f t="shared" si="203"/>
        <v>0</v>
      </c>
      <c r="V1508" s="226">
        <v>0</v>
      </c>
      <c r="W1508" s="227"/>
      <c r="X1508" s="228">
        <f t="shared" si="204"/>
        <v>0</v>
      </c>
      <c r="Y1508" s="229"/>
      <c r="Z1508" s="229"/>
      <c r="AA1508" s="229"/>
      <c r="AB1508" s="222">
        <f t="shared" si="205"/>
        <v>0</v>
      </c>
      <c r="AC1508" s="230">
        <f t="shared" si="206"/>
        <v>0</v>
      </c>
      <c r="AD1508" s="222" t="str">
        <f t="shared" si="207"/>
        <v/>
      </c>
      <c r="AE1508" s="201"/>
      <c r="AF1508" s="231" t="str">
        <f>+IFERROR(VLOOKUP(L1508,Data!$F$4:$G$97,2,0),"")</f>
        <v/>
      </c>
    </row>
    <row r="1509" spans="9:32" ht="15" customHeight="1" x14ac:dyDescent="0.3">
      <c r="I1509" s="201" t="str">
        <f t="shared" si="200"/>
        <v/>
      </c>
      <c r="J1509" s="218">
        <f t="shared" si="201"/>
        <v>1506</v>
      </c>
      <c r="K1509" s="250"/>
      <c r="L1509" s="219"/>
      <c r="M1509" s="218"/>
      <c r="N1509" s="220" t="str">
        <f>IFERROR(VLOOKUP(M1509,Data!$C$4:$D$395,2,0),"")</f>
        <v/>
      </c>
      <c r="O1509" s="220"/>
      <c r="P1509" s="229"/>
      <c r="Q1509" s="221"/>
      <c r="R1509" s="222" t="str">
        <f t="shared" si="202"/>
        <v>-</v>
      </c>
      <c r="S1509" s="223"/>
      <c r="T1509" s="224"/>
      <c r="U1509" s="225">
        <f t="shared" si="203"/>
        <v>0</v>
      </c>
      <c r="V1509" s="226">
        <v>0</v>
      </c>
      <c r="W1509" s="227"/>
      <c r="X1509" s="228">
        <f t="shared" si="204"/>
        <v>0</v>
      </c>
      <c r="Y1509" s="229"/>
      <c r="Z1509" s="229"/>
      <c r="AA1509" s="229"/>
      <c r="AB1509" s="222">
        <f t="shared" si="205"/>
        <v>0</v>
      </c>
      <c r="AC1509" s="230">
        <f t="shared" si="206"/>
        <v>0</v>
      </c>
      <c r="AD1509" s="222" t="str">
        <f t="shared" si="207"/>
        <v/>
      </c>
      <c r="AE1509" s="201"/>
      <c r="AF1509" s="231" t="str">
        <f>+IFERROR(VLOOKUP(L1509,Data!$F$4:$G$97,2,0),"")</f>
        <v/>
      </c>
    </row>
    <row r="1510" spans="9:32" ht="15" customHeight="1" x14ac:dyDescent="0.3">
      <c r="I1510" s="201" t="str">
        <f t="shared" si="200"/>
        <v/>
      </c>
      <c r="J1510" s="218">
        <f t="shared" si="201"/>
        <v>1507</v>
      </c>
      <c r="K1510" s="250"/>
      <c r="L1510" s="219"/>
      <c r="M1510" s="218"/>
      <c r="N1510" s="220" t="str">
        <f>IFERROR(VLOOKUP(M1510,Data!$C$4:$D$395,2,0),"")</f>
        <v/>
      </c>
      <c r="O1510" s="220"/>
      <c r="P1510" s="229"/>
      <c r="Q1510" s="221"/>
      <c r="R1510" s="222" t="str">
        <f t="shared" si="202"/>
        <v>-</v>
      </c>
      <c r="S1510" s="223"/>
      <c r="T1510" s="224"/>
      <c r="U1510" s="225">
        <f t="shared" si="203"/>
        <v>0</v>
      </c>
      <c r="V1510" s="226">
        <v>0</v>
      </c>
      <c r="W1510" s="227"/>
      <c r="X1510" s="228">
        <f t="shared" si="204"/>
        <v>0</v>
      </c>
      <c r="Y1510" s="229"/>
      <c r="Z1510" s="229"/>
      <c r="AA1510" s="229"/>
      <c r="AB1510" s="222">
        <f t="shared" si="205"/>
        <v>0</v>
      </c>
      <c r="AC1510" s="230">
        <f t="shared" si="206"/>
        <v>0</v>
      </c>
      <c r="AD1510" s="222" t="str">
        <f t="shared" si="207"/>
        <v/>
      </c>
      <c r="AE1510" s="201"/>
      <c r="AF1510" s="231" t="str">
        <f>+IFERROR(VLOOKUP(L1510,Data!$F$4:$G$97,2,0),"")</f>
        <v/>
      </c>
    </row>
    <row r="1511" spans="9:32" ht="15" customHeight="1" x14ac:dyDescent="0.3">
      <c r="I1511" s="201" t="str">
        <f t="shared" si="200"/>
        <v/>
      </c>
      <c r="J1511" s="218">
        <f t="shared" si="201"/>
        <v>1508</v>
      </c>
      <c r="K1511" s="250"/>
      <c r="L1511" s="219"/>
      <c r="M1511" s="218"/>
      <c r="N1511" s="220" t="str">
        <f>IFERROR(VLOOKUP(M1511,Data!$C$4:$D$395,2,0),"")</f>
        <v/>
      </c>
      <c r="O1511" s="220"/>
      <c r="P1511" s="229"/>
      <c r="Q1511" s="221"/>
      <c r="R1511" s="222" t="str">
        <f t="shared" si="202"/>
        <v>-</v>
      </c>
      <c r="S1511" s="223"/>
      <c r="T1511" s="224"/>
      <c r="U1511" s="225">
        <f t="shared" si="203"/>
        <v>0</v>
      </c>
      <c r="V1511" s="226">
        <v>0</v>
      </c>
      <c r="W1511" s="227"/>
      <c r="X1511" s="228">
        <f t="shared" si="204"/>
        <v>0</v>
      </c>
      <c r="Y1511" s="229"/>
      <c r="Z1511" s="229"/>
      <c r="AA1511" s="229"/>
      <c r="AB1511" s="222">
        <f t="shared" si="205"/>
        <v>0</v>
      </c>
      <c r="AC1511" s="230">
        <f t="shared" si="206"/>
        <v>0</v>
      </c>
      <c r="AD1511" s="222" t="str">
        <f t="shared" si="207"/>
        <v/>
      </c>
      <c r="AE1511" s="201"/>
      <c r="AF1511" s="231" t="str">
        <f>+IFERROR(VLOOKUP(L1511,Data!$F$4:$G$97,2,0),"")</f>
        <v/>
      </c>
    </row>
    <row r="1512" spans="9:32" ht="15" customHeight="1" x14ac:dyDescent="0.3">
      <c r="I1512" s="201" t="str">
        <f t="shared" si="200"/>
        <v/>
      </c>
      <c r="J1512" s="218">
        <f t="shared" si="201"/>
        <v>1509</v>
      </c>
      <c r="K1512" s="250"/>
      <c r="L1512" s="219"/>
      <c r="M1512" s="218"/>
      <c r="N1512" s="220" t="str">
        <f>IFERROR(VLOOKUP(M1512,Data!$C$4:$D$395,2,0),"")</f>
        <v/>
      </c>
      <c r="O1512" s="220"/>
      <c r="P1512" s="229"/>
      <c r="Q1512" s="221"/>
      <c r="R1512" s="222" t="str">
        <f t="shared" si="202"/>
        <v>-</v>
      </c>
      <c r="S1512" s="223"/>
      <c r="T1512" s="224"/>
      <c r="U1512" s="225">
        <f t="shared" si="203"/>
        <v>0</v>
      </c>
      <c r="V1512" s="226">
        <v>0</v>
      </c>
      <c r="W1512" s="227"/>
      <c r="X1512" s="228">
        <f t="shared" si="204"/>
        <v>0</v>
      </c>
      <c r="Y1512" s="229"/>
      <c r="Z1512" s="229"/>
      <c r="AA1512" s="229"/>
      <c r="AB1512" s="222">
        <f t="shared" si="205"/>
        <v>0</v>
      </c>
      <c r="AC1512" s="230">
        <f t="shared" si="206"/>
        <v>0</v>
      </c>
      <c r="AD1512" s="222" t="str">
        <f t="shared" si="207"/>
        <v/>
      </c>
      <c r="AE1512" s="201"/>
      <c r="AF1512" s="231" t="str">
        <f>+IFERROR(VLOOKUP(L1512,Data!$F$4:$G$97,2,0),"")</f>
        <v/>
      </c>
    </row>
    <row r="1513" spans="9:32" ht="15" customHeight="1" x14ac:dyDescent="0.3">
      <c r="I1513" s="201" t="str">
        <f t="shared" si="200"/>
        <v/>
      </c>
      <c r="J1513" s="218">
        <f t="shared" si="201"/>
        <v>1510</v>
      </c>
      <c r="K1513" s="250"/>
      <c r="L1513" s="219"/>
      <c r="M1513" s="218"/>
      <c r="N1513" s="220" t="str">
        <f>IFERROR(VLOOKUP(M1513,Data!$C$4:$D$395,2,0),"")</f>
        <v/>
      </c>
      <c r="O1513" s="220"/>
      <c r="P1513" s="229"/>
      <c r="Q1513" s="221"/>
      <c r="R1513" s="222" t="str">
        <f t="shared" si="202"/>
        <v>-</v>
      </c>
      <c r="S1513" s="223"/>
      <c r="T1513" s="224"/>
      <c r="U1513" s="225">
        <f t="shared" si="203"/>
        <v>0</v>
      </c>
      <c r="V1513" s="226">
        <v>0</v>
      </c>
      <c r="W1513" s="227"/>
      <c r="X1513" s="228">
        <f t="shared" si="204"/>
        <v>0</v>
      </c>
      <c r="Y1513" s="229"/>
      <c r="Z1513" s="229"/>
      <c r="AA1513" s="229"/>
      <c r="AB1513" s="222">
        <f t="shared" si="205"/>
        <v>0</v>
      </c>
      <c r="AC1513" s="230">
        <f t="shared" si="206"/>
        <v>0</v>
      </c>
      <c r="AD1513" s="222" t="str">
        <f t="shared" si="207"/>
        <v/>
      </c>
      <c r="AE1513" s="201"/>
      <c r="AF1513" s="231" t="str">
        <f>+IFERROR(VLOOKUP(L1513,Data!$F$4:$G$97,2,0),"")</f>
        <v/>
      </c>
    </row>
    <row r="1514" spans="9:32" ht="15" customHeight="1" x14ac:dyDescent="0.3">
      <c r="I1514" s="201" t="str">
        <f t="shared" si="200"/>
        <v/>
      </c>
      <c r="J1514" s="218">
        <f t="shared" si="201"/>
        <v>1511</v>
      </c>
      <c r="K1514" s="250"/>
      <c r="L1514" s="219"/>
      <c r="M1514" s="218"/>
      <c r="N1514" s="220" t="str">
        <f>IFERROR(VLOOKUP(M1514,Data!$C$4:$D$395,2,0),"")</f>
        <v/>
      </c>
      <c r="O1514" s="220"/>
      <c r="P1514" s="229"/>
      <c r="Q1514" s="221"/>
      <c r="R1514" s="222" t="str">
        <f t="shared" si="202"/>
        <v>-</v>
      </c>
      <c r="S1514" s="223"/>
      <c r="T1514" s="224"/>
      <c r="U1514" s="225">
        <f t="shared" si="203"/>
        <v>0</v>
      </c>
      <c r="V1514" s="226">
        <v>0</v>
      </c>
      <c r="W1514" s="227"/>
      <c r="X1514" s="228">
        <f t="shared" si="204"/>
        <v>0</v>
      </c>
      <c r="Y1514" s="229"/>
      <c r="Z1514" s="229"/>
      <c r="AA1514" s="229"/>
      <c r="AB1514" s="222">
        <f t="shared" si="205"/>
        <v>0</v>
      </c>
      <c r="AC1514" s="230">
        <f t="shared" si="206"/>
        <v>0</v>
      </c>
      <c r="AD1514" s="222" t="str">
        <f t="shared" si="207"/>
        <v/>
      </c>
      <c r="AE1514" s="201"/>
      <c r="AF1514" s="231" t="str">
        <f>+IFERROR(VLOOKUP(L1514,Data!$F$4:$G$97,2,0),"")</f>
        <v/>
      </c>
    </row>
    <row r="1515" spans="9:32" ht="15" customHeight="1" x14ac:dyDescent="0.3">
      <c r="I1515" s="201" t="str">
        <f t="shared" si="200"/>
        <v/>
      </c>
      <c r="J1515" s="218">
        <f t="shared" si="201"/>
        <v>1512</v>
      </c>
      <c r="K1515" s="250"/>
      <c r="L1515" s="219"/>
      <c r="M1515" s="218"/>
      <c r="N1515" s="220" t="str">
        <f>IFERROR(VLOOKUP(M1515,Data!$C$4:$D$395,2,0),"")</f>
        <v/>
      </c>
      <c r="O1515" s="220"/>
      <c r="P1515" s="229"/>
      <c r="Q1515" s="221"/>
      <c r="R1515" s="222" t="str">
        <f t="shared" si="202"/>
        <v>-</v>
      </c>
      <c r="S1515" s="223"/>
      <c r="T1515" s="224"/>
      <c r="U1515" s="225">
        <f t="shared" si="203"/>
        <v>0</v>
      </c>
      <c r="V1515" s="226">
        <v>0</v>
      </c>
      <c r="W1515" s="227"/>
      <c r="X1515" s="228">
        <f t="shared" si="204"/>
        <v>0</v>
      </c>
      <c r="Y1515" s="229"/>
      <c r="Z1515" s="229"/>
      <c r="AA1515" s="229"/>
      <c r="AB1515" s="222">
        <f t="shared" si="205"/>
        <v>0</v>
      </c>
      <c r="AC1515" s="230">
        <f t="shared" si="206"/>
        <v>0</v>
      </c>
      <c r="AD1515" s="222" t="str">
        <f t="shared" si="207"/>
        <v/>
      </c>
      <c r="AE1515" s="201"/>
      <c r="AF1515" s="231" t="str">
        <f>+IFERROR(VLOOKUP(L1515,Data!$F$4:$G$97,2,0),"")</f>
        <v/>
      </c>
    </row>
    <row r="1516" spans="9:32" ht="15" customHeight="1" x14ac:dyDescent="0.3">
      <c r="I1516" s="201" t="str">
        <f t="shared" si="200"/>
        <v/>
      </c>
      <c r="J1516" s="218">
        <f t="shared" si="201"/>
        <v>1513</v>
      </c>
      <c r="K1516" s="250"/>
      <c r="L1516" s="219"/>
      <c r="M1516" s="218"/>
      <c r="N1516" s="220" t="str">
        <f>IFERROR(VLOOKUP(M1516,Data!$C$4:$D$395,2,0),"")</f>
        <v/>
      </c>
      <c r="O1516" s="220"/>
      <c r="P1516" s="229"/>
      <c r="Q1516" s="221"/>
      <c r="R1516" s="222" t="str">
        <f t="shared" si="202"/>
        <v>-</v>
      </c>
      <c r="S1516" s="223"/>
      <c r="T1516" s="224"/>
      <c r="U1516" s="225">
        <f t="shared" si="203"/>
        <v>0</v>
      </c>
      <c r="V1516" s="226">
        <v>0</v>
      </c>
      <c r="W1516" s="227"/>
      <c r="X1516" s="228">
        <f t="shared" si="204"/>
        <v>0</v>
      </c>
      <c r="Y1516" s="229"/>
      <c r="Z1516" s="229"/>
      <c r="AA1516" s="229"/>
      <c r="AB1516" s="222">
        <f t="shared" si="205"/>
        <v>0</v>
      </c>
      <c r="AC1516" s="230">
        <f t="shared" si="206"/>
        <v>0</v>
      </c>
      <c r="AD1516" s="222" t="str">
        <f t="shared" si="207"/>
        <v/>
      </c>
      <c r="AE1516" s="201"/>
      <c r="AF1516" s="231" t="str">
        <f>+IFERROR(VLOOKUP(L1516,Data!$F$4:$G$97,2,0),"")</f>
        <v/>
      </c>
    </row>
    <row r="1517" spans="9:32" ht="15" customHeight="1" x14ac:dyDescent="0.3">
      <c r="I1517" s="201" t="str">
        <f t="shared" si="200"/>
        <v/>
      </c>
      <c r="J1517" s="218">
        <f t="shared" si="201"/>
        <v>1514</v>
      </c>
      <c r="K1517" s="250"/>
      <c r="L1517" s="219"/>
      <c r="M1517" s="218"/>
      <c r="N1517" s="220" t="str">
        <f>IFERROR(VLOOKUP(M1517,Data!$C$4:$D$395,2,0),"")</f>
        <v/>
      </c>
      <c r="O1517" s="220"/>
      <c r="P1517" s="229"/>
      <c r="Q1517" s="221"/>
      <c r="R1517" s="222" t="str">
        <f t="shared" si="202"/>
        <v>-</v>
      </c>
      <c r="S1517" s="223"/>
      <c r="T1517" s="224"/>
      <c r="U1517" s="225">
        <f t="shared" si="203"/>
        <v>0</v>
      </c>
      <c r="V1517" s="226">
        <v>0</v>
      </c>
      <c r="W1517" s="227"/>
      <c r="X1517" s="228">
        <f t="shared" si="204"/>
        <v>0</v>
      </c>
      <c r="Y1517" s="229"/>
      <c r="Z1517" s="229"/>
      <c r="AA1517" s="229"/>
      <c r="AB1517" s="222">
        <f t="shared" si="205"/>
        <v>0</v>
      </c>
      <c r="AC1517" s="230">
        <f t="shared" si="206"/>
        <v>0</v>
      </c>
      <c r="AD1517" s="222" t="str">
        <f t="shared" si="207"/>
        <v/>
      </c>
      <c r="AE1517" s="201"/>
      <c r="AF1517" s="231" t="str">
        <f>+IFERROR(VLOOKUP(L1517,Data!$F$4:$G$97,2,0),"")</f>
        <v/>
      </c>
    </row>
    <row r="1518" spans="9:32" ht="15" customHeight="1" x14ac:dyDescent="0.3">
      <c r="I1518" s="201" t="str">
        <f t="shared" si="200"/>
        <v/>
      </c>
      <c r="J1518" s="218">
        <f t="shared" si="201"/>
        <v>1515</v>
      </c>
      <c r="K1518" s="250"/>
      <c r="L1518" s="219"/>
      <c r="M1518" s="218"/>
      <c r="N1518" s="220" t="str">
        <f>IFERROR(VLOOKUP(M1518,Data!$C$4:$D$395,2,0),"")</f>
        <v/>
      </c>
      <c r="O1518" s="220"/>
      <c r="P1518" s="229"/>
      <c r="Q1518" s="221"/>
      <c r="R1518" s="222" t="str">
        <f t="shared" si="202"/>
        <v>-</v>
      </c>
      <c r="S1518" s="223"/>
      <c r="T1518" s="224"/>
      <c r="U1518" s="225">
        <f t="shared" si="203"/>
        <v>0</v>
      </c>
      <c r="V1518" s="226">
        <v>0</v>
      </c>
      <c r="W1518" s="227"/>
      <c r="X1518" s="228">
        <f t="shared" si="204"/>
        <v>0</v>
      </c>
      <c r="Y1518" s="229"/>
      <c r="Z1518" s="229"/>
      <c r="AA1518" s="229"/>
      <c r="AB1518" s="222">
        <f t="shared" si="205"/>
        <v>0</v>
      </c>
      <c r="AC1518" s="230">
        <f t="shared" si="206"/>
        <v>0</v>
      </c>
      <c r="AD1518" s="222" t="str">
        <f t="shared" si="207"/>
        <v/>
      </c>
      <c r="AE1518" s="201"/>
      <c r="AF1518" s="231" t="str">
        <f>+IFERROR(VLOOKUP(L1518,Data!$F$4:$G$97,2,0),"")</f>
        <v/>
      </c>
    </row>
    <row r="1519" spans="9:32" ht="15" customHeight="1" x14ac:dyDescent="0.3">
      <c r="I1519" s="201" t="str">
        <f t="shared" si="200"/>
        <v/>
      </c>
      <c r="J1519" s="218">
        <f t="shared" si="201"/>
        <v>1516</v>
      </c>
      <c r="K1519" s="250"/>
      <c r="L1519" s="219"/>
      <c r="M1519" s="218"/>
      <c r="N1519" s="220" t="str">
        <f>IFERROR(VLOOKUP(M1519,Data!$C$4:$D$395,2,0),"")</f>
        <v/>
      </c>
      <c r="O1519" s="220"/>
      <c r="P1519" s="229"/>
      <c r="Q1519" s="221"/>
      <c r="R1519" s="222" t="str">
        <f t="shared" si="202"/>
        <v>-</v>
      </c>
      <c r="S1519" s="223"/>
      <c r="T1519" s="224"/>
      <c r="U1519" s="225">
        <f t="shared" si="203"/>
        <v>0</v>
      </c>
      <c r="V1519" s="226">
        <v>0</v>
      </c>
      <c r="W1519" s="227"/>
      <c r="X1519" s="228">
        <f t="shared" si="204"/>
        <v>0</v>
      </c>
      <c r="Y1519" s="229"/>
      <c r="Z1519" s="229"/>
      <c r="AA1519" s="229"/>
      <c r="AB1519" s="222">
        <f t="shared" si="205"/>
        <v>0</v>
      </c>
      <c r="AC1519" s="230">
        <f t="shared" si="206"/>
        <v>0</v>
      </c>
      <c r="AD1519" s="222" t="str">
        <f t="shared" si="207"/>
        <v/>
      </c>
      <c r="AE1519" s="201"/>
      <c r="AF1519" s="231" t="str">
        <f>+IFERROR(VLOOKUP(L1519,Data!$F$4:$G$97,2,0),"")</f>
        <v/>
      </c>
    </row>
    <row r="1520" spans="9:32" ht="15" customHeight="1" x14ac:dyDescent="0.3">
      <c r="I1520" s="201" t="str">
        <f t="shared" si="200"/>
        <v/>
      </c>
      <c r="J1520" s="218">
        <f t="shared" si="201"/>
        <v>1517</v>
      </c>
      <c r="K1520" s="250"/>
      <c r="L1520" s="219"/>
      <c r="M1520" s="218"/>
      <c r="N1520" s="220" t="str">
        <f>IFERROR(VLOOKUP(M1520,Data!$C$4:$D$395,2,0),"")</f>
        <v/>
      </c>
      <c r="O1520" s="220"/>
      <c r="P1520" s="229"/>
      <c r="Q1520" s="221"/>
      <c r="R1520" s="222" t="str">
        <f t="shared" si="202"/>
        <v>-</v>
      </c>
      <c r="S1520" s="223"/>
      <c r="T1520" s="224"/>
      <c r="U1520" s="225">
        <f t="shared" si="203"/>
        <v>0</v>
      </c>
      <c r="V1520" s="226">
        <v>0</v>
      </c>
      <c r="W1520" s="227"/>
      <c r="X1520" s="228">
        <f t="shared" si="204"/>
        <v>0</v>
      </c>
      <c r="Y1520" s="229"/>
      <c r="Z1520" s="229"/>
      <c r="AA1520" s="229"/>
      <c r="AB1520" s="222">
        <f t="shared" si="205"/>
        <v>0</v>
      </c>
      <c r="AC1520" s="230">
        <f t="shared" si="206"/>
        <v>0</v>
      </c>
      <c r="AD1520" s="222" t="str">
        <f t="shared" si="207"/>
        <v/>
      </c>
      <c r="AE1520" s="201"/>
      <c r="AF1520" s="231" t="str">
        <f>+IFERROR(VLOOKUP(L1520,Data!$F$4:$G$97,2,0),"")</f>
        <v/>
      </c>
    </row>
    <row r="1521" spans="9:32" ht="15" customHeight="1" x14ac:dyDescent="0.3">
      <c r="I1521" s="201" t="str">
        <f t="shared" si="200"/>
        <v/>
      </c>
      <c r="J1521" s="218">
        <f t="shared" si="201"/>
        <v>1518</v>
      </c>
      <c r="K1521" s="250"/>
      <c r="L1521" s="219"/>
      <c r="M1521" s="218"/>
      <c r="N1521" s="220" t="str">
        <f>IFERROR(VLOOKUP(M1521,Data!$C$4:$D$395,2,0),"")</f>
        <v/>
      </c>
      <c r="O1521" s="220"/>
      <c r="P1521" s="229"/>
      <c r="Q1521" s="221"/>
      <c r="R1521" s="222" t="str">
        <f t="shared" si="202"/>
        <v>-</v>
      </c>
      <c r="S1521" s="223"/>
      <c r="T1521" s="224"/>
      <c r="U1521" s="225">
        <f t="shared" si="203"/>
        <v>0</v>
      </c>
      <c r="V1521" s="226">
        <v>0</v>
      </c>
      <c r="W1521" s="227"/>
      <c r="X1521" s="228">
        <f t="shared" si="204"/>
        <v>0</v>
      </c>
      <c r="Y1521" s="229"/>
      <c r="Z1521" s="229"/>
      <c r="AA1521" s="229"/>
      <c r="AB1521" s="222">
        <f t="shared" si="205"/>
        <v>0</v>
      </c>
      <c r="AC1521" s="230">
        <f t="shared" si="206"/>
        <v>0</v>
      </c>
      <c r="AD1521" s="222" t="str">
        <f t="shared" si="207"/>
        <v/>
      </c>
      <c r="AE1521" s="201"/>
      <c r="AF1521" s="231" t="str">
        <f>+IFERROR(VLOOKUP(L1521,Data!$F$4:$G$97,2,0),"")</f>
        <v/>
      </c>
    </row>
    <row r="1522" spans="9:32" ht="15" customHeight="1" x14ac:dyDescent="0.3">
      <c r="I1522" s="201" t="str">
        <f t="shared" si="200"/>
        <v/>
      </c>
      <c r="J1522" s="218">
        <f t="shared" si="201"/>
        <v>1519</v>
      </c>
      <c r="K1522" s="250"/>
      <c r="L1522" s="219"/>
      <c r="M1522" s="218"/>
      <c r="N1522" s="220" t="str">
        <f>IFERROR(VLOOKUP(M1522,Data!$C$4:$D$395,2,0),"")</f>
        <v/>
      </c>
      <c r="O1522" s="220"/>
      <c r="P1522" s="229"/>
      <c r="Q1522" s="221"/>
      <c r="R1522" s="222" t="str">
        <f t="shared" si="202"/>
        <v>-</v>
      </c>
      <c r="S1522" s="223"/>
      <c r="T1522" s="224"/>
      <c r="U1522" s="225">
        <f t="shared" si="203"/>
        <v>0</v>
      </c>
      <c r="V1522" s="226">
        <v>0</v>
      </c>
      <c r="W1522" s="227"/>
      <c r="X1522" s="228">
        <f t="shared" si="204"/>
        <v>0</v>
      </c>
      <c r="Y1522" s="229"/>
      <c r="Z1522" s="229"/>
      <c r="AA1522" s="229"/>
      <c r="AB1522" s="222">
        <f t="shared" si="205"/>
        <v>0</v>
      </c>
      <c r="AC1522" s="230">
        <f t="shared" si="206"/>
        <v>0</v>
      </c>
      <c r="AD1522" s="222" t="str">
        <f t="shared" si="207"/>
        <v/>
      </c>
      <c r="AE1522" s="201"/>
      <c r="AF1522" s="231" t="str">
        <f>+IFERROR(VLOOKUP(L1522,Data!$F$4:$G$97,2,0),"")</f>
        <v/>
      </c>
    </row>
    <row r="1523" spans="9:32" ht="15" customHeight="1" x14ac:dyDescent="0.3">
      <c r="I1523" s="201" t="str">
        <f t="shared" si="200"/>
        <v/>
      </c>
      <c r="J1523" s="218">
        <f t="shared" si="201"/>
        <v>1520</v>
      </c>
      <c r="K1523" s="250"/>
      <c r="L1523" s="219"/>
      <c r="M1523" s="218"/>
      <c r="N1523" s="220" t="str">
        <f>IFERROR(VLOOKUP(M1523,Data!$C$4:$D$395,2,0),"")</f>
        <v/>
      </c>
      <c r="O1523" s="220"/>
      <c r="P1523" s="229"/>
      <c r="Q1523" s="221"/>
      <c r="R1523" s="222" t="str">
        <f t="shared" si="202"/>
        <v>-</v>
      </c>
      <c r="S1523" s="223"/>
      <c r="T1523" s="224"/>
      <c r="U1523" s="225">
        <f t="shared" si="203"/>
        <v>0</v>
      </c>
      <c r="V1523" s="226">
        <v>0</v>
      </c>
      <c r="W1523" s="227"/>
      <c r="X1523" s="228">
        <f t="shared" si="204"/>
        <v>0</v>
      </c>
      <c r="Y1523" s="229"/>
      <c r="Z1523" s="229"/>
      <c r="AA1523" s="229"/>
      <c r="AB1523" s="222">
        <f t="shared" si="205"/>
        <v>0</v>
      </c>
      <c r="AC1523" s="230">
        <f t="shared" si="206"/>
        <v>0</v>
      </c>
      <c r="AD1523" s="222" t="str">
        <f t="shared" si="207"/>
        <v/>
      </c>
      <c r="AE1523" s="201"/>
      <c r="AF1523" s="231" t="str">
        <f>+IFERROR(VLOOKUP(L1523,Data!$F$4:$G$97,2,0),"")</f>
        <v/>
      </c>
    </row>
    <row r="1524" spans="9:32" ht="15" customHeight="1" x14ac:dyDescent="0.3">
      <c r="I1524" s="201" t="str">
        <f t="shared" si="200"/>
        <v/>
      </c>
      <c r="J1524" s="218">
        <f t="shared" si="201"/>
        <v>1521</v>
      </c>
      <c r="K1524" s="250"/>
      <c r="L1524" s="219"/>
      <c r="M1524" s="218"/>
      <c r="N1524" s="220" t="str">
        <f>IFERROR(VLOOKUP(M1524,Data!$C$4:$D$395,2,0),"")</f>
        <v/>
      </c>
      <c r="O1524" s="220"/>
      <c r="P1524" s="229"/>
      <c r="Q1524" s="221"/>
      <c r="R1524" s="222" t="str">
        <f t="shared" si="202"/>
        <v>-</v>
      </c>
      <c r="S1524" s="223"/>
      <c r="T1524" s="224"/>
      <c r="U1524" s="225">
        <f t="shared" si="203"/>
        <v>0</v>
      </c>
      <c r="V1524" s="226">
        <v>0</v>
      </c>
      <c r="W1524" s="227"/>
      <c r="X1524" s="228">
        <f t="shared" si="204"/>
        <v>0</v>
      </c>
      <c r="Y1524" s="229"/>
      <c r="Z1524" s="229"/>
      <c r="AA1524" s="229"/>
      <c r="AB1524" s="222">
        <f t="shared" si="205"/>
        <v>0</v>
      </c>
      <c r="AC1524" s="230">
        <f t="shared" si="206"/>
        <v>0</v>
      </c>
      <c r="AD1524" s="222" t="str">
        <f t="shared" si="207"/>
        <v/>
      </c>
      <c r="AE1524" s="201"/>
      <c r="AF1524" s="231" t="str">
        <f>+IFERROR(VLOOKUP(L1524,Data!$F$4:$G$97,2,0),"")</f>
        <v/>
      </c>
    </row>
    <row r="1525" spans="9:32" ht="15" customHeight="1" x14ac:dyDescent="0.3">
      <c r="I1525" s="201" t="str">
        <f t="shared" si="200"/>
        <v/>
      </c>
      <c r="J1525" s="218">
        <f t="shared" si="201"/>
        <v>1522</v>
      </c>
      <c r="K1525" s="250"/>
      <c r="L1525" s="219"/>
      <c r="M1525" s="218"/>
      <c r="N1525" s="220" t="str">
        <f>IFERROR(VLOOKUP(M1525,Data!$C$4:$D$395,2,0),"")</f>
        <v/>
      </c>
      <c r="O1525" s="220"/>
      <c r="P1525" s="229"/>
      <c r="Q1525" s="221"/>
      <c r="R1525" s="222" t="str">
        <f t="shared" si="202"/>
        <v>-</v>
      </c>
      <c r="S1525" s="223"/>
      <c r="T1525" s="224"/>
      <c r="U1525" s="225">
        <f t="shared" si="203"/>
        <v>0</v>
      </c>
      <c r="V1525" s="226">
        <v>0</v>
      </c>
      <c r="W1525" s="227"/>
      <c r="X1525" s="228">
        <f t="shared" si="204"/>
        <v>0</v>
      </c>
      <c r="Y1525" s="229"/>
      <c r="Z1525" s="229"/>
      <c r="AA1525" s="229"/>
      <c r="AB1525" s="222">
        <f t="shared" si="205"/>
        <v>0</v>
      </c>
      <c r="AC1525" s="230">
        <f t="shared" si="206"/>
        <v>0</v>
      </c>
      <c r="AD1525" s="222" t="str">
        <f t="shared" si="207"/>
        <v/>
      </c>
      <c r="AE1525" s="201"/>
      <c r="AF1525" s="231" t="str">
        <f>+IFERROR(VLOOKUP(L1525,Data!$F$4:$G$97,2,0),"")</f>
        <v/>
      </c>
    </row>
    <row r="1526" spans="9:32" ht="15" customHeight="1" x14ac:dyDescent="0.3">
      <c r="I1526" s="201" t="str">
        <f t="shared" si="200"/>
        <v/>
      </c>
      <c r="J1526" s="218">
        <f t="shared" si="201"/>
        <v>1523</v>
      </c>
      <c r="K1526" s="250"/>
      <c r="L1526" s="219"/>
      <c r="M1526" s="218"/>
      <c r="N1526" s="220" t="str">
        <f>IFERROR(VLOOKUP(M1526,Data!$C$4:$D$395,2,0),"")</f>
        <v/>
      </c>
      <c r="O1526" s="220"/>
      <c r="P1526" s="229"/>
      <c r="Q1526" s="221"/>
      <c r="R1526" s="222" t="str">
        <f t="shared" si="202"/>
        <v>-</v>
      </c>
      <c r="S1526" s="223"/>
      <c r="T1526" s="224"/>
      <c r="U1526" s="225">
        <f t="shared" si="203"/>
        <v>0</v>
      </c>
      <c r="V1526" s="226">
        <v>0</v>
      </c>
      <c r="W1526" s="227"/>
      <c r="X1526" s="228">
        <f t="shared" si="204"/>
        <v>0</v>
      </c>
      <c r="Y1526" s="229"/>
      <c r="Z1526" s="229"/>
      <c r="AA1526" s="229"/>
      <c r="AB1526" s="222">
        <f t="shared" si="205"/>
        <v>0</v>
      </c>
      <c r="AC1526" s="230">
        <f t="shared" si="206"/>
        <v>0</v>
      </c>
      <c r="AD1526" s="222" t="str">
        <f t="shared" si="207"/>
        <v/>
      </c>
      <c r="AE1526" s="201"/>
      <c r="AF1526" s="231" t="str">
        <f>+IFERROR(VLOOKUP(L1526,Data!$F$4:$G$97,2,0),"")</f>
        <v/>
      </c>
    </row>
    <row r="1527" spans="9:32" ht="15" customHeight="1" x14ac:dyDescent="0.3">
      <c r="I1527" s="201" t="str">
        <f t="shared" si="200"/>
        <v/>
      </c>
      <c r="J1527" s="218">
        <f t="shared" si="201"/>
        <v>1524</v>
      </c>
      <c r="K1527" s="250"/>
      <c r="L1527" s="219"/>
      <c r="M1527" s="218"/>
      <c r="N1527" s="220" t="str">
        <f>IFERROR(VLOOKUP(M1527,Data!$C$4:$D$395,2,0),"")</f>
        <v/>
      </c>
      <c r="O1527" s="220"/>
      <c r="P1527" s="229"/>
      <c r="Q1527" s="221"/>
      <c r="R1527" s="222" t="str">
        <f t="shared" si="202"/>
        <v>-</v>
      </c>
      <c r="S1527" s="223"/>
      <c r="T1527" s="224"/>
      <c r="U1527" s="225">
        <f t="shared" si="203"/>
        <v>0</v>
      </c>
      <c r="V1527" s="226">
        <v>0</v>
      </c>
      <c r="W1527" s="227"/>
      <c r="X1527" s="228">
        <f t="shared" si="204"/>
        <v>0</v>
      </c>
      <c r="Y1527" s="229"/>
      <c r="Z1527" s="229"/>
      <c r="AA1527" s="229"/>
      <c r="AB1527" s="222">
        <f t="shared" si="205"/>
        <v>0</v>
      </c>
      <c r="AC1527" s="230">
        <f t="shared" si="206"/>
        <v>0</v>
      </c>
      <c r="AD1527" s="222" t="str">
        <f t="shared" si="207"/>
        <v/>
      </c>
      <c r="AE1527" s="201"/>
      <c r="AF1527" s="231" t="str">
        <f>+IFERROR(VLOOKUP(L1527,Data!$F$4:$G$97,2,0),"")</f>
        <v/>
      </c>
    </row>
    <row r="1528" spans="9:32" ht="15" customHeight="1" x14ac:dyDescent="0.3">
      <c r="I1528" s="201" t="str">
        <f t="shared" si="200"/>
        <v/>
      </c>
      <c r="J1528" s="218">
        <f t="shared" si="201"/>
        <v>1525</v>
      </c>
      <c r="K1528" s="250"/>
      <c r="L1528" s="219"/>
      <c r="M1528" s="218"/>
      <c r="N1528" s="220" t="str">
        <f>IFERROR(VLOOKUP(M1528,Data!$C$4:$D$395,2,0),"")</f>
        <v/>
      </c>
      <c r="O1528" s="220"/>
      <c r="P1528" s="229"/>
      <c r="Q1528" s="221"/>
      <c r="R1528" s="222" t="str">
        <f t="shared" si="202"/>
        <v>-</v>
      </c>
      <c r="S1528" s="223"/>
      <c r="T1528" s="224"/>
      <c r="U1528" s="225">
        <f t="shared" si="203"/>
        <v>0</v>
      </c>
      <c r="V1528" s="226">
        <v>0</v>
      </c>
      <c r="W1528" s="227"/>
      <c r="X1528" s="228">
        <f t="shared" si="204"/>
        <v>0</v>
      </c>
      <c r="Y1528" s="229"/>
      <c r="Z1528" s="229"/>
      <c r="AA1528" s="229"/>
      <c r="AB1528" s="222">
        <f t="shared" si="205"/>
        <v>0</v>
      </c>
      <c r="AC1528" s="230">
        <f t="shared" si="206"/>
        <v>0</v>
      </c>
      <c r="AD1528" s="222" t="str">
        <f t="shared" si="207"/>
        <v/>
      </c>
      <c r="AE1528" s="201"/>
      <c r="AF1528" s="231" t="str">
        <f>+IFERROR(VLOOKUP(L1528,Data!$F$4:$G$97,2,0),"")</f>
        <v/>
      </c>
    </row>
    <row r="1529" spans="9:32" ht="15" customHeight="1" x14ac:dyDescent="0.3">
      <c r="I1529" s="201" t="str">
        <f t="shared" si="200"/>
        <v/>
      </c>
      <c r="J1529" s="218">
        <f t="shared" si="201"/>
        <v>1526</v>
      </c>
      <c r="K1529" s="250"/>
      <c r="L1529" s="219"/>
      <c r="M1529" s="218"/>
      <c r="N1529" s="220" t="str">
        <f>IFERROR(VLOOKUP(M1529,Data!$C$4:$D$395,2,0),"")</f>
        <v/>
      </c>
      <c r="O1529" s="220"/>
      <c r="P1529" s="229"/>
      <c r="Q1529" s="221"/>
      <c r="R1529" s="222" t="str">
        <f t="shared" si="202"/>
        <v>-</v>
      </c>
      <c r="S1529" s="223"/>
      <c r="T1529" s="224"/>
      <c r="U1529" s="225">
        <f t="shared" si="203"/>
        <v>0</v>
      </c>
      <c r="V1529" s="226">
        <v>0</v>
      </c>
      <c r="W1529" s="227"/>
      <c r="X1529" s="228">
        <f t="shared" si="204"/>
        <v>0</v>
      </c>
      <c r="Y1529" s="229"/>
      <c r="Z1529" s="229"/>
      <c r="AA1529" s="229"/>
      <c r="AB1529" s="222">
        <f t="shared" si="205"/>
        <v>0</v>
      </c>
      <c r="AC1529" s="230">
        <f t="shared" si="206"/>
        <v>0</v>
      </c>
      <c r="AD1529" s="222" t="str">
        <f t="shared" si="207"/>
        <v/>
      </c>
      <c r="AE1529" s="201"/>
      <c r="AF1529" s="231" t="str">
        <f>+IFERROR(VLOOKUP(L1529,Data!$F$4:$G$97,2,0),"")</f>
        <v/>
      </c>
    </row>
    <row r="1530" spans="9:32" ht="15" customHeight="1" x14ac:dyDescent="0.3">
      <c r="I1530" s="201" t="str">
        <f t="shared" si="200"/>
        <v/>
      </c>
      <c r="J1530" s="218">
        <f t="shared" si="201"/>
        <v>1527</v>
      </c>
      <c r="K1530" s="250"/>
      <c r="L1530" s="219"/>
      <c r="M1530" s="218"/>
      <c r="N1530" s="220" t="str">
        <f>IFERROR(VLOOKUP(M1530,Data!$C$4:$D$395,2,0),"")</f>
        <v/>
      </c>
      <c r="O1530" s="220"/>
      <c r="P1530" s="229"/>
      <c r="Q1530" s="221"/>
      <c r="R1530" s="222" t="str">
        <f t="shared" si="202"/>
        <v>-</v>
      </c>
      <c r="S1530" s="223"/>
      <c r="T1530" s="224"/>
      <c r="U1530" s="225">
        <f t="shared" si="203"/>
        <v>0</v>
      </c>
      <c r="V1530" s="226">
        <v>0</v>
      </c>
      <c r="W1530" s="227"/>
      <c r="X1530" s="228">
        <f t="shared" si="204"/>
        <v>0</v>
      </c>
      <c r="Y1530" s="229"/>
      <c r="Z1530" s="229"/>
      <c r="AA1530" s="229"/>
      <c r="AB1530" s="222">
        <f t="shared" si="205"/>
        <v>0</v>
      </c>
      <c r="AC1530" s="230">
        <f t="shared" si="206"/>
        <v>0</v>
      </c>
      <c r="AD1530" s="222" t="str">
        <f t="shared" si="207"/>
        <v/>
      </c>
      <c r="AE1530" s="201"/>
      <c r="AF1530" s="231" t="str">
        <f>+IFERROR(VLOOKUP(L1530,Data!$F$4:$G$97,2,0),"")</f>
        <v/>
      </c>
    </row>
    <row r="1531" spans="9:32" ht="15" customHeight="1" x14ac:dyDescent="0.3">
      <c r="I1531" s="201" t="str">
        <f t="shared" si="200"/>
        <v/>
      </c>
      <c r="J1531" s="218">
        <f t="shared" si="201"/>
        <v>1528</v>
      </c>
      <c r="K1531" s="250"/>
      <c r="L1531" s="219"/>
      <c r="M1531" s="218"/>
      <c r="N1531" s="220" t="str">
        <f>IFERROR(VLOOKUP(M1531,Data!$C$4:$D$395,2,0),"")</f>
        <v/>
      </c>
      <c r="O1531" s="220"/>
      <c r="P1531" s="229"/>
      <c r="Q1531" s="221"/>
      <c r="R1531" s="222" t="str">
        <f t="shared" si="202"/>
        <v>-</v>
      </c>
      <c r="S1531" s="223"/>
      <c r="T1531" s="224"/>
      <c r="U1531" s="225">
        <f t="shared" si="203"/>
        <v>0</v>
      </c>
      <c r="V1531" s="226">
        <v>0</v>
      </c>
      <c r="W1531" s="227"/>
      <c r="X1531" s="228">
        <f t="shared" si="204"/>
        <v>0</v>
      </c>
      <c r="Y1531" s="229"/>
      <c r="Z1531" s="229"/>
      <c r="AA1531" s="229"/>
      <c r="AB1531" s="222">
        <f t="shared" si="205"/>
        <v>0</v>
      </c>
      <c r="AC1531" s="230">
        <f t="shared" si="206"/>
        <v>0</v>
      </c>
      <c r="AD1531" s="222" t="str">
        <f t="shared" si="207"/>
        <v/>
      </c>
      <c r="AE1531" s="201"/>
      <c r="AF1531" s="231" t="str">
        <f>+IFERROR(VLOOKUP(L1531,Data!$F$4:$G$97,2,0),"")</f>
        <v/>
      </c>
    </row>
    <row r="1532" spans="9:32" ht="15" customHeight="1" x14ac:dyDescent="0.3">
      <c r="I1532" s="201" t="str">
        <f t="shared" si="200"/>
        <v/>
      </c>
      <c r="J1532" s="218">
        <f t="shared" si="201"/>
        <v>1529</v>
      </c>
      <c r="K1532" s="250"/>
      <c r="L1532" s="219"/>
      <c r="M1532" s="218"/>
      <c r="N1532" s="220" t="str">
        <f>IFERROR(VLOOKUP(M1532,Data!$C$4:$D$395,2,0),"")</f>
        <v/>
      </c>
      <c r="O1532" s="220"/>
      <c r="P1532" s="229"/>
      <c r="Q1532" s="221"/>
      <c r="R1532" s="222" t="str">
        <f t="shared" si="202"/>
        <v>-</v>
      </c>
      <c r="S1532" s="223"/>
      <c r="T1532" s="224"/>
      <c r="U1532" s="225">
        <f t="shared" si="203"/>
        <v>0</v>
      </c>
      <c r="V1532" s="226">
        <v>0</v>
      </c>
      <c r="W1532" s="227"/>
      <c r="X1532" s="228">
        <f t="shared" si="204"/>
        <v>0</v>
      </c>
      <c r="Y1532" s="229"/>
      <c r="Z1532" s="229"/>
      <c r="AA1532" s="229"/>
      <c r="AB1532" s="222">
        <f t="shared" si="205"/>
        <v>0</v>
      </c>
      <c r="AC1532" s="230">
        <f t="shared" si="206"/>
        <v>0</v>
      </c>
      <c r="AD1532" s="222" t="str">
        <f t="shared" si="207"/>
        <v/>
      </c>
      <c r="AE1532" s="201"/>
      <c r="AF1532" s="231" t="str">
        <f>+IFERROR(VLOOKUP(L1532,Data!$F$4:$G$97,2,0),"")</f>
        <v/>
      </c>
    </row>
    <row r="1533" spans="9:32" ht="15" customHeight="1" x14ac:dyDescent="0.3">
      <c r="I1533" s="201" t="str">
        <f t="shared" ref="I1533:I1596" si="208">+AF1533</f>
        <v/>
      </c>
      <c r="J1533" s="218">
        <f t="shared" si="201"/>
        <v>1530</v>
      </c>
      <c r="K1533" s="250"/>
      <c r="L1533" s="219"/>
      <c r="M1533" s="218"/>
      <c r="N1533" s="220" t="str">
        <f>IFERROR(VLOOKUP(M1533,Data!$C$4:$D$395,2,0),"")</f>
        <v/>
      </c>
      <c r="O1533" s="220"/>
      <c r="P1533" s="229"/>
      <c r="Q1533" s="221"/>
      <c r="R1533" s="222" t="str">
        <f t="shared" si="202"/>
        <v>-</v>
      </c>
      <c r="S1533" s="223"/>
      <c r="T1533" s="224"/>
      <c r="U1533" s="225">
        <f t="shared" si="203"/>
        <v>0</v>
      </c>
      <c r="V1533" s="226">
        <v>0</v>
      </c>
      <c r="W1533" s="227"/>
      <c r="X1533" s="228">
        <f t="shared" si="204"/>
        <v>0</v>
      </c>
      <c r="Y1533" s="229"/>
      <c r="Z1533" s="229"/>
      <c r="AA1533" s="229"/>
      <c r="AB1533" s="222">
        <f t="shared" si="205"/>
        <v>0</v>
      </c>
      <c r="AC1533" s="230">
        <f t="shared" si="206"/>
        <v>0</v>
      </c>
      <c r="AD1533" s="222" t="str">
        <f t="shared" si="207"/>
        <v/>
      </c>
      <c r="AE1533" s="201"/>
      <c r="AF1533" s="231" t="str">
        <f>+IFERROR(VLOOKUP(L1533,Data!$F$4:$G$97,2,0),"")</f>
        <v/>
      </c>
    </row>
    <row r="1534" spans="9:32" ht="15" customHeight="1" x14ac:dyDescent="0.3">
      <c r="I1534" s="201" t="str">
        <f t="shared" si="208"/>
        <v/>
      </c>
      <c r="J1534" s="218">
        <f t="shared" ref="J1534:J1597" si="209">J1533+1</f>
        <v>1531</v>
      </c>
      <c r="K1534" s="250"/>
      <c r="L1534" s="219"/>
      <c r="M1534" s="218"/>
      <c r="N1534" s="220" t="str">
        <f>IFERROR(VLOOKUP(M1534,Data!$C$4:$D$395,2,0),"")</f>
        <v/>
      </c>
      <c r="O1534" s="220"/>
      <c r="P1534" s="229"/>
      <c r="Q1534" s="221"/>
      <c r="R1534" s="222" t="str">
        <f t="shared" si="202"/>
        <v>-</v>
      </c>
      <c r="S1534" s="223"/>
      <c r="T1534" s="224"/>
      <c r="U1534" s="225">
        <f t="shared" si="203"/>
        <v>0</v>
      </c>
      <c r="V1534" s="226">
        <v>0</v>
      </c>
      <c r="W1534" s="227"/>
      <c r="X1534" s="228">
        <f t="shared" si="204"/>
        <v>0</v>
      </c>
      <c r="Y1534" s="229"/>
      <c r="Z1534" s="229"/>
      <c r="AA1534" s="229"/>
      <c r="AB1534" s="222">
        <f t="shared" si="205"/>
        <v>0</v>
      </c>
      <c r="AC1534" s="230">
        <f t="shared" si="206"/>
        <v>0</v>
      </c>
      <c r="AD1534" s="222" t="str">
        <f t="shared" si="207"/>
        <v/>
      </c>
      <c r="AE1534" s="201"/>
      <c r="AF1534" s="231" t="str">
        <f>+IFERROR(VLOOKUP(L1534,Data!$F$4:$G$97,2,0),"")</f>
        <v/>
      </c>
    </row>
    <row r="1535" spans="9:32" ht="15" customHeight="1" x14ac:dyDescent="0.3">
      <c r="I1535" s="201" t="str">
        <f t="shared" si="208"/>
        <v/>
      </c>
      <c r="J1535" s="218">
        <f t="shared" si="209"/>
        <v>1532</v>
      </c>
      <c r="K1535" s="250"/>
      <c r="L1535" s="219"/>
      <c r="M1535" s="218"/>
      <c r="N1535" s="220" t="str">
        <f>IFERROR(VLOOKUP(M1535,Data!$C$4:$D$395,2,0),"")</f>
        <v/>
      </c>
      <c r="O1535" s="220"/>
      <c r="P1535" s="229"/>
      <c r="Q1535" s="221"/>
      <c r="R1535" s="222" t="str">
        <f t="shared" si="202"/>
        <v>-</v>
      </c>
      <c r="S1535" s="223"/>
      <c r="T1535" s="224"/>
      <c r="U1535" s="225">
        <f t="shared" si="203"/>
        <v>0</v>
      </c>
      <c r="V1535" s="226">
        <v>0</v>
      </c>
      <c r="W1535" s="227"/>
      <c r="X1535" s="228">
        <f t="shared" si="204"/>
        <v>0</v>
      </c>
      <c r="Y1535" s="229"/>
      <c r="Z1535" s="229"/>
      <c r="AA1535" s="229"/>
      <c r="AB1535" s="222">
        <f t="shared" si="205"/>
        <v>0</v>
      </c>
      <c r="AC1535" s="230">
        <f t="shared" si="206"/>
        <v>0</v>
      </c>
      <c r="AD1535" s="222" t="str">
        <f t="shared" si="207"/>
        <v/>
      </c>
      <c r="AE1535" s="201"/>
      <c r="AF1535" s="231" t="str">
        <f>+IFERROR(VLOOKUP(L1535,Data!$F$4:$G$97,2,0),"")</f>
        <v/>
      </c>
    </row>
    <row r="1536" spans="9:32" ht="15" customHeight="1" x14ac:dyDescent="0.3">
      <c r="I1536" s="201" t="str">
        <f t="shared" si="208"/>
        <v/>
      </c>
      <c r="J1536" s="218">
        <f t="shared" si="209"/>
        <v>1533</v>
      </c>
      <c r="K1536" s="250"/>
      <c r="L1536" s="219"/>
      <c r="M1536" s="218"/>
      <c r="N1536" s="220" t="str">
        <f>IFERROR(VLOOKUP(M1536,Data!$C$4:$D$395,2,0),"")</f>
        <v/>
      </c>
      <c r="O1536" s="220"/>
      <c r="P1536" s="229"/>
      <c r="Q1536" s="221"/>
      <c r="R1536" s="222" t="str">
        <f t="shared" ref="R1536:R1599" si="210">IFERROR(Q1536/P1536, "-")</f>
        <v>-</v>
      </c>
      <c r="S1536" s="223"/>
      <c r="T1536" s="224"/>
      <c r="U1536" s="225">
        <f t="shared" ref="U1536:U1599" si="211">+Q1536*S1536+P1536*T1536</f>
        <v>0</v>
      </c>
      <c r="V1536" s="226">
        <v>0</v>
      </c>
      <c r="W1536" s="227"/>
      <c r="X1536" s="228">
        <f t="shared" ref="X1536:X1599" si="212">+Q1536*V1536+P1536*W1536</f>
        <v>0</v>
      </c>
      <c r="Y1536" s="229"/>
      <c r="Z1536" s="229"/>
      <c r="AA1536" s="229"/>
      <c r="AB1536" s="222">
        <f t="shared" ref="AB1536:AB1599" si="213">+Y1536+Z1536+AA1536</f>
        <v>0</v>
      </c>
      <c r="AC1536" s="230">
        <f t="shared" ref="AC1536:AC1599" si="214">IF((U1536-Y1536-Z1536-AA1536)&lt;0,"",(U1536-Y1536-Z1536-AA1536))</f>
        <v>0</v>
      </c>
      <c r="AD1536" s="222" t="str">
        <f t="shared" ref="AD1536:AD1599" si="215">IF((U1536-Y1536-Z1536-AA1536)&lt;0,(Y1536+Z1536+AA1536-U1536),"")</f>
        <v/>
      </c>
      <c r="AE1536" s="201"/>
      <c r="AF1536" s="231" t="str">
        <f>+IFERROR(VLOOKUP(L1536,Data!$F$4:$G$97,2,0),"")</f>
        <v/>
      </c>
    </row>
    <row r="1537" spans="9:32" ht="15" customHeight="1" x14ac:dyDescent="0.3">
      <c r="I1537" s="201" t="str">
        <f t="shared" si="208"/>
        <v/>
      </c>
      <c r="J1537" s="218">
        <f t="shared" si="209"/>
        <v>1534</v>
      </c>
      <c r="K1537" s="250"/>
      <c r="L1537" s="219"/>
      <c r="M1537" s="218"/>
      <c r="N1537" s="220" t="str">
        <f>IFERROR(VLOOKUP(M1537,Data!$C$4:$D$395,2,0),"")</f>
        <v/>
      </c>
      <c r="O1537" s="220"/>
      <c r="P1537" s="229"/>
      <c r="Q1537" s="221"/>
      <c r="R1537" s="222" t="str">
        <f t="shared" si="210"/>
        <v>-</v>
      </c>
      <c r="S1537" s="223"/>
      <c r="T1537" s="224"/>
      <c r="U1537" s="225">
        <f t="shared" si="211"/>
        <v>0</v>
      </c>
      <c r="V1537" s="226">
        <v>0</v>
      </c>
      <c r="W1537" s="227"/>
      <c r="X1537" s="228">
        <f t="shared" si="212"/>
        <v>0</v>
      </c>
      <c r="Y1537" s="229"/>
      <c r="Z1537" s="229"/>
      <c r="AA1537" s="229"/>
      <c r="AB1537" s="222">
        <f t="shared" si="213"/>
        <v>0</v>
      </c>
      <c r="AC1537" s="230">
        <f t="shared" si="214"/>
        <v>0</v>
      </c>
      <c r="AD1537" s="222" t="str">
        <f t="shared" si="215"/>
        <v/>
      </c>
      <c r="AE1537" s="201"/>
      <c r="AF1537" s="231" t="str">
        <f>+IFERROR(VLOOKUP(L1537,Data!$F$4:$G$97,2,0),"")</f>
        <v/>
      </c>
    </row>
    <row r="1538" spans="9:32" ht="15" customHeight="1" x14ac:dyDescent="0.3">
      <c r="I1538" s="201" t="str">
        <f t="shared" si="208"/>
        <v/>
      </c>
      <c r="J1538" s="218">
        <f t="shared" si="209"/>
        <v>1535</v>
      </c>
      <c r="K1538" s="250"/>
      <c r="L1538" s="219"/>
      <c r="M1538" s="218"/>
      <c r="N1538" s="220" t="str">
        <f>IFERROR(VLOOKUP(M1538,Data!$C$4:$D$395,2,0),"")</f>
        <v/>
      </c>
      <c r="O1538" s="220"/>
      <c r="P1538" s="229"/>
      <c r="Q1538" s="221"/>
      <c r="R1538" s="222" t="str">
        <f t="shared" si="210"/>
        <v>-</v>
      </c>
      <c r="S1538" s="223"/>
      <c r="T1538" s="224"/>
      <c r="U1538" s="225">
        <f t="shared" si="211"/>
        <v>0</v>
      </c>
      <c r="V1538" s="226">
        <v>0</v>
      </c>
      <c r="W1538" s="227"/>
      <c r="X1538" s="228">
        <f t="shared" si="212"/>
        <v>0</v>
      </c>
      <c r="Y1538" s="229"/>
      <c r="Z1538" s="229"/>
      <c r="AA1538" s="229"/>
      <c r="AB1538" s="222">
        <f t="shared" si="213"/>
        <v>0</v>
      </c>
      <c r="AC1538" s="230">
        <f t="shared" si="214"/>
        <v>0</v>
      </c>
      <c r="AD1538" s="222" t="str">
        <f t="shared" si="215"/>
        <v/>
      </c>
      <c r="AE1538" s="201"/>
      <c r="AF1538" s="231" t="str">
        <f>+IFERROR(VLOOKUP(L1538,Data!$F$4:$G$97,2,0),"")</f>
        <v/>
      </c>
    </row>
    <row r="1539" spans="9:32" ht="15" customHeight="1" x14ac:dyDescent="0.3">
      <c r="I1539" s="201" t="str">
        <f t="shared" si="208"/>
        <v/>
      </c>
      <c r="J1539" s="218">
        <f t="shared" si="209"/>
        <v>1536</v>
      </c>
      <c r="K1539" s="250"/>
      <c r="L1539" s="219"/>
      <c r="M1539" s="218"/>
      <c r="N1539" s="220" t="str">
        <f>IFERROR(VLOOKUP(M1539,Data!$C$4:$D$395,2,0),"")</f>
        <v/>
      </c>
      <c r="O1539" s="220"/>
      <c r="P1539" s="229"/>
      <c r="Q1539" s="221"/>
      <c r="R1539" s="222" t="str">
        <f t="shared" si="210"/>
        <v>-</v>
      </c>
      <c r="S1539" s="223"/>
      <c r="T1539" s="224"/>
      <c r="U1539" s="225">
        <f t="shared" si="211"/>
        <v>0</v>
      </c>
      <c r="V1539" s="226">
        <v>0</v>
      </c>
      <c r="W1539" s="227"/>
      <c r="X1539" s="228">
        <f t="shared" si="212"/>
        <v>0</v>
      </c>
      <c r="Y1539" s="229"/>
      <c r="Z1539" s="229"/>
      <c r="AA1539" s="229"/>
      <c r="AB1539" s="222">
        <f t="shared" si="213"/>
        <v>0</v>
      </c>
      <c r="AC1539" s="230">
        <f t="shared" si="214"/>
        <v>0</v>
      </c>
      <c r="AD1539" s="222" t="str">
        <f t="shared" si="215"/>
        <v/>
      </c>
      <c r="AE1539" s="201"/>
      <c r="AF1539" s="231" t="str">
        <f>+IFERROR(VLOOKUP(L1539,Data!$F$4:$G$97,2,0),"")</f>
        <v/>
      </c>
    </row>
    <row r="1540" spans="9:32" ht="15" customHeight="1" x14ac:dyDescent="0.3">
      <c r="I1540" s="201" t="str">
        <f t="shared" si="208"/>
        <v/>
      </c>
      <c r="J1540" s="218">
        <f t="shared" si="209"/>
        <v>1537</v>
      </c>
      <c r="K1540" s="250"/>
      <c r="L1540" s="219"/>
      <c r="M1540" s="218"/>
      <c r="N1540" s="220" t="str">
        <f>IFERROR(VLOOKUP(M1540,Data!$C$4:$D$395,2,0),"")</f>
        <v/>
      </c>
      <c r="O1540" s="220"/>
      <c r="P1540" s="229"/>
      <c r="Q1540" s="221"/>
      <c r="R1540" s="222" t="str">
        <f t="shared" si="210"/>
        <v>-</v>
      </c>
      <c r="S1540" s="223"/>
      <c r="T1540" s="224"/>
      <c r="U1540" s="225">
        <f t="shared" si="211"/>
        <v>0</v>
      </c>
      <c r="V1540" s="226">
        <v>0</v>
      </c>
      <c r="W1540" s="227"/>
      <c r="X1540" s="228">
        <f t="shared" si="212"/>
        <v>0</v>
      </c>
      <c r="Y1540" s="229"/>
      <c r="Z1540" s="229"/>
      <c r="AA1540" s="229"/>
      <c r="AB1540" s="222">
        <f t="shared" si="213"/>
        <v>0</v>
      </c>
      <c r="AC1540" s="230">
        <f t="shared" si="214"/>
        <v>0</v>
      </c>
      <c r="AD1540" s="222" t="str">
        <f t="shared" si="215"/>
        <v/>
      </c>
      <c r="AE1540" s="201"/>
      <c r="AF1540" s="231" t="str">
        <f>+IFERROR(VLOOKUP(L1540,Data!$F$4:$G$97,2,0),"")</f>
        <v/>
      </c>
    </row>
    <row r="1541" spans="9:32" ht="15" customHeight="1" x14ac:dyDescent="0.3">
      <c r="I1541" s="201" t="str">
        <f t="shared" si="208"/>
        <v/>
      </c>
      <c r="J1541" s="218">
        <f t="shared" si="209"/>
        <v>1538</v>
      </c>
      <c r="K1541" s="250"/>
      <c r="L1541" s="219"/>
      <c r="M1541" s="218"/>
      <c r="N1541" s="220" t="str">
        <f>IFERROR(VLOOKUP(M1541,Data!$C$4:$D$395,2,0),"")</f>
        <v/>
      </c>
      <c r="O1541" s="220"/>
      <c r="P1541" s="229"/>
      <c r="Q1541" s="221"/>
      <c r="R1541" s="222" t="str">
        <f t="shared" si="210"/>
        <v>-</v>
      </c>
      <c r="S1541" s="223"/>
      <c r="T1541" s="224"/>
      <c r="U1541" s="225">
        <f t="shared" si="211"/>
        <v>0</v>
      </c>
      <c r="V1541" s="226">
        <v>0</v>
      </c>
      <c r="W1541" s="227"/>
      <c r="X1541" s="228">
        <f t="shared" si="212"/>
        <v>0</v>
      </c>
      <c r="Y1541" s="229"/>
      <c r="Z1541" s="229"/>
      <c r="AA1541" s="229"/>
      <c r="AB1541" s="222">
        <f t="shared" si="213"/>
        <v>0</v>
      </c>
      <c r="AC1541" s="230">
        <f t="shared" si="214"/>
        <v>0</v>
      </c>
      <c r="AD1541" s="222" t="str">
        <f t="shared" si="215"/>
        <v/>
      </c>
      <c r="AE1541" s="201"/>
      <c r="AF1541" s="231" t="str">
        <f>+IFERROR(VLOOKUP(L1541,Data!$F$4:$G$97,2,0),"")</f>
        <v/>
      </c>
    </row>
    <row r="1542" spans="9:32" ht="15" customHeight="1" x14ac:dyDescent="0.3">
      <c r="I1542" s="201" t="str">
        <f t="shared" si="208"/>
        <v/>
      </c>
      <c r="J1542" s="218">
        <f t="shared" si="209"/>
        <v>1539</v>
      </c>
      <c r="K1542" s="250"/>
      <c r="L1542" s="219"/>
      <c r="M1542" s="218"/>
      <c r="N1542" s="220" t="str">
        <f>IFERROR(VLOOKUP(M1542,Data!$C$4:$D$395,2,0),"")</f>
        <v/>
      </c>
      <c r="O1542" s="220"/>
      <c r="P1542" s="229"/>
      <c r="Q1542" s="221"/>
      <c r="R1542" s="222" t="str">
        <f t="shared" si="210"/>
        <v>-</v>
      </c>
      <c r="S1542" s="223"/>
      <c r="T1542" s="224"/>
      <c r="U1542" s="225">
        <f t="shared" si="211"/>
        <v>0</v>
      </c>
      <c r="V1542" s="226">
        <v>0</v>
      </c>
      <c r="W1542" s="227"/>
      <c r="X1542" s="228">
        <f t="shared" si="212"/>
        <v>0</v>
      </c>
      <c r="Y1542" s="229"/>
      <c r="Z1542" s="229"/>
      <c r="AA1542" s="229"/>
      <c r="AB1542" s="222">
        <f t="shared" si="213"/>
        <v>0</v>
      </c>
      <c r="AC1542" s="230">
        <f t="shared" si="214"/>
        <v>0</v>
      </c>
      <c r="AD1542" s="222" t="str">
        <f t="shared" si="215"/>
        <v/>
      </c>
      <c r="AE1542" s="201"/>
      <c r="AF1542" s="231" t="str">
        <f>+IFERROR(VLOOKUP(L1542,Data!$F$4:$G$97,2,0),"")</f>
        <v/>
      </c>
    </row>
    <row r="1543" spans="9:32" ht="15" customHeight="1" x14ac:dyDescent="0.3">
      <c r="I1543" s="201" t="str">
        <f t="shared" si="208"/>
        <v/>
      </c>
      <c r="J1543" s="218">
        <f t="shared" si="209"/>
        <v>1540</v>
      </c>
      <c r="K1543" s="250"/>
      <c r="L1543" s="219"/>
      <c r="M1543" s="218"/>
      <c r="N1543" s="220" t="str">
        <f>IFERROR(VLOOKUP(M1543,Data!$C$4:$D$395,2,0),"")</f>
        <v/>
      </c>
      <c r="O1543" s="220"/>
      <c r="P1543" s="229"/>
      <c r="Q1543" s="221"/>
      <c r="R1543" s="222" t="str">
        <f t="shared" si="210"/>
        <v>-</v>
      </c>
      <c r="S1543" s="223"/>
      <c r="T1543" s="224"/>
      <c r="U1543" s="225">
        <f t="shared" si="211"/>
        <v>0</v>
      </c>
      <c r="V1543" s="226">
        <v>0</v>
      </c>
      <c r="W1543" s="227"/>
      <c r="X1543" s="228">
        <f t="shared" si="212"/>
        <v>0</v>
      </c>
      <c r="Y1543" s="229"/>
      <c r="Z1543" s="229"/>
      <c r="AA1543" s="229"/>
      <c r="AB1543" s="222">
        <f t="shared" si="213"/>
        <v>0</v>
      </c>
      <c r="AC1543" s="230">
        <f t="shared" si="214"/>
        <v>0</v>
      </c>
      <c r="AD1543" s="222" t="str">
        <f t="shared" si="215"/>
        <v/>
      </c>
      <c r="AE1543" s="201"/>
      <c r="AF1543" s="231" t="str">
        <f>+IFERROR(VLOOKUP(L1543,Data!$F$4:$G$97,2,0),"")</f>
        <v/>
      </c>
    </row>
    <row r="1544" spans="9:32" ht="15" customHeight="1" x14ac:dyDescent="0.3">
      <c r="I1544" s="201" t="str">
        <f t="shared" si="208"/>
        <v/>
      </c>
      <c r="J1544" s="218">
        <f t="shared" si="209"/>
        <v>1541</v>
      </c>
      <c r="K1544" s="250"/>
      <c r="L1544" s="219"/>
      <c r="M1544" s="218"/>
      <c r="N1544" s="220" t="str">
        <f>IFERROR(VLOOKUP(M1544,Data!$C$4:$D$395,2,0),"")</f>
        <v/>
      </c>
      <c r="O1544" s="220"/>
      <c r="P1544" s="229"/>
      <c r="Q1544" s="221"/>
      <c r="R1544" s="222" t="str">
        <f t="shared" si="210"/>
        <v>-</v>
      </c>
      <c r="S1544" s="223"/>
      <c r="T1544" s="224"/>
      <c r="U1544" s="225">
        <f t="shared" si="211"/>
        <v>0</v>
      </c>
      <c r="V1544" s="226">
        <v>0</v>
      </c>
      <c r="W1544" s="227"/>
      <c r="X1544" s="228">
        <f t="shared" si="212"/>
        <v>0</v>
      </c>
      <c r="Y1544" s="229"/>
      <c r="Z1544" s="229"/>
      <c r="AA1544" s="229"/>
      <c r="AB1544" s="222">
        <f t="shared" si="213"/>
        <v>0</v>
      </c>
      <c r="AC1544" s="230">
        <f t="shared" si="214"/>
        <v>0</v>
      </c>
      <c r="AD1544" s="222" t="str">
        <f t="shared" si="215"/>
        <v/>
      </c>
      <c r="AE1544" s="201"/>
      <c r="AF1544" s="231" t="str">
        <f>+IFERROR(VLOOKUP(L1544,Data!$F$4:$G$97,2,0),"")</f>
        <v/>
      </c>
    </row>
    <row r="1545" spans="9:32" ht="15" customHeight="1" x14ac:dyDescent="0.3">
      <c r="I1545" s="201" t="str">
        <f t="shared" si="208"/>
        <v/>
      </c>
      <c r="J1545" s="218">
        <f t="shared" si="209"/>
        <v>1542</v>
      </c>
      <c r="K1545" s="250"/>
      <c r="L1545" s="219"/>
      <c r="M1545" s="218"/>
      <c r="N1545" s="220" t="str">
        <f>IFERROR(VLOOKUP(M1545,Data!$C$4:$D$395,2,0),"")</f>
        <v/>
      </c>
      <c r="O1545" s="220"/>
      <c r="P1545" s="229"/>
      <c r="Q1545" s="221"/>
      <c r="R1545" s="222" t="str">
        <f t="shared" si="210"/>
        <v>-</v>
      </c>
      <c r="S1545" s="223"/>
      <c r="T1545" s="224"/>
      <c r="U1545" s="225">
        <f t="shared" si="211"/>
        <v>0</v>
      </c>
      <c r="V1545" s="226">
        <v>0</v>
      </c>
      <c r="W1545" s="227"/>
      <c r="X1545" s="228">
        <f t="shared" si="212"/>
        <v>0</v>
      </c>
      <c r="Y1545" s="229"/>
      <c r="Z1545" s="229"/>
      <c r="AA1545" s="229"/>
      <c r="AB1545" s="222">
        <f t="shared" si="213"/>
        <v>0</v>
      </c>
      <c r="AC1545" s="230">
        <f t="shared" si="214"/>
        <v>0</v>
      </c>
      <c r="AD1545" s="222" t="str">
        <f t="shared" si="215"/>
        <v/>
      </c>
      <c r="AE1545" s="201"/>
      <c r="AF1545" s="231" t="str">
        <f>+IFERROR(VLOOKUP(L1545,Data!$F$4:$G$97,2,0),"")</f>
        <v/>
      </c>
    </row>
    <row r="1546" spans="9:32" ht="15" customHeight="1" x14ac:dyDescent="0.3">
      <c r="I1546" s="201" t="str">
        <f t="shared" si="208"/>
        <v/>
      </c>
      <c r="J1546" s="218">
        <f t="shared" si="209"/>
        <v>1543</v>
      </c>
      <c r="K1546" s="250"/>
      <c r="L1546" s="219"/>
      <c r="M1546" s="218"/>
      <c r="N1546" s="220" t="str">
        <f>IFERROR(VLOOKUP(M1546,Data!$C$4:$D$395,2,0),"")</f>
        <v/>
      </c>
      <c r="O1546" s="220"/>
      <c r="P1546" s="229"/>
      <c r="Q1546" s="221"/>
      <c r="R1546" s="222" t="str">
        <f t="shared" si="210"/>
        <v>-</v>
      </c>
      <c r="S1546" s="223"/>
      <c r="T1546" s="224"/>
      <c r="U1546" s="225">
        <f t="shared" si="211"/>
        <v>0</v>
      </c>
      <c r="V1546" s="226">
        <v>0</v>
      </c>
      <c r="W1546" s="227"/>
      <c r="X1546" s="228">
        <f t="shared" si="212"/>
        <v>0</v>
      </c>
      <c r="Y1546" s="229"/>
      <c r="Z1546" s="229"/>
      <c r="AA1546" s="229"/>
      <c r="AB1546" s="222">
        <f t="shared" si="213"/>
        <v>0</v>
      </c>
      <c r="AC1546" s="230">
        <f t="shared" si="214"/>
        <v>0</v>
      </c>
      <c r="AD1546" s="222" t="str">
        <f t="shared" si="215"/>
        <v/>
      </c>
      <c r="AE1546" s="201"/>
      <c r="AF1546" s="231" t="str">
        <f>+IFERROR(VLOOKUP(L1546,Data!$F$4:$G$97,2,0),"")</f>
        <v/>
      </c>
    </row>
    <row r="1547" spans="9:32" ht="15" customHeight="1" x14ac:dyDescent="0.3">
      <c r="I1547" s="201" t="str">
        <f t="shared" si="208"/>
        <v/>
      </c>
      <c r="J1547" s="218">
        <f t="shared" si="209"/>
        <v>1544</v>
      </c>
      <c r="K1547" s="250"/>
      <c r="L1547" s="219"/>
      <c r="M1547" s="218"/>
      <c r="N1547" s="220" t="str">
        <f>IFERROR(VLOOKUP(M1547,Data!$C$4:$D$395,2,0),"")</f>
        <v/>
      </c>
      <c r="O1547" s="220"/>
      <c r="P1547" s="229"/>
      <c r="Q1547" s="221"/>
      <c r="R1547" s="222" t="str">
        <f t="shared" si="210"/>
        <v>-</v>
      </c>
      <c r="S1547" s="223"/>
      <c r="T1547" s="224"/>
      <c r="U1547" s="225">
        <f t="shared" si="211"/>
        <v>0</v>
      </c>
      <c r="V1547" s="226">
        <v>0</v>
      </c>
      <c r="W1547" s="227"/>
      <c r="X1547" s="228">
        <f t="shared" si="212"/>
        <v>0</v>
      </c>
      <c r="Y1547" s="229"/>
      <c r="Z1547" s="229"/>
      <c r="AA1547" s="229"/>
      <c r="AB1547" s="222">
        <f t="shared" si="213"/>
        <v>0</v>
      </c>
      <c r="AC1547" s="230">
        <f t="shared" si="214"/>
        <v>0</v>
      </c>
      <c r="AD1547" s="222" t="str">
        <f t="shared" si="215"/>
        <v/>
      </c>
      <c r="AE1547" s="201"/>
      <c r="AF1547" s="231" t="str">
        <f>+IFERROR(VLOOKUP(L1547,Data!$F$4:$G$97,2,0),"")</f>
        <v/>
      </c>
    </row>
    <row r="1548" spans="9:32" ht="15" customHeight="1" x14ac:dyDescent="0.3">
      <c r="I1548" s="201" t="str">
        <f t="shared" si="208"/>
        <v/>
      </c>
      <c r="J1548" s="218">
        <f t="shared" si="209"/>
        <v>1545</v>
      </c>
      <c r="K1548" s="250"/>
      <c r="L1548" s="219"/>
      <c r="M1548" s="218"/>
      <c r="N1548" s="220" t="str">
        <f>IFERROR(VLOOKUP(M1548,Data!$C$4:$D$395,2,0),"")</f>
        <v/>
      </c>
      <c r="O1548" s="220"/>
      <c r="P1548" s="229"/>
      <c r="Q1548" s="221"/>
      <c r="R1548" s="222" t="str">
        <f t="shared" si="210"/>
        <v>-</v>
      </c>
      <c r="S1548" s="223"/>
      <c r="T1548" s="224"/>
      <c r="U1548" s="225">
        <f t="shared" si="211"/>
        <v>0</v>
      </c>
      <c r="V1548" s="226">
        <v>0</v>
      </c>
      <c r="W1548" s="227"/>
      <c r="X1548" s="228">
        <f t="shared" si="212"/>
        <v>0</v>
      </c>
      <c r="Y1548" s="229"/>
      <c r="Z1548" s="229"/>
      <c r="AA1548" s="229"/>
      <c r="AB1548" s="222">
        <f t="shared" si="213"/>
        <v>0</v>
      </c>
      <c r="AC1548" s="230">
        <f t="shared" si="214"/>
        <v>0</v>
      </c>
      <c r="AD1548" s="222" t="str">
        <f t="shared" si="215"/>
        <v/>
      </c>
      <c r="AE1548" s="201"/>
      <c r="AF1548" s="231" t="str">
        <f>+IFERROR(VLOOKUP(L1548,Data!$F$4:$G$97,2,0),"")</f>
        <v/>
      </c>
    </row>
    <row r="1549" spans="9:32" ht="15" customHeight="1" x14ac:dyDescent="0.3">
      <c r="I1549" s="201" t="str">
        <f t="shared" si="208"/>
        <v/>
      </c>
      <c r="J1549" s="218">
        <f t="shared" si="209"/>
        <v>1546</v>
      </c>
      <c r="K1549" s="250"/>
      <c r="L1549" s="219"/>
      <c r="M1549" s="218"/>
      <c r="N1549" s="220" t="str">
        <f>IFERROR(VLOOKUP(M1549,Data!$C$4:$D$395,2,0),"")</f>
        <v/>
      </c>
      <c r="O1549" s="220"/>
      <c r="P1549" s="229"/>
      <c r="Q1549" s="221"/>
      <c r="R1549" s="222" t="str">
        <f t="shared" si="210"/>
        <v>-</v>
      </c>
      <c r="S1549" s="223"/>
      <c r="T1549" s="224"/>
      <c r="U1549" s="225">
        <f t="shared" si="211"/>
        <v>0</v>
      </c>
      <c r="V1549" s="226">
        <v>0</v>
      </c>
      <c r="W1549" s="227"/>
      <c r="X1549" s="228">
        <f t="shared" si="212"/>
        <v>0</v>
      </c>
      <c r="Y1549" s="229"/>
      <c r="Z1549" s="229"/>
      <c r="AA1549" s="229"/>
      <c r="AB1549" s="222">
        <f t="shared" si="213"/>
        <v>0</v>
      </c>
      <c r="AC1549" s="230">
        <f t="shared" si="214"/>
        <v>0</v>
      </c>
      <c r="AD1549" s="222" t="str">
        <f t="shared" si="215"/>
        <v/>
      </c>
      <c r="AE1549" s="201"/>
      <c r="AF1549" s="231" t="str">
        <f>+IFERROR(VLOOKUP(L1549,Data!$F$4:$G$97,2,0),"")</f>
        <v/>
      </c>
    </row>
    <row r="1550" spans="9:32" ht="15" customHeight="1" x14ac:dyDescent="0.3">
      <c r="I1550" s="201" t="str">
        <f t="shared" si="208"/>
        <v/>
      </c>
      <c r="J1550" s="218">
        <f t="shared" si="209"/>
        <v>1547</v>
      </c>
      <c r="K1550" s="250"/>
      <c r="L1550" s="219"/>
      <c r="M1550" s="218"/>
      <c r="N1550" s="220" t="str">
        <f>IFERROR(VLOOKUP(M1550,Data!$C$4:$D$395,2,0),"")</f>
        <v/>
      </c>
      <c r="O1550" s="220"/>
      <c r="P1550" s="229"/>
      <c r="Q1550" s="221"/>
      <c r="R1550" s="222" t="str">
        <f t="shared" si="210"/>
        <v>-</v>
      </c>
      <c r="S1550" s="223"/>
      <c r="T1550" s="224"/>
      <c r="U1550" s="225">
        <f t="shared" si="211"/>
        <v>0</v>
      </c>
      <c r="V1550" s="226">
        <v>0</v>
      </c>
      <c r="W1550" s="227"/>
      <c r="X1550" s="228">
        <f t="shared" si="212"/>
        <v>0</v>
      </c>
      <c r="Y1550" s="229"/>
      <c r="Z1550" s="229"/>
      <c r="AA1550" s="229"/>
      <c r="AB1550" s="222">
        <f t="shared" si="213"/>
        <v>0</v>
      </c>
      <c r="AC1550" s="230">
        <f t="shared" si="214"/>
        <v>0</v>
      </c>
      <c r="AD1550" s="222" t="str">
        <f t="shared" si="215"/>
        <v/>
      </c>
      <c r="AE1550" s="201"/>
      <c r="AF1550" s="231" t="str">
        <f>+IFERROR(VLOOKUP(L1550,Data!$F$4:$G$97,2,0),"")</f>
        <v/>
      </c>
    </row>
    <row r="1551" spans="9:32" ht="15" customHeight="1" x14ac:dyDescent="0.3">
      <c r="I1551" s="201" t="str">
        <f t="shared" si="208"/>
        <v/>
      </c>
      <c r="J1551" s="218">
        <f t="shared" si="209"/>
        <v>1548</v>
      </c>
      <c r="K1551" s="250"/>
      <c r="L1551" s="219"/>
      <c r="M1551" s="218"/>
      <c r="N1551" s="220" t="str">
        <f>IFERROR(VLOOKUP(M1551,Data!$C$4:$D$395,2,0),"")</f>
        <v/>
      </c>
      <c r="O1551" s="220"/>
      <c r="P1551" s="229"/>
      <c r="Q1551" s="221"/>
      <c r="R1551" s="222" t="str">
        <f t="shared" si="210"/>
        <v>-</v>
      </c>
      <c r="S1551" s="223"/>
      <c r="T1551" s="224"/>
      <c r="U1551" s="225">
        <f t="shared" si="211"/>
        <v>0</v>
      </c>
      <c r="V1551" s="226">
        <v>0</v>
      </c>
      <c r="W1551" s="227"/>
      <c r="X1551" s="228">
        <f t="shared" si="212"/>
        <v>0</v>
      </c>
      <c r="Y1551" s="229"/>
      <c r="Z1551" s="229"/>
      <c r="AA1551" s="229"/>
      <c r="AB1551" s="222">
        <f t="shared" si="213"/>
        <v>0</v>
      </c>
      <c r="AC1551" s="230">
        <f t="shared" si="214"/>
        <v>0</v>
      </c>
      <c r="AD1551" s="222" t="str">
        <f t="shared" si="215"/>
        <v/>
      </c>
      <c r="AE1551" s="201"/>
      <c r="AF1551" s="231" t="str">
        <f>+IFERROR(VLOOKUP(L1551,Data!$F$4:$G$97,2,0),"")</f>
        <v/>
      </c>
    </row>
    <row r="1552" spans="9:32" ht="15" customHeight="1" x14ac:dyDescent="0.3">
      <c r="I1552" s="201" t="str">
        <f t="shared" si="208"/>
        <v/>
      </c>
      <c r="J1552" s="218">
        <f t="shared" si="209"/>
        <v>1549</v>
      </c>
      <c r="K1552" s="250"/>
      <c r="L1552" s="219"/>
      <c r="M1552" s="218"/>
      <c r="N1552" s="220" t="str">
        <f>IFERROR(VLOOKUP(M1552,Data!$C$4:$D$395,2,0),"")</f>
        <v/>
      </c>
      <c r="O1552" s="220"/>
      <c r="P1552" s="229"/>
      <c r="Q1552" s="221"/>
      <c r="R1552" s="222" t="str">
        <f t="shared" si="210"/>
        <v>-</v>
      </c>
      <c r="S1552" s="223"/>
      <c r="T1552" s="224"/>
      <c r="U1552" s="225">
        <f t="shared" si="211"/>
        <v>0</v>
      </c>
      <c r="V1552" s="226">
        <v>0</v>
      </c>
      <c r="W1552" s="227"/>
      <c r="X1552" s="228">
        <f t="shared" si="212"/>
        <v>0</v>
      </c>
      <c r="Y1552" s="229"/>
      <c r="Z1552" s="229"/>
      <c r="AA1552" s="229"/>
      <c r="AB1552" s="222">
        <f t="shared" si="213"/>
        <v>0</v>
      </c>
      <c r="AC1552" s="230">
        <f t="shared" si="214"/>
        <v>0</v>
      </c>
      <c r="AD1552" s="222" t="str">
        <f t="shared" si="215"/>
        <v/>
      </c>
      <c r="AE1552" s="201"/>
      <c r="AF1552" s="231" t="str">
        <f>+IFERROR(VLOOKUP(L1552,Data!$F$4:$G$97,2,0),"")</f>
        <v/>
      </c>
    </row>
    <row r="1553" spans="9:32" ht="15" customHeight="1" x14ac:dyDescent="0.3">
      <c r="I1553" s="201" t="str">
        <f t="shared" si="208"/>
        <v/>
      </c>
      <c r="J1553" s="218">
        <f t="shared" si="209"/>
        <v>1550</v>
      </c>
      <c r="K1553" s="250"/>
      <c r="L1553" s="219"/>
      <c r="M1553" s="218"/>
      <c r="N1553" s="220" t="str">
        <f>IFERROR(VLOOKUP(M1553,Data!$C$4:$D$395,2,0),"")</f>
        <v/>
      </c>
      <c r="O1553" s="220"/>
      <c r="P1553" s="229"/>
      <c r="Q1553" s="221"/>
      <c r="R1553" s="222" t="str">
        <f t="shared" si="210"/>
        <v>-</v>
      </c>
      <c r="S1553" s="223"/>
      <c r="T1553" s="224"/>
      <c r="U1553" s="225">
        <f t="shared" si="211"/>
        <v>0</v>
      </c>
      <c r="V1553" s="226">
        <v>0</v>
      </c>
      <c r="W1553" s="227"/>
      <c r="X1553" s="228">
        <f t="shared" si="212"/>
        <v>0</v>
      </c>
      <c r="Y1553" s="229"/>
      <c r="Z1553" s="229"/>
      <c r="AA1553" s="229"/>
      <c r="AB1553" s="222">
        <f t="shared" si="213"/>
        <v>0</v>
      </c>
      <c r="AC1553" s="230">
        <f t="shared" si="214"/>
        <v>0</v>
      </c>
      <c r="AD1553" s="222" t="str">
        <f t="shared" si="215"/>
        <v/>
      </c>
      <c r="AE1553" s="201"/>
      <c r="AF1553" s="231" t="str">
        <f>+IFERROR(VLOOKUP(L1553,Data!$F$4:$G$97,2,0),"")</f>
        <v/>
      </c>
    </row>
    <row r="1554" spans="9:32" ht="15" customHeight="1" x14ac:dyDescent="0.3">
      <c r="I1554" s="201" t="str">
        <f t="shared" si="208"/>
        <v/>
      </c>
      <c r="J1554" s="218">
        <f t="shared" si="209"/>
        <v>1551</v>
      </c>
      <c r="K1554" s="250"/>
      <c r="L1554" s="219"/>
      <c r="M1554" s="218"/>
      <c r="N1554" s="220" t="str">
        <f>IFERROR(VLOOKUP(M1554,Data!$C$4:$D$395,2,0),"")</f>
        <v/>
      </c>
      <c r="O1554" s="220"/>
      <c r="P1554" s="229"/>
      <c r="Q1554" s="221"/>
      <c r="R1554" s="222" t="str">
        <f t="shared" si="210"/>
        <v>-</v>
      </c>
      <c r="S1554" s="223"/>
      <c r="T1554" s="224"/>
      <c r="U1554" s="225">
        <f t="shared" si="211"/>
        <v>0</v>
      </c>
      <c r="V1554" s="226">
        <v>0</v>
      </c>
      <c r="W1554" s="227"/>
      <c r="X1554" s="228">
        <f t="shared" si="212"/>
        <v>0</v>
      </c>
      <c r="Y1554" s="229"/>
      <c r="Z1554" s="229"/>
      <c r="AA1554" s="229"/>
      <c r="AB1554" s="222">
        <f t="shared" si="213"/>
        <v>0</v>
      </c>
      <c r="AC1554" s="230">
        <f t="shared" si="214"/>
        <v>0</v>
      </c>
      <c r="AD1554" s="222" t="str">
        <f t="shared" si="215"/>
        <v/>
      </c>
      <c r="AE1554" s="201"/>
      <c r="AF1554" s="231" t="str">
        <f>+IFERROR(VLOOKUP(L1554,Data!$F$4:$G$97,2,0),"")</f>
        <v/>
      </c>
    </row>
    <row r="1555" spans="9:32" ht="15" customHeight="1" x14ac:dyDescent="0.3">
      <c r="I1555" s="201" t="str">
        <f t="shared" si="208"/>
        <v/>
      </c>
      <c r="J1555" s="218">
        <f t="shared" si="209"/>
        <v>1552</v>
      </c>
      <c r="K1555" s="250"/>
      <c r="L1555" s="219"/>
      <c r="M1555" s="218"/>
      <c r="N1555" s="220" t="str">
        <f>IFERROR(VLOOKUP(M1555,Data!$C$4:$D$395,2,0),"")</f>
        <v/>
      </c>
      <c r="O1555" s="220"/>
      <c r="P1555" s="229"/>
      <c r="Q1555" s="221"/>
      <c r="R1555" s="222" t="str">
        <f t="shared" si="210"/>
        <v>-</v>
      </c>
      <c r="S1555" s="223"/>
      <c r="T1555" s="224"/>
      <c r="U1555" s="225">
        <f t="shared" si="211"/>
        <v>0</v>
      </c>
      <c r="V1555" s="226">
        <v>0</v>
      </c>
      <c r="W1555" s="227"/>
      <c r="X1555" s="228">
        <f t="shared" si="212"/>
        <v>0</v>
      </c>
      <c r="Y1555" s="229"/>
      <c r="Z1555" s="229"/>
      <c r="AA1555" s="229"/>
      <c r="AB1555" s="222">
        <f t="shared" si="213"/>
        <v>0</v>
      </c>
      <c r="AC1555" s="230">
        <f t="shared" si="214"/>
        <v>0</v>
      </c>
      <c r="AD1555" s="222" t="str">
        <f t="shared" si="215"/>
        <v/>
      </c>
      <c r="AE1555" s="201"/>
      <c r="AF1555" s="231" t="str">
        <f>+IFERROR(VLOOKUP(L1555,Data!$F$4:$G$97,2,0),"")</f>
        <v/>
      </c>
    </row>
    <row r="1556" spans="9:32" ht="15" customHeight="1" x14ac:dyDescent="0.3">
      <c r="I1556" s="201" t="str">
        <f t="shared" si="208"/>
        <v/>
      </c>
      <c r="J1556" s="218">
        <f t="shared" si="209"/>
        <v>1553</v>
      </c>
      <c r="K1556" s="250"/>
      <c r="L1556" s="219"/>
      <c r="M1556" s="218"/>
      <c r="N1556" s="220" t="str">
        <f>IFERROR(VLOOKUP(M1556,Data!$C$4:$D$395,2,0),"")</f>
        <v/>
      </c>
      <c r="O1556" s="220"/>
      <c r="P1556" s="229"/>
      <c r="Q1556" s="221"/>
      <c r="R1556" s="222" t="str">
        <f t="shared" si="210"/>
        <v>-</v>
      </c>
      <c r="S1556" s="223"/>
      <c r="T1556" s="224"/>
      <c r="U1556" s="225">
        <f t="shared" si="211"/>
        <v>0</v>
      </c>
      <c r="V1556" s="226">
        <v>0</v>
      </c>
      <c r="W1556" s="227"/>
      <c r="X1556" s="228">
        <f t="shared" si="212"/>
        <v>0</v>
      </c>
      <c r="Y1556" s="229"/>
      <c r="Z1556" s="229"/>
      <c r="AA1556" s="229"/>
      <c r="AB1556" s="222">
        <f t="shared" si="213"/>
        <v>0</v>
      </c>
      <c r="AC1556" s="230">
        <f t="shared" si="214"/>
        <v>0</v>
      </c>
      <c r="AD1556" s="222" t="str">
        <f t="shared" si="215"/>
        <v/>
      </c>
      <c r="AE1556" s="201"/>
      <c r="AF1556" s="231" t="str">
        <f>+IFERROR(VLOOKUP(L1556,Data!$F$4:$G$97,2,0),"")</f>
        <v/>
      </c>
    </row>
    <row r="1557" spans="9:32" ht="15" customHeight="1" x14ac:dyDescent="0.3">
      <c r="I1557" s="201" t="str">
        <f t="shared" si="208"/>
        <v/>
      </c>
      <c r="J1557" s="218">
        <f t="shared" si="209"/>
        <v>1554</v>
      </c>
      <c r="K1557" s="250"/>
      <c r="L1557" s="219"/>
      <c r="M1557" s="218"/>
      <c r="N1557" s="220" t="str">
        <f>IFERROR(VLOOKUP(M1557,Data!$C$4:$D$395,2,0),"")</f>
        <v/>
      </c>
      <c r="O1557" s="220"/>
      <c r="P1557" s="229"/>
      <c r="Q1557" s="221"/>
      <c r="R1557" s="222" t="str">
        <f t="shared" si="210"/>
        <v>-</v>
      </c>
      <c r="S1557" s="223"/>
      <c r="T1557" s="224"/>
      <c r="U1557" s="225">
        <f t="shared" si="211"/>
        <v>0</v>
      </c>
      <c r="V1557" s="226">
        <v>0</v>
      </c>
      <c r="W1557" s="227"/>
      <c r="X1557" s="228">
        <f t="shared" si="212"/>
        <v>0</v>
      </c>
      <c r="Y1557" s="229"/>
      <c r="Z1557" s="229"/>
      <c r="AA1557" s="229"/>
      <c r="AB1557" s="222">
        <f t="shared" si="213"/>
        <v>0</v>
      </c>
      <c r="AC1557" s="230">
        <f t="shared" si="214"/>
        <v>0</v>
      </c>
      <c r="AD1557" s="222" t="str">
        <f t="shared" si="215"/>
        <v/>
      </c>
      <c r="AE1557" s="201"/>
      <c r="AF1557" s="231" t="str">
        <f>+IFERROR(VLOOKUP(L1557,Data!$F$4:$G$97,2,0),"")</f>
        <v/>
      </c>
    </row>
    <row r="1558" spans="9:32" ht="15" customHeight="1" x14ac:dyDescent="0.3">
      <c r="I1558" s="201" t="str">
        <f t="shared" si="208"/>
        <v/>
      </c>
      <c r="J1558" s="218">
        <f t="shared" si="209"/>
        <v>1555</v>
      </c>
      <c r="K1558" s="250"/>
      <c r="L1558" s="219"/>
      <c r="M1558" s="218"/>
      <c r="N1558" s="220" t="str">
        <f>IFERROR(VLOOKUP(M1558,Data!$C$4:$D$395,2,0),"")</f>
        <v/>
      </c>
      <c r="O1558" s="220"/>
      <c r="P1558" s="229"/>
      <c r="Q1558" s="221"/>
      <c r="R1558" s="222" t="str">
        <f t="shared" si="210"/>
        <v>-</v>
      </c>
      <c r="S1558" s="223"/>
      <c r="T1558" s="224"/>
      <c r="U1558" s="225">
        <f t="shared" si="211"/>
        <v>0</v>
      </c>
      <c r="V1558" s="226">
        <v>0</v>
      </c>
      <c r="W1558" s="227"/>
      <c r="X1558" s="228">
        <f t="shared" si="212"/>
        <v>0</v>
      </c>
      <c r="Y1558" s="229"/>
      <c r="Z1558" s="229"/>
      <c r="AA1558" s="229"/>
      <c r="AB1558" s="222">
        <f t="shared" si="213"/>
        <v>0</v>
      </c>
      <c r="AC1558" s="230">
        <f t="shared" si="214"/>
        <v>0</v>
      </c>
      <c r="AD1558" s="222" t="str">
        <f t="shared" si="215"/>
        <v/>
      </c>
      <c r="AE1558" s="201"/>
      <c r="AF1558" s="231" t="str">
        <f>+IFERROR(VLOOKUP(L1558,Data!$F$4:$G$97,2,0),"")</f>
        <v/>
      </c>
    </row>
    <row r="1559" spans="9:32" ht="15" customHeight="1" x14ac:dyDescent="0.3">
      <c r="I1559" s="201" t="str">
        <f t="shared" si="208"/>
        <v/>
      </c>
      <c r="J1559" s="218">
        <f t="shared" si="209"/>
        <v>1556</v>
      </c>
      <c r="K1559" s="250"/>
      <c r="L1559" s="219"/>
      <c r="M1559" s="218"/>
      <c r="N1559" s="220" t="str">
        <f>IFERROR(VLOOKUP(M1559,Data!$C$4:$D$395,2,0),"")</f>
        <v/>
      </c>
      <c r="O1559" s="220"/>
      <c r="P1559" s="229"/>
      <c r="Q1559" s="221"/>
      <c r="R1559" s="222" t="str">
        <f t="shared" si="210"/>
        <v>-</v>
      </c>
      <c r="S1559" s="223"/>
      <c r="T1559" s="224"/>
      <c r="U1559" s="225">
        <f t="shared" si="211"/>
        <v>0</v>
      </c>
      <c r="V1559" s="226">
        <v>0</v>
      </c>
      <c r="W1559" s="227"/>
      <c r="X1559" s="228">
        <f t="shared" si="212"/>
        <v>0</v>
      </c>
      <c r="Y1559" s="229"/>
      <c r="Z1559" s="229"/>
      <c r="AA1559" s="229"/>
      <c r="AB1559" s="222">
        <f t="shared" si="213"/>
        <v>0</v>
      </c>
      <c r="AC1559" s="230">
        <f t="shared" si="214"/>
        <v>0</v>
      </c>
      <c r="AD1559" s="222" t="str">
        <f t="shared" si="215"/>
        <v/>
      </c>
      <c r="AE1559" s="201"/>
      <c r="AF1559" s="231" t="str">
        <f>+IFERROR(VLOOKUP(L1559,Data!$F$4:$G$97,2,0),"")</f>
        <v/>
      </c>
    </row>
    <row r="1560" spans="9:32" ht="15" customHeight="1" x14ac:dyDescent="0.3">
      <c r="I1560" s="201" t="str">
        <f t="shared" si="208"/>
        <v/>
      </c>
      <c r="J1560" s="218">
        <f t="shared" si="209"/>
        <v>1557</v>
      </c>
      <c r="K1560" s="250"/>
      <c r="L1560" s="219"/>
      <c r="M1560" s="218"/>
      <c r="N1560" s="220" t="str">
        <f>IFERROR(VLOOKUP(M1560,Data!$C$4:$D$395,2,0),"")</f>
        <v/>
      </c>
      <c r="O1560" s="220"/>
      <c r="P1560" s="229"/>
      <c r="Q1560" s="221"/>
      <c r="R1560" s="222" t="str">
        <f t="shared" si="210"/>
        <v>-</v>
      </c>
      <c r="S1560" s="223"/>
      <c r="T1560" s="224"/>
      <c r="U1560" s="225">
        <f t="shared" si="211"/>
        <v>0</v>
      </c>
      <c r="V1560" s="226">
        <v>0</v>
      </c>
      <c r="W1560" s="227"/>
      <c r="X1560" s="228">
        <f t="shared" si="212"/>
        <v>0</v>
      </c>
      <c r="Y1560" s="229"/>
      <c r="Z1560" s="229"/>
      <c r="AA1560" s="229"/>
      <c r="AB1560" s="222">
        <f t="shared" si="213"/>
        <v>0</v>
      </c>
      <c r="AC1560" s="230">
        <f t="shared" si="214"/>
        <v>0</v>
      </c>
      <c r="AD1560" s="222" t="str">
        <f t="shared" si="215"/>
        <v/>
      </c>
      <c r="AE1560" s="201"/>
      <c r="AF1560" s="231" t="str">
        <f>+IFERROR(VLOOKUP(L1560,Data!$F$4:$G$97,2,0),"")</f>
        <v/>
      </c>
    </row>
    <row r="1561" spans="9:32" ht="15" customHeight="1" x14ac:dyDescent="0.3">
      <c r="I1561" s="201" t="str">
        <f t="shared" si="208"/>
        <v/>
      </c>
      <c r="J1561" s="218">
        <f t="shared" si="209"/>
        <v>1558</v>
      </c>
      <c r="K1561" s="250"/>
      <c r="L1561" s="219"/>
      <c r="M1561" s="218"/>
      <c r="N1561" s="220" t="str">
        <f>IFERROR(VLOOKUP(M1561,Data!$C$4:$D$395,2,0),"")</f>
        <v/>
      </c>
      <c r="O1561" s="220"/>
      <c r="P1561" s="229"/>
      <c r="Q1561" s="221"/>
      <c r="R1561" s="222" t="str">
        <f t="shared" si="210"/>
        <v>-</v>
      </c>
      <c r="S1561" s="223"/>
      <c r="T1561" s="224"/>
      <c r="U1561" s="225">
        <f t="shared" si="211"/>
        <v>0</v>
      </c>
      <c r="V1561" s="226">
        <v>0</v>
      </c>
      <c r="W1561" s="227"/>
      <c r="X1561" s="228">
        <f t="shared" si="212"/>
        <v>0</v>
      </c>
      <c r="Y1561" s="229"/>
      <c r="Z1561" s="229"/>
      <c r="AA1561" s="229"/>
      <c r="AB1561" s="222">
        <f t="shared" si="213"/>
        <v>0</v>
      </c>
      <c r="AC1561" s="230">
        <f t="shared" si="214"/>
        <v>0</v>
      </c>
      <c r="AD1561" s="222" t="str">
        <f t="shared" si="215"/>
        <v/>
      </c>
      <c r="AE1561" s="201"/>
      <c r="AF1561" s="231" t="str">
        <f>+IFERROR(VLOOKUP(L1561,Data!$F$4:$G$97,2,0),"")</f>
        <v/>
      </c>
    </row>
    <row r="1562" spans="9:32" ht="15" customHeight="1" x14ac:dyDescent="0.3">
      <c r="I1562" s="201" t="str">
        <f t="shared" si="208"/>
        <v/>
      </c>
      <c r="J1562" s="218">
        <f t="shared" si="209"/>
        <v>1559</v>
      </c>
      <c r="K1562" s="250"/>
      <c r="L1562" s="219"/>
      <c r="M1562" s="218"/>
      <c r="N1562" s="220" t="str">
        <f>IFERROR(VLOOKUP(M1562,Data!$C$4:$D$395,2,0),"")</f>
        <v/>
      </c>
      <c r="O1562" s="220"/>
      <c r="P1562" s="229"/>
      <c r="Q1562" s="221"/>
      <c r="R1562" s="222" t="str">
        <f t="shared" si="210"/>
        <v>-</v>
      </c>
      <c r="S1562" s="223"/>
      <c r="T1562" s="224"/>
      <c r="U1562" s="225">
        <f t="shared" si="211"/>
        <v>0</v>
      </c>
      <c r="V1562" s="226">
        <v>0</v>
      </c>
      <c r="W1562" s="227"/>
      <c r="X1562" s="228">
        <f t="shared" si="212"/>
        <v>0</v>
      </c>
      <c r="Y1562" s="229"/>
      <c r="Z1562" s="229"/>
      <c r="AA1562" s="229"/>
      <c r="AB1562" s="222">
        <f t="shared" si="213"/>
        <v>0</v>
      </c>
      <c r="AC1562" s="230">
        <f t="shared" si="214"/>
        <v>0</v>
      </c>
      <c r="AD1562" s="222" t="str">
        <f t="shared" si="215"/>
        <v/>
      </c>
      <c r="AE1562" s="201"/>
      <c r="AF1562" s="231" t="str">
        <f>+IFERROR(VLOOKUP(L1562,Data!$F$4:$G$97,2,0),"")</f>
        <v/>
      </c>
    </row>
    <row r="1563" spans="9:32" ht="15" customHeight="1" x14ac:dyDescent="0.3">
      <c r="I1563" s="201" t="str">
        <f t="shared" si="208"/>
        <v/>
      </c>
      <c r="J1563" s="218">
        <f t="shared" si="209"/>
        <v>1560</v>
      </c>
      <c r="K1563" s="250"/>
      <c r="L1563" s="219"/>
      <c r="M1563" s="218"/>
      <c r="N1563" s="220" t="str">
        <f>IFERROR(VLOOKUP(M1563,Data!$C$4:$D$395,2,0),"")</f>
        <v/>
      </c>
      <c r="O1563" s="220"/>
      <c r="P1563" s="229"/>
      <c r="Q1563" s="221"/>
      <c r="R1563" s="222" t="str">
        <f t="shared" si="210"/>
        <v>-</v>
      </c>
      <c r="S1563" s="223"/>
      <c r="T1563" s="224"/>
      <c r="U1563" s="225">
        <f t="shared" si="211"/>
        <v>0</v>
      </c>
      <c r="V1563" s="226">
        <v>0</v>
      </c>
      <c r="W1563" s="227"/>
      <c r="X1563" s="228">
        <f t="shared" si="212"/>
        <v>0</v>
      </c>
      <c r="Y1563" s="229"/>
      <c r="Z1563" s="229"/>
      <c r="AA1563" s="229"/>
      <c r="AB1563" s="222">
        <f t="shared" si="213"/>
        <v>0</v>
      </c>
      <c r="AC1563" s="230">
        <f t="shared" si="214"/>
        <v>0</v>
      </c>
      <c r="AD1563" s="222" t="str">
        <f t="shared" si="215"/>
        <v/>
      </c>
      <c r="AE1563" s="201"/>
      <c r="AF1563" s="231" t="str">
        <f>+IFERROR(VLOOKUP(L1563,Data!$F$4:$G$97,2,0),"")</f>
        <v/>
      </c>
    </row>
    <row r="1564" spans="9:32" ht="15" customHeight="1" x14ac:dyDescent="0.3">
      <c r="I1564" s="201" t="str">
        <f t="shared" si="208"/>
        <v/>
      </c>
      <c r="J1564" s="218">
        <f t="shared" si="209"/>
        <v>1561</v>
      </c>
      <c r="K1564" s="250"/>
      <c r="L1564" s="219"/>
      <c r="M1564" s="218"/>
      <c r="N1564" s="220" t="str">
        <f>IFERROR(VLOOKUP(M1564,Data!$C$4:$D$395,2,0),"")</f>
        <v/>
      </c>
      <c r="O1564" s="220"/>
      <c r="P1564" s="229"/>
      <c r="Q1564" s="221"/>
      <c r="R1564" s="222" t="str">
        <f t="shared" si="210"/>
        <v>-</v>
      </c>
      <c r="S1564" s="223"/>
      <c r="T1564" s="224"/>
      <c r="U1564" s="225">
        <f t="shared" si="211"/>
        <v>0</v>
      </c>
      <c r="V1564" s="226">
        <v>0</v>
      </c>
      <c r="W1564" s="227"/>
      <c r="X1564" s="228">
        <f t="shared" si="212"/>
        <v>0</v>
      </c>
      <c r="Y1564" s="229"/>
      <c r="Z1564" s="229"/>
      <c r="AA1564" s="229"/>
      <c r="AB1564" s="222">
        <f t="shared" si="213"/>
        <v>0</v>
      </c>
      <c r="AC1564" s="230">
        <f t="shared" si="214"/>
        <v>0</v>
      </c>
      <c r="AD1564" s="222" t="str">
        <f t="shared" si="215"/>
        <v/>
      </c>
      <c r="AE1564" s="201"/>
      <c r="AF1564" s="231" t="str">
        <f>+IFERROR(VLOOKUP(L1564,Data!$F$4:$G$97,2,0),"")</f>
        <v/>
      </c>
    </row>
    <row r="1565" spans="9:32" ht="15" customHeight="1" x14ac:dyDescent="0.3">
      <c r="I1565" s="201" t="str">
        <f t="shared" si="208"/>
        <v/>
      </c>
      <c r="J1565" s="218">
        <f t="shared" si="209"/>
        <v>1562</v>
      </c>
      <c r="K1565" s="250"/>
      <c r="L1565" s="219"/>
      <c r="M1565" s="218"/>
      <c r="N1565" s="220" t="str">
        <f>IFERROR(VLOOKUP(M1565,Data!$C$4:$D$395,2,0),"")</f>
        <v/>
      </c>
      <c r="O1565" s="220"/>
      <c r="P1565" s="229"/>
      <c r="Q1565" s="221"/>
      <c r="R1565" s="222" t="str">
        <f t="shared" si="210"/>
        <v>-</v>
      </c>
      <c r="S1565" s="223"/>
      <c r="T1565" s="224"/>
      <c r="U1565" s="225">
        <f t="shared" si="211"/>
        <v>0</v>
      </c>
      <c r="V1565" s="226">
        <v>0</v>
      </c>
      <c r="W1565" s="227"/>
      <c r="X1565" s="228">
        <f t="shared" si="212"/>
        <v>0</v>
      </c>
      <c r="Y1565" s="229"/>
      <c r="Z1565" s="229"/>
      <c r="AA1565" s="229"/>
      <c r="AB1565" s="222">
        <f t="shared" si="213"/>
        <v>0</v>
      </c>
      <c r="AC1565" s="230">
        <f t="shared" si="214"/>
        <v>0</v>
      </c>
      <c r="AD1565" s="222" t="str">
        <f t="shared" si="215"/>
        <v/>
      </c>
      <c r="AE1565" s="201"/>
      <c r="AF1565" s="231" t="str">
        <f>+IFERROR(VLOOKUP(L1565,Data!$F$4:$G$97,2,0),"")</f>
        <v/>
      </c>
    </row>
    <row r="1566" spans="9:32" ht="15" customHeight="1" x14ac:dyDescent="0.3">
      <c r="I1566" s="201" t="str">
        <f t="shared" si="208"/>
        <v/>
      </c>
      <c r="J1566" s="218">
        <f t="shared" si="209"/>
        <v>1563</v>
      </c>
      <c r="K1566" s="250"/>
      <c r="L1566" s="219"/>
      <c r="M1566" s="218"/>
      <c r="N1566" s="220" t="str">
        <f>IFERROR(VLOOKUP(M1566,Data!$C$4:$D$395,2,0),"")</f>
        <v/>
      </c>
      <c r="O1566" s="220"/>
      <c r="P1566" s="229"/>
      <c r="Q1566" s="221"/>
      <c r="R1566" s="222" t="str">
        <f t="shared" si="210"/>
        <v>-</v>
      </c>
      <c r="S1566" s="223"/>
      <c r="T1566" s="224"/>
      <c r="U1566" s="225">
        <f t="shared" si="211"/>
        <v>0</v>
      </c>
      <c r="V1566" s="226">
        <v>0</v>
      </c>
      <c r="W1566" s="227"/>
      <c r="X1566" s="228">
        <f t="shared" si="212"/>
        <v>0</v>
      </c>
      <c r="Y1566" s="229"/>
      <c r="Z1566" s="229"/>
      <c r="AA1566" s="229"/>
      <c r="AB1566" s="222">
        <f t="shared" si="213"/>
        <v>0</v>
      </c>
      <c r="AC1566" s="230">
        <f t="shared" si="214"/>
        <v>0</v>
      </c>
      <c r="AD1566" s="222" t="str">
        <f t="shared" si="215"/>
        <v/>
      </c>
      <c r="AE1566" s="201"/>
      <c r="AF1566" s="231" t="str">
        <f>+IFERROR(VLOOKUP(L1566,Data!$F$4:$G$97,2,0),"")</f>
        <v/>
      </c>
    </row>
    <row r="1567" spans="9:32" ht="15" customHeight="1" x14ac:dyDescent="0.3">
      <c r="I1567" s="201" t="str">
        <f t="shared" si="208"/>
        <v/>
      </c>
      <c r="J1567" s="218">
        <f t="shared" si="209"/>
        <v>1564</v>
      </c>
      <c r="K1567" s="250"/>
      <c r="L1567" s="219"/>
      <c r="M1567" s="218"/>
      <c r="N1567" s="220" t="str">
        <f>IFERROR(VLOOKUP(M1567,Data!$C$4:$D$395,2,0),"")</f>
        <v/>
      </c>
      <c r="O1567" s="220"/>
      <c r="P1567" s="229"/>
      <c r="Q1567" s="221"/>
      <c r="R1567" s="222" t="str">
        <f t="shared" si="210"/>
        <v>-</v>
      </c>
      <c r="S1567" s="223"/>
      <c r="T1567" s="224"/>
      <c r="U1567" s="225">
        <f t="shared" si="211"/>
        <v>0</v>
      </c>
      <c r="V1567" s="226">
        <v>0</v>
      </c>
      <c r="W1567" s="227"/>
      <c r="X1567" s="228">
        <f t="shared" si="212"/>
        <v>0</v>
      </c>
      <c r="Y1567" s="229"/>
      <c r="Z1567" s="229"/>
      <c r="AA1567" s="229"/>
      <c r="AB1567" s="222">
        <f t="shared" si="213"/>
        <v>0</v>
      </c>
      <c r="AC1567" s="230">
        <f t="shared" si="214"/>
        <v>0</v>
      </c>
      <c r="AD1567" s="222" t="str">
        <f t="shared" si="215"/>
        <v/>
      </c>
      <c r="AE1567" s="201"/>
      <c r="AF1567" s="231" t="str">
        <f>+IFERROR(VLOOKUP(L1567,Data!$F$4:$G$97,2,0),"")</f>
        <v/>
      </c>
    </row>
    <row r="1568" spans="9:32" ht="15" customHeight="1" x14ac:dyDescent="0.3">
      <c r="I1568" s="201" t="str">
        <f t="shared" si="208"/>
        <v/>
      </c>
      <c r="J1568" s="218">
        <f t="shared" si="209"/>
        <v>1565</v>
      </c>
      <c r="K1568" s="250"/>
      <c r="L1568" s="219"/>
      <c r="M1568" s="218"/>
      <c r="N1568" s="220" t="str">
        <f>IFERROR(VLOOKUP(M1568,Data!$C$4:$D$395,2,0),"")</f>
        <v/>
      </c>
      <c r="O1568" s="220"/>
      <c r="P1568" s="229"/>
      <c r="Q1568" s="221"/>
      <c r="R1568" s="222" t="str">
        <f t="shared" si="210"/>
        <v>-</v>
      </c>
      <c r="S1568" s="223"/>
      <c r="T1568" s="224"/>
      <c r="U1568" s="225">
        <f t="shared" si="211"/>
        <v>0</v>
      </c>
      <c r="V1568" s="226">
        <v>0</v>
      </c>
      <c r="W1568" s="227"/>
      <c r="X1568" s="228">
        <f t="shared" si="212"/>
        <v>0</v>
      </c>
      <c r="Y1568" s="229"/>
      <c r="Z1568" s="229"/>
      <c r="AA1568" s="229"/>
      <c r="AB1568" s="222">
        <f t="shared" si="213"/>
        <v>0</v>
      </c>
      <c r="AC1568" s="230">
        <f t="shared" si="214"/>
        <v>0</v>
      </c>
      <c r="AD1568" s="222" t="str">
        <f t="shared" si="215"/>
        <v/>
      </c>
      <c r="AE1568" s="201"/>
      <c r="AF1568" s="231" t="str">
        <f>+IFERROR(VLOOKUP(L1568,Data!$F$4:$G$97,2,0),"")</f>
        <v/>
      </c>
    </row>
    <row r="1569" spans="9:32" ht="15" customHeight="1" x14ac:dyDescent="0.3">
      <c r="I1569" s="201" t="str">
        <f t="shared" si="208"/>
        <v/>
      </c>
      <c r="J1569" s="218">
        <f t="shared" si="209"/>
        <v>1566</v>
      </c>
      <c r="K1569" s="250"/>
      <c r="L1569" s="219"/>
      <c r="M1569" s="218"/>
      <c r="N1569" s="220" t="str">
        <f>IFERROR(VLOOKUP(M1569,Data!$C$4:$D$395,2,0),"")</f>
        <v/>
      </c>
      <c r="O1569" s="220"/>
      <c r="P1569" s="229"/>
      <c r="Q1569" s="221"/>
      <c r="R1569" s="222" t="str">
        <f t="shared" si="210"/>
        <v>-</v>
      </c>
      <c r="S1569" s="223"/>
      <c r="T1569" s="224"/>
      <c r="U1569" s="225">
        <f t="shared" si="211"/>
        <v>0</v>
      </c>
      <c r="V1569" s="226">
        <v>0</v>
      </c>
      <c r="W1569" s="227"/>
      <c r="X1569" s="228">
        <f t="shared" si="212"/>
        <v>0</v>
      </c>
      <c r="Y1569" s="229"/>
      <c r="Z1569" s="229"/>
      <c r="AA1569" s="229"/>
      <c r="AB1569" s="222">
        <f t="shared" si="213"/>
        <v>0</v>
      </c>
      <c r="AC1569" s="230">
        <f t="shared" si="214"/>
        <v>0</v>
      </c>
      <c r="AD1569" s="222" t="str">
        <f t="shared" si="215"/>
        <v/>
      </c>
      <c r="AE1569" s="201"/>
      <c r="AF1569" s="231" t="str">
        <f>+IFERROR(VLOOKUP(L1569,Data!$F$4:$G$97,2,0),"")</f>
        <v/>
      </c>
    </row>
    <row r="1570" spans="9:32" ht="15" customHeight="1" x14ac:dyDescent="0.3">
      <c r="I1570" s="201" t="str">
        <f t="shared" si="208"/>
        <v/>
      </c>
      <c r="J1570" s="218">
        <f t="shared" si="209"/>
        <v>1567</v>
      </c>
      <c r="K1570" s="250"/>
      <c r="L1570" s="219"/>
      <c r="M1570" s="218"/>
      <c r="N1570" s="220" t="str">
        <f>IFERROR(VLOOKUP(M1570,Data!$C$4:$D$395,2,0),"")</f>
        <v/>
      </c>
      <c r="O1570" s="220"/>
      <c r="P1570" s="229"/>
      <c r="Q1570" s="221"/>
      <c r="R1570" s="222" t="str">
        <f t="shared" si="210"/>
        <v>-</v>
      </c>
      <c r="S1570" s="223"/>
      <c r="T1570" s="224"/>
      <c r="U1570" s="225">
        <f t="shared" si="211"/>
        <v>0</v>
      </c>
      <c r="V1570" s="226">
        <v>0</v>
      </c>
      <c r="W1570" s="227"/>
      <c r="X1570" s="228">
        <f t="shared" si="212"/>
        <v>0</v>
      </c>
      <c r="Y1570" s="229"/>
      <c r="Z1570" s="229"/>
      <c r="AA1570" s="229"/>
      <c r="AB1570" s="222">
        <f t="shared" si="213"/>
        <v>0</v>
      </c>
      <c r="AC1570" s="230">
        <f t="shared" si="214"/>
        <v>0</v>
      </c>
      <c r="AD1570" s="222" t="str">
        <f t="shared" si="215"/>
        <v/>
      </c>
      <c r="AE1570" s="201"/>
      <c r="AF1570" s="231" t="str">
        <f>+IFERROR(VLOOKUP(L1570,Data!$F$4:$G$97,2,0),"")</f>
        <v/>
      </c>
    </row>
    <row r="1571" spans="9:32" ht="15" customHeight="1" x14ac:dyDescent="0.3">
      <c r="I1571" s="201" t="str">
        <f t="shared" si="208"/>
        <v/>
      </c>
      <c r="J1571" s="218">
        <f t="shared" si="209"/>
        <v>1568</v>
      </c>
      <c r="K1571" s="250"/>
      <c r="L1571" s="219"/>
      <c r="M1571" s="218"/>
      <c r="N1571" s="220" t="str">
        <f>IFERROR(VLOOKUP(M1571,Data!$C$4:$D$395,2,0),"")</f>
        <v/>
      </c>
      <c r="O1571" s="220"/>
      <c r="P1571" s="229"/>
      <c r="Q1571" s="221"/>
      <c r="R1571" s="222" t="str">
        <f t="shared" si="210"/>
        <v>-</v>
      </c>
      <c r="S1571" s="223"/>
      <c r="T1571" s="224"/>
      <c r="U1571" s="225">
        <f t="shared" si="211"/>
        <v>0</v>
      </c>
      <c r="V1571" s="226">
        <v>0</v>
      </c>
      <c r="W1571" s="227"/>
      <c r="X1571" s="228">
        <f t="shared" si="212"/>
        <v>0</v>
      </c>
      <c r="Y1571" s="229"/>
      <c r="Z1571" s="229"/>
      <c r="AA1571" s="229"/>
      <c r="AB1571" s="222">
        <f t="shared" si="213"/>
        <v>0</v>
      </c>
      <c r="AC1571" s="230">
        <f t="shared" si="214"/>
        <v>0</v>
      </c>
      <c r="AD1571" s="222" t="str">
        <f t="shared" si="215"/>
        <v/>
      </c>
      <c r="AE1571" s="201"/>
      <c r="AF1571" s="231" t="str">
        <f>+IFERROR(VLOOKUP(L1571,Data!$F$4:$G$97,2,0),"")</f>
        <v/>
      </c>
    </row>
    <row r="1572" spans="9:32" ht="15" customHeight="1" x14ac:dyDescent="0.3">
      <c r="I1572" s="201" t="str">
        <f t="shared" si="208"/>
        <v/>
      </c>
      <c r="J1572" s="218">
        <f t="shared" si="209"/>
        <v>1569</v>
      </c>
      <c r="K1572" s="250"/>
      <c r="L1572" s="219"/>
      <c r="M1572" s="218"/>
      <c r="N1572" s="220" t="str">
        <f>IFERROR(VLOOKUP(M1572,Data!$C$4:$D$395,2,0),"")</f>
        <v/>
      </c>
      <c r="O1572" s="220"/>
      <c r="P1572" s="229"/>
      <c r="Q1572" s="221"/>
      <c r="R1572" s="222" t="str">
        <f t="shared" si="210"/>
        <v>-</v>
      </c>
      <c r="S1572" s="223"/>
      <c r="T1572" s="224"/>
      <c r="U1572" s="225">
        <f t="shared" si="211"/>
        <v>0</v>
      </c>
      <c r="V1572" s="226">
        <v>0</v>
      </c>
      <c r="W1572" s="227"/>
      <c r="X1572" s="228">
        <f t="shared" si="212"/>
        <v>0</v>
      </c>
      <c r="Y1572" s="229"/>
      <c r="Z1572" s="229"/>
      <c r="AA1572" s="229"/>
      <c r="AB1572" s="222">
        <f t="shared" si="213"/>
        <v>0</v>
      </c>
      <c r="AC1572" s="230">
        <f t="shared" si="214"/>
        <v>0</v>
      </c>
      <c r="AD1572" s="222" t="str">
        <f t="shared" si="215"/>
        <v/>
      </c>
      <c r="AE1572" s="201"/>
      <c r="AF1572" s="231" t="str">
        <f>+IFERROR(VLOOKUP(L1572,Data!$F$4:$G$97,2,0),"")</f>
        <v/>
      </c>
    </row>
    <row r="1573" spans="9:32" ht="15" customHeight="1" x14ac:dyDescent="0.3">
      <c r="I1573" s="201" t="str">
        <f t="shared" si="208"/>
        <v/>
      </c>
      <c r="J1573" s="218">
        <f t="shared" si="209"/>
        <v>1570</v>
      </c>
      <c r="K1573" s="250"/>
      <c r="L1573" s="219"/>
      <c r="M1573" s="218"/>
      <c r="N1573" s="220" t="str">
        <f>IFERROR(VLOOKUP(M1573,Data!$C$4:$D$395,2,0),"")</f>
        <v/>
      </c>
      <c r="O1573" s="220"/>
      <c r="P1573" s="229"/>
      <c r="Q1573" s="221"/>
      <c r="R1573" s="222" t="str">
        <f t="shared" si="210"/>
        <v>-</v>
      </c>
      <c r="S1573" s="223"/>
      <c r="T1573" s="224"/>
      <c r="U1573" s="225">
        <f t="shared" si="211"/>
        <v>0</v>
      </c>
      <c r="V1573" s="226">
        <v>0</v>
      </c>
      <c r="W1573" s="227"/>
      <c r="X1573" s="228">
        <f t="shared" si="212"/>
        <v>0</v>
      </c>
      <c r="Y1573" s="229"/>
      <c r="Z1573" s="229"/>
      <c r="AA1573" s="229"/>
      <c r="AB1573" s="222">
        <f t="shared" si="213"/>
        <v>0</v>
      </c>
      <c r="AC1573" s="230">
        <f t="shared" si="214"/>
        <v>0</v>
      </c>
      <c r="AD1573" s="222" t="str">
        <f t="shared" si="215"/>
        <v/>
      </c>
      <c r="AE1573" s="201"/>
      <c r="AF1573" s="231" t="str">
        <f>+IFERROR(VLOOKUP(L1573,Data!$F$4:$G$97,2,0),"")</f>
        <v/>
      </c>
    </row>
    <row r="1574" spans="9:32" ht="15" customHeight="1" x14ac:dyDescent="0.3">
      <c r="I1574" s="201" t="str">
        <f t="shared" si="208"/>
        <v/>
      </c>
      <c r="J1574" s="218">
        <f t="shared" si="209"/>
        <v>1571</v>
      </c>
      <c r="K1574" s="250"/>
      <c r="L1574" s="219"/>
      <c r="M1574" s="218"/>
      <c r="N1574" s="220" t="str">
        <f>IFERROR(VLOOKUP(M1574,Data!$C$4:$D$395,2,0),"")</f>
        <v/>
      </c>
      <c r="O1574" s="220"/>
      <c r="P1574" s="229"/>
      <c r="Q1574" s="221"/>
      <c r="R1574" s="222" t="str">
        <f t="shared" si="210"/>
        <v>-</v>
      </c>
      <c r="S1574" s="223"/>
      <c r="T1574" s="224"/>
      <c r="U1574" s="225">
        <f t="shared" si="211"/>
        <v>0</v>
      </c>
      <c r="V1574" s="226">
        <v>0</v>
      </c>
      <c r="W1574" s="227"/>
      <c r="X1574" s="228">
        <f t="shared" si="212"/>
        <v>0</v>
      </c>
      <c r="Y1574" s="229"/>
      <c r="Z1574" s="229"/>
      <c r="AA1574" s="229"/>
      <c r="AB1574" s="222">
        <f t="shared" si="213"/>
        <v>0</v>
      </c>
      <c r="AC1574" s="230">
        <f t="shared" si="214"/>
        <v>0</v>
      </c>
      <c r="AD1574" s="222" t="str">
        <f t="shared" si="215"/>
        <v/>
      </c>
      <c r="AE1574" s="201"/>
      <c r="AF1574" s="231" t="str">
        <f>+IFERROR(VLOOKUP(L1574,Data!$F$4:$G$97,2,0),"")</f>
        <v/>
      </c>
    </row>
    <row r="1575" spans="9:32" ht="15" customHeight="1" x14ac:dyDescent="0.3">
      <c r="I1575" s="201" t="str">
        <f t="shared" si="208"/>
        <v/>
      </c>
      <c r="J1575" s="218">
        <f t="shared" si="209"/>
        <v>1572</v>
      </c>
      <c r="K1575" s="250"/>
      <c r="L1575" s="219"/>
      <c r="M1575" s="218"/>
      <c r="N1575" s="220" t="str">
        <f>IFERROR(VLOOKUP(M1575,Data!$C$4:$D$395,2,0),"")</f>
        <v/>
      </c>
      <c r="O1575" s="220"/>
      <c r="P1575" s="229"/>
      <c r="Q1575" s="221"/>
      <c r="R1575" s="222" t="str">
        <f t="shared" si="210"/>
        <v>-</v>
      </c>
      <c r="S1575" s="223"/>
      <c r="T1575" s="224"/>
      <c r="U1575" s="225">
        <f t="shared" si="211"/>
        <v>0</v>
      </c>
      <c r="V1575" s="226">
        <v>0</v>
      </c>
      <c r="W1575" s="227"/>
      <c r="X1575" s="228">
        <f t="shared" si="212"/>
        <v>0</v>
      </c>
      <c r="Y1575" s="229"/>
      <c r="Z1575" s="229"/>
      <c r="AA1575" s="229"/>
      <c r="AB1575" s="222">
        <f t="shared" si="213"/>
        <v>0</v>
      </c>
      <c r="AC1575" s="230">
        <f t="shared" si="214"/>
        <v>0</v>
      </c>
      <c r="AD1575" s="222" t="str">
        <f t="shared" si="215"/>
        <v/>
      </c>
      <c r="AE1575" s="201"/>
      <c r="AF1575" s="231" t="str">
        <f>+IFERROR(VLOOKUP(L1575,Data!$F$4:$G$97,2,0),"")</f>
        <v/>
      </c>
    </row>
    <row r="1576" spans="9:32" ht="15" customHeight="1" x14ac:dyDescent="0.3">
      <c r="I1576" s="201" t="str">
        <f t="shared" si="208"/>
        <v/>
      </c>
      <c r="J1576" s="218">
        <f t="shared" si="209"/>
        <v>1573</v>
      </c>
      <c r="K1576" s="250"/>
      <c r="L1576" s="219"/>
      <c r="M1576" s="218"/>
      <c r="N1576" s="220" t="str">
        <f>IFERROR(VLOOKUP(M1576,Data!$C$4:$D$395,2,0),"")</f>
        <v/>
      </c>
      <c r="O1576" s="220"/>
      <c r="P1576" s="229"/>
      <c r="Q1576" s="221"/>
      <c r="R1576" s="222" t="str">
        <f t="shared" si="210"/>
        <v>-</v>
      </c>
      <c r="S1576" s="223"/>
      <c r="T1576" s="224"/>
      <c r="U1576" s="225">
        <f t="shared" si="211"/>
        <v>0</v>
      </c>
      <c r="V1576" s="226">
        <v>0</v>
      </c>
      <c r="W1576" s="227"/>
      <c r="X1576" s="228">
        <f t="shared" si="212"/>
        <v>0</v>
      </c>
      <c r="Y1576" s="229"/>
      <c r="Z1576" s="229"/>
      <c r="AA1576" s="229"/>
      <c r="AB1576" s="222">
        <f t="shared" si="213"/>
        <v>0</v>
      </c>
      <c r="AC1576" s="230">
        <f t="shared" si="214"/>
        <v>0</v>
      </c>
      <c r="AD1576" s="222" t="str">
        <f t="shared" si="215"/>
        <v/>
      </c>
      <c r="AE1576" s="201"/>
      <c r="AF1576" s="231" t="str">
        <f>+IFERROR(VLOOKUP(L1576,Data!$F$4:$G$97,2,0),"")</f>
        <v/>
      </c>
    </row>
    <row r="1577" spans="9:32" ht="15" customHeight="1" x14ac:dyDescent="0.3">
      <c r="I1577" s="201" t="str">
        <f t="shared" si="208"/>
        <v/>
      </c>
      <c r="J1577" s="218">
        <f t="shared" si="209"/>
        <v>1574</v>
      </c>
      <c r="K1577" s="250"/>
      <c r="L1577" s="219"/>
      <c r="M1577" s="218"/>
      <c r="N1577" s="220" t="str">
        <f>IFERROR(VLOOKUP(M1577,Data!$C$4:$D$395,2,0),"")</f>
        <v/>
      </c>
      <c r="O1577" s="220"/>
      <c r="P1577" s="229"/>
      <c r="Q1577" s="221"/>
      <c r="R1577" s="222" t="str">
        <f t="shared" si="210"/>
        <v>-</v>
      </c>
      <c r="S1577" s="223"/>
      <c r="T1577" s="224"/>
      <c r="U1577" s="225">
        <f t="shared" si="211"/>
        <v>0</v>
      </c>
      <c r="V1577" s="226">
        <v>0</v>
      </c>
      <c r="W1577" s="227"/>
      <c r="X1577" s="228">
        <f t="shared" si="212"/>
        <v>0</v>
      </c>
      <c r="Y1577" s="229"/>
      <c r="Z1577" s="229"/>
      <c r="AA1577" s="229"/>
      <c r="AB1577" s="222">
        <f t="shared" si="213"/>
        <v>0</v>
      </c>
      <c r="AC1577" s="230">
        <f t="shared" si="214"/>
        <v>0</v>
      </c>
      <c r="AD1577" s="222" t="str">
        <f t="shared" si="215"/>
        <v/>
      </c>
      <c r="AE1577" s="201"/>
      <c r="AF1577" s="231" t="str">
        <f>+IFERROR(VLOOKUP(L1577,Data!$F$4:$G$97,2,0),"")</f>
        <v/>
      </c>
    </row>
    <row r="1578" spans="9:32" ht="15" customHeight="1" x14ac:dyDescent="0.3">
      <c r="I1578" s="201" t="str">
        <f t="shared" si="208"/>
        <v/>
      </c>
      <c r="J1578" s="218">
        <f t="shared" si="209"/>
        <v>1575</v>
      </c>
      <c r="K1578" s="250"/>
      <c r="L1578" s="219"/>
      <c r="M1578" s="218"/>
      <c r="N1578" s="220" t="str">
        <f>IFERROR(VLOOKUP(M1578,Data!$C$4:$D$395,2,0),"")</f>
        <v/>
      </c>
      <c r="O1578" s="220"/>
      <c r="P1578" s="229"/>
      <c r="Q1578" s="221"/>
      <c r="R1578" s="222" t="str">
        <f t="shared" si="210"/>
        <v>-</v>
      </c>
      <c r="S1578" s="223"/>
      <c r="T1578" s="224"/>
      <c r="U1578" s="225">
        <f t="shared" si="211"/>
        <v>0</v>
      </c>
      <c r="V1578" s="226">
        <v>0</v>
      </c>
      <c r="W1578" s="227"/>
      <c r="X1578" s="228">
        <f t="shared" si="212"/>
        <v>0</v>
      </c>
      <c r="Y1578" s="229"/>
      <c r="Z1578" s="229"/>
      <c r="AA1578" s="229"/>
      <c r="AB1578" s="222">
        <f t="shared" si="213"/>
        <v>0</v>
      </c>
      <c r="AC1578" s="230">
        <f t="shared" si="214"/>
        <v>0</v>
      </c>
      <c r="AD1578" s="222" t="str">
        <f t="shared" si="215"/>
        <v/>
      </c>
      <c r="AE1578" s="201"/>
      <c r="AF1578" s="231" t="str">
        <f>+IFERROR(VLOOKUP(L1578,Data!$F$4:$G$97,2,0),"")</f>
        <v/>
      </c>
    </row>
    <row r="1579" spans="9:32" ht="15" customHeight="1" x14ac:dyDescent="0.3">
      <c r="I1579" s="201" t="str">
        <f t="shared" si="208"/>
        <v/>
      </c>
      <c r="J1579" s="218">
        <f t="shared" si="209"/>
        <v>1576</v>
      </c>
      <c r="K1579" s="250"/>
      <c r="L1579" s="219"/>
      <c r="M1579" s="218"/>
      <c r="N1579" s="220" t="str">
        <f>IFERROR(VLOOKUP(M1579,Data!$C$4:$D$395,2,0),"")</f>
        <v/>
      </c>
      <c r="O1579" s="220"/>
      <c r="P1579" s="229"/>
      <c r="Q1579" s="221"/>
      <c r="R1579" s="222" t="str">
        <f t="shared" si="210"/>
        <v>-</v>
      </c>
      <c r="S1579" s="223"/>
      <c r="T1579" s="224"/>
      <c r="U1579" s="225">
        <f t="shared" si="211"/>
        <v>0</v>
      </c>
      <c r="V1579" s="226">
        <v>0</v>
      </c>
      <c r="W1579" s="227"/>
      <c r="X1579" s="228">
        <f t="shared" si="212"/>
        <v>0</v>
      </c>
      <c r="Y1579" s="229"/>
      <c r="Z1579" s="229"/>
      <c r="AA1579" s="229"/>
      <c r="AB1579" s="222">
        <f t="shared" si="213"/>
        <v>0</v>
      </c>
      <c r="AC1579" s="230">
        <f t="shared" si="214"/>
        <v>0</v>
      </c>
      <c r="AD1579" s="222" t="str">
        <f t="shared" si="215"/>
        <v/>
      </c>
      <c r="AE1579" s="201"/>
      <c r="AF1579" s="231" t="str">
        <f>+IFERROR(VLOOKUP(L1579,Data!$F$4:$G$97,2,0),"")</f>
        <v/>
      </c>
    </row>
    <row r="1580" spans="9:32" ht="15" customHeight="1" x14ac:dyDescent="0.3">
      <c r="I1580" s="201" t="str">
        <f t="shared" si="208"/>
        <v/>
      </c>
      <c r="J1580" s="218">
        <f t="shared" si="209"/>
        <v>1577</v>
      </c>
      <c r="K1580" s="250"/>
      <c r="L1580" s="219"/>
      <c r="M1580" s="218"/>
      <c r="N1580" s="220" t="str">
        <f>IFERROR(VLOOKUP(M1580,Data!$C$4:$D$395,2,0),"")</f>
        <v/>
      </c>
      <c r="O1580" s="220"/>
      <c r="P1580" s="229"/>
      <c r="Q1580" s="221"/>
      <c r="R1580" s="222" t="str">
        <f t="shared" si="210"/>
        <v>-</v>
      </c>
      <c r="S1580" s="223"/>
      <c r="T1580" s="224"/>
      <c r="U1580" s="225">
        <f t="shared" si="211"/>
        <v>0</v>
      </c>
      <c r="V1580" s="226">
        <v>0</v>
      </c>
      <c r="W1580" s="227"/>
      <c r="X1580" s="228">
        <f t="shared" si="212"/>
        <v>0</v>
      </c>
      <c r="Y1580" s="229"/>
      <c r="Z1580" s="229"/>
      <c r="AA1580" s="229"/>
      <c r="AB1580" s="222">
        <f t="shared" si="213"/>
        <v>0</v>
      </c>
      <c r="AC1580" s="230">
        <f t="shared" si="214"/>
        <v>0</v>
      </c>
      <c r="AD1580" s="222" t="str">
        <f t="shared" si="215"/>
        <v/>
      </c>
      <c r="AE1580" s="201"/>
      <c r="AF1580" s="231" t="str">
        <f>+IFERROR(VLOOKUP(L1580,Data!$F$4:$G$97,2,0),"")</f>
        <v/>
      </c>
    </row>
    <row r="1581" spans="9:32" ht="15" customHeight="1" x14ac:dyDescent="0.3">
      <c r="I1581" s="201" t="str">
        <f t="shared" si="208"/>
        <v/>
      </c>
      <c r="J1581" s="218">
        <f t="shared" si="209"/>
        <v>1578</v>
      </c>
      <c r="K1581" s="250"/>
      <c r="L1581" s="219"/>
      <c r="M1581" s="218"/>
      <c r="N1581" s="220" t="str">
        <f>IFERROR(VLOOKUP(M1581,Data!$C$4:$D$395,2,0),"")</f>
        <v/>
      </c>
      <c r="O1581" s="220"/>
      <c r="P1581" s="229"/>
      <c r="Q1581" s="221"/>
      <c r="R1581" s="222" t="str">
        <f t="shared" si="210"/>
        <v>-</v>
      </c>
      <c r="S1581" s="223"/>
      <c r="T1581" s="224"/>
      <c r="U1581" s="225">
        <f t="shared" si="211"/>
        <v>0</v>
      </c>
      <c r="V1581" s="226">
        <v>0</v>
      </c>
      <c r="W1581" s="227"/>
      <c r="X1581" s="228">
        <f t="shared" si="212"/>
        <v>0</v>
      </c>
      <c r="Y1581" s="229"/>
      <c r="Z1581" s="229"/>
      <c r="AA1581" s="229"/>
      <c r="AB1581" s="222">
        <f t="shared" si="213"/>
        <v>0</v>
      </c>
      <c r="AC1581" s="230">
        <f t="shared" si="214"/>
        <v>0</v>
      </c>
      <c r="AD1581" s="222" t="str">
        <f t="shared" si="215"/>
        <v/>
      </c>
      <c r="AE1581" s="201"/>
      <c r="AF1581" s="231" t="str">
        <f>+IFERROR(VLOOKUP(L1581,Data!$F$4:$G$97,2,0),"")</f>
        <v/>
      </c>
    </row>
    <row r="1582" spans="9:32" ht="15" customHeight="1" x14ac:dyDescent="0.3">
      <c r="I1582" s="201" t="str">
        <f t="shared" si="208"/>
        <v/>
      </c>
      <c r="J1582" s="218">
        <f t="shared" si="209"/>
        <v>1579</v>
      </c>
      <c r="K1582" s="250"/>
      <c r="L1582" s="219"/>
      <c r="M1582" s="218"/>
      <c r="N1582" s="220" t="str">
        <f>IFERROR(VLOOKUP(M1582,Data!$C$4:$D$395,2,0),"")</f>
        <v/>
      </c>
      <c r="O1582" s="220"/>
      <c r="P1582" s="229"/>
      <c r="Q1582" s="221"/>
      <c r="R1582" s="222" t="str">
        <f t="shared" si="210"/>
        <v>-</v>
      </c>
      <c r="S1582" s="223"/>
      <c r="T1582" s="224"/>
      <c r="U1582" s="225">
        <f t="shared" si="211"/>
        <v>0</v>
      </c>
      <c r="V1582" s="226">
        <v>0</v>
      </c>
      <c r="W1582" s="227"/>
      <c r="X1582" s="228">
        <f t="shared" si="212"/>
        <v>0</v>
      </c>
      <c r="Y1582" s="229"/>
      <c r="Z1582" s="229"/>
      <c r="AA1582" s="229"/>
      <c r="AB1582" s="222">
        <f t="shared" si="213"/>
        <v>0</v>
      </c>
      <c r="AC1582" s="230">
        <f t="shared" si="214"/>
        <v>0</v>
      </c>
      <c r="AD1582" s="222" t="str">
        <f t="shared" si="215"/>
        <v/>
      </c>
      <c r="AE1582" s="201"/>
      <c r="AF1582" s="231" t="str">
        <f>+IFERROR(VLOOKUP(L1582,Data!$F$4:$G$97,2,0),"")</f>
        <v/>
      </c>
    </row>
    <row r="1583" spans="9:32" ht="15" customHeight="1" x14ac:dyDescent="0.3">
      <c r="I1583" s="201" t="str">
        <f t="shared" si="208"/>
        <v/>
      </c>
      <c r="J1583" s="218">
        <f t="shared" si="209"/>
        <v>1580</v>
      </c>
      <c r="K1583" s="250"/>
      <c r="L1583" s="219"/>
      <c r="M1583" s="218"/>
      <c r="N1583" s="220" t="str">
        <f>IFERROR(VLOOKUP(M1583,Data!$C$4:$D$395,2,0),"")</f>
        <v/>
      </c>
      <c r="O1583" s="220"/>
      <c r="P1583" s="229"/>
      <c r="Q1583" s="221"/>
      <c r="R1583" s="222" t="str">
        <f t="shared" si="210"/>
        <v>-</v>
      </c>
      <c r="S1583" s="223"/>
      <c r="T1583" s="224"/>
      <c r="U1583" s="225">
        <f t="shared" si="211"/>
        <v>0</v>
      </c>
      <c r="V1583" s="226">
        <v>0</v>
      </c>
      <c r="W1583" s="227"/>
      <c r="X1583" s="228">
        <f t="shared" si="212"/>
        <v>0</v>
      </c>
      <c r="Y1583" s="229"/>
      <c r="Z1583" s="229"/>
      <c r="AA1583" s="229"/>
      <c r="AB1583" s="222">
        <f t="shared" si="213"/>
        <v>0</v>
      </c>
      <c r="AC1583" s="230">
        <f t="shared" si="214"/>
        <v>0</v>
      </c>
      <c r="AD1583" s="222" t="str">
        <f t="shared" si="215"/>
        <v/>
      </c>
      <c r="AE1583" s="201"/>
      <c r="AF1583" s="231" t="str">
        <f>+IFERROR(VLOOKUP(L1583,Data!$F$4:$G$97,2,0),"")</f>
        <v/>
      </c>
    </row>
    <row r="1584" spans="9:32" ht="15" customHeight="1" x14ac:dyDescent="0.3">
      <c r="I1584" s="201" t="str">
        <f t="shared" si="208"/>
        <v/>
      </c>
      <c r="J1584" s="218">
        <f t="shared" si="209"/>
        <v>1581</v>
      </c>
      <c r="K1584" s="250"/>
      <c r="L1584" s="219"/>
      <c r="M1584" s="218"/>
      <c r="N1584" s="220" t="str">
        <f>IFERROR(VLOOKUP(M1584,Data!$C$4:$D$395,2,0),"")</f>
        <v/>
      </c>
      <c r="O1584" s="220"/>
      <c r="P1584" s="229"/>
      <c r="Q1584" s="221"/>
      <c r="R1584" s="222" t="str">
        <f t="shared" si="210"/>
        <v>-</v>
      </c>
      <c r="S1584" s="223"/>
      <c r="T1584" s="224"/>
      <c r="U1584" s="225">
        <f t="shared" si="211"/>
        <v>0</v>
      </c>
      <c r="V1584" s="226">
        <v>0</v>
      </c>
      <c r="W1584" s="227"/>
      <c r="X1584" s="228">
        <f t="shared" si="212"/>
        <v>0</v>
      </c>
      <c r="Y1584" s="229"/>
      <c r="Z1584" s="229"/>
      <c r="AA1584" s="229"/>
      <c r="AB1584" s="222">
        <f t="shared" si="213"/>
        <v>0</v>
      </c>
      <c r="AC1584" s="230">
        <f t="shared" si="214"/>
        <v>0</v>
      </c>
      <c r="AD1584" s="222" t="str">
        <f t="shared" si="215"/>
        <v/>
      </c>
      <c r="AE1584" s="201"/>
      <c r="AF1584" s="231" t="str">
        <f>+IFERROR(VLOOKUP(L1584,Data!$F$4:$G$97,2,0),"")</f>
        <v/>
      </c>
    </row>
    <row r="1585" spans="9:32" ht="15" customHeight="1" x14ac:dyDescent="0.3">
      <c r="I1585" s="201" t="str">
        <f t="shared" si="208"/>
        <v/>
      </c>
      <c r="J1585" s="218">
        <f t="shared" si="209"/>
        <v>1582</v>
      </c>
      <c r="K1585" s="250"/>
      <c r="L1585" s="219"/>
      <c r="M1585" s="218"/>
      <c r="N1585" s="220" t="str">
        <f>IFERROR(VLOOKUP(M1585,Data!$C$4:$D$395,2,0),"")</f>
        <v/>
      </c>
      <c r="O1585" s="220"/>
      <c r="P1585" s="229"/>
      <c r="Q1585" s="221"/>
      <c r="R1585" s="222" t="str">
        <f t="shared" si="210"/>
        <v>-</v>
      </c>
      <c r="S1585" s="223"/>
      <c r="T1585" s="224"/>
      <c r="U1585" s="225">
        <f t="shared" si="211"/>
        <v>0</v>
      </c>
      <c r="V1585" s="226">
        <v>0</v>
      </c>
      <c r="W1585" s="227"/>
      <c r="X1585" s="228">
        <f t="shared" si="212"/>
        <v>0</v>
      </c>
      <c r="Y1585" s="229"/>
      <c r="Z1585" s="229"/>
      <c r="AA1585" s="229"/>
      <c r="AB1585" s="222">
        <f t="shared" si="213"/>
        <v>0</v>
      </c>
      <c r="AC1585" s="230">
        <f t="shared" si="214"/>
        <v>0</v>
      </c>
      <c r="AD1585" s="222" t="str">
        <f t="shared" si="215"/>
        <v/>
      </c>
      <c r="AE1585" s="201"/>
      <c r="AF1585" s="231" t="str">
        <f>+IFERROR(VLOOKUP(L1585,Data!$F$4:$G$97,2,0),"")</f>
        <v/>
      </c>
    </row>
    <row r="1586" spans="9:32" ht="15" customHeight="1" x14ac:dyDescent="0.3">
      <c r="I1586" s="201" t="str">
        <f t="shared" si="208"/>
        <v/>
      </c>
      <c r="J1586" s="218">
        <f t="shared" si="209"/>
        <v>1583</v>
      </c>
      <c r="K1586" s="250"/>
      <c r="L1586" s="219"/>
      <c r="M1586" s="218"/>
      <c r="N1586" s="220" t="str">
        <f>IFERROR(VLOOKUP(M1586,Data!$C$4:$D$395,2,0),"")</f>
        <v/>
      </c>
      <c r="O1586" s="220"/>
      <c r="P1586" s="229"/>
      <c r="Q1586" s="221"/>
      <c r="R1586" s="222" t="str">
        <f t="shared" si="210"/>
        <v>-</v>
      </c>
      <c r="S1586" s="223"/>
      <c r="T1586" s="224"/>
      <c r="U1586" s="225">
        <f t="shared" si="211"/>
        <v>0</v>
      </c>
      <c r="V1586" s="226">
        <v>0</v>
      </c>
      <c r="W1586" s="227"/>
      <c r="X1586" s="228">
        <f t="shared" si="212"/>
        <v>0</v>
      </c>
      <c r="Y1586" s="229"/>
      <c r="Z1586" s="229"/>
      <c r="AA1586" s="229"/>
      <c r="AB1586" s="222">
        <f t="shared" si="213"/>
        <v>0</v>
      </c>
      <c r="AC1586" s="230">
        <f t="shared" si="214"/>
        <v>0</v>
      </c>
      <c r="AD1586" s="222" t="str">
        <f t="shared" si="215"/>
        <v/>
      </c>
      <c r="AE1586" s="201"/>
      <c r="AF1586" s="231" t="str">
        <f>+IFERROR(VLOOKUP(L1586,Data!$F$4:$G$97,2,0),"")</f>
        <v/>
      </c>
    </row>
    <row r="1587" spans="9:32" ht="15" customHeight="1" x14ac:dyDescent="0.3">
      <c r="I1587" s="201" t="str">
        <f t="shared" si="208"/>
        <v/>
      </c>
      <c r="J1587" s="218">
        <f t="shared" si="209"/>
        <v>1584</v>
      </c>
      <c r="K1587" s="250"/>
      <c r="L1587" s="219"/>
      <c r="M1587" s="218"/>
      <c r="N1587" s="220" t="str">
        <f>IFERROR(VLOOKUP(M1587,Data!$C$4:$D$395,2,0),"")</f>
        <v/>
      </c>
      <c r="O1587" s="220"/>
      <c r="P1587" s="229"/>
      <c r="Q1587" s="221"/>
      <c r="R1587" s="222" t="str">
        <f t="shared" si="210"/>
        <v>-</v>
      </c>
      <c r="S1587" s="223"/>
      <c r="T1587" s="224"/>
      <c r="U1587" s="225">
        <f t="shared" si="211"/>
        <v>0</v>
      </c>
      <c r="V1587" s="226">
        <v>0</v>
      </c>
      <c r="W1587" s="227"/>
      <c r="X1587" s="228">
        <f t="shared" si="212"/>
        <v>0</v>
      </c>
      <c r="Y1587" s="229"/>
      <c r="Z1587" s="229"/>
      <c r="AA1587" s="229"/>
      <c r="AB1587" s="222">
        <f t="shared" si="213"/>
        <v>0</v>
      </c>
      <c r="AC1587" s="230">
        <f t="shared" si="214"/>
        <v>0</v>
      </c>
      <c r="AD1587" s="222" t="str">
        <f t="shared" si="215"/>
        <v/>
      </c>
      <c r="AE1587" s="201"/>
      <c r="AF1587" s="231" t="str">
        <f>+IFERROR(VLOOKUP(L1587,Data!$F$4:$G$97,2,0),"")</f>
        <v/>
      </c>
    </row>
    <row r="1588" spans="9:32" ht="15" customHeight="1" x14ac:dyDescent="0.3">
      <c r="I1588" s="201" t="str">
        <f t="shared" si="208"/>
        <v/>
      </c>
      <c r="J1588" s="218">
        <f t="shared" si="209"/>
        <v>1585</v>
      </c>
      <c r="K1588" s="250"/>
      <c r="L1588" s="219"/>
      <c r="M1588" s="218"/>
      <c r="N1588" s="220" t="str">
        <f>IFERROR(VLOOKUP(M1588,Data!$C$4:$D$395,2,0),"")</f>
        <v/>
      </c>
      <c r="O1588" s="220"/>
      <c r="P1588" s="229"/>
      <c r="Q1588" s="221"/>
      <c r="R1588" s="222" t="str">
        <f t="shared" si="210"/>
        <v>-</v>
      </c>
      <c r="S1588" s="223"/>
      <c r="T1588" s="224"/>
      <c r="U1588" s="225">
        <f t="shared" si="211"/>
        <v>0</v>
      </c>
      <c r="V1588" s="226">
        <v>0</v>
      </c>
      <c r="W1588" s="227"/>
      <c r="X1588" s="228">
        <f t="shared" si="212"/>
        <v>0</v>
      </c>
      <c r="Y1588" s="229"/>
      <c r="Z1588" s="229"/>
      <c r="AA1588" s="229"/>
      <c r="AB1588" s="222">
        <f t="shared" si="213"/>
        <v>0</v>
      </c>
      <c r="AC1588" s="230">
        <f t="shared" si="214"/>
        <v>0</v>
      </c>
      <c r="AD1588" s="222" t="str">
        <f t="shared" si="215"/>
        <v/>
      </c>
      <c r="AE1588" s="201"/>
      <c r="AF1588" s="231" t="str">
        <f>+IFERROR(VLOOKUP(L1588,Data!$F$4:$G$97,2,0),"")</f>
        <v/>
      </c>
    </row>
    <row r="1589" spans="9:32" ht="15" customHeight="1" x14ac:dyDescent="0.3">
      <c r="I1589" s="201" t="str">
        <f t="shared" si="208"/>
        <v/>
      </c>
      <c r="J1589" s="218">
        <f t="shared" si="209"/>
        <v>1586</v>
      </c>
      <c r="K1589" s="250"/>
      <c r="L1589" s="219"/>
      <c r="M1589" s="218"/>
      <c r="N1589" s="220" t="str">
        <f>IFERROR(VLOOKUP(M1589,Data!$C$4:$D$395,2,0),"")</f>
        <v/>
      </c>
      <c r="O1589" s="220"/>
      <c r="P1589" s="229"/>
      <c r="Q1589" s="221"/>
      <c r="R1589" s="222" t="str">
        <f t="shared" si="210"/>
        <v>-</v>
      </c>
      <c r="S1589" s="223"/>
      <c r="T1589" s="224"/>
      <c r="U1589" s="225">
        <f t="shared" si="211"/>
        <v>0</v>
      </c>
      <c r="V1589" s="226">
        <v>0</v>
      </c>
      <c r="W1589" s="227"/>
      <c r="X1589" s="228">
        <f t="shared" si="212"/>
        <v>0</v>
      </c>
      <c r="Y1589" s="229"/>
      <c r="Z1589" s="229"/>
      <c r="AA1589" s="229"/>
      <c r="AB1589" s="222">
        <f t="shared" si="213"/>
        <v>0</v>
      </c>
      <c r="AC1589" s="230">
        <f t="shared" si="214"/>
        <v>0</v>
      </c>
      <c r="AD1589" s="222" t="str">
        <f t="shared" si="215"/>
        <v/>
      </c>
      <c r="AE1589" s="201"/>
      <c r="AF1589" s="231" t="str">
        <f>+IFERROR(VLOOKUP(L1589,Data!$F$4:$G$97,2,0),"")</f>
        <v/>
      </c>
    </row>
    <row r="1590" spans="9:32" ht="15" customHeight="1" x14ac:dyDescent="0.3">
      <c r="I1590" s="201" t="str">
        <f t="shared" si="208"/>
        <v/>
      </c>
      <c r="J1590" s="218">
        <f t="shared" si="209"/>
        <v>1587</v>
      </c>
      <c r="K1590" s="250"/>
      <c r="L1590" s="219"/>
      <c r="M1590" s="218"/>
      <c r="N1590" s="220" t="str">
        <f>IFERROR(VLOOKUP(M1590,Data!$C$4:$D$395,2,0),"")</f>
        <v/>
      </c>
      <c r="O1590" s="220"/>
      <c r="P1590" s="229"/>
      <c r="Q1590" s="221"/>
      <c r="R1590" s="222" t="str">
        <f t="shared" si="210"/>
        <v>-</v>
      </c>
      <c r="S1590" s="223"/>
      <c r="T1590" s="224"/>
      <c r="U1590" s="225">
        <f t="shared" si="211"/>
        <v>0</v>
      </c>
      <c r="V1590" s="226">
        <v>0</v>
      </c>
      <c r="W1590" s="227"/>
      <c r="X1590" s="228">
        <f t="shared" si="212"/>
        <v>0</v>
      </c>
      <c r="Y1590" s="229"/>
      <c r="Z1590" s="229"/>
      <c r="AA1590" s="229"/>
      <c r="AB1590" s="222">
        <f t="shared" si="213"/>
        <v>0</v>
      </c>
      <c r="AC1590" s="230">
        <f t="shared" si="214"/>
        <v>0</v>
      </c>
      <c r="AD1590" s="222" t="str">
        <f t="shared" si="215"/>
        <v/>
      </c>
      <c r="AE1590" s="201"/>
      <c r="AF1590" s="231" t="str">
        <f>+IFERROR(VLOOKUP(L1590,Data!$F$4:$G$97,2,0),"")</f>
        <v/>
      </c>
    </row>
    <row r="1591" spans="9:32" ht="15" customHeight="1" x14ac:dyDescent="0.3">
      <c r="I1591" s="201" t="str">
        <f t="shared" si="208"/>
        <v/>
      </c>
      <c r="J1591" s="218">
        <f t="shared" si="209"/>
        <v>1588</v>
      </c>
      <c r="K1591" s="250"/>
      <c r="L1591" s="219"/>
      <c r="M1591" s="218"/>
      <c r="N1591" s="220" t="str">
        <f>IFERROR(VLOOKUP(M1591,Data!$C$4:$D$395,2,0),"")</f>
        <v/>
      </c>
      <c r="O1591" s="220"/>
      <c r="P1591" s="229"/>
      <c r="Q1591" s="221"/>
      <c r="R1591" s="222" t="str">
        <f t="shared" si="210"/>
        <v>-</v>
      </c>
      <c r="S1591" s="223"/>
      <c r="T1591" s="224"/>
      <c r="U1591" s="225">
        <f t="shared" si="211"/>
        <v>0</v>
      </c>
      <c r="V1591" s="226">
        <v>0</v>
      </c>
      <c r="W1591" s="227"/>
      <c r="X1591" s="228">
        <f t="shared" si="212"/>
        <v>0</v>
      </c>
      <c r="Y1591" s="229"/>
      <c r="Z1591" s="229"/>
      <c r="AA1591" s="229"/>
      <c r="AB1591" s="222">
        <f t="shared" si="213"/>
        <v>0</v>
      </c>
      <c r="AC1591" s="230">
        <f t="shared" si="214"/>
        <v>0</v>
      </c>
      <c r="AD1591" s="222" t="str">
        <f t="shared" si="215"/>
        <v/>
      </c>
      <c r="AE1591" s="201"/>
      <c r="AF1591" s="231" t="str">
        <f>+IFERROR(VLOOKUP(L1591,Data!$F$4:$G$97,2,0),"")</f>
        <v/>
      </c>
    </row>
    <row r="1592" spans="9:32" ht="15" customHeight="1" x14ac:dyDescent="0.3">
      <c r="I1592" s="201" t="str">
        <f t="shared" si="208"/>
        <v/>
      </c>
      <c r="J1592" s="218">
        <f t="shared" si="209"/>
        <v>1589</v>
      </c>
      <c r="K1592" s="250"/>
      <c r="L1592" s="219"/>
      <c r="M1592" s="218"/>
      <c r="N1592" s="220" t="str">
        <f>IFERROR(VLOOKUP(M1592,Data!$C$4:$D$395,2,0),"")</f>
        <v/>
      </c>
      <c r="O1592" s="220"/>
      <c r="P1592" s="229"/>
      <c r="Q1592" s="221"/>
      <c r="R1592" s="222" t="str">
        <f t="shared" si="210"/>
        <v>-</v>
      </c>
      <c r="S1592" s="223"/>
      <c r="T1592" s="224"/>
      <c r="U1592" s="225">
        <f t="shared" si="211"/>
        <v>0</v>
      </c>
      <c r="V1592" s="226">
        <v>0</v>
      </c>
      <c r="W1592" s="227"/>
      <c r="X1592" s="228">
        <f t="shared" si="212"/>
        <v>0</v>
      </c>
      <c r="Y1592" s="229"/>
      <c r="Z1592" s="229"/>
      <c r="AA1592" s="229"/>
      <c r="AB1592" s="222">
        <f t="shared" si="213"/>
        <v>0</v>
      </c>
      <c r="AC1592" s="230">
        <f t="shared" si="214"/>
        <v>0</v>
      </c>
      <c r="AD1592" s="222" t="str">
        <f t="shared" si="215"/>
        <v/>
      </c>
      <c r="AE1592" s="201"/>
      <c r="AF1592" s="231" t="str">
        <f>+IFERROR(VLOOKUP(L1592,Data!$F$4:$G$97,2,0),"")</f>
        <v/>
      </c>
    </row>
    <row r="1593" spans="9:32" ht="15" customHeight="1" x14ac:dyDescent="0.3">
      <c r="I1593" s="201" t="str">
        <f t="shared" si="208"/>
        <v/>
      </c>
      <c r="J1593" s="218">
        <f t="shared" si="209"/>
        <v>1590</v>
      </c>
      <c r="K1593" s="250"/>
      <c r="L1593" s="219"/>
      <c r="M1593" s="218"/>
      <c r="N1593" s="220" t="str">
        <f>IFERROR(VLOOKUP(M1593,Data!$C$4:$D$395,2,0),"")</f>
        <v/>
      </c>
      <c r="O1593" s="220"/>
      <c r="P1593" s="229"/>
      <c r="Q1593" s="221"/>
      <c r="R1593" s="222" t="str">
        <f t="shared" si="210"/>
        <v>-</v>
      </c>
      <c r="S1593" s="223"/>
      <c r="T1593" s="224"/>
      <c r="U1593" s="225">
        <f t="shared" si="211"/>
        <v>0</v>
      </c>
      <c r="V1593" s="226">
        <v>0</v>
      </c>
      <c r="W1593" s="227"/>
      <c r="X1593" s="228">
        <f t="shared" si="212"/>
        <v>0</v>
      </c>
      <c r="Y1593" s="229"/>
      <c r="Z1593" s="229"/>
      <c r="AA1593" s="229"/>
      <c r="AB1593" s="222">
        <f t="shared" si="213"/>
        <v>0</v>
      </c>
      <c r="AC1593" s="230">
        <f t="shared" si="214"/>
        <v>0</v>
      </c>
      <c r="AD1593" s="222" t="str">
        <f t="shared" si="215"/>
        <v/>
      </c>
      <c r="AE1593" s="201"/>
      <c r="AF1593" s="231" t="str">
        <f>+IFERROR(VLOOKUP(L1593,Data!$F$4:$G$97,2,0),"")</f>
        <v/>
      </c>
    </row>
    <row r="1594" spans="9:32" ht="15" customHeight="1" x14ac:dyDescent="0.3">
      <c r="I1594" s="201" t="str">
        <f t="shared" si="208"/>
        <v/>
      </c>
      <c r="J1594" s="218">
        <f t="shared" si="209"/>
        <v>1591</v>
      </c>
      <c r="K1594" s="250"/>
      <c r="L1594" s="219"/>
      <c r="M1594" s="218"/>
      <c r="N1594" s="220" t="str">
        <f>IFERROR(VLOOKUP(M1594,Data!$C$4:$D$395,2,0),"")</f>
        <v/>
      </c>
      <c r="O1594" s="220"/>
      <c r="P1594" s="229"/>
      <c r="Q1594" s="221"/>
      <c r="R1594" s="222" t="str">
        <f t="shared" si="210"/>
        <v>-</v>
      </c>
      <c r="S1594" s="223"/>
      <c r="T1594" s="224"/>
      <c r="U1594" s="225">
        <f t="shared" si="211"/>
        <v>0</v>
      </c>
      <c r="V1594" s="226">
        <v>0</v>
      </c>
      <c r="W1594" s="227"/>
      <c r="X1594" s="228">
        <f t="shared" si="212"/>
        <v>0</v>
      </c>
      <c r="Y1594" s="229"/>
      <c r="Z1594" s="229"/>
      <c r="AA1594" s="229"/>
      <c r="AB1594" s="222">
        <f t="shared" si="213"/>
        <v>0</v>
      </c>
      <c r="AC1594" s="230">
        <f t="shared" si="214"/>
        <v>0</v>
      </c>
      <c r="AD1594" s="222" t="str">
        <f t="shared" si="215"/>
        <v/>
      </c>
      <c r="AE1594" s="201"/>
      <c r="AF1594" s="231" t="str">
        <f>+IFERROR(VLOOKUP(L1594,Data!$F$4:$G$97,2,0),"")</f>
        <v/>
      </c>
    </row>
    <row r="1595" spans="9:32" ht="15" customHeight="1" x14ac:dyDescent="0.3">
      <c r="I1595" s="201" t="str">
        <f t="shared" si="208"/>
        <v/>
      </c>
      <c r="J1595" s="218">
        <f t="shared" si="209"/>
        <v>1592</v>
      </c>
      <c r="K1595" s="250"/>
      <c r="L1595" s="219"/>
      <c r="M1595" s="218"/>
      <c r="N1595" s="220" t="str">
        <f>IFERROR(VLOOKUP(M1595,Data!$C$4:$D$395,2,0),"")</f>
        <v/>
      </c>
      <c r="O1595" s="220"/>
      <c r="P1595" s="229"/>
      <c r="Q1595" s="221"/>
      <c r="R1595" s="222" t="str">
        <f t="shared" si="210"/>
        <v>-</v>
      </c>
      <c r="S1595" s="223"/>
      <c r="T1595" s="224"/>
      <c r="U1595" s="225">
        <f t="shared" si="211"/>
        <v>0</v>
      </c>
      <c r="V1595" s="226">
        <v>0</v>
      </c>
      <c r="W1595" s="227"/>
      <c r="X1595" s="228">
        <f t="shared" si="212"/>
        <v>0</v>
      </c>
      <c r="Y1595" s="229"/>
      <c r="Z1595" s="229"/>
      <c r="AA1595" s="229"/>
      <c r="AB1595" s="222">
        <f t="shared" si="213"/>
        <v>0</v>
      </c>
      <c r="AC1595" s="230">
        <f t="shared" si="214"/>
        <v>0</v>
      </c>
      <c r="AD1595" s="222" t="str">
        <f t="shared" si="215"/>
        <v/>
      </c>
      <c r="AE1595" s="201"/>
      <c r="AF1595" s="231" t="str">
        <f>+IFERROR(VLOOKUP(L1595,Data!$F$4:$G$97,2,0),"")</f>
        <v/>
      </c>
    </row>
    <row r="1596" spans="9:32" ht="15" customHeight="1" x14ac:dyDescent="0.3">
      <c r="I1596" s="201" t="str">
        <f t="shared" si="208"/>
        <v/>
      </c>
      <c r="J1596" s="218">
        <f t="shared" si="209"/>
        <v>1593</v>
      </c>
      <c r="K1596" s="250"/>
      <c r="L1596" s="219"/>
      <c r="M1596" s="218"/>
      <c r="N1596" s="220" t="str">
        <f>IFERROR(VLOOKUP(M1596,Data!$C$4:$D$395,2,0),"")</f>
        <v/>
      </c>
      <c r="O1596" s="220"/>
      <c r="P1596" s="229"/>
      <c r="Q1596" s="221"/>
      <c r="R1596" s="222" t="str">
        <f t="shared" si="210"/>
        <v>-</v>
      </c>
      <c r="S1596" s="223"/>
      <c r="T1596" s="224"/>
      <c r="U1596" s="225">
        <f t="shared" si="211"/>
        <v>0</v>
      </c>
      <c r="V1596" s="226">
        <v>0</v>
      </c>
      <c r="W1596" s="227"/>
      <c r="X1596" s="228">
        <f t="shared" si="212"/>
        <v>0</v>
      </c>
      <c r="Y1596" s="229"/>
      <c r="Z1596" s="229"/>
      <c r="AA1596" s="229"/>
      <c r="AB1596" s="222">
        <f t="shared" si="213"/>
        <v>0</v>
      </c>
      <c r="AC1596" s="230">
        <f t="shared" si="214"/>
        <v>0</v>
      </c>
      <c r="AD1596" s="222" t="str">
        <f t="shared" si="215"/>
        <v/>
      </c>
      <c r="AE1596" s="201"/>
      <c r="AF1596" s="231" t="str">
        <f>+IFERROR(VLOOKUP(L1596,Data!$F$4:$G$97,2,0),"")</f>
        <v/>
      </c>
    </row>
    <row r="1597" spans="9:32" ht="15" customHeight="1" x14ac:dyDescent="0.3">
      <c r="I1597" s="201" t="str">
        <f t="shared" ref="I1597:I1660" si="216">+AF1597</f>
        <v/>
      </c>
      <c r="J1597" s="218">
        <f t="shared" si="209"/>
        <v>1594</v>
      </c>
      <c r="K1597" s="250"/>
      <c r="L1597" s="219"/>
      <c r="M1597" s="218"/>
      <c r="N1597" s="220" t="str">
        <f>IFERROR(VLOOKUP(M1597,Data!$C$4:$D$395,2,0),"")</f>
        <v/>
      </c>
      <c r="O1597" s="220"/>
      <c r="P1597" s="229"/>
      <c r="Q1597" s="221"/>
      <c r="R1597" s="222" t="str">
        <f t="shared" si="210"/>
        <v>-</v>
      </c>
      <c r="S1597" s="223"/>
      <c r="T1597" s="224"/>
      <c r="U1597" s="225">
        <f t="shared" si="211"/>
        <v>0</v>
      </c>
      <c r="V1597" s="226">
        <v>0</v>
      </c>
      <c r="W1597" s="227"/>
      <c r="X1597" s="228">
        <f t="shared" si="212"/>
        <v>0</v>
      </c>
      <c r="Y1597" s="229"/>
      <c r="Z1597" s="229"/>
      <c r="AA1597" s="229"/>
      <c r="AB1597" s="222">
        <f t="shared" si="213"/>
        <v>0</v>
      </c>
      <c r="AC1597" s="230">
        <f t="shared" si="214"/>
        <v>0</v>
      </c>
      <c r="AD1597" s="222" t="str">
        <f t="shared" si="215"/>
        <v/>
      </c>
      <c r="AE1597" s="201"/>
      <c r="AF1597" s="231" t="str">
        <f>+IFERROR(VLOOKUP(L1597,Data!$F$4:$G$97,2,0),"")</f>
        <v/>
      </c>
    </row>
    <row r="1598" spans="9:32" ht="15" customHeight="1" x14ac:dyDescent="0.3">
      <c r="I1598" s="201" t="str">
        <f t="shared" si="216"/>
        <v/>
      </c>
      <c r="J1598" s="218">
        <f t="shared" ref="J1598:J1661" si="217">J1597+1</f>
        <v>1595</v>
      </c>
      <c r="K1598" s="250"/>
      <c r="L1598" s="219"/>
      <c r="M1598" s="218"/>
      <c r="N1598" s="220" t="str">
        <f>IFERROR(VLOOKUP(M1598,Data!$C$4:$D$395,2,0),"")</f>
        <v/>
      </c>
      <c r="O1598" s="220"/>
      <c r="P1598" s="229"/>
      <c r="Q1598" s="221"/>
      <c r="R1598" s="222" t="str">
        <f t="shared" si="210"/>
        <v>-</v>
      </c>
      <c r="S1598" s="223"/>
      <c r="T1598" s="224"/>
      <c r="U1598" s="225">
        <f t="shared" si="211"/>
        <v>0</v>
      </c>
      <c r="V1598" s="226">
        <v>0</v>
      </c>
      <c r="W1598" s="227"/>
      <c r="X1598" s="228">
        <f t="shared" si="212"/>
        <v>0</v>
      </c>
      <c r="Y1598" s="229"/>
      <c r="Z1598" s="229"/>
      <c r="AA1598" s="229"/>
      <c r="AB1598" s="222">
        <f t="shared" si="213"/>
        <v>0</v>
      </c>
      <c r="AC1598" s="230">
        <f t="shared" si="214"/>
        <v>0</v>
      </c>
      <c r="AD1598" s="222" t="str">
        <f t="shared" si="215"/>
        <v/>
      </c>
      <c r="AE1598" s="201"/>
      <c r="AF1598" s="231" t="str">
        <f>+IFERROR(VLOOKUP(L1598,Data!$F$4:$G$97,2,0),"")</f>
        <v/>
      </c>
    </row>
    <row r="1599" spans="9:32" ht="15" customHeight="1" x14ac:dyDescent="0.3">
      <c r="I1599" s="201" t="str">
        <f t="shared" si="216"/>
        <v/>
      </c>
      <c r="J1599" s="218">
        <f t="shared" si="217"/>
        <v>1596</v>
      </c>
      <c r="K1599" s="250"/>
      <c r="L1599" s="219"/>
      <c r="M1599" s="218"/>
      <c r="N1599" s="220" t="str">
        <f>IFERROR(VLOOKUP(M1599,Data!$C$4:$D$395,2,0),"")</f>
        <v/>
      </c>
      <c r="O1599" s="220"/>
      <c r="P1599" s="229"/>
      <c r="Q1599" s="221"/>
      <c r="R1599" s="222" t="str">
        <f t="shared" si="210"/>
        <v>-</v>
      </c>
      <c r="S1599" s="223"/>
      <c r="T1599" s="224"/>
      <c r="U1599" s="225">
        <f t="shared" si="211"/>
        <v>0</v>
      </c>
      <c r="V1599" s="226">
        <v>0</v>
      </c>
      <c r="W1599" s="227"/>
      <c r="X1599" s="228">
        <f t="shared" si="212"/>
        <v>0</v>
      </c>
      <c r="Y1599" s="229"/>
      <c r="Z1599" s="229"/>
      <c r="AA1599" s="229"/>
      <c r="AB1599" s="222">
        <f t="shared" si="213"/>
        <v>0</v>
      </c>
      <c r="AC1599" s="230">
        <f t="shared" si="214"/>
        <v>0</v>
      </c>
      <c r="AD1599" s="222" t="str">
        <f t="shared" si="215"/>
        <v/>
      </c>
      <c r="AE1599" s="201"/>
      <c r="AF1599" s="231" t="str">
        <f>+IFERROR(VLOOKUP(L1599,Data!$F$4:$G$97,2,0),"")</f>
        <v/>
      </c>
    </row>
    <row r="1600" spans="9:32" ht="15" customHeight="1" x14ac:dyDescent="0.3">
      <c r="I1600" s="201" t="str">
        <f t="shared" si="216"/>
        <v/>
      </c>
      <c r="J1600" s="218">
        <f t="shared" si="217"/>
        <v>1597</v>
      </c>
      <c r="K1600" s="250"/>
      <c r="L1600" s="219"/>
      <c r="M1600" s="218"/>
      <c r="N1600" s="220" t="str">
        <f>IFERROR(VLOOKUP(M1600,Data!$C$4:$D$395,2,0),"")</f>
        <v/>
      </c>
      <c r="O1600" s="220"/>
      <c r="P1600" s="229"/>
      <c r="Q1600" s="221"/>
      <c r="R1600" s="222" t="str">
        <f t="shared" ref="R1600:R1663" si="218">IFERROR(Q1600/P1600, "-")</f>
        <v>-</v>
      </c>
      <c r="S1600" s="223"/>
      <c r="T1600" s="224"/>
      <c r="U1600" s="225">
        <f t="shared" ref="U1600:U1663" si="219">+Q1600*S1600+P1600*T1600</f>
        <v>0</v>
      </c>
      <c r="V1600" s="226">
        <v>0</v>
      </c>
      <c r="W1600" s="227"/>
      <c r="X1600" s="228">
        <f t="shared" ref="X1600:X1663" si="220">+Q1600*V1600+P1600*W1600</f>
        <v>0</v>
      </c>
      <c r="Y1600" s="229"/>
      <c r="Z1600" s="229"/>
      <c r="AA1600" s="229"/>
      <c r="AB1600" s="222">
        <f t="shared" ref="AB1600:AB1663" si="221">+Y1600+Z1600+AA1600</f>
        <v>0</v>
      </c>
      <c r="AC1600" s="230">
        <f t="shared" ref="AC1600:AC1663" si="222">IF((U1600-Y1600-Z1600-AA1600)&lt;0,"",(U1600-Y1600-Z1600-AA1600))</f>
        <v>0</v>
      </c>
      <c r="AD1600" s="222" t="str">
        <f t="shared" ref="AD1600:AD1663" si="223">IF((U1600-Y1600-Z1600-AA1600)&lt;0,(Y1600+Z1600+AA1600-U1600),"")</f>
        <v/>
      </c>
      <c r="AE1600" s="201"/>
      <c r="AF1600" s="231" t="str">
        <f>+IFERROR(VLOOKUP(L1600,Data!$F$4:$G$97,2,0),"")</f>
        <v/>
      </c>
    </row>
    <row r="1601" spans="9:32" ht="15" customHeight="1" x14ac:dyDescent="0.3">
      <c r="I1601" s="201" t="str">
        <f t="shared" si="216"/>
        <v/>
      </c>
      <c r="J1601" s="218">
        <f t="shared" si="217"/>
        <v>1598</v>
      </c>
      <c r="K1601" s="250"/>
      <c r="L1601" s="219"/>
      <c r="M1601" s="218"/>
      <c r="N1601" s="220" t="str">
        <f>IFERROR(VLOOKUP(M1601,Data!$C$4:$D$395,2,0),"")</f>
        <v/>
      </c>
      <c r="O1601" s="220"/>
      <c r="P1601" s="229"/>
      <c r="Q1601" s="221"/>
      <c r="R1601" s="222" t="str">
        <f t="shared" si="218"/>
        <v>-</v>
      </c>
      <c r="S1601" s="223"/>
      <c r="T1601" s="224"/>
      <c r="U1601" s="225">
        <f t="shared" si="219"/>
        <v>0</v>
      </c>
      <c r="V1601" s="226">
        <v>0</v>
      </c>
      <c r="W1601" s="227"/>
      <c r="X1601" s="228">
        <f t="shared" si="220"/>
        <v>0</v>
      </c>
      <c r="Y1601" s="229"/>
      <c r="Z1601" s="229"/>
      <c r="AA1601" s="229"/>
      <c r="AB1601" s="222">
        <f t="shared" si="221"/>
        <v>0</v>
      </c>
      <c r="AC1601" s="230">
        <f t="shared" si="222"/>
        <v>0</v>
      </c>
      <c r="AD1601" s="222" t="str">
        <f t="shared" si="223"/>
        <v/>
      </c>
      <c r="AE1601" s="201"/>
      <c r="AF1601" s="231" t="str">
        <f>+IFERROR(VLOOKUP(L1601,Data!$F$4:$G$97,2,0),"")</f>
        <v/>
      </c>
    </row>
    <row r="1602" spans="9:32" ht="15" customHeight="1" x14ac:dyDescent="0.3">
      <c r="I1602" s="201" t="str">
        <f t="shared" si="216"/>
        <v/>
      </c>
      <c r="J1602" s="218">
        <f t="shared" si="217"/>
        <v>1599</v>
      </c>
      <c r="K1602" s="250"/>
      <c r="L1602" s="219"/>
      <c r="M1602" s="218"/>
      <c r="N1602" s="220" t="str">
        <f>IFERROR(VLOOKUP(M1602,Data!$C$4:$D$395,2,0),"")</f>
        <v/>
      </c>
      <c r="O1602" s="220"/>
      <c r="P1602" s="229"/>
      <c r="Q1602" s="221"/>
      <c r="R1602" s="222" t="str">
        <f t="shared" si="218"/>
        <v>-</v>
      </c>
      <c r="S1602" s="223"/>
      <c r="T1602" s="224"/>
      <c r="U1602" s="225">
        <f t="shared" si="219"/>
        <v>0</v>
      </c>
      <c r="V1602" s="226">
        <v>0</v>
      </c>
      <c r="W1602" s="227"/>
      <c r="X1602" s="228">
        <f t="shared" si="220"/>
        <v>0</v>
      </c>
      <c r="Y1602" s="229"/>
      <c r="Z1602" s="229"/>
      <c r="AA1602" s="229"/>
      <c r="AB1602" s="222">
        <f t="shared" si="221"/>
        <v>0</v>
      </c>
      <c r="AC1602" s="230">
        <f t="shared" si="222"/>
        <v>0</v>
      </c>
      <c r="AD1602" s="222" t="str">
        <f t="shared" si="223"/>
        <v/>
      </c>
      <c r="AE1602" s="201"/>
      <c r="AF1602" s="231" t="str">
        <f>+IFERROR(VLOOKUP(L1602,Data!$F$4:$G$97,2,0),"")</f>
        <v/>
      </c>
    </row>
    <row r="1603" spans="9:32" ht="15" customHeight="1" x14ac:dyDescent="0.3">
      <c r="I1603" s="201" t="str">
        <f t="shared" si="216"/>
        <v/>
      </c>
      <c r="J1603" s="218">
        <f t="shared" si="217"/>
        <v>1600</v>
      </c>
      <c r="K1603" s="250"/>
      <c r="L1603" s="219"/>
      <c r="M1603" s="218"/>
      <c r="N1603" s="220" t="str">
        <f>IFERROR(VLOOKUP(M1603,Data!$C$4:$D$395,2,0),"")</f>
        <v/>
      </c>
      <c r="O1603" s="220"/>
      <c r="P1603" s="229"/>
      <c r="Q1603" s="221"/>
      <c r="R1603" s="222" t="str">
        <f t="shared" si="218"/>
        <v>-</v>
      </c>
      <c r="S1603" s="223"/>
      <c r="T1603" s="224"/>
      <c r="U1603" s="225">
        <f t="shared" si="219"/>
        <v>0</v>
      </c>
      <c r="V1603" s="226">
        <v>0</v>
      </c>
      <c r="W1603" s="227"/>
      <c r="X1603" s="228">
        <f t="shared" si="220"/>
        <v>0</v>
      </c>
      <c r="Y1603" s="229"/>
      <c r="Z1603" s="229"/>
      <c r="AA1603" s="229"/>
      <c r="AB1603" s="222">
        <f t="shared" si="221"/>
        <v>0</v>
      </c>
      <c r="AC1603" s="230">
        <f t="shared" si="222"/>
        <v>0</v>
      </c>
      <c r="AD1603" s="222" t="str">
        <f t="shared" si="223"/>
        <v/>
      </c>
      <c r="AE1603" s="201"/>
      <c r="AF1603" s="231" t="str">
        <f>+IFERROR(VLOOKUP(L1603,Data!$F$4:$G$97,2,0),"")</f>
        <v/>
      </c>
    </row>
    <row r="1604" spans="9:32" ht="15" customHeight="1" x14ac:dyDescent="0.3">
      <c r="I1604" s="201" t="str">
        <f t="shared" si="216"/>
        <v/>
      </c>
      <c r="J1604" s="218">
        <f t="shared" si="217"/>
        <v>1601</v>
      </c>
      <c r="K1604" s="250"/>
      <c r="L1604" s="219"/>
      <c r="M1604" s="218"/>
      <c r="N1604" s="220" t="str">
        <f>IFERROR(VLOOKUP(M1604,Data!$C$4:$D$395,2,0),"")</f>
        <v/>
      </c>
      <c r="O1604" s="220"/>
      <c r="P1604" s="229"/>
      <c r="Q1604" s="221"/>
      <c r="R1604" s="222" t="str">
        <f t="shared" si="218"/>
        <v>-</v>
      </c>
      <c r="S1604" s="223"/>
      <c r="T1604" s="224"/>
      <c r="U1604" s="225">
        <f t="shared" si="219"/>
        <v>0</v>
      </c>
      <c r="V1604" s="226">
        <v>0</v>
      </c>
      <c r="W1604" s="227"/>
      <c r="X1604" s="228">
        <f t="shared" si="220"/>
        <v>0</v>
      </c>
      <c r="Y1604" s="229"/>
      <c r="Z1604" s="229"/>
      <c r="AA1604" s="229"/>
      <c r="AB1604" s="222">
        <f t="shared" si="221"/>
        <v>0</v>
      </c>
      <c r="AC1604" s="230">
        <f t="shared" si="222"/>
        <v>0</v>
      </c>
      <c r="AD1604" s="222" t="str">
        <f t="shared" si="223"/>
        <v/>
      </c>
      <c r="AE1604" s="201"/>
      <c r="AF1604" s="231" t="str">
        <f>+IFERROR(VLOOKUP(L1604,Data!$F$4:$G$97,2,0),"")</f>
        <v/>
      </c>
    </row>
    <row r="1605" spans="9:32" ht="15" customHeight="1" x14ac:dyDescent="0.3">
      <c r="I1605" s="201" t="str">
        <f t="shared" si="216"/>
        <v/>
      </c>
      <c r="J1605" s="218">
        <f t="shared" si="217"/>
        <v>1602</v>
      </c>
      <c r="K1605" s="250"/>
      <c r="L1605" s="219"/>
      <c r="M1605" s="218"/>
      <c r="N1605" s="220" t="str">
        <f>IFERROR(VLOOKUP(M1605,Data!$C$4:$D$395,2,0),"")</f>
        <v/>
      </c>
      <c r="O1605" s="220"/>
      <c r="P1605" s="229"/>
      <c r="Q1605" s="221"/>
      <c r="R1605" s="222" t="str">
        <f t="shared" si="218"/>
        <v>-</v>
      </c>
      <c r="S1605" s="223"/>
      <c r="T1605" s="224"/>
      <c r="U1605" s="225">
        <f t="shared" si="219"/>
        <v>0</v>
      </c>
      <c r="V1605" s="226">
        <v>0</v>
      </c>
      <c r="W1605" s="227"/>
      <c r="X1605" s="228">
        <f t="shared" si="220"/>
        <v>0</v>
      </c>
      <c r="Y1605" s="229"/>
      <c r="Z1605" s="229"/>
      <c r="AA1605" s="229"/>
      <c r="AB1605" s="222">
        <f t="shared" si="221"/>
        <v>0</v>
      </c>
      <c r="AC1605" s="230">
        <f t="shared" si="222"/>
        <v>0</v>
      </c>
      <c r="AD1605" s="222" t="str">
        <f t="shared" si="223"/>
        <v/>
      </c>
      <c r="AE1605" s="201"/>
      <c r="AF1605" s="231" t="str">
        <f>+IFERROR(VLOOKUP(L1605,Data!$F$4:$G$97,2,0),"")</f>
        <v/>
      </c>
    </row>
    <row r="1606" spans="9:32" ht="15" customHeight="1" x14ac:dyDescent="0.3">
      <c r="I1606" s="201" t="str">
        <f t="shared" si="216"/>
        <v/>
      </c>
      <c r="J1606" s="218">
        <f t="shared" si="217"/>
        <v>1603</v>
      </c>
      <c r="K1606" s="250"/>
      <c r="L1606" s="219"/>
      <c r="M1606" s="218"/>
      <c r="N1606" s="220" t="str">
        <f>IFERROR(VLOOKUP(M1606,Data!$C$4:$D$395,2,0),"")</f>
        <v/>
      </c>
      <c r="O1606" s="220"/>
      <c r="P1606" s="229"/>
      <c r="Q1606" s="221"/>
      <c r="R1606" s="222" t="str">
        <f t="shared" si="218"/>
        <v>-</v>
      </c>
      <c r="S1606" s="223"/>
      <c r="T1606" s="224"/>
      <c r="U1606" s="225">
        <f t="shared" si="219"/>
        <v>0</v>
      </c>
      <c r="V1606" s="226">
        <v>0</v>
      </c>
      <c r="W1606" s="227"/>
      <c r="X1606" s="228">
        <f t="shared" si="220"/>
        <v>0</v>
      </c>
      <c r="Y1606" s="229"/>
      <c r="Z1606" s="229"/>
      <c r="AA1606" s="229"/>
      <c r="AB1606" s="222">
        <f t="shared" si="221"/>
        <v>0</v>
      </c>
      <c r="AC1606" s="230">
        <f t="shared" si="222"/>
        <v>0</v>
      </c>
      <c r="AD1606" s="222" t="str">
        <f t="shared" si="223"/>
        <v/>
      </c>
      <c r="AE1606" s="201"/>
      <c r="AF1606" s="231" t="str">
        <f>+IFERROR(VLOOKUP(L1606,Data!$F$4:$G$97,2,0),"")</f>
        <v/>
      </c>
    </row>
    <row r="1607" spans="9:32" ht="15" customHeight="1" x14ac:dyDescent="0.3">
      <c r="I1607" s="201" t="str">
        <f t="shared" si="216"/>
        <v/>
      </c>
      <c r="J1607" s="218">
        <f t="shared" si="217"/>
        <v>1604</v>
      </c>
      <c r="K1607" s="250"/>
      <c r="L1607" s="219"/>
      <c r="M1607" s="218"/>
      <c r="N1607" s="220" t="str">
        <f>IFERROR(VLOOKUP(M1607,Data!$C$4:$D$395,2,0),"")</f>
        <v/>
      </c>
      <c r="O1607" s="220"/>
      <c r="P1607" s="229"/>
      <c r="Q1607" s="221"/>
      <c r="R1607" s="222" t="str">
        <f t="shared" si="218"/>
        <v>-</v>
      </c>
      <c r="S1607" s="223"/>
      <c r="T1607" s="224"/>
      <c r="U1607" s="225">
        <f t="shared" si="219"/>
        <v>0</v>
      </c>
      <c r="V1607" s="226">
        <v>0</v>
      </c>
      <c r="W1607" s="227"/>
      <c r="X1607" s="228">
        <f t="shared" si="220"/>
        <v>0</v>
      </c>
      <c r="Y1607" s="229"/>
      <c r="Z1607" s="229"/>
      <c r="AA1607" s="229"/>
      <c r="AB1607" s="222">
        <f t="shared" si="221"/>
        <v>0</v>
      </c>
      <c r="AC1607" s="230">
        <f t="shared" si="222"/>
        <v>0</v>
      </c>
      <c r="AD1607" s="222" t="str">
        <f t="shared" si="223"/>
        <v/>
      </c>
      <c r="AE1607" s="201"/>
      <c r="AF1607" s="231" t="str">
        <f>+IFERROR(VLOOKUP(L1607,Data!$F$4:$G$97,2,0),"")</f>
        <v/>
      </c>
    </row>
    <row r="1608" spans="9:32" ht="15" customHeight="1" x14ac:dyDescent="0.3">
      <c r="I1608" s="201" t="str">
        <f t="shared" si="216"/>
        <v/>
      </c>
      <c r="J1608" s="218">
        <f t="shared" si="217"/>
        <v>1605</v>
      </c>
      <c r="K1608" s="250"/>
      <c r="L1608" s="219"/>
      <c r="M1608" s="218"/>
      <c r="N1608" s="220" t="str">
        <f>IFERROR(VLOOKUP(M1608,Data!$C$4:$D$395,2,0),"")</f>
        <v/>
      </c>
      <c r="O1608" s="220"/>
      <c r="P1608" s="229"/>
      <c r="Q1608" s="221"/>
      <c r="R1608" s="222" t="str">
        <f t="shared" si="218"/>
        <v>-</v>
      </c>
      <c r="S1608" s="223"/>
      <c r="T1608" s="224"/>
      <c r="U1608" s="225">
        <f t="shared" si="219"/>
        <v>0</v>
      </c>
      <c r="V1608" s="226">
        <v>0</v>
      </c>
      <c r="W1608" s="227"/>
      <c r="X1608" s="228">
        <f t="shared" si="220"/>
        <v>0</v>
      </c>
      <c r="Y1608" s="229"/>
      <c r="Z1608" s="229"/>
      <c r="AA1608" s="229"/>
      <c r="AB1608" s="222">
        <f t="shared" si="221"/>
        <v>0</v>
      </c>
      <c r="AC1608" s="230">
        <f t="shared" si="222"/>
        <v>0</v>
      </c>
      <c r="AD1608" s="222" t="str">
        <f t="shared" si="223"/>
        <v/>
      </c>
      <c r="AE1608" s="201"/>
      <c r="AF1608" s="231" t="str">
        <f>+IFERROR(VLOOKUP(L1608,Data!$F$4:$G$97,2,0),"")</f>
        <v/>
      </c>
    </row>
    <row r="1609" spans="9:32" ht="15" customHeight="1" x14ac:dyDescent="0.3">
      <c r="I1609" s="201" t="str">
        <f t="shared" si="216"/>
        <v/>
      </c>
      <c r="J1609" s="218">
        <f t="shared" si="217"/>
        <v>1606</v>
      </c>
      <c r="K1609" s="250"/>
      <c r="L1609" s="219"/>
      <c r="M1609" s="218"/>
      <c r="N1609" s="220" t="str">
        <f>IFERROR(VLOOKUP(M1609,Data!$C$4:$D$395,2,0),"")</f>
        <v/>
      </c>
      <c r="O1609" s="220"/>
      <c r="P1609" s="229"/>
      <c r="Q1609" s="221"/>
      <c r="R1609" s="222" t="str">
        <f t="shared" si="218"/>
        <v>-</v>
      </c>
      <c r="S1609" s="223"/>
      <c r="T1609" s="224"/>
      <c r="U1609" s="225">
        <f t="shared" si="219"/>
        <v>0</v>
      </c>
      <c r="V1609" s="226">
        <v>0</v>
      </c>
      <c r="W1609" s="227"/>
      <c r="X1609" s="228">
        <f t="shared" si="220"/>
        <v>0</v>
      </c>
      <c r="Y1609" s="229"/>
      <c r="Z1609" s="229"/>
      <c r="AA1609" s="229"/>
      <c r="AB1609" s="222">
        <f t="shared" si="221"/>
        <v>0</v>
      </c>
      <c r="AC1609" s="230">
        <f t="shared" si="222"/>
        <v>0</v>
      </c>
      <c r="AD1609" s="222" t="str">
        <f t="shared" si="223"/>
        <v/>
      </c>
      <c r="AE1609" s="201"/>
      <c r="AF1609" s="231" t="str">
        <f>+IFERROR(VLOOKUP(L1609,Data!$F$4:$G$97,2,0),"")</f>
        <v/>
      </c>
    </row>
    <row r="1610" spans="9:32" ht="15" customHeight="1" x14ac:dyDescent="0.3">
      <c r="I1610" s="201" t="str">
        <f t="shared" si="216"/>
        <v/>
      </c>
      <c r="J1610" s="218">
        <f t="shared" si="217"/>
        <v>1607</v>
      </c>
      <c r="K1610" s="250"/>
      <c r="L1610" s="219"/>
      <c r="M1610" s="218"/>
      <c r="N1610" s="220" t="str">
        <f>IFERROR(VLOOKUP(M1610,Data!$C$4:$D$395,2,0),"")</f>
        <v/>
      </c>
      <c r="O1610" s="220"/>
      <c r="P1610" s="229"/>
      <c r="Q1610" s="221"/>
      <c r="R1610" s="222" t="str">
        <f t="shared" si="218"/>
        <v>-</v>
      </c>
      <c r="S1610" s="223"/>
      <c r="T1610" s="224"/>
      <c r="U1610" s="225">
        <f t="shared" si="219"/>
        <v>0</v>
      </c>
      <c r="V1610" s="226">
        <v>0</v>
      </c>
      <c r="W1610" s="227"/>
      <c r="X1610" s="228">
        <f t="shared" si="220"/>
        <v>0</v>
      </c>
      <c r="Y1610" s="229"/>
      <c r="Z1610" s="229"/>
      <c r="AA1610" s="229"/>
      <c r="AB1610" s="222">
        <f t="shared" si="221"/>
        <v>0</v>
      </c>
      <c r="AC1610" s="230">
        <f t="shared" si="222"/>
        <v>0</v>
      </c>
      <c r="AD1610" s="222" t="str">
        <f t="shared" si="223"/>
        <v/>
      </c>
      <c r="AE1610" s="201"/>
      <c r="AF1610" s="231" t="str">
        <f>+IFERROR(VLOOKUP(L1610,Data!$F$4:$G$97,2,0),"")</f>
        <v/>
      </c>
    </row>
    <row r="1611" spans="9:32" ht="15" customHeight="1" x14ac:dyDescent="0.3">
      <c r="I1611" s="201" t="str">
        <f t="shared" si="216"/>
        <v/>
      </c>
      <c r="J1611" s="218">
        <f t="shared" si="217"/>
        <v>1608</v>
      </c>
      <c r="K1611" s="250"/>
      <c r="L1611" s="219"/>
      <c r="M1611" s="218"/>
      <c r="N1611" s="220" t="str">
        <f>IFERROR(VLOOKUP(M1611,Data!$C$4:$D$395,2,0),"")</f>
        <v/>
      </c>
      <c r="O1611" s="220"/>
      <c r="P1611" s="229"/>
      <c r="Q1611" s="221"/>
      <c r="R1611" s="222" t="str">
        <f t="shared" si="218"/>
        <v>-</v>
      </c>
      <c r="S1611" s="223"/>
      <c r="T1611" s="224"/>
      <c r="U1611" s="225">
        <f t="shared" si="219"/>
        <v>0</v>
      </c>
      <c r="V1611" s="226">
        <v>0</v>
      </c>
      <c r="W1611" s="227"/>
      <c r="X1611" s="228">
        <f t="shared" si="220"/>
        <v>0</v>
      </c>
      <c r="Y1611" s="229"/>
      <c r="Z1611" s="229"/>
      <c r="AA1611" s="229"/>
      <c r="AB1611" s="222">
        <f t="shared" si="221"/>
        <v>0</v>
      </c>
      <c r="AC1611" s="230">
        <f t="shared" si="222"/>
        <v>0</v>
      </c>
      <c r="AD1611" s="222" t="str">
        <f t="shared" si="223"/>
        <v/>
      </c>
      <c r="AE1611" s="201"/>
      <c r="AF1611" s="231" t="str">
        <f>+IFERROR(VLOOKUP(L1611,Data!$F$4:$G$97,2,0),"")</f>
        <v/>
      </c>
    </row>
    <row r="1612" spans="9:32" ht="15" customHeight="1" x14ac:dyDescent="0.3">
      <c r="I1612" s="201" t="str">
        <f t="shared" si="216"/>
        <v/>
      </c>
      <c r="J1612" s="218">
        <f t="shared" si="217"/>
        <v>1609</v>
      </c>
      <c r="K1612" s="250"/>
      <c r="L1612" s="219"/>
      <c r="M1612" s="218"/>
      <c r="N1612" s="220" t="str">
        <f>IFERROR(VLOOKUP(M1612,Data!$C$4:$D$395,2,0),"")</f>
        <v/>
      </c>
      <c r="O1612" s="220"/>
      <c r="P1612" s="229"/>
      <c r="Q1612" s="221"/>
      <c r="R1612" s="222" t="str">
        <f t="shared" si="218"/>
        <v>-</v>
      </c>
      <c r="S1612" s="223"/>
      <c r="T1612" s="224"/>
      <c r="U1612" s="225">
        <f t="shared" si="219"/>
        <v>0</v>
      </c>
      <c r="V1612" s="226">
        <v>0</v>
      </c>
      <c r="W1612" s="227"/>
      <c r="X1612" s="228">
        <f t="shared" si="220"/>
        <v>0</v>
      </c>
      <c r="Y1612" s="229"/>
      <c r="Z1612" s="229"/>
      <c r="AA1612" s="229"/>
      <c r="AB1612" s="222">
        <f t="shared" si="221"/>
        <v>0</v>
      </c>
      <c r="AC1612" s="230">
        <f t="shared" si="222"/>
        <v>0</v>
      </c>
      <c r="AD1612" s="222" t="str">
        <f t="shared" si="223"/>
        <v/>
      </c>
      <c r="AE1612" s="201"/>
      <c r="AF1612" s="231" t="str">
        <f>+IFERROR(VLOOKUP(L1612,Data!$F$4:$G$97,2,0),"")</f>
        <v/>
      </c>
    </row>
    <row r="1613" spans="9:32" ht="15" customHeight="1" x14ac:dyDescent="0.3">
      <c r="I1613" s="201" t="str">
        <f t="shared" si="216"/>
        <v/>
      </c>
      <c r="J1613" s="218">
        <f t="shared" si="217"/>
        <v>1610</v>
      </c>
      <c r="K1613" s="250"/>
      <c r="L1613" s="219"/>
      <c r="M1613" s="218"/>
      <c r="N1613" s="220" t="str">
        <f>IFERROR(VLOOKUP(M1613,Data!$C$4:$D$395,2,0),"")</f>
        <v/>
      </c>
      <c r="O1613" s="220"/>
      <c r="P1613" s="229"/>
      <c r="Q1613" s="221"/>
      <c r="R1613" s="222" t="str">
        <f t="shared" si="218"/>
        <v>-</v>
      </c>
      <c r="S1613" s="223"/>
      <c r="T1613" s="224"/>
      <c r="U1613" s="225">
        <f t="shared" si="219"/>
        <v>0</v>
      </c>
      <c r="V1613" s="226">
        <v>0</v>
      </c>
      <c r="W1613" s="227"/>
      <c r="X1613" s="228">
        <f t="shared" si="220"/>
        <v>0</v>
      </c>
      <c r="Y1613" s="229"/>
      <c r="Z1613" s="229"/>
      <c r="AA1613" s="229"/>
      <c r="AB1613" s="222">
        <f t="shared" si="221"/>
        <v>0</v>
      </c>
      <c r="AC1613" s="230">
        <f t="shared" si="222"/>
        <v>0</v>
      </c>
      <c r="AD1613" s="222" t="str">
        <f t="shared" si="223"/>
        <v/>
      </c>
      <c r="AE1613" s="201"/>
      <c r="AF1613" s="231" t="str">
        <f>+IFERROR(VLOOKUP(L1613,Data!$F$4:$G$97,2,0),"")</f>
        <v/>
      </c>
    </row>
    <row r="1614" spans="9:32" ht="15" customHeight="1" x14ac:dyDescent="0.3">
      <c r="I1614" s="201" t="str">
        <f t="shared" si="216"/>
        <v/>
      </c>
      <c r="J1614" s="218">
        <f t="shared" si="217"/>
        <v>1611</v>
      </c>
      <c r="K1614" s="250"/>
      <c r="L1614" s="219"/>
      <c r="M1614" s="218"/>
      <c r="N1614" s="220" t="str">
        <f>IFERROR(VLOOKUP(M1614,Data!$C$4:$D$395,2,0),"")</f>
        <v/>
      </c>
      <c r="O1614" s="220"/>
      <c r="P1614" s="229"/>
      <c r="Q1614" s="221"/>
      <c r="R1614" s="222" t="str">
        <f t="shared" si="218"/>
        <v>-</v>
      </c>
      <c r="S1614" s="223"/>
      <c r="T1614" s="224"/>
      <c r="U1614" s="225">
        <f t="shared" si="219"/>
        <v>0</v>
      </c>
      <c r="V1614" s="226">
        <v>0</v>
      </c>
      <c r="W1614" s="227"/>
      <c r="X1614" s="228">
        <f t="shared" si="220"/>
        <v>0</v>
      </c>
      <c r="Y1614" s="229"/>
      <c r="Z1614" s="229"/>
      <c r="AA1614" s="229"/>
      <c r="AB1614" s="222">
        <f t="shared" si="221"/>
        <v>0</v>
      </c>
      <c r="AC1614" s="230">
        <f t="shared" si="222"/>
        <v>0</v>
      </c>
      <c r="AD1614" s="222" t="str">
        <f t="shared" si="223"/>
        <v/>
      </c>
      <c r="AE1614" s="201"/>
      <c r="AF1614" s="231" t="str">
        <f>+IFERROR(VLOOKUP(L1614,Data!$F$4:$G$97,2,0),"")</f>
        <v/>
      </c>
    </row>
    <row r="1615" spans="9:32" ht="15" customHeight="1" x14ac:dyDescent="0.3">
      <c r="I1615" s="201" t="str">
        <f t="shared" si="216"/>
        <v/>
      </c>
      <c r="J1615" s="218">
        <f t="shared" si="217"/>
        <v>1612</v>
      </c>
      <c r="K1615" s="250"/>
      <c r="L1615" s="219"/>
      <c r="M1615" s="218"/>
      <c r="N1615" s="220" t="str">
        <f>IFERROR(VLOOKUP(M1615,Data!$C$4:$D$395,2,0),"")</f>
        <v/>
      </c>
      <c r="O1615" s="220"/>
      <c r="P1615" s="229"/>
      <c r="Q1615" s="221"/>
      <c r="R1615" s="222" t="str">
        <f t="shared" si="218"/>
        <v>-</v>
      </c>
      <c r="S1615" s="223"/>
      <c r="T1615" s="224"/>
      <c r="U1615" s="225">
        <f t="shared" si="219"/>
        <v>0</v>
      </c>
      <c r="V1615" s="226">
        <v>0</v>
      </c>
      <c r="W1615" s="227"/>
      <c r="X1615" s="228">
        <f t="shared" si="220"/>
        <v>0</v>
      </c>
      <c r="Y1615" s="229"/>
      <c r="Z1615" s="229"/>
      <c r="AA1615" s="229"/>
      <c r="AB1615" s="222">
        <f t="shared" si="221"/>
        <v>0</v>
      </c>
      <c r="AC1615" s="230">
        <f t="shared" si="222"/>
        <v>0</v>
      </c>
      <c r="AD1615" s="222" t="str">
        <f t="shared" si="223"/>
        <v/>
      </c>
      <c r="AE1615" s="201"/>
      <c r="AF1615" s="231" t="str">
        <f>+IFERROR(VLOOKUP(L1615,Data!$F$4:$G$97,2,0),"")</f>
        <v/>
      </c>
    </row>
    <row r="1616" spans="9:32" ht="15" customHeight="1" x14ac:dyDescent="0.3">
      <c r="I1616" s="201" t="str">
        <f t="shared" si="216"/>
        <v/>
      </c>
      <c r="J1616" s="218">
        <f t="shared" si="217"/>
        <v>1613</v>
      </c>
      <c r="K1616" s="250"/>
      <c r="L1616" s="219"/>
      <c r="M1616" s="218"/>
      <c r="N1616" s="220" t="str">
        <f>IFERROR(VLOOKUP(M1616,Data!$C$4:$D$395,2,0),"")</f>
        <v/>
      </c>
      <c r="O1616" s="220"/>
      <c r="P1616" s="229"/>
      <c r="Q1616" s="221"/>
      <c r="R1616" s="222" t="str">
        <f t="shared" si="218"/>
        <v>-</v>
      </c>
      <c r="S1616" s="223"/>
      <c r="T1616" s="224"/>
      <c r="U1616" s="225">
        <f t="shared" si="219"/>
        <v>0</v>
      </c>
      <c r="V1616" s="226">
        <v>0</v>
      </c>
      <c r="W1616" s="227"/>
      <c r="X1616" s="228">
        <f t="shared" si="220"/>
        <v>0</v>
      </c>
      <c r="Y1616" s="229"/>
      <c r="Z1616" s="229"/>
      <c r="AA1616" s="229"/>
      <c r="AB1616" s="222">
        <f t="shared" si="221"/>
        <v>0</v>
      </c>
      <c r="AC1616" s="230">
        <f t="shared" si="222"/>
        <v>0</v>
      </c>
      <c r="AD1616" s="222" t="str">
        <f t="shared" si="223"/>
        <v/>
      </c>
      <c r="AE1616" s="201"/>
      <c r="AF1616" s="231" t="str">
        <f>+IFERROR(VLOOKUP(L1616,Data!$F$4:$G$97,2,0),"")</f>
        <v/>
      </c>
    </row>
    <row r="1617" spans="9:32" ht="15" customHeight="1" x14ac:dyDescent="0.3">
      <c r="I1617" s="201" t="str">
        <f t="shared" si="216"/>
        <v/>
      </c>
      <c r="J1617" s="218">
        <f t="shared" si="217"/>
        <v>1614</v>
      </c>
      <c r="K1617" s="250"/>
      <c r="L1617" s="219"/>
      <c r="M1617" s="218"/>
      <c r="N1617" s="220" t="str">
        <f>IFERROR(VLOOKUP(M1617,Data!$C$4:$D$395,2,0),"")</f>
        <v/>
      </c>
      <c r="O1617" s="220"/>
      <c r="P1617" s="229"/>
      <c r="Q1617" s="221"/>
      <c r="R1617" s="222" t="str">
        <f t="shared" si="218"/>
        <v>-</v>
      </c>
      <c r="S1617" s="223"/>
      <c r="T1617" s="224"/>
      <c r="U1617" s="225">
        <f t="shared" si="219"/>
        <v>0</v>
      </c>
      <c r="V1617" s="226">
        <v>0</v>
      </c>
      <c r="W1617" s="227"/>
      <c r="X1617" s="228">
        <f t="shared" si="220"/>
        <v>0</v>
      </c>
      <c r="Y1617" s="229"/>
      <c r="Z1617" s="229"/>
      <c r="AA1617" s="229"/>
      <c r="AB1617" s="222">
        <f t="shared" si="221"/>
        <v>0</v>
      </c>
      <c r="AC1617" s="230">
        <f t="shared" si="222"/>
        <v>0</v>
      </c>
      <c r="AD1617" s="222" t="str">
        <f t="shared" si="223"/>
        <v/>
      </c>
      <c r="AE1617" s="201"/>
      <c r="AF1617" s="231" t="str">
        <f>+IFERROR(VLOOKUP(L1617,Data!$F$4:$G$97,2,0),"")</f>
        <v/>
      </c>
    </row>
    <row r="1618" spans="9:32" ht="15" customHeight="1" x14ac:dyDescent="0.3">
      <c r="I1618" s="201" t="str">
        <f t="shared" si="216"/>
        <v/>
      </c>
      <c r="J1618" s="218">
        <f t="shared" si="217"/>
        <v>1615</v>
      </c>
      <c r="K1618" s="250"/>
      <c r="L1618" s="219"/>
      <c r="M1618" s="218"/>
      <c r="N1618" s="220" t="str">
        <f>IFERROR(VLOOKUP(M1618,Data!$C$4:$D$395,2,0),"")</f>
        <v/>
      </c>
      <c r="O1618" s="220"/>
      <c r="P1618" s="229"/>
      <c r="Q1618" s="221"/>
      <c r="R1618" s="222" t="str">
        <f t="shared" si="218"/>
        <v>-</v>
      </c>
      <c r="S1618" s="223"/>
      <c r="T1618" s="224"/>
      <c r="U1618" s="225">
        <f t="shared" si="219"/>
        <v>0</v>
      </c>
      <c r="V1618" s="226">
        <v>0</v>
      </c>
      <c r="W1618" s="227"/>
      <c r="X1618" s="228">
        <f t="shared" si="220"/>
        <v>0</v>
      </c>
      <c r="Y1618" s="229"/>
      <c r="Z1618" s="229"/>
      <c r="AA1618" s="229"/>
      <c r="AB1618" s="222">
        <f t="shared" si="221"/>
        <v>0</v>
      </c>
      <c r="AC1618" s="230">
        <f t="shared" si="222"/>
        <v>0</v>
      </c>
      <c r="AD1618" s="222" t="str">
        <f t="shared" si="223"/>
        <v/>
      </c>
      <c r="AE1618" s="201"/>
      <c r="AF1618" s="231" t="str">
        <f>+IFERROR(VLOOKUP(L1618,Data!$F$4:$G$97,2,0),"")</f>
        <v/>
      </c>
    </row>
    <row r="1619" spans="9:32" ht="15" customHeight="1" x14ac:dyDescent="0.3">
      <c r="I1619" s="201" t="str">
        <f t="shared" si="216"/>
        <v/>
      </c>
      <c r="J1619" s="218">
        <f t="shared" si="217"/>
        <v>1616</v>
      </c>
      <c r="K1619" s="250"/>
      <c r="L1619" s="219"/>
      <c r="M1619" s="218"/>
      <c r="N1619" s="220" t="str">
        <f>IFERROR(VLOOKUP(M1619,Data!$C$4:$D$395,2,0),"")</f>
        <v/>
      </c>
      <c r="O1619" s="220"/>
      <c r="P1619" s="229"/>
      <c r="Q1619" s="221"/>
      <c r="R1619" s="222" t="str">
        <f t="shared" si="218"/>
        <v>-</v>
      </c>
      <c r="S1619" s="223"/>
      <c r="T1619" s="224"/>
      <c r="U1619" s="225">
        <f t="shared" si="219"/>
        <v>0</v>
      </c>
      <c r="V1619" s="226">
        <v>0</v>
      </c>
      <c r="W1619" s="227"/>
      <c r="X1619" s="228">
        <f t="shared" si="220"/>
        <v>0</v>
      </c>
      <c r="Y1619" s="229"/>
      <c r="Z1619" s="229"/>
      <c r="AA1619" s="229"/>
      <c r="AB1619" s="222">
        <f t="shared" si="221"/>
        <v>0</v>
      </c>
      <c r="AC1619" s="230">
        <f t="shared" si="222"/>
        <v>0</v>
      </c>
      <c r="AD1619" s="222" t="str">
        <f t="shared" si="223"/>
        <v/>
      </c>
      <c r="AE1619" s="201"/>
      <c r="AF1619" s="231" t="str">
        <f>+IFERROR(VLOOKUP(L1619,Data!$F$4:$G$97,2,0),"")</f>
        <v/>
      </c>
    </row>
    <row r="1620" spans="9:32" ht="15" customHeight="1" x14ac:dyDescent="0.3">
      <c r="I1620" s="201" t="str">
        <f t="shared" si="216"/>
        <v/>
      </c>
      <c r="J1620" s="218">
        <f t="shared" si="217"/>
        <v>1617</v>
      </c>
      <c r="K1620" s="250"/>
      <c r="L1620" s="219"/>
      <c r="M1620" s="218"/>
      <c r="N1620" s="220" t="str">
        <f>IFERROR(VLOOKUP(M1620,Data!$C$4:$D$395,2,0),"")</f>
        <v/>
      </c>
      <c r="O1620" s="220"/>
      <c r="P1620" s="229"/>
      <c r="Q1620" s="221"/>
      <c r="R1620" s="222" t="str">
        <f t="shared" si="218"/>
        <v>-</v>
      </c>
      <c r="S1620" s="223"/>
      <c r="T1620" s="224"/>
      <c r="U1620" s="225">
        <f t="shared" si="219"/>
        <v>0</v>
      </c>
      <c r="V1620" s="226">
        <v>0</v>
      </c>
      <c r="W1620" s="227"/>
      <c r="X1620" s="228">
        <f t="shared" si="220"/>
        <v>0</v>
      </c>
      <c r="Y1620" s="229"/>
      <c r="Z1620" s="229"/>
      <c r="AA1620" s="229"/>
      <c r="AB1620" s="222">
        <f t="shared" si="221"/>
        <v>0</v>
      </c>
      <c r="AC1620" s="230">
        <f t="shared" si="222"/>
        <v>0</v>
      </c>
      <c r="AD1620" s="222" t="str">
        <f t="shared" si="223"/>
        <v/>
      </c>
      <c r="AE1620" s="201"/>
      <c r="AF1620" s="231" t="str">
        <f>+IFERROR(VLOOKUP(L1620,Data!$F$4:$G$97,2,0),"")</f>
        <v/>
      </c>
    </row>
    <row r="1621" spans="9:32" ht="15" customHeight="1" x14ac:dyDescent="0.3">
      <c r="I1621" s="201" t="str">
        <f t="shared" si="216"/>
        <v/>
      </c>
      <c r="J1621" s="218">
        <f t="shared" si="217"/>
        <v>1618</v>
      </c>
      <c r="K1621" s="250"/>
      <c r="L1621" s="219"/>
      <c r="M1621" s="218"/>
      <c r="N1621" s="220" t="str">
        <f>IFERROR(VLOOKUP(M1621,Data!$C$4:$D$395,2,0),"")</f>
        <v/>
      </c>
      <c r="O1621" s="220"/>
      <c r="P1621" s="229"/>
      <c r="Q1621" s="221"/>
      <c r="R1621" s="222" t="str">
        <f t="shared" si="218"/>
        <v>-</v>
      </c>
      <c r="S1621" s="223"/>
      <c r="T1621" s="224"/>
      <c r="U1621" s="225">
        <f t="shared" si="219"/>
        <v>0</v>
      </c>
      <c r="V1621" s="226">
        <v>0</v>
      </c>
      <c r="W1621" s="227"/>
      <c r="X1621" s="228">
        <f t="shared" si="220"/>
        <v>0</v>
      </c>
      <c r="Y1621" s="229"/>
      <c r="Z1621" s="229"/>
      <c r="AA1621" s="229"/>
      <c r="AB1621" s="222">
        <f t="shared" si="221"/>
        <v>0</v>
      </c>
      <c r="AC1621" s="230">
        <f t="shared" si="222"/>
        <v>0</v>
      </c>
      <c r="AD1621" s="222" t="str">
        <f t="shared" si="223"/>
        <v/>
      </c>
      <c r="AE1621" s="201"/>
      <c r="AF1621" s="231" t="str">
        <f>+IFERROR(VLOOKUP(L1621,Data!$F$4:$G$97,2,0),"")</f>
        <v/>
      </c>
    </row>
    <row r="1622" spans="9:32" ht="15" customHeight="1" x14ac:dyDescent="0.3">
      <c r="I1622" s="201" t="str">
        <f t="shared" si="216"/>
        <v/>
      </c>
      <c r="J1622" s="218">
        <f t="shared" si="217"/>
        <v>1619</v>
      </c>
      <c r="K1622" s="250"/>
      <c r="L1622" s="219"/>
      <c r="M1622" s="218"/>
      <c r="N1622" s="220" t="str">
        <f>IFERROR(VLOOKUP(M1622,Data!$C$4:$D$395,2,0),"")</f>
        <v/>
      </c>
      <c r="O1622" s="220"/>
      <c r="P1622" s="229"/>
      <c r="Q1622" s="221"/>
      <c r="R1622" s="222" t="str">
        <f t="shared" si="218"/>
        <v>-</v>
      </c>
      <c r="S1622" s="223"/>
      <c r="T1622" s="224"/>
      <c r="U1622" s="225">
        <f t="shared" si="219"/>
        <v>0</v>
      </c>
      <c r="V1622" s="226">
        <v>0</v>
      </c>
      <c r="W1622" s="227"/>
      <c r="X1622" s="228">
        <f t="shared" si="220"/>
        <v>0</v>
      </c>
      <c r="Y1622" s="229"/>
      <c r="Z1622" s="229"/>
      <c r="AA1622" s="229"/>
      <c r="AB1622" s="222">
        <f t="shared" si="221"/>
        <v>0</v>
      </c>
      <c r="AC1622" s="230">
        <f t="shared" si="222"/>
        <v>0</v>
      </c>
      <c r="AD1622" s="222" t="str">
        <f t="shared" si="223"/>
        <v/>
      </c>
      <c r="AE1622" s="201"/>
      <c r="AF1622" s="231" t="str">
        <f>+IFERROR(VLOOKUP(L1622,Data!$F$4:$G$97,2,0),"")</f>
        <v/>
      </c>
    </row>
    <row r="1623" spans="9:32" ht="15" customHeight="1" x14ac:dyDescent="0.3">
      <c r="I1623" s="201" t="str">
        <f t="shared" si="216"/>
        <v/>
      </c>
      <c r="J1623" s="218">
        <f t="shared" si="217"/>
        <v>1620</v>
      </c>
      <c r="K1623" s="250"/>
      <c r="L1623" s="219"/>
      <c r="M1623" s="218"/>
      <c r="N1623" s="220" t="str">
        <f>IFERROR(VLOOKUP(M1623,Data!$C$4:$D$395,2,0),"")</f>
        <v/>
      </c>
      <c r="O1623" s="220"/>
      <c r="P1623" s="229"/>
      <c r="Q1623" s="221"/>
      <c r="R1623" s="222" t="str">
        <f t="shared" si="218"/>
        <v>-</v>
      </c>
      <c r="S1623" s="223"/>
      <c r="T1623" s="224"/>
      <c r="U1623" s="225">
        <f t="shared" si="219"/>
        <v>0</v>
      </c>
      <c r="V1623" s="226">
        <v>0</v>
      </c>
      <c r="W1623" s="227"/>
      <c r="X1623" s="228">
        <f t="shared" si="220"/>
        <v>0</v>
      </c>
      <c r="Y1623" s="229"/>
      <c r="Z1623" s="229"/>
      <c r="AA1623" s="229"/>
      <c r="AB1623" s="222">
        <f t="shared" si="221"/>
        <v>0</v>
      </c>
      <c r="AC1623" s="230">
        <f t="shared" si="222"/>
        <v>0</v>
      </c>
      <c r="AD1623" s="222" t="str">
        <f t="shared" si="223"/>
        <v/>
      </c>
      <c r="AE1623" s="201"/>
      <c r="AF1623" s="231" t="str">
        <f>+IFERROR(VLOOKUP(L1623,Data!$F$4:$G$97,2,0),"")</f>
        <v/>
      </c>
    </row>
    <row r="1624" spans="9:32" ht="15" customHeight="1" x14ac:dyDescent="0.3">
      <c r="I1624" s="201" t="str">
        <f t="shared" si="216"/>
        <v/>
      </c>
      <c r="J1624" s="218">
        <f t="shared" si="217"/>
        <v>1621</v>
      </c>
      <c r="K1624" s="250"/>
      <c r="L1624" s="219"/>
      <c r="M1624" s="218"/>
      <c r="N1624" s="220" t="str">
        <f>IFERROR(VLOOKUP(M1624,Data!$C$4:$D$395,2,0),"")</f>
        <v/>
      </c>
      <c r="O1624" s="220"/>
      <c r="P1624" s="229"/>
      <c r="Q1624" s="221"/>
      <c r="R1624" s="222" t="str">
        <f t="shared" si="218"/>
        <v>-</v>
      </c>
      <c r="S1624" s="223"/>
      <c r="T1624" s="224"/>
      <c r="U1624" s="225">
        <f t="shared" si="219"/>
        <v>0</v>
      </c>
      <c r="V1624" s="226">
        <v>0</v>
      </c>
      <c r="W1624" s="227"/>
      <c r="X1624" s="228">
        <f t="shared" si="220"/>
        <v>0</v>
      </c>
      <c r="Y1624" s="229"/>
      <c r="Z1624" s="229"/>
      <c r="AA1624" s="229"/>
      <c r="AB1624" s="222">
        <f t="shared" si="221"/>
        <v>0</v>
      </c>
      <c r="AC1624" s="230">
        <f t="shared" si="222"/>
        <v>0</v>
      </c>
      <c r="AD1624" s="222" t="str">
        <f t="shared" si="223"/>
        <v/>
      </c>
      <c r="AE1624" s="201"/>
      <c r="AF1624" s="231" t="str">
        <f>+IFERROR(VLOOKUP(L1624,Data!$F$4:$G$97,2,0),"")</f>
        <v/>
      </c>
    </row>
    <row r="1625" spans="9:32" ht="15" customHeight="1" x14ac:dyDescent="0.3">
      <c r="I1625" s="201" t="str">
        <f t="shared" si="216"/>
        <v/>
      </c>
      <c r="J1625" s="218">
        <f t="shared" si="217"/>
        <v>1622</v>
      </c>
      <c r="K1625" s="250"/>
      <c r="L1625" s="219"/>
      <c r="M1625" s="218"/>
      <c r="N1625" s="220" t="str">
        <f>IFERROR(VLOOKUP(M1625,Data!$C$4:$D$395,2,0),"")</f>
        <v/>
      </c>
      <c r="O1625" s="220"/>
      <c r="P1625" s="229"/>
      <c r="Q1625" s="221"/>
      <c r="R1625" s="222" t="str">
        <f t="shared" si="218"/>
        <v>-</v>
      </c>
      <c r="S1625" s="223"/>
      <c r="T1625" s="224"/>
      <c r="U1625" s="225">
        <f t="shared" si="219"/>
        <v>0</v>
      </c>
      <c r="V1625" s="226">
        <v>0</v>
      </c>
      <c r="W1625" s="227"/>
      <c r="X1625" s="228">
        <f t="shared" si="220"/>
        <v>0</v>
      </c>
      <c r="Y1625" s="229"/>
      <c r="Z1625" s="229"/>
      <c r="AA1625" s="229"/>
      <c r="AB1625" s="222">
        <f t="shared" si="221"/>
        <v>0</v>
      </c>
      <c r="AC1625" s="230">
        <f t="shared" si="222"/>
        <v>0</v>
      </c>
      <c r="AD1625" s="222" t="str">
        <f t="shared" si="223"/>
        <v/>
      </c>
      <c r="AE1625" s="201"/>
      <c r="AF1625" s="231" t="str">
        <f>+IFERROR(VLOOKUP(L1625,Data!$F$4:$G$97,2,0),"")</f>
        <v/>
      </c>
    </row>
    <row r="1626" spans="9:32" ht="15" customHeight="1" x14ac:dyDescent="0.3">
      <c r="I1626" s="201" t="str">
        <f t="shared" si="216"/>
        <v/>
      </c>
      <c r="J1626" s="218">
        <f t="shared" si="217"/>
        <v>1623</v>
      </c>
      <c r="K1626" s="250"/>
      <c r="L1626" s="219"/>
      <c r="M1626" s="218"/>
      <c r="N1626" s="220" t="str">
        <f>IFERROR(VLOOKUP(M1626,Data!$C$4:$D$395,2,0),"")</f>
        <v/>
      </c>
      <c r="O1626" s="220"/>
      <c r="P1626" s="229"/>
      <c r="Q1626" s="221"/>
      <c r="R1626" s="222" t="str">
        <f t="shared" si="218"/>
        <v>-</v>
      </c>
      <c r="S1626" s="223"/>
      <c r="T1626" s="224"/>
      <c r="U1626" s="225">
        <f t="shared" si="219"/>
        <v>0</v>
      </c>
      <c r="V1626" s="226">
        <v>0</v>
      </c>
      <c r="W1626" s="227"/>
      <c r="X1626" s="228">
        <f t="shared" si="220"/>
        <v>0</v>
      </c>
      <c r="Y1626" s="229"/>
      <c r="Z1626" s="229"/>
      <c r="AA1626" s="229"/>
      <c r="AB1626" s="222">
        <f t="shared" si="221"/>
        <v>0</v>
      </c>
      <c r="AC1626" s="230">
        <f t="shared" si="222"/>
        <v>0</v>
      </c>
      <c r="AD1626" s="222" t="str">
        <f t="shared" si="223"/>
        <v/>
      </c>
      <c r="AE1626" s="201"/>
      <c r="AF1626" s="231" t="str">
        <f>+IFERROR(VLOOKUP(L1626,Data!$F$4:$G$97,2,0),"")</f>
        <v/>
      </c>
    </row>
    <row r="1627" spans="9:32" ht="15" customHeight="1" x14ac:dyDescent="0.3">
      <c r="I1627" s="201" t="str">
        <f t="shared" si="216"/>
        <v/>
      </c>
      <c r="J1627" s="218">
        <f t="shared" si="217"/>
        <v>1624</v>
      </c>
      <c r="K1627" s="250"/>
      <c r="L1627" s="219"/>
      <c r="M1627" s="218"/>
      <c r="N1627" s="220" t="str">
        <f>IFERROR(VLOOKUP(M1627,Data!$C$4:$D$395,2,0),"")</f>
        <v/>
      </c>
      <c r="O1627" s="220"/>
      <c r="P1627" s="229"/>
      <c r="Q1627" s="221"/>
      <c r="R1627" s="222" t="str">
        <f t="shared" si="218"/>
        <v>-</v>
      </c>
      <c r="S1627" s="223"/>
      <c r="T1627" s="224"/>
      <c r="U1627" s="225">
        <f t="shared" si="219"/>
        <v>0</v>
      </c>
      <c r="V1627" s="226">
        <v>0</v>
      </c>
      <c r="W1627" s="227"/>
      <c r="X1627" s="228">
        <f t="shared" si="220"/>
        <v>0</v>
      </c>
      <c r="Y1627" s="229"/>
      <c r="Z1627" s="229"/>
      <c r="AA1627" s="229"/>
      <c r="AB1627" s="222">
        <f t="shared" si="221"/>
        <v>0</v>
      </c>
      <c r="AC1627" s="230">
        <f t="shared" si="222"/>
        <v>0</v>
      </c>
      <c r="AD1627" s="222" t="str">
        <f t="shared" si="223"/>
        <v/>
      </c>
      <c r="AE1627" s="201"/>
      <c r="AF1627" s="231" t="str">
        <f>+IFERROR(VLOOKUP(L1627,Data!$F$4:$G$97,2,0),"")</f>
        <v/>
      </c>
    </row>
    <row r="1628" spans="9:32" ht="15" customHeight="1" x14ac:dyDescent="0.3">
      <c r="I1628" s="201" t="str">
        <f t="shared" si="216"/>
        <v/>
      </c>
      <c r="J1628" s="218">
        <f t="shared" si="217"/>
        <v>1625</v>
      </c>
      <c r="K1628" s="250"/>
      <c r="L1628" s="219"/>
      <c r="M1628" s="218"/>
      <c r="N1628" s="220" t="str">
        <f>IFERROR(VLOOKUP(M1628,Data!$C$4:$D$395,2,0),"")</f>
        <v/>
      </c>
      <c r="O1628" s="220"/>
      <c r="P1628" s="229"/>
      <c r="Q1628" s="221"/>
      <c r="R1628" s="222" t="str">
        <f t="shared" si="218"/>
        <v>-</v>
      </c>
      <c r="S1628" s="223"/>
      <c r="T1628" s="224"/>
      <c r="U1628" s="225">
        <f t="shared" si="219"/>
        <v>0</v>
      </c>
      <c r="V1628" s="226">
        <v>0</v>
      </c>
      <c r="W1628" s="227"/>
      <c r="X1628" s="228">
        <f t="shared" si="220"/>
        <v>0</v>
      </c>
      <c r="Y1628" s="229"/>
      <c r="Z1628" s="229"/>
      <c r="AA1628" s="229"/>
      <c r="AB1628" s="222">
        <f t="shared" si="221"/>
        <v>0</v>
      </c>
      <c r="AC1628" s="230">
        <f t="shared" si="222"/>
        <v>0</v>
      </c>
      <c r="AD1628" s="222" t="str">
        <f t="shared" si="223"/>
        <v/>
      </c>
      <c r="AE1628" s="201"/>
      <c r="AF1628" s="231" t="str">
        <f>+IFERROR(VLOOKUP(L1628,Data!$F$4:$G$97,2,0),"")</f>
        <v/>
      </c>
    </row>
    <row r="1629" spans="9:32" ht="15" customHeight="1" x14ac:dyDescent="0.3">
      <c r="I1629" s="201" t="str">
        <f t="shared" si="216"/>
        <v/>
      </c>
      <c r="J1629" s="218">
        <f t="shared" si="217"/>
        <v>1626</v>
      </c>
      <c r="K1629" s="250"/>
      <c r="L1629" s="219"/>
      <c r="M1629" s="218"/>
      <c r="N1629" s="220" t="str">
        <f>IFERROR(VLOOKUP(M1629,Data!$C$4:$D$395,2,0),"")</f>
        <v/>
      </c>
      <c r="O1629" s="220"/>
      <c r="P1629" s="229"/>
      <c r="Q1629" s="221"/>
      <c r="R1629" s="222" t="str">
        <f t="shared" si="218"/>
        <v>-</v>
      </c>
      <c r="S1629" s="223"/>
      <c r="T1629" s="224"/>
      <c r="U1629" s="225">
        <f t="shared" si="219"/>
        <v>0</v>
      </c>
      <c r="V1629" s="226">
        <v>0</v>
      </c>
      <c r="W1629" s="227"/>
      <c r="X1629" s="228">
        <f t="shared" si="220"/>
        <v>0</v>
      </c>
      <c r="Y1629" s="229"/>
      <c r="Z1629" s="229"/>
      <c r="AA1629" s="229"/>
      <c r="AB1629" s="222">
        <f t="shared" si="221"/>
        <v>0</v>
      </c>
      <c r="AC1629" s="230">
        <f t="shared" si="222"/>
        <v>0</v>
      </c>
      <c r="AD1629" s="222" t="str">
        <f t="shared" si="223"/>
        <v/>
      </c>
      <c r="AE1629" s="201"/>
      <c r="AF1629" s="231" t="str">
        <f>+IFERROR(VLOOKUP(L1629,Data!$F$4:$G$97,2,0),"")</f>
        <v/>
      </c>
    </row>
    <row r="1630" spans="9:32" ht="15" customHeight="1" x14ac:dyDescent="0.3">
      <c r="I1630" s="201" t="str">
        <f t="shared" si="216"/>
        <v/>
      </c>
      <c r="J1630" s="218">
        <f t="shared" si="217"/>
        <v>1627</v>
      </c>
      <c r="K1630" s="250"/>
      <c r="L1630" s="219"/>
      <c r="M1630" s="218"/>
      <c r="N1630" s="220" t="str">
        <f>IFERROR(VLOOKUP(M1630,Data!$C$4:$D$395,2,0),"")</f>
        <v/>
      </c>
      <c r="O1630" s="220"/>
      <c r="P1630" s="229"/>
      <c r="Q1630" s="221"/>
      <c r="R1630" s="222" t="str">
        <f t="shared" si="218"/>
        <v>-</v>
      </c>
      <c r="S1630" s="223"/>
      <c r="T1630" s="224"/>
      <c r="U1630" s="225">
        <f t="shared" si="219"/>
        <v>0</v>
      </c>
      <c r="V1630" s="226">
        <v>0</v>
      </c>
      <c r="W1630" s="227"/>
      <c r="X1630" s="228">
        <f t="shared" si="220"/>
        <v>0</v>
      </c>
      <c r="Y1630" s="229"/>
      <c r="Z1630" s="229"/>
      <c r="AA1630" s="229"/>
      <c r="AB1630" s="222">
        <f t="shared" si="221"/>
        <v>0</v>
      </c>
      <c r="AC1630" s="230">
        <f t="shared" si="222"/>
        <v>0</v>
      </c>
      <c r="AD1630" s="222" t="str">
        <f t="shared" si="223"/>
        <v/>
      </c>
      <c r="AE1630" s="201"/>
      <c r="AF1630" s="231" t="str">
        <f>+IFERROR(VLOOKUP(L1630,Data!$F$4:$G$97,2,0),"")</f>
        <v/>
      </c>
    </row>
    <row r="1631" spans="9:32" ht="15" customHeight="1" x14ac:dyDescent="0.3">
      <c r="I1631" s="201" t="str">
        <f t="shared" si="216"/>
        <v/>
      </c>
      <c r="J1631" s="218">
        <f t="shared" si="217"/>
        <v>1628</v>
      </c>
      <c r="K1631" s="250"/>
      <c r="L1631" s="219"/>
      <c r="M1631" s="218"/>
      <c r="N1631" s="220" t="str">
        <f>IFERROR(VLOOKUP(M1631,Data!$C$4:$D$395,2,0),"")</f>
        <v/>
      </c>
      <c r="O1631" s="220"/>
      <c r="P1631" s="229"/>
      <c r="Q1631" s="221"/>
      <c r="R1631" s="222" t="str">
        <f t="shared" si="218"/>
        <v>-</v>
      </c>
      <c r="S1631" s="223"/>
      <c r="T1631" s="224"/>
      <c r="U1631" s="225">
        <f t="shared" si="219"/>
        <v>0</v>
      </c>
      <c r="V1631" s="226">
        <v>0</v>
      </c>
      <c r="W1631" s="227"/>
      <c r="X1631" s="228">
        <f t="shared" si="220"/>
        <v>0</v>
      </c>
      <c r="Y1631" s="229"/>
      <c r="Z1631" s="229"/>
      <c r="AA1631" s="229"/>
      <c r="AB1631" s="222">
        <f t="shared" si="221"/>
        <v>0</v>
      </c>
      <c r="AC1631" s="230">
        <f t="shared" si="222"/>
        <v>0</v>
      </c>
      <c r="AD1631" s="222" t="str">
        <f t="shared" si="223"/>
        <v/>
      </c>
      <c r="AE1631" s="201"/>
      <c r="AF1631" s="231" t="str">
        <f>+IFERROR(VLOOKUP(L1631,Data!$F$4:$G$97,2,0),"")</f>
        <v/>
      </c>
    </row>
    <row r="1632" spans="9:32" ht="15" customHeight="1" x14ac:dyDescent="0.3">
      <c r="I1632" s="201" t="str">
        <f t="shared" si="216"/>
        <v/>
      </c>
      <c r="J1632" s="218">
        <f t="shared" si="217"/>
        <v>1629</v>
      </c>
      <c r="K1632" s="250"/>
      <c r="L1632" s="219"/>
      <c r="M1632" s="218"/>
      <c r="N1632" s="220" t="str">
        <f>IFERROR(VLOOKUP(M1632,Data!$C$4:$D$395,2,0),"")</f>
        <v/>
      </c>
      <c r="O1632" s="220"/>
      <c r="P1632" s="229"/>
      <c r="Q1632" s="221"/>
      <c r="R1632" s="222" t="str">
        <f t="shared" si="218"/>
        <v>-</v>
      </c>
      <c r="S1632" s="223"/>
      <c r="T1632" s="224"/>
      <c r="U1632" s="225">
        <f t="shared" si="219"/>
        <v>0</v>
      </c>
      <c r="V1632" s="226">
        <v>0</v>
      </c>
      <c r="W1632" s="227"/>
      <c r="X1632" s="228">
        <f t="shared" si="220"/>
        <v>0</v>
      </c>
      <c r="Y1632" s="229"/>
      <c r="Z1632" s="229"/>
      <c r="AA1632" s="229"/>
      <c r="AB1632" s="222">
        <f t="shared" si="221"/>
        <v>0</v>
      </c>
      <c r="AC1632" s="230">
        <f t="shared" si="222"/>
        <v>0</v>
      </c>
      <c r="AD1632" s="222" t="str">
        <f t="shared" si="223"/>
        <v/>
      </c>
      <c r="AE1632" s="201"/>
      <c r="AF1632" s="231" t="str">
        <f>+IFERROR(VLOOKUP(L1632,Data!$F$4:$G$97,2,0),"")</f>
        <v/>
      </c>
    </row>
    <row r="1633" spans="9:32" ht="15" customHeight="1" x14ac:dyDescent="0.3">
      <c r="I1633" s="201" t="str">
        <f t="shared" si="216"/>
        <v/>
      </c>
      <c r="J1633" s="218">
        <f t="shared" si="217"/>
        <v>1630</v>
      </c>
      <c r="K1633" s="250"/>
      <c r="L1633" s="219"/>
      <c r="M1633" s="218"/>
      <c r="N1633" s="220" t="str">
        <f>IFERROR(VLOOKUP(M1633,Data!$C$4:$D$395,2,0),"")</f>
        <v/>
      </c>
      <c r="O1633" s="220"/>
      <c r="P1633" s="229"/>
      <c r="Q1633" s="221"/>
      <c r="R1633" s="222" t="str">
        <f t="shared" si="218"/>
        <v>-</v>
      </c>
      <c r="S1633" s="223"/>
      <c r="T1633" s="224"/>
      <c r="U1633" s="225">
        <f t="shared" si="219"/>
        <v>0</v>
      </c>
      <c r="V1633" s="226">
        <v>0</v>
      </c>
      <c r="W1633" s="227"/>
      <c r="X1633" s="228">
        <f t="shared" si="220"/>
        <v>0</v>
      </c>
      <c r="Y1633" s="229"/>
      <c r="Z1633" s="229"/>
      <c r="AA1633" s="229"/>
      <c r="AB1633" s="222">
        <f t="shared" si="221"/>
        <v>0</v>
      </c>
      <c r="AC1633" s="230">
        <f t="shared" si="222"/>
        <v>0</v>
      </c>
      <c r="AD1633" s="222" t="str">
        <f t="shared" si="223"/>
        <v/>
      </c>
      <c r="AE1633" s="201"/>
      <c r="AF1633" s="231" t="str">
        <f>+IFERROR(VLOOKUP(L1633,Data!$F$4:$G$97,2,0),"")</f>
        <v/>
      </c>
    </row>
    <row r="1634" spans="9:32" ht="15" customHeight="1" x14ac:dyDescent="0.3">
      <c r="I1634" s="201" t="str">
        <f t="shared" si="216"/>
        <v/>
      </c>
      <c r="J1634" s="218">
        <f t="shared" si="217"/>
        <v>1631</v>
      </c>
      <c r="K1634" s="250"/>
      <c r="L1634" s="219"/>
      <c r="M1634" s="218"/>
      <c r="N1634" s="220" t="str">
        <f>IFERROR(VLOOKUP(M1634,Data!$C$4:$D$395,2,0),"")</f>
        <v/>
      </c>
      <c r="O1634" s="220"/>
      <c r="P1634" s="229"/>
      <c r="Q1634" s="221"/>
      <c r="R1634" s="222" t="str">
        <f t="shared" si="218"/>
        <v>-</v>
      </c>
      <c r="S1634" s="223"/>
      <c r="T1634" s="224"/>
      <c r="U1634" s="225">
        <f t="shared" si="219"/>
        <v>0</v>
      </c>
      <c r="V1634" s="226">
        <v>0</v>
      </c>
      <c r="W1634" s="227"/>
      <c r="X1634" s="228">
        <f t="shared" si="220"/>
        <v>0</v>
      </c>
      <c r="Y1634" s="229"/>
      <c r="Z1634" s="229"/>
      <c r="AA1634" s="229"/>
      <c r="AB1634" s="222">
        <f t="shared" si="221"/>
        <v>0</v>
      </c>
      <c r="AC1634" s="230">
        <f t="shared" si="222"/>
        <v>0</v>
      </c>
      <c r="AD1634" s="222" t="str">
        <f t="shared" si="223"/>
        <v/>
      </c>
      <c r="AE1634" s="201"/>
      <c r="AF1634" s="231" t="str">
        <f>+IFERROR(VLOOKUP(L1634,Data!$F$4:$G$97,2,0),"")</f>
        <v/>
      </c>
    </row>
    <row r="1635" spans="9:32" ht="15" customHeight="1" x14ac:dyDescent="0.3">
      <c r="I1635" s="201" t="str">
        <f t="shared" si="216"/>
        <v/>
      </c>
      <c r="J1635" s="218">
        <f t="shared" si="217"/>
        <v>1632</v>
      </c>
      <c r="K1635" s="250"/>
      <c r="L1635" s="219"/>
      <c r="M1635" s="218"/>
      <c r="N1635" s="220" t="str">
        <f>IFERROR(VLOOKUP(M1635,Data!$C$4:$D$395,2,0),"")</f>
        <v/>
      </c>
      <c r="O1635" s="220"/>
      <c r="P1635" s="229"/>
      <c r="Q1635" s="221"/>
      <c r="R1635" s="222" t="str">
        <f t="shared" si="218"/>
        <v>-</v>
      </c>
      <c r="S1635" s="223"/>
      <c r="T1635" s="224"/>
      <c r="U1635" s="225">
        <f t="shared" si="219"/>
        <v>0</v>
      </c>
      <c r="V1635" s="226">
        <v>0</v>
      </c>
      <c r="W1635" s="227"/>
      <c r="X1635" s="228">
        <f t="shared" si="220"/>
        <v>0</v>
      </c>
      <c r="Y1635" s="229"/>
      <c r="Z1635" s="229"/>
      <c r="AA1635" s="229"/>
      <c r="AB1635" s="222">
        <f t="shared" si="221"/>
        <v>0</v>
      </c>
      <c r="AC1635" s="230">
        <f t="shared" si="222"/>
        <v>0</v>
      </c>
      <c r="AD1635" s="222" t="str">
        <f t="shared" si="223"/>
        <v/>
      </c>
      <c r="AE1635" s="201"/>
      <c r="AF1635" s="231" t="str">
        <f>+IFERROR(VLOOKUP(L1635,Data!$F$4:$G$97,2,0),"")</f>
        <v/>
      </c>
    </row>
    <row r="1636" spans="9:32" ht="15" customHeight="1" x14ac:dyDescent="0.3">
      <c r="I1636" s="201" t="str">
        <f t="shared" si="216"/>
        <v/>
      </c>
      <c r="J1636" s="218">
        <f t="shared" si="217"/>
        <v>1633</v>
      </c>
      <c r="K1636" s="250"/>
      <c r="L1636" s="219"/>
      <c r="M1636" s="218"/>
      <c r="N1636" s="220" t="str">
        <f>IFERROR(VLOOKUP(M1636,Data!$C$4:$D$395,2,0),"")</f>
        <v/>
      </c>
      <c r="O1636" s="220"/>
      <c r="P1636" s="229"/>
      <c r="Q1636" s="221"/>
      <c r="R1636" s="222" t="str">
        <f t="shared" si="218"/>
        <v>-</v>
      </c>
      <c r="S1636" s="223"/>
      <c r="T1636" s="224"/>
      <c r="U1636" s="225">
        <f t="shared" si="219"/>
        <v>0</v>
      </c>
      <c r="V1636" s="226">
        <v>0</v>
      </c>
      <c r="W1636" s="227"/>
      <c r="X1636" s="228">
        <f t="shared" si="220"/>
        <v>0</v>
      </c>
      <c r="Y1636" s="229"/>
      <c r="Z1636" s="229"/>
      <c r="AA1636" s="229"/>
      <c r="AB1636" s="222">
        <f t="shared" si="221"/>
        <v>0</v>
      </c>
      <c r="AC1636" s="230">
        <f t="shared" si="222"/>
        <v>0</v>
      </c>
      <c r="AD1636" s="222" t="str">
        <f t="shared" si="223"/>
        <v/>
      </c>
      <c r="AE1636" s="201"/>
      <c r="AF1636" s="231" t="str">
        <f>+IFERROR(VLOOKUP(L1636,Data!$F$4:$G$97,2,0),"")</f>
        <v/>
      </c>
    </row>
    <row r="1637" spans="9:32" ht="15" customHeight="1" x14ac:dyDescent="0.3">
      <c r="I1637" s="201" t="str">
        <f t="shared" si="216"/>
        <v/>
      </c>
      <c r="J1637" s="218">
        <f t="shared" si="217"/>
        <v>1634</v>
      </c>
      <c r="K1637" s="250"/>
      <c r="L1637" s="219"/>
      <c r="M1637" s="218"/>
      <c r="N1637" s="220" t="str">
        <f>IFERROR(VLOOKUP(M1637,Data!$C$4:$D$395,2,0),"")</f>
        <v/>
      </c>
      <c r="O1637" s="220"/>
      <c r="P1637" s="229"/>
      <c r="Q1637" s="221"/>
      <c r="R1637" s="222" t="str">
        <f t="shared" si="218"/>
        <v>-</v>
      </c>
      <c r="S1637" s="223"/>
      <c r="T1637" s="224"/>
      <c r="U1637" s="225">
        <f t="shared" si="219"/>
        <v>0</v>
      </c>
      <c r="V1637" s="226">
        <v>0</v>
      </c>
      <c r="W1637" s="227"/>
      <c r="X1637" s="228">
        <f t="shared" si="220"/>
        <v>0</v>
      </c>
      <c r="Y1637" s="229"/>
      <c r="Z1637" s="229"/>
      <c r="AA1637" s="229"/>
      <c r="AB1637" s="222">
        <f t="shared" si="221"/>
        <v>0</v>
      </c>
      <c r="AC1637" s="230">
        <f t="shared" si="222"/>
        <v>0</v>
      </c>
      <c r="AD1637" s="222" t="str">
        <f t="shared" si="223"/>
        <v/>
      </c>
      <c r="AE1637" s="201"/>
      <c r="AF1637" s="231" t="str">
        <f>+IFERROR(VLOOKUP(L1637,Data!$F$4:$G$97,2,0),"")</f>
        <v/>
      </c>
    </row>
    <row r="1638" spans="9:32" ht="15" customHeight="1" x14ac:dyDescent="0.3">
      <c r="I1638" s="201" t="str">
        <f t="shared" si="216"/>
        <v/>
      </c>
      <c r="J1638" s="218">
        <f t="shared" si="217"/>
        <v>1635</v>
      </c>
      <c r="K1638" s="250"/>
      <c r="L1638" s="219"/>
      <c r="M1638" s="218"/>
      <c r="N1638" s="220" t="str">
        <f>IFERROR(VLOOKUP(M1638,Data!$C$4:$D$395,2,0),"")</f>
        <v/>
      </c>
      <c r="O1638" s="220"/>
      <c r="P1638" s="229"/>
      <c r="Q1638" s="221"/>
      <c r="R1638" s="222" t="str">
        <f t="shared" si="218"/>
        <v>-</v>
      </c>
      <c r="S1638" s="223"/>
      <c r="T1638" s="224"/>
      <c r="U1638" s="225">
        <f t="shared" si="219"/>
        <v>0</v>
      </c>
      <c r="V1638" s="226">
        <v>0</v>
      </c>
      <c r="W1638" s="227"/>
      <c r="X1638" s="228">
        <f t="shared" si="220"/>
        <v>0</v>
      </c>
      <c r="Y1638" s="229"/>
      <c r="Z1638" s="229"/>
      <c r="AA1638" s="229"/>
      <c r="AB1638" s="222">
        <f t="shared" si="221"/>
        <v>0</v>
      </c>
      <c r="AC1638" s="230">
        <f t="shared" si="222"/>
        <v>0</v>
      </c>
      <c r="AD1638" s="222" t="str">
        <f t="shared" si="223"/>
        <v/>
      </c>
      <c r="AE1638" s="201"/>
      <c r="AF1638" s="231" t="str">
        <f>+IFERROR(VLOOKUP(L1638,Data!$F$4:$G$97,2,0),"")</f>
        <v/>
      </c>
    </row>
    <row r="1639" spans="9:32" ht="15" customHeight="1" x14ac:dyDescent="0.3">
      <c r="I1639" s="201" t="str">
        <f t="shared" si="216"/>
        <v/>
      </c>
      <c r="J1639" s="218">
        <f t="shared" si="217"/>
        <v>1636</v>
      </c>
      <c r="K1639" s="250"/>
      <c r="L1639" s="219"/>
      <c r="M1639" s="218"/>
      <c r="N1639" s="220" t="str">
        <f>IFERROR(VLOOKUP(M1639,Data!$C$4:$D$395,2,0),"")</f>
        <v/>
      </c>
      <c r="O1639" s="220"/>
      <c r="P1639" s="229"/>
      <c r="Q1639" s="221"/>
      <c r="R1639" s="222" t="str">
        <f t="shared" si="218"/>
        <v>-</v>
      </c>
      <c r="S1639" s="223"/>
      <c r="T1639" s="224"/>
      <c r="U1639" s="225">
        <f t="shared" si="219"/>
        <v>0</v>
      </c>
      <c r="V1639" s="226">
        <v>0</v>
      </c>
      <c r="W1639" s="227"/>
      <c r="X1639" s="228">
        <f t="shared" si="220"/>
        <v>0</v>
      </c>
      <c r="Y1639" s="229"/>
      <c r="Z1639" s="229"/>
      <c r="AA1639" s="229"/>
      <c r="AB1639" s="222">
        <f t="shared" si="221"/>
        <v>0</v>
      </c>
      <c r="AC1639" s="230">
        <f t="shared" si="222"/>
        <v>0</v>
      </c>
      <c r="AD1639" s="222" t="str">
        <f t="shared" si="223"/>
        <v/>
      </c>
      <c r="AE1639" s="201"/>
      <c r="AF1639" s="231" t="str">
        <f>+IFERROR(VLOOKUP(L1639,Data!$F$4:$G$97,2,0),"")</f>
        <v/>
      </c>
    </row>
    <row r="1640" spans="9:32" ht="15" customHeight="1" x14ac:dyDescent="0.3">
      <c r="I1640" s="201" t="str">
        <f t="shared" si="216"/>
        <v/>
      </c>
      <c r="J1640" s="218">
        <f t="shared" si="217"/>
        <v>1637</v>
      </c>
      <c r="K1640" s="250"/>
      <c r="L1640" s="219"/>
      <c r="M1640" s="218"/>
      <c r="N1640" s="220" t="str">
        <f>IFERROR(VLOOKUP(M1640,Data!$C$4:$D$395,2,0),"")</f>
        <v/>
      </c>
      <c r="O1640" s="220"/>
      <c r="P1640" s="229"/>
      <c r="Q1640" s="221"/>
      <c r="R1640" s="222" t="str">
        <f t="shared" si="218"/>
        <v>-</v>
      </c>
      <c r="S1640" s="223"/>
      <c r="T1640" s="224"/>
      <c r="U1640" s="225">
        <f t="shared" si="219"/>
        <v>0</v>
      </c>
      <c r="V1640" s="226">
        <v>0</v>
      </c>
      <c r="W1640" s="227"/>
      <c r="X1640" s="228">
        <f t="shared" si="220"/>
        <v>0</v>
      </c>
      <c r="Y1640" s="229"/>
      <c r="Z1640" s="229"/>
      <c r="AA1640" s="229"/>
      <c r="AB1640" s="222">
        <f t="shared" si="221"/>
        <v>0</v>
      </c>
      <c r="AC1640" s="230">
        <f t="shared" si="222"/>
        <v>0</v>
      </c>
      <c r="AD1640" s="222" t="str">
        <f t="shared" si="223"/>
        <v/>
      </c>
      <c r="AE1640" s="201"/>
      <c r="AF1640" s="231" t="str">
        <f>+IFERROR(VLOOKUP(L1640,Data!$F$4:$G$97,2,0),"")</f>
        <v/>
      </c>
    </row>
    <row r="1641" spans="9:32" ht="15" customHeight="1" x14ac:dyDescent="0.3">
      <c r="I1641" s="201" t="str">
        <f t="shared" si="216"/>
        <v/>
      </c>
      <c r="J1641" s="218">
        <f t="shared" si="217"/>
        <v>1638</v>
      </c>
      <c r="K1641" s="250"/>
      <c r="L1641" s="219"/>
      <c r="M1641" s="218"/>
      <c r="N1641" s="220" t="str">
        <f>IFERROR(VLOOKUP(M1641,Data!$C$4:$D$395,2,0),"")</f>
        <v/>
      </c>
      <c r="O1641" s="220"/>
      <c r="P1641" s="229"/>
      <c r="Q1641" s="221"/>
      <c r="R1641" s="222" t="str">
        <f t="shared" si="218"/>
        <v>-</v>
      </c>
      <c r="S1641" s="223"/>
      <c r="T1641" s="224"/>
      <c r="U1641" s="225">
        <f t="shared" si="219"/>
        <v>0</v>
      </c>
      <c r="V1641" s="226">
        <v>0</v>
      </c>
      <c r="W1641" s="227"/>
      <c r="X1641" s="228">
        <f t="shared" si="220"/>
        <v>0</v>
      </c>
      <c r="Y1641" s="229"/>
      <c r="Z1641" s="229"/>
      <c r="AA1641" s="229"/>
      <c r="AB1641" s="222">
        <f t="shared" si="221"/>
        <v>0</v>
      </c>
      <c r="AC1641" s="230">
        <f t="shared" si="222"/>
        <v>0</v>
      </c>
      <c r="AD1641" s="222" t="str">
        <f t="shared" si="223"/>
        <v/>
      </c>
      <c r="AE1641" s="201"/>
      <c r="AF1641" s="231" t="str">
        <f>+IFERROR(VLOOKUP(L1641,Data!$F$4:$G$97,2,0),"")</f>
        <v/>
      </c>
    </row>
    <row r="1642" spans="9:32" ht="15" customHeight="1" x14ac:dyDescent="0.3">
      <c r="I1642" s="201" t="str">
        <f t="shared" si="216"/>
        <v/>
      </c>
      <c r="J1642" s="218">
        <f t="shared" si="217"/>
        <v>1639</v>
      </c>
      <c r="K1642" s="250"/>
      <c r="L1642" s="219"/>
      <c r="M1642" s="218"/>
      <c r="N1642" s="220" t="str">
        <f>IFERROR(VLOOKUP(M1642,Data!$C$4:$D$395,2,0),"")</f>
        <v/>
      </c>
      <c r="O1642" s="220"/>
      <c r="P1642" s="229"/>
      <c r="Q1642" s="221"/>
      <c r="R1642" s="222" t="str">
        <f t="shared" si="218"/>
        <v>-</v>
      </c>
      <c r="S1642" s="223"/>
      <c r="T1642" s="224"/>
      <c r="U1642" s="225">
        <f t="shared" si="219"/>
        <v>0</v>
      </c>
      <c r="V1642" s="226">
        <v>0</v>
      </c>
      <c r="W1642" s="227"/>
      <c r="X1642" s="228">
        <f t="shared" si="220"/>
        <v>0</v>
      </c>
      <c r="Y1642" s="229"/>
      <c r="Z1642" s="229"/>
      <c r="AA1642" s="229"/>
      <c r="AB1642" s="222">
        <f t="shared" si="221"/>
        <v>0</v>
      </c>
      <c r="AC1642" s="230">
        <f t="shared" si="222"/>
        <v>0</v>
      </c>
      <c r="AD1642" s="222" t="str">
        <f t="shared" si="223"/>
        <v/>
      </c>
      <c r="AE1642" s="201"/>
      <c r="AF1642" s="231" t="str">
        <f>+IFERROR(VLOOKUP(L1642,Data!$F$4:$G$97,2,0),"")</f>
        <v/>
      </c>
    </row>
    <row r="1643" spans="9:32" ht="15" customHeight="1" x14ac:dyDescent="0.3">
      <c r="I1643" s="201" t="str">
        <f t="shared" si="216"/>
        <v/>
      </c>
      <c r="J1643" s="218">
        <f t="shared" si="217"/>
        <v>1640</v>
      </c>
      <c r="K1643" s="250"/>
      <c r="L1643" s="219"/>
      <c r="M1643" s="218"/>
      <c r="N1643" s="220" t="str">
        <f>IFERROR(VLOOKUP(M1643,Data!$C$4:$D$395,2,0),"")</f>
        <v/>
      </c>
      <c r="O1643" s="220"/>
      <c r="P1643" s="229"/>
      <c r="Q1643" s="221"/>
      <c r="R1643" s="222" t="str">
        <f t="shared" si="218"/>
        <v>-</v>
      </c>
      <c r="S1643" s="223"/>
      <c r="T1643" s="224"/>
      <c r="U1643" s="225">
        <f t="shared" si="219"/>
        <v>0</v>
      </c>
      <c r="V1643" s="226">
        <v>0</v>
      </c>
      <c r="W1643" s="227"/>
      <c r="X1643" s="228">
        <f t="shared" si="220"/>
        <v>0</v>
      </c>
      <c r="Y1643" s="229"/>
      <c r="Z1643" s="229"/>
      <c r="AA1643" s="229"/>
      <c r="AB1643" s="222">
        <f t="shared" si="221"/>
        <v>0</v>
      </c>
      <c r="AC1643" s="230">
        <f t="shared" si="222"/>
        <v>0</v>
      </c>
      <c r="AD1643" s="222" t="str">
        <f t="shared" si="223"/>
        <v/>
      </c>
      <c r="AE1643" s="201"/>
      <c r="AF1643" s="231" t="str">
        <f>+IFERROR(VLOOKUP(L1643,Data!$F$4:$G$97,2,0),"")</f>
        <v/>
      </c>
    </row>
    <row r="1644" spans="9:32" ht="15" customHeight="1" x14ac:dyDescent="0.3">
      <c r="I1644" s="201" t="str">
        <f t="shared" si="216"/>
        <v/>
      </c>
      <c r="J1644" s="218">
        <f t="shared" si="217"/>
        <v>1641</v>
      </c>
      <c r="K1644" s="250"/>
      <c r="L1644" s="219"/>
      <c r="M1644" s="218"/>
      <c r="N1644" s="220" t="str">
        <f>IFERROR(VLOOKUP(M1644,Data!$C$4:$D$395,2,0),"")</f>
        <v/>
      </c>
      <c r="O1644" s="220"/>
      <c r="P1644" s="229"/>
      <c r="Q1644" s="221"/>
      <c r="R1644" s="222" t="str">
        <f t="shared" si="218"/>
        <v>-</v>
      </c>
      <c r="S1644" s="223"/>
      <c r="T1644" s="224"/>
      <c r="U1644" s="225">
        <f t="shared" si="219"/>
        <v>0</v>
      </c>
      <c r="V1644" s="226">
        <v>0</v>
      </c>
      <c r="W1644" s="227"/>
      <c r="X1644" s="228">
        <f t="shared" si="220"/>
        <v>0</v>
      </c>
      <c r="Y1644" s="229"/>
      <c r="Z1644" s="229"/>
      <c r="AA1644" s="229"/>
      <c r="AB1644" s="222">
        <f t="shared" si="221"/>
        <v>0</v>
      </c>
      <c r="AC1644" s="230">
        <f t="shared" si="222"/>
        <v>0</v>
      </c>
      <c r="AD1644" s="222" t="str">
        <f t="shared" si="223"/>
        <v/>
      </c>
      <c r="AE1644" s="201"/>
      <c r="AF1644" s="231" t="str">
        <f>+IFERROR(VLOOKUP(L1644,Data!$F$4:$G$97,2,0),"")</f>
        <v/>
      </c>
    </row>
    <row r="1645" spans="9:32" ht="15" customHeight="1" x14ac:dyDescent="0.3">
      <c r="I1645" s="201" t="str">
        <f t="shared" si="216"/>
        <v/>
      </c>
      <c r="J1645" s="218">
        <f t="shared" si="217"/>
        <v>1642</v>
      </c>
      <c r="K1645" s="250"/>
      <c r="L1645" s="219"/>
      <c r="M1645" s="218"/>
      <c r="N1645" s="220" t="str">
        <f>IFERROR(VLOOKUP(M1645,Data!$C$4:$D$395,2,0),"")</f>
        <v/>
      </c>
      <c r="O1645" s="220"/>
      <c r="P1645" s="229"/>
      <c r="Q1645" s="221"/>
      <c r="R1645" s="222" t="str">
        <f t="shared" si="218"/>
        <v>-</v>
      </c>
      <c r="S1645" s="223"/>
      <c r="T1645" s="224"/>
      <c r="U1645" s="225">
        <f t="shared" si="219"/>
        <v>0</v>
      </c>
      <c r="V1645" s="226">
        <v>0</v>
      </c>
      <c r="W1645" s="227"/>
      <c r="X1645" s="228">
        <f t="shared" si="220"/>
        <v>0</v>
      </c>
      <c r="Y1645" s="229"/>
      <c r="Z1645" s="229"/>
      <c r="AA1645" s="229"/>
      <c r="AB1645" s="222">
        <f t="shared" si="221"/>
        <v>0</v>
      </c>
      <c r="AC1645" s="230">
        <f t="shared" si="222"/>
        <v>0</v>
      </c>
      <c r="AD1645" s="222" t="str">
        <f t="shared" si="223"/>
        <v/>
      </c>
      <c r="AE1645" s="201"/>
      <c r="AF1645" s="231" t="str">
        <f>+IFERROR(VLOOKUP(L1645,Data!$F$4:$G$97,2,0),"")</f>
        <v/>
      </c>
    </row>
    <row r="1646" spans="9:32" ht="15" customHeight="1" x14ac:dyDescent="0.3">
      <c r="I1646" s="201" t="str">
        <f t="shared" si="216"/>
        <v/>
      </c>
      <c r="J1646" s="218">
        <f t="shared" si="217"/>
        <v>1643</v>
      </c>
      <c r="K1646" s="250"/>
      <c r="L1646" s="219"/>
      <c r="M1646" s="218"/>
      <c r="N1646" s="220" t="str">
        <f>IFERROR(VLOOKUP(M1646,Data!$C$4:$D$395,2,0),"")</f>
        <v/>
      </c>
      <c r="O1646" s="220"/>
      <c r="P1646" s="229"/>
      <c r="Q1646" s="221"/>
      <c r="R1646" s="222" t="str">
        <f t="shared" si="218"/>
        <v>-</v>
      </c>
      <c r="S1646" s="223"/>
      <c r="T1646" s="224"/>
      <c r="U1646" s="225">
        <f t="shared" si="219"/>
        <v>0</v>
      </c>
      <c r="V1646" s="226">
        <v>0</v>
      </c>
      <c r="W1646" s="227"/>
      <c r="X1646" s="228">
        <f t="shared" si="220"/>
        <v>0</v>
      </c>
      <c r="Y1646" s="229"/>
      <c r="Z1646" s="229"/>
      <c r="AA1646" s="229"/>
      <c r="AB1646" s="222">
        <f t="shared" si="221"/>
        <v>0</v>
      </c>
      <c r="AC1646" s="230">
        <f t="shared" si="222"/>
        <v>0</v>
      </c>
      <c r="AD1646" s="222" t="str">
        <f t="shared" si="223"/>
        <v/>
      </c>
      <c r="AE1646" s="201"/>
      <c r="AF1646" s="231" t="str">
        <f>+IFERROR(VLOOKUP(L1646,Data!$F$4:$G$97,2,0),"")</f>
        <v/>
      </c>
    </row>
    <row r="1647" spans="9:32" ht="15" customHeight="1" x14ac:dyDescent="0.3">
      <c r="I1647" s="201" t="str">
        <f t="shared" si="216"/>
        <v/>
      </c>
      <c r="J1647" s="218">
        <f t="shared" si="217"/>
        <v>1644</v>
      </c>
      <c r="K1647" s="250"/>
      <c r="L1647" s="219"/>
      <c r="M1647" s="218"/>
      <c r="N1647" s="220" t="str">
        <f>IFERROR(VLOOKUP(M1647,Data!$C$4:$D$395,2,0),"")</f>
        <v/>
      </c>
      <c r="O1647" s="220"/>
      <c r="P1647" s="229"/>
      <c r="Q1647" s="221"/>
      <c r="R1647" s="222" t="str">
        <f t="shared" si="218"/>
        <v>-</v>
      </c>
      <c r="S1647" s="223"/>
      <c r="T1647" s="224"/>
      <c r="U1647" s="225">
        <f t="shared" si="219"/>
        <v>0</v>
      </c>
      <c r="V1647" s="226">
        <v>0</v>
      </c>
      <c r="W1647" s="227"/>
      <c r="X1647" s="228">
        <f t="shared" si="220"/>
        <v>0</v>
      </c>
      <c r="Y1647" s="229"/>
      <c r="Z1647" s="229"/>
      <c r="AA1647" s="229"/>
      <c r="AB1647" s="222">
        <f t="shared" si="221"/>
        <v>0</v>
      </c>
      <c r="AC1647" s="230">
        <f t="shared" si="222"/>
        <v>0</v>
      </c>
      <c r="AD1647" s="222" t="str">
        <f t="shared" si="223"/>
        <v/>
      </c>
      <c r="AE1647" s="201"/>
      <c r="AF1647" s="231" t="str">
        <f>+IFERROR(VLOOKUP(L1647,Data!$F$4:$G$97,2,0),"")</f>
        <v/>
      </c>
    </row>
    <row r="1648" spans="9:32" ht="15" customHeight="1" x14ac:dyDescent="0.3">
      <c r="I1648" s="201" t="str">
        <f t="shared" si="216"/>
        <v/>
      </c>
      <c r="J1648" s="218">
        <f t="shared" si="217"/>
        <v>1645</v>
      </c>
      <c r="K1648" s="250"/>
      <c r="L1648" s="219"/>
      <c r="M1648" s="218"/>
      <c r="N1648" s="220" t="str">
        <f>IFERROR(VLOOKUP(M1648,Data!$C$4:$D$395,2,0),"")</f>
        <v/>
      </c>
      <c r="O1648" s="220"/>
      <c r="P1648" s="229"/>
      <c r="Q1648" s="221"/>
      <c r="R1648" s="222" t="str">
        <f t="shared" si="218"/>
        <v>-</v>
      </c>
      <c r="S1648" s="223"/>
      <c r="T1648" s="224"/>
      <c r="U1648" s="225">
        <f t="shared" si="219"/>
        <v>0</v>
      </c>
      <c r="V1648" s="226">
        <v>0</v>
      </c>
      <c r="W1648" s="227"/>
      <c r="X1648" s="228">
        <f t="shared" si="220"/>
        <v>0</v>
      </c>
      <c r="Y1648" s="229"/>
      <c r="Z1648" s="229"/>
      <c r="AA1648" s="229"/>
      <c r="AB1648" s="222">
        <f t="shared" si="221"/>
        <v>0</v>
      </c>
      <c r="AC1648" s="230">
        <f t="shared" si="222"/>
        <v>0</v>
      </c>
      <c r="AD1648" s="222" t="str">
        <f t="shared" si="223"/>
        <v/>
      </c>
      <c r="AE1648" s="201"/>
      <c r="AF1648" s="231" t="str">
        <f>+IFERROR(VLOOKUP(L1648,Data!$F$4:$G$97,2,0),"")</f>
        <v/>
      </c>
    </row>
    <row r="1649" spans="9:32" ht="15" customHeight="1" x14ac:dyDescent="0.3">
      <c r="I1649" s="201" t="str">
        <f t="shared" si="216"/>
        <v/>
      </c>
      <c r="J1649" s="218">
        <f t="shared" si="217"/>
        <v>1646</v>
      </c>
      <c r="K1649" s="250"/>
      <c r="L1649" s="219"/>
      <c r="M1649" s="218"/>
      <c r="N1649" s="220" t="str">
        <f>IFERROR(VLOOKUP(M1649,Data!$C$4:$D$395,2,0),"")</f>
        <v/>
      </c>
      <c r="O1649" s="220"/>
      <c r="P1649" s="229"/>
      <c r="Q1649" s="221"/>
      <c r="R1649" s="222" t="str">
        <f t="shared" si="218"/>
        <v>-</v>
      </c>
      <c r="S1649" s="223"/>
      <c r="T1649" s="224"/>
      <c r="U1649" s="225">
        <f t="shared" si="219"/>
        <v>0</v>
      </c>
      <c r="V1649" s="226">
        <v>0</v>
      </c>
      <c r="W1649" s="227"/>
      <c r="X1649" s="228">
        <f t="shared" si="220"/>
        <v>0</v>
      </c>
      <c r="Y1649" s="229"/>
      <c r="Z1649" s="229"/>
      <c r="AA1649" s="229"/>
      <c r="AB1649" s="222">
        <f t="shared" si="221"/>
        <v>0</v>
      </c>
      <c r="AC1649" s="230">
        <f t="shared" si="222"/>
        <v>0</v>
      </c>
      <c r="AD1649" s="222" t="str">
        <f t="shared" si="223"/>
        <v/>
      </c>
      <c r="AE1649" s="201"/>
      <c r="AF1649" s="231" t="str">
        <f>+IFERROR(VLOOKUP(L1649,Data!$F$4:$G$97,2,0),"")</f>
        <v/>
      </c>
    </row>
    <row r="1650" spans="9:32" ht="15" customHeight="1" x14ac:dyDescent="0.3">
      <c r="I1650" s="201" t="str">
        <f t="shared" si="216"/>
        <v/>
      </c>
      <c r="J1650" s="218">
        <f t="shared" si="217"/>
        <v>1647</v>
      </c>
      <c r="K1650" s="250"/>
      <c r="L1650" s="219"/>
      <c r="M1650" s="218"/>
      <c r="N1650" s="220" t="str">
        <f>IFERROR(VLOOKUP(M1650,Data!$C$4:$D$395,2,0),"")</f>
        <v/>
      </c>
      <c r="O1650" s="220"/>
      <c r="P1650" s="229"/>
      <c r="Q1650" s="221"/>
      <c r="R1650" s="222" t="str">
        <f t="shared" si="218"/>
        <v>-</v>
      </c>
      <c r="S1650" s="223"/>
      <c r="T1650" s="224"/>
      <c r="U1650" s="225">
        <f t="shared" si="219"/>
        <v>0</v>
      </c>
      <c r="V1650" s="226">
        <v>0</v>
      </c>
      <c r="W1650" s="227"/>
      <c r="X1650" s="228">
        <f t="shared" si="220"/>
        <v>0</v>
      </c>
      <c r="Y1650" s="229"/>
      <c r="Z1650" s="229"/>
      <c r="AA1650" s="229"/>
      <c r="AB1650" s="222">
        <f t="shared" si="221"/>
        <v>0</v>
      </c>
      <c r="AC1650" s="230">
        <f t="shared" si="222"/>
        <v>0</v>
      </c>
      <c r="AD1650" s="222" t="str">
        <f t="shared" si="223"/>
        <v/>
      </c>
      <c r="AE1650" s="201"/>
      <c r="AF1650" s="231" t="str">
        <f>+IFERROR(VLOOKUP(L1650,Data!$F$4:$G$97,2,0),"")</f>
        <v/>
      </c>
    </row>
    <row r="1651" spans="9:32" ht="15" customHeight="1" x14ac:dyDescent="0.3">
      <c r="I1651" s="201" t="str">
        <f t="shared" si="216"/>
        <v/>
      </c>
      <c r="J1651" s="218">
        <f t="shared" si="217"/>
        <v>1648</v>
      </c>
      <c r="K1651" s="250"/>
      <c r="L1651" s="219"/>
      <c r="M1651" s="218"/>
      <c r="N1651" s="220" t="str">
        <f>IFERROR(VLOOKUP(M1651,Data!$C$4:$D$395,2,0),"")</f>
        <v/>
      </c>
      <c r="O1651" s="220"/>
      <c r="P1651" s="229"/>
      <c r="Q1651" s="221"/>
      <c r="R1651" s="222" t="str">
        <f t="shared" si="218"/>
        <v>-</v>
      </c>
      <c r="S1651" s="223"/>
      <c r="T1651" s="224"/>
      <c r="U1651" s="225">
        <f t="shared" si="219"/>
        <v>0</v>
      </c>
      <c r="V1651" s="226">
        <v>0</v>
      </c>
      <c r="W1651" s="227"/>
      <c r="X1651" s="228">
        <f t="shared" si="220"/>
        <v>0</v>
      </c>
      <c r="Y1651" s="229"/>
      <c r="Z1651" s="229"/>
      <c r="AA1651" s="229"/>
      <c r="AB1651" s="222">
        <f t="shared" si="221"/>
        <v>0</v>
      </c>
      <c r="AC1651" s="230">
        <f t="shared" si="222"/>
        <v>0</v>
      </c>
      <c r="AD1651" s="222" t="str">
        <f t="shared" si="223"/>
        <v/>
      </c>
      <c r="AE1651" s="201"/>
      <c r="AF1651" s="231" t="str">
        <f>+IFERROR(VLOOKUP(L1651,Data!$F$4:$G$97,2,0),"")</f>
        <v/>
      </c>
    </row>
    <row r="1652" spans="9:32" ht="15" customHeight="1" x14ac:dyDescent="0.3">
      <c r="I1652" s="201" t="str">
        <f t="shared" si="216"/>
        <v/>
      </c>
      <c r="J1652" s="218">
        <f t="shared" si="217"/>
        <v>1649</v>
      </c>
      <c r="K1652" s="250"/>
      <c r="L1652" s="219"/>
      <c r="M1652" s="218"/>
      <c r="N1652" s="220" t="str">
        <f>IFERROR(VLOOKUP(M1652,Data!$C$4:$D$395,2,0),"")</f>
        <v/>
      </c>
      <c r="O1652" s="220"/>
      <c r="P1652" s="229"/>
      <c r="Q1652" s="221"/>
      <c r="R1652" s="222" t="str">
        <f t="shared" si="218"/>
        <v>-</v>
      </c>
      <c r="S1652" s="223"/>
      <c r="T1652" s="224"/>
      <c r="U1652" s="225">
        <f t="shared" si="219"/>
        <v>0</v>
      </c>
      <c r="V1652" s="226">
        <v>0</v>
      </c>
      <c r="W1652" s="227"/>
      <c r="X1652" s="228">
        <f t="shared" si="220"/>
        <v>0</v>
      </c>
      <c r="Y1652" s="229"/>
      <c r="Z1652" s="229"/>
      <c r="AA1652" s="229"/>
      <c r="AB1652" s="222">
        <f t="shared" si="221"/>
        <v>0</v>
      </c>
      <c r="AC1652" s="230">
        <f t="shared" si="222"/>
        <v>0</v>
      </c>
      <c r="AD1652" s="222" t="str">
        <f t="shared" si="223"/>
        <v/>
      </c>
      <c r="AE1652" s="201"/>
      <c r="AF1652" s="231" t="str">
        <f>+IFERROR(VLOOKUP(L1652,Data!$F$4:$G$97,2,0),"")</f>
        <v/>
      </c>
    </row>
    <row r="1653" spans="9:32" ht="15" customHeight="1" x14ac:dyDescent="0.3">
      <c r="I1653" s="201" t="str">
        <f t="shared" si="216"/>
        <v/>
      </c>
      <c r="J1653" s="218">
        <f t="shared" si="217"/>
        <v>1650</v>
      </c>
      <c r="K1653" s="250"/>
      <c r="L1653" s="219"/>
      <c r="M1653" s="218"/>
      <c r="N1653" s="220" t="str">
        <f>IFERROR(VLOOKUP(M1653,Data!$C$4:$D$395,2,0),"")</f>
        <v/>
      </c>
      <c r="O1653" s="220"/>
      <c r="P1653" s="229"/>
      <c r="Q1653" s="221"/>
      <c r="R1653" s="222" t="str">
        <f t="shared" si="218"/>
        <v>-</v>
      </c>
      <c r="S1653" s="223"/>
      <c r="T1653" s="224"/>
      <c r="U1653" s="225">
        <f t="shared" si="219"/>
        <v>0</v>
      </c>
      <c r="V1653" s="226">
        <v>0</v>
      </c>
      <c r="W1653" s="227"/>
      <c r="X1653" s="228">
        <f t="shared" si="220"/>
        <v>0</v>
      </c>
      <c r="Y1653" s="229"/>
      <c r="Z1653" s="229"/>
      <c r="AA1653" s="229"/>
      <c r="AB1653" s="222">
        <f t="shared" si="221"/>
        <v>0</v>
      </c>
      <c r="AC1653" s="230">
        <f t="shared" si="222"/>
        <v>0</v>
      </c>
      <c r="AD1653" s="222" t="str">
        <f t="shared" si="223"/>
        <v/>
      </c>
      <c r="AE1653" s="201"/>
      <c r="AF1653" s="231" t="str">
        <f>+IFERROR(VLOOKUP(L1653,Data!$F$4:$G$97,2,0),"")</f>
        <v/>
      </c>
    </row>
    <row r="1654" spans="9:32" ht="15" customHeight="1" x14ac:dyDescent="0.3">
      <c r="I1654" s="201" t="str">
        <f t="shared" si="216"/>
        <v/>
      </c>
      <c r="J1654" s="218">
        <f t="shared" si="217"/>
        <v>1651</v>
      </c>
      <c r="K1654" s="250"/>
      <c r="L1654" s="219"/>
      <c r="M1654" s="218"/>
      <c r="N1654" s="220" t="str">
        <f>IFERROR(VLOOKUP(M1654,Data!$C$4:$D$395,2,0),"")</f>
        <v/>
      </c>
      <c r="O1654" s="220"/>
      <c r="P1654" s="229"/>
      <c r="Q1654" s="221"/>
      <c r="R1654" s="222" t="str">
        <f t="shared" si="218"/>
        <v>-</v>
      </c>
      <c r="S1654" s="223"/>
      <c r="T1654" s="224"/>
      <c r="U1654" s="225">
        <f t="shared" si="219"/>
        <v>0</v>
      </c>
      <c r="V1654" s="226">
        <v>0</v>
      </c>
      <c r="W1654" s="227"/>
      <c r="X1654" s="228">
        <f t="shared" si="220"/>
        <v>0</v>
      </c>
      <c r="Y1654" s="229"/>
      <c r="Z1654" s="229"/>
      <c r="AA1654" s="229"/>
      <c r="AB1654" s="222">
        <f t="shared" si="221"/>
        <v>0</v>
      </c>
      <c r="AC1654" s="230">
        <f t="shared" si="222"/>
        <v>0</v>
      </c>
      <c r="AD1654" s="222" t="str">
        <f t="shared" si="223"/>
        <v/>
      </c>
      <c r="AE1654" s="201"/>
      <c r="AF1654" s="231" t="str">
        <f>+IFERROR(VLOOKUP(L1654,Data!$F$4:$G$97,2,0),"")</f>
        <v/>
      </c>
    </row>
    <row r="1655" spans="9:32" ht="15" customHeight="1" x14ac:dyDescent="0.3">
      <c r="I1655" s="201" t="str">
        <f t="shared" si="216"/>
        <v/>
      </c>
      <c r="J1655" s="218">
        <f t="shared" si="217"/>
        <v>1652</v>
      </c>
      <c r="K1655" s="250"/>
      <c r="L1655" s="219"/>
      <c r="M1655" s="218"/>
      <c r="N1655" s="220" t="str">
        <f>IFERROR(VLOOKUP(M1655,Data!$C$4:$D$395,2,0),"")</f>
        <v/>
      </c>
      <c r="O1655" s="220"/>
      <c r="P1655" s="229"/>
      <c r="Q1655" s="221"/>
      <c r="R1655" s="222" t="str">
        <f t="shared" si="218"/>
        <v>-</v>
      </c>
      <c r="S1655" s="223"/>
      <c r="T1655" s="224"/>
      <c r="U1655" s="225">
        <f t="shared" si="219"/>
        <v>0</v>
      </c>
      <c r="V1655" s="226">
        <v>0</v>
      </c>
      <c r="W1655" s="227"/>
      <c r="X1655" s="228">
        <f t="shared" si="220"/>
        <v>0</v>
      </c>
      <c r="Y1655" s="229"/>
      <c r="Z1655" s="229"/>
      <c r="AA1655" s="229"/>
      <c r="AB1655" s="222">
        <f t="shared" si="221"/>
        <v>0</v>
      </c>
      <c r="AC1655" s="230">
        <f t="shared" si="222"/>
        <v>0</v>
      </c>
      <c r="AD1655" s="222" t="str">
        <f t="shared" si="223"/>
        <v/>
      </c>
      <c r="AE1655" s="201"/>
      <c r="AF1655" s="231" t="str">
        <f>+IFERROR(VLOOKUP(L1655,Data!$F$4:$G$97,2,0),"")</f>
        <v/>
      </c>
    </row>
    <row r="1656" spans="9:32" ht="15" customHeight="1" x14ac:dyDescent="0.3">
      <c r="I1656" s="201" t="str">
        <f t="shared" si="216"/>
        <v/>
      </c>
      <c r="J1656" s="218">
        <f t="shared" si="217"/>
        <v>1653</v>
      </c>
      <c r="K1656" s="250"/>
      <c r="L1656" s="219"/>
      <c r="M1656" s="218"/>
      <c r="N1656" s="220" t="str">
        <f>IFERROR(VLOOKUP(M1656,Data!$C$4:$D$395,2,0),"")</f>
        <v/>
      </c>
      <c r="O1656" s="220"/>
      <c r="P1656" s="229"/>
      <c r="Q1656" s="221"/>
      <c r="R1656" s="222" t="str">
        <f t="shared" si="218"/>
        <v>-</v>
      </c>
      <c r="S1656" s="223"/>
      <c r="T1656" s="224"/>
      <c r="U1656" s="225">
        <f t="shared" si="219"/>
        <v>0</v>
      </c>
      <c r="V1656" s="226">
        <v>0</v>
      </c>
      <c r="W1656" s="227"/>
      <c r="X1656" s="228">
        <f t="shared" si="220"/>
        <v>0</v>
      </c>
      <c r="Y1656" s="229"/>
      <c r="Z1656" s="229"/>
      <c r="AA1656" s="229"/>
      <c r="AB1656" s="222">
        <f t="shared" si="221"/>
        <v>0</v>
      </c>
      <c r="AC1656" s="230">
        <f t="shared" si="222"/>
        <v>0</v>
      </c>
      <c r="AD1656" s="222" t="str">
        <f t="shared" si="223"/>
        <v/>
      </c>
      <c r="AE1656" s="201"/>
      <c r="AF1656" s="231" t="str">
        <f>+IFERROR(VLOOKUP(L1656,Data!$F$4:$G$97,2,0),"")</f>
        <v/>
      </c>
    </row>
    <row r="1657" spans="9:32" ht="15" customHeight="1" x14ac:dyDescent="0.3">
      <c r="I1657" s="201" t="str">
        <f t="shared" si="216"/>
        <v/>
      </c>
      <c r="J1657" s="218">
        <f t="shared" si="217"/>
        <v>1654</v>
      </c>
      <c r="K1657" s="250"/>
      <c r="L1657" s="219"/>
      <c r="M1657" s="218"/>
      <c r="N1657" s="220" t="str">
        <f>IFERROR(VLOOKUP(M1657,Data!$C$4:$D$395,2,0),"")</f>
        <v/>
      </c>
      <c r="O1657" s="220"/>
      <c r="P1657" s="229"/>
      <c r="Q1657" s="221"/>
      <c r="R1657" s="222" t="str">
        <f t="shared" si="218"/>
        <v>-</v>
      </c>
      <c r="S1657" s="223"/>
      <c r="T1657" s="224"/>
      <c r="U1657" s="225">
        <f t="shared" si="219"/>
        <v>0</v>
      </c>
      <c r="V1657" s="226">
        <v>0</v>
      </c>
      <c r="W1657" s="227"/>
      <c r="X1657" s="228">
        <f t="shared" si="220"/>
        <v>0</v>
      </c>
      <c r="Y1657" s="229"/>
      <c r="Z1657" s="229"/>
      <c r="AA1657" s="229"/>
      <c r="AB1657" s="222">
        <f t="shared" si="221"/>
        <v>0</v>
      </c>
      <c r="AC1657" s="230">
        <f t="shared" si="222"/>
        <v>0</v>
      </c>
      <c r="AD1657" s="222" t="str">
        <f t="shared" si="223"/>
        <v/>
      </c>
      <c r="AE1657" s="201"/>
      <c r="AF1657" s="231" t="str">
        <f>+IFERROR(VLOOKUP(L1657,Data!$F$4:$G$97,2,0),"")</f>
        <v/>
      </c>
    </row>
    <row r="1658" spans="9:32" ht="15" customHeight="1" x14ac:dyDescent="0.3">
      <c r="I1658" s="201" t="str">
        <f t="shared" si="216"/>
        <v/>
      </c>
      <c r="J1658" s="218">
        <f t="shared" si="217"/>
        <v>1655</v>
      </c>
      <c r="K1658" s="250"/>
      <c r="L1658" s="219"/>
      <c r="M1658" s="218"/>
      <c r="N1658" s="220" t="str">
        <f>IFERROR(VLOOKUP(M1658,Data!$C$4:$D$395,2,0),"")</f>
        <v/>
      </c>
      <c r="O1658" s="220"/>
      <c r="P1658" s="229"/>
      <c r="Q1658" s="221"/>
      <c r="R1658" s="222" t="str">
        <f t="shared" si="218"/>
        <v>-</v>
      </c>
      <c r="S1658" s="223"/>
      <c r="T1658" s="224"/>
      <c r="U1658" s="225">
        <f t="shared" si="219"/>
        <v>0</v>
      </c>
      <c r="V1658" s="226">
        <v>0</v>
      </c>
      <c r="W1658" s="227"/>
      <c r="X1658" s="228">
        <f t="shared" si="220"/>
        <v>0</v>
      </c>
      <c r="Y1658" s="229"/>
      <c r="Z1658" s="229"/>
      <c r="AA1658" s="229"/>
      <c r="AB1658" s="222">
        <f t="shared" si="221"/>
        <v>0</v>
      </c>
      <c r="AC1658" s="230">
        <f t="shared" si="222"/>
        <v>0</v>
      </c>
      <c r="AD1658" s="222" t="str">
        <f t="shared" si="223"/>
        <v/>
      </c>
      <c r="AE1658" s="201"/>
      <c r="AF1658" s="231" t="str">
        <f>+IFERROR(VLOOKUP(L1658,Data!$F$4:$G$97,2,0),"")</f>
        <v/>
      </c>
    </row>
    <row r="1659" spans="9:32" ht="15" customHeight="1" x14ac:dyDescent="0.3">
      <c r="I1659" s="201" t="str">
        <f t="shared" si="216"/>
        <v/>
      </c>
      <c r="J1659" s="218">
        <f t="shared" si="217"/>
        <v>1656</v>
      </c>
      <c r="K1659" s="250"/>
      <c r="L1659" s="219"/>
      <c r="M1659" s="218"/>
      <c r="N1659" s="220" t="str">
        <f>IFERROR(VLOOKUP(M1659,Data!$C$4:$D$395,2,0),"")</f>
        <v/>
      </c>
      <c r="O1659" s="220"/>
      <c r="P1659" s="229"/>
      <c r="Q1659" s="221"/>
      <c r="R1659" s="222" t="str">
        <f t="shared" si="218"/>
        <v>-</v>
      </c>
      <c r="S1659" s="223"/>
      <c r="T1659" s="224"/>
      <c r="U1659" s="225">
        <f t="shared" si="219"/>
        <v>0</v>
      </c>
      <c r="V1659" s="226">
        <v>0</v>
      </c>
      <c r="W1659" s="227"/>
      <c r="X1659" s="228">
        <f t="shared" si="220"/>
        <v>0</v>
      </c>
      <c r="Y1659" s="229"/>
      <c r="Z1659" s="229"/>
      <c r="AA1659" s="229"/>
      <c r="AB1659" s="222">
        <f t="shared" si="221"/>
        <v>0</v>
      </c>
      <c r="AC1659" s="230">
        <f t="shared" si="222"/>
        <v>0</v>
      </c>
      <c r="AD1659" s="222" t="str">
        <f t="shared" si="223"/>
        <v/>
      </c>
      <c r="AE1659" s="201"/>
      <c r="AF1659" s="231" t="str">
        <f>+IFERROR(VLOOKUP(L1659,Data!$F$4:$G$97,2,0),"")</f>
        <v/>
      </c>
    </row>
    <row r="1660" spans="9:32" ht="15" customHeight="1" x14ac:dyDescent="0.3">
      <c r="I1660" s="201" t="str">
        <f t="shared" si="216"/>
        <v/>
      </c>
      <c r="J1660" s="218">
        <f t="shared" si="217"/>
        <v>1657</v>
      </c>
      <c r="K1660" s="250"/>
      <c r="L1660" s="219"/>
      <c r="M1660" s="218"/>
      <c r="N1660" s="220" t="str">
        <f>IFERROR(VLOOKUP(M1660,Data!$C$4:$D$395,2,0),"")</f>
        <v/>
      </c>
      <c r="O1660" s="220"/>
      <c r="P1660" s="229"/>
      <c r="Q1660" s="221"/>
      <c r="R1660" s="222" t="str">
        <f t="shared" si="218"/>
        <v>-</v>
      </c>
      <c r="S1660" s="223"/>
      <c r="T1660" s="224"/>
      <c r="U1660" s="225">
        <f t="shared" si="219"/>
        <v>0</v>
      </c>
      <c r="V1660" s="226">
        <v>0</v>
      </c>
      <c r="W1660" s="227"/>
      <c r="X1660" s="228">
        <f t="shared" si="220"/>
        <v>0</v>
      </c>
      <c r="Y1660" s="229"/>
      <c r="Z1660" s="229"/>
      <c r="AA1660" s="229"/>
      <c r="AB1660" s="222">
        <f t="shared" si="221"/>
        <v>0</v>
      </c>
      <c r="AC1660" s="230">
        <f t="shared" si="222"/>
        <v>0</v>
      </c>
      <c r="AD1660" s="222" t="str">
        <f t="shared" si="223"/>
        <v/>
      </c>
      <c r="AE1660" s="201"/>
      <c r="AF1660" s="231" t="str">
        <f>+IFERROR(VLOOKUP(L1660,Data!$F$4:$G$97,2,0),"")</f>
        <v/>
      </c>
    </row>
    <row r="1661" spans="9:32" ht="15" customHeight="1" x14ac:dyDescent="0.3">
      <c r="I1661" s="201" t="str">
        <f t="shared" ref="I1661:I1724" si="224">+AF1661</f>
        <v/>
      </c>
      <c r="J1661" s="218">
        <f t="shared" si="217"/>
        <v>1658</v>
      </c>
      <c r="K1661" s="250"/>
      <c r="L1661" s="219"/>
      <c r="M1661" s="218"/>
      <c r="N1661" s="220" t="str">
        <f>IFERROR(VLOOKUP(M1661,Data!$C$4:$D$395,2,0),"")</f>
        <v/>
      </c>
      <c r="O1661" s="220"/>
      <c r="P1661" s="229"/>
      <c r="Q1661" s="221"/>
      <c r="R1661" s="222" t="str">
        <f t="shared" si="218"/>
        <v>-</v>
      </c>
      <c r="S1661" s="223"/>
      <c r="T1661" s="224"/>
      <c r="U1661" s="225">
        <f t="shared" si="219"/>
        <v>0</v>
      </c>
      <c r="V1661" s="226">
        <v>0</v>
      </c>
      <c r="W1661" s="227"/>
      <c r="X1661" s="228">
        <f t="shared" si="220"/>
        <v>0</v>
      </c>
      <c r="Y1661" s="229"/>
      <c r="Z1661" s="229"/>
      <c r="AA1661" s="229"/>
      <c r="AB1661" s="222">
        <f t="shared" si="221"/>
        <v>0</v>
      </c>
      <c r="AC1661" s="230">
        <f t="shared" si="222"/>
        <v>0</v>
      </c>
      <c r="AD1661" s="222" t="str">
        <f t="shared" si="223"/>
        <v/>
      </c>
      <c r="AE1661" s="201"/>
      <c r="AF1661" s="231" t="str">
        <f>+IFERROR(VLOOKUP(L1661,Data!$F$4:$G$97,2,0),"")</f>
        <v/>
      </c>
    </row>
    <row r="1662" spans="9:32" ht="15" customHeight="1" x14ac:dyDescent="0.3">
      <c r="I1662" s="201" t="str">
        <f t="shared" si="224"/>
        <v/>
      </c>
      <c r="J1662" s="218">
        <f t="shared" ref="J1662:J1725" si="225">J1661+1</f>
        <v>1659</v>
      </c>
      <c r="K1662" s="250"/>
      <c r="L1662" s="219"/>
      <c r="M1662" s="218"/>
      <c r="N1662" s="220" t="str">
        <f>IFERROR(VLOOKUP(M1662,Data!$C$4:$D$395,2,0),"")</f>
        <v/>
      </c>
      <c r="O1662" s="220"/>
      <c r="P1662" s="229"/>
      <c r="Q1662" s="221"/>
      <c r="R1662" s="222" t="str">
        <f t="shared" si="218"/>
        <v>-</v>
      </c>
      <c r="S1662" s="223"/>
      <c r="T1662" s="224"/>
      <c r="U1662" s="225">
        <f t="shared" si="219"/>
        <v>0</v>
      </c>
      <c r="V1662" s="226">
        <v>0</v>
      </c>
      <c r="W1662" s="227"/>
      <c r="X1662" s="228">
        <f t="shared" si="220"/>
        <v>0</v>
      </c>
      <c r="Y1662" s="229"/>
      <c r="Z1662" s="229"/>
      <c r="AA1662" s="229"/>
      <c r="AB1662" s="222">
        <f t="shared" si="221"/>
        <v>0</v>
      </c>
      <c r="AC1662" s="230">
        <f t="shared" si="222"/>
        <v>0</v>
      </c>
      <c r="AD1662" s="222" t="str">
        <f t="shared" si="223"/>
        <v/>
      </c>
      <c r="AE1662" s="201"/>
      <c r="AF1662" s="231" t="str">
        <f>+IFERROR(VLOOKUP(L1662,Data!$F$4:$G$97,2,0),"")</f>
        <v/>
      </c>
    </row>
    <row r="1663" spans="9:32" ht="15" customHeight="1" x14ac:dyDescent="0.3">
      <c r="I1663" s="201" t="str">
        <f t="shared" si="224"/>
        <v/>
      </c>
      <c r="J1663" s="218">
        <f t="shared" si="225"/>
        <v>1660</v>
      </c>
      <c r="K1663" s="250"/>
      <c r="L1663" s="219"/>
      <c r="M1663" s="218"/>
      <c r="N1663" s="220" t="str">
        <f>IFERROR(VLOOKUP(M1663,Data!$C$4:$D$395,2,0),"")</f>
        <v/>
      </c>
      <c r="O1663" s="220"/>
      <c r="P1663" s="229"/>
      <c r="Q1663" s="221"/>
      <c r="R1663" s="222" t="str">
        <f t="shared" si="218"/>
        <v>-</v>
      </c>
      <c r="S1663" s="223"/>
      <c r="T1663" s="224"/>
      <c r="U1663" s="225">
        <f t="shared" si="219"/>
        <v>0</v>
      </c>
      <c r="V1663" s="226">
        <v>0</v>
      </c>
      <c r="W1663" s="227"/>
      <c r="X1663" s="228">
        <f t="shared" si="220"/>
        <v>0</v>
      </c>
      <c r="Y1663" s="229"/>
      <c r="Z1663" s="229"/>
      <c r="AA1663" s="229"/>
      <c r="AB1663" s="222">
        <f t="shared" si="221"/>
        <v>0</v>
      </c>
      <c r="AC1663" s="230">
        <f t="shared" si="222"/>
        <v>0</v>
      </c>
      <c r="AD1663" s="222" t="str">
        <f t="shared" si="223"/>
        <v/>
      </c>
      <c r="AE1663" s="201"/>
      <c r="AF1663" s="231" t="str">
        <f>+IFERROR(VLOOKUP(L1663,Data!$F$4:$G$97,2,0),"")</f>
        <v/>
      </c>
    </row>
    <row r="1664" spans="9:32" ht="15" customHeight="1" x14ac:dyDescent="0.3">
      <c r="I1664" s="201" t="str">
        <f t="shared" si="224"/>
        <v/>
      </c>
      <c r="J1664" s="218">
        <f t="shared" si="225"/>
        <v>1661</v>
      </c>
      <c r="K1664" s="250"/>
      <c r="L1664" s="219"/>
      <c r="M1664" s="218"/>
      <c r="N1664" s="220" t="str">
        <f>IFERROR(VLOOKUP(M1664,Data!$C$4:$D$395,2,0),"")</f>
        <v/>
      </c>
      <c r="O1664" s="220"/>
      <c r="P1664" s="229"/>
      <c r="Q1664" s="221"/>
      <c r="R1664" s="222" t="str">
        <f t="shared" ref="R1664:R1727" si="226">IFERROR(Q1664/P1664, "-")</f>
        <v>-</v>
      </c>
      <c r="S1664" s="223"/>
      <c r="T1664" s="224"/>
      <c r="U1664" s="225">
        <f t="shared" ref="U1664:U1727" si="227">+Q1664*S1664+P1664*T1664</f>
        <v>0</v>
      </c>
      <c r="V1664" s="226">
        <v>0</v>
      </c>
      <c r="W1664" s="227"/>
      <c r="X1664" s="228">
        <f t="shared" ref="X1664:X1727" si="228">+Q1664*V1664+P1664*W1664</f>
        <v>0</v>
      </c>
      <c r="Y1664" s="229"/>
      <c r="Z1664" s="229"/>
      <c r="AA1664" s="229"/>
      <c r="AB1664" s="222">
        <f t="shared" ref="AB1664:AB1727" si="229">+Y1664+Z1664+AA1664</f>
        <v>0</v>
      </c>
      <c r="AC1664" s="230">
        <f t="shared" ref="AC1664:AC1727" si="230">IF((U1664-Y1664-Z1664-AA1664)&lt;0,"",(U1664-Y1664-Z1664-AA1664))</f>
        <v>0</v>
      </c>
      <c r="AD1664" s="222" t="str">
        <f t="shared" ref="AD1664:AD1727" si="231">IF((U1664-Y1664-Z1664-AA1664)&lt;0,(Y1664+Z1664+AA1664-U1664),"")</f>
        <v/>
      </c>
      <c r="AE1664" s="201"/>
      <c r="AF1664" s="231" t="str">
        <f>+IFERROR(VLOOKUP(L1664,Data!$F$4:$G$97,2,0),"")</f>
        <v/>
      </c>
    </row>
    <row r="1665" spans="9:32" ht="15" customHeight="1" x14ac:dyDescent="0.3">
      <c r="I1665" s="201" t="str">
        <f t="shared" si="224"/>
        <v/>
      </c>
      <c r="J1665" s="218">
        <f t="shared" si="225"/>
        <v>1662</v>
      </c>
      <c r="K1665" s="250"/>
      <c r="L1665" s="219"/>
      <c r="M1665" s="218"/>
      <c r="N1665" s="220" t="str">
        <f>IFERROR(VLOOKUP(M1665,Data!$C$4:$D$395,2,0),"")</f>
        <v/>
      </c>
      <c r="O1665" s="220"/>
      <c r="P1665" s="229"/>
      <c r="Q1665" s="221"/>
      <c r="R1665" s="222" t="str">
        <f t="shared" si="226"/>
        <v>-</v>
      </c>
      <c r="S1665" s="223"/>
      <c r="T1665" s="224"/>
      <c r="U1665" s="225">
        <f t="shared" si="227"/>
        <v>0</v>
      </c>
      <c r="V1665" s="226">
        <v>0</v>
      </c>
      <c r="W1665" s="227"/>
      <c r="X1665" s="228">
        <f t="shared" si="228"/>
        <v>0</v>
      </c>
      <c r="Y1665" s="229"/>
      <c r="Z1665" s="229"/>
      <c r="AA1665" s="229"/>
      <c r="AB1665" s="222">
        <f t="shared" si="229"/>
        <v>0</v>
      </c>
      <c r="AC1665" s="230">
        <f t="shared" si="230"/>
        <v>0</v>
      </c>
      <c r="AD1665" s="222" t="str">
        <f t="shared" si="231"/>
        <v/>
      </c>
      <c r="AE1665" s="201"/>
      <c r="AF1665" s="231" t="str">
        <f>+IFERROR(VLOOKUP(L1665,Data!$F$4:$G$97,2,0),"")</f>
        <v/>
      </c>
    </row>
    <row r="1666" spans="9:32" ht="15" customHeight="1" x14ac:dyDescent="0.3">
      <c r="I1666" s="201" t="str">
        <f t="shared" si="224"/>
        <v/>
      </c>
      <c r="J1666" s="218">
        <f t="shared" si="225"/>
        <v>1663</v>
      </c>
      <c r="K1666" s="250"/>
      <c r="L1666" s="219"/>
      <c r="M1666" s="218"/>
      <c r="N1666" s="220" t="str">
        <f>IFERROR(VLOOKUP(M1666,Data!$C$4:$D$395,2,0),"")</f>
        <v/>
      </c>
      <c r="O1666" s="220"/>
      <c r="P1666" s="229"/>
      <c r="Q1666" s="221"/>
      <c r="R1666" s="222" t="str">
        <f t="shared" si="226"/>
        <v>-</v>
      </c>
      <c r="S1666" s="223"/>
      <c r="T1666" s="224"/>
      <c r="U1666" s="225">
        <f t="shared" si="227"/>
        <v>0</v>
      </c>
      <c r="V1666" s="226">
        <v>0</v>
      </c>
      <c r="W1666" s="227"/>
      <c r="X1666" s="228">
        <f t="shared" si="228"/>
        <v>0</v>
      </c>
      <c r="Y1666" s="229"/>
      <c r="Z1666" s="229"/>
      <c r="AA1666" s="229"/>
      <c r="AB1666" s="222">
        <f t="shared" si="229"/>
        <v>0</v>
      </c>
      <c r="AC1666" s="230">
        <f t="shared" si="230"/>
        <v>0</v>
      </c>
      <c r="AD1666" s="222" t="str">
        <f t="shared" si="231"/>
        <v/>
      </c>
      <c r="AE1666" s="201"/>
      <c r="AF1666" s="231" t="str">
        <f>+IFERROR(VLOOKUP(L1666,Data!$F$4:$G$97,2,0),"")</f>
        <v/>
      </c>
    </row>
    <row r="1667" spans="9:32" ht="15" customHeight="1" x14ac:dyDescent="0.3">
      <c r="I1667" s="201" t="str">
        <f t="shared" si="224"/>
        <v/>
      </c>
      <c r="J1667" s="218">
        <f t="shared" si="225"/>
        <v>1664</v>
      </c>
      <c r="K1667" s="250"/>
      <c r="L1667" s="219"/>
      <c r="M1667" s="218"/>
      <c r="N1667" s="220" t="str">
        <f>IFERROR(VLOOKUP(M1667,Data!$C$4:$D$395,2,0),"")</f>
        <v/>
      </c>
      <c r="O1667" s="220"/>
      <c r="P1667" s="229"/>
      <c r="Q1667" s="221"/>
      <c r="R1667" s="222" t="str">
        <f t="shared" si="226"/>
        <v>-</v>
      </c>
      <c r="S1667" s="223"/>
      <c r="T1667" s="224"/>
      <c r="U1667" s="225">
        <f t="shared" si="227"/>
        <v>0</v>
      </c>
      <c r="V1667" s="226">
        <v>0</v>
      </c>
      <c r="W1667" s="227"/>
      <c r="X1667" s="228">
        <f t="shared" si="228"/>
        <v>0</v>
      </c>
      <c r="Y1667" s="229"/>
      <c r="Z1667" s="229"/>
      <c r="AA1667" s="229"/>
      <c r="AB1667" s="222">
        <f t="shared" si="229"/>
        <v>0</v>
      </c>
      <c r="AC1667" s="230">
        <f t="shared" si="230"/>
        <v>0</v>
      </c>
      <c r="AD1667" s="222" t="str">
        <f t="shared" si="231"/>
        <v/>
      </c>
      <c r="AE1667" s="201"/>
      <c r="AF1667" s="231" t="str">
        <f>+IFERROR(VLOOKUP(L1667,Data!$F$4:$G$97,2,0),"")</f>
        <v/>
      </c>
    </row>
    <row r="1668" spans="9:32" ht="15" customHeight="1" x14ac:dyDescent="0.3">
      <c r="I1668" s="201" t="str">
        <f t="shared" si="224"/>
        <v/>
      </c>
      <c r="J1668" s="218">
        <f t="shared" si="225"/>
        <v>1665</v>
      </c>
      <c r="K1668" s="250"/>
      <c r="L1668" s="219"/>
      <c r="M1668" s="218"/>
      <c r="N1668" s="220" t="str">
        <f>IFERROR(VLOOKUP(M1668,Data!$C$4:$D$395,2,0),"")</f>
        <v/>
      </c>
      <c r="O1668" s="220"/>
      <c r="P1668" s="229"/>
      <c r="Q1668" s="221"/>
      <c r="R1668" s="222" t="str">
        <f t="shared" si="226"/>
        <v>-</v>
      </c>
      <c r="S1668" s="223"/>
      <c r="T1668" s="224"/>
      <c r="U1668" s="225">
        <f t="shared" si="227"/>
        <v>0</v>
      </c>
      <c r="V1668" s="226">
        <v>0</v>
      </c>
      <c r="W1668" s="227"/>
      <c r="X1668" s="228">
        <f t="shared" si="228"/>
        <v>0</v>
      </c>
      <c r="Y1668" s="229"/>
      <c r="Z1668" s="229"/>
      <c r="AA1668" s="229"/>
      <c r="AB1668" s="222">
        <f t="shared" si="229"/>
        <v>0</v>
      </c>
      <c r="AC1668" s="230">
        <f t="shared" si="230"/>
        <v>0</v>
      </c>
      <c r="AD1668" s="222" t="str">
        <f t="shared" si="231"/>
        <v/>
      </c>
      <c r="AE1668" s="201"/>
      <c r="AF1668" s="231" t="str">
        <f>+IFERROR(VLOOKUP(L1668,Data!$F$4:$G$97,2,0),"")</f>
        <v/>
      </c>
    </row>
    <row r="1669" spans="9:32" ht="15" customHeight="1" x14ac:dyDescent="0.3">
      <c r="I1669" s="201" t="str">
        <f t="shared" si="224"/>
        <v/>
      </c>
      <c r="J1669" s="218">
        <f t="shared" si="225"/>
        <v>1666</v>
      </c>
      <c r="K1669" s="250"/>
      <c r="L1669" s="219"/>
      <c r="M1669" s="218"/>
      <c r="N1669" s="220" t="str">
        <f>IFERROR(VLOOKUP(M1669,Data!$C$4:$D$395,2,0),"")</f>
        <v/>
      </c>
      <c r="O1669" s="220"/>
      <c r="P1669" s="229"/>
      <c r="Q1669" s="221"/>
      <c r="R1669" s="222" t="str">
        <f t="shared" si="226"/>
        <v>-</v>
      </c>
      <c r="S1669" s="223"/>
      <c r="T1669" s="224"/>
      <c r="U1669" s="225">
        <f t="shared" si="227"/>
        <v>0</v>
      </c>
      <c r="V1669" s="226">
        <v>0</v>
      </c>
      <c r="W1669" s="227"/>
      <c r="X1669" s="228">
        <f t="shared" si="228"/>
        <v>0</v>
      </c>
      <c r="Y1669" s="229"/>
      <c r="Z1669" s="229"/>
      <c r="AA1669" s="229"/>
      <c r="AB1669" s="222">
        <f t="shared" si="229"/>
        <v>0</v>
      </c>
      <c r="AC1669" s="230">
        <f t="shared" si="230"/>
        <v>0</v>
      </c>
      <c r="AD1669" s="222" t="str">
        <f t="shared" si="231"/>
        <v/>
      </c>
      <c r="AE1669" s="201"/>
      <c r="AF1669" s="231" t="str">
        <f>+IFERROR(VLOOKUP(L1669,Data!$F$4:$G$97,2,0),"")</f>
        <v/>
      </c>
    </row>
    <row r="1670" spans="9:32" ht="15" customHeight="1" x14ac:dyDescent="0.3">
      <c r="I1670" s="201" t="str">
        <f t="shared" si="224"/>
        <v/>
      </c>
      <c r="J1670" s="218">
        <f t="shared" si="225"/>
        <v>1667</v>
      </c>
      <c r="K1670" s="250"/>
      <c r="L1670" s="219"/>
      <c r="M1670" s="218"/>
      <c r="N1670" s="220" t="str">
        <f>IFERROR(VLOOKUP(M1670,Data!$C$4:$D$395,2,0),"")</f>
        <v/>
      </c>
      <c r="O1670" s="220"/>
      <c r="P1670" s="229"/>
      <c r="Q1670" s="221"/>
      <c r="R1670" s="222" t="str">
        <f t="shared" si="226"/>
        <v>-</v>
      </c>
      <c r="S1670" s="223"/>
      <c r="T1670" s="224"/>
      <c r="U1670" s="225">
        <f t="shared" si="227"/>
        <v>0</v>
      </c>
      <c r="V1670" s="226">
        <v>0</v>
      </c>
      <c r="W1670" s="227"/>
      <c r="X1670" s="228">
        <f t="shared" si="228"/>
        <v>0</v>
      </c>
      <c r="Y1670" s="229"/>
      <c r="Z1670" s="229"/>
      <c r="AA1670" s="229"/>
      <c r="AB1670" s="222">
        <f t="shared" si="229"/>
        <v>0</v>
      </c>
      <c r="AC1670" s="230">
        <f t="shared" si="230"/>
        <v>0</v>
      </c>
      <c r="AD1670" s="222" t="str">
        <f t="shared" si="231"/>
        <v/>
      </c>
      <c r="AE1670" s="201"/>
      <c r="AF1670" s="231" t="str">
        <f>+IFERROR(VLOOKUP(L1670,Data!$F$4:$G$97,2,0),"")</f>
        <v/>
      </c>
    </row>
    <row r="1671" spans="9:32" ht="15" customHeight="1" x14ac:dyDescent="0.3">
      <c r="I1671" s="201" t="str">
        <f t="shared" si="224"/>
        <v/>
      </c>
      <c r="J1671" s="218">
        <f t="shared" si="225"/>
        <v>1668</v>
      </c>
      <c r="K1671" s="250"/>
      <c r="L1671" s="219"/>
      <c r="M1671" s="218"/>
      <c r="N1671" s="220" t="str">
        <f>IFERROR(VLOOKUP(M1671,Data!$C$4:$D$395,2,0),"")</f>
        <v/>
      </c>
      <c r="O1671" s="220"/>
      <c r="P1671" s="229"/>
      <c r="Q1671" s="221"/>
      <c r="R1671" s="222" t="str">
        <f t="shared" si="226"/>
        <v>-</v>
      </c>
      <c r="S1671" s="223"/>
      <c r="T1671" s="224"/>
      <c r="U1671" s="225">
        <f t="shared" si="227"/>
        <v>0</v>
      </c>
      <c r="V1671" s="226">
        <v>0</v>
      </c>
      <c r="W1671" s="227"/>
      <c r="X1671" s="228">
        <f t="shared" si="228"/>
        <v>0</v>
      </c>
      <c r="Y1671" s="229"/>
      <c r="Z1671" s="229"/>
      <c r="AA1671" s="229"/>
      <c r="AB1671" s="222">
        <f t="shared" si="229"/>
        <v>0</v>
      </c>
      <c r="AC1671" s="230">
        <f t="shared" si="230"/>
        <v>0</v>
      </c>
      <c r="AD1671" s="222" t="str">
        <f t="shared" si="231"/>
        <v/>
      </c>
      <c r="AE1671" s="201"/>
      <c r="AF1671" s="231" t="str">
        <f>+IFERROR(VLOOKUP(L1671,Data!$F$4:$G$97,2,0),"")</f>
        <v/>
      </c>
    </row>
    <row r="1672" spans="9:32" ht="15" customHeight="1" x14ac:dyDescent="0.3">
      <c r="I1672" s="201" t="str">
        <f t="shared" si="224"/>
        <v/>
      </c>
      <c r="J1672" s="218">
        <f t="shared" si="225"/>
        <v>1669</v>
      </c>
      <c r="K1672" s="250"/>
      <c r="L1672" s="219"/>
      <c r="M1672" s="218"/>
      <c r="N1672" s="220" t="str">
        <f>IFERROR(VLOOKUP(M1672,Data!$C$4:$D$395,2,0),"")</f>
        <v/>
      </c>
      <c r="O1672" s="220"/>
      <c r="P1672" s="229"/>
      <c r="Q1672" s="221"/>
      <c r="R1672" s="222" t="str">
        <f t="shared" si="226"/>
        <v>-</v>
      </c>
      <c r="S1672" s="223"/>
      <c r="T1672" s="224"/>
      <c r="U1672" s="225">
        <f t="shared" si="227"/>
        <v>0</v>
      </c>
      <c r="V1672" s="226">
        <v>0</v>
      </c>
      <c r="W1672" s="227"/>
      <c r="X1672" s="228">
        <f t="shared" si="228"/>
        <v>0</v>
      </c>
      <c r="Y1672" s="229"/>
      <c r="Z1672" s="229"/>
      <c r="AA1672" s="229"/>
      <c r="AB1672" s="222">
        <f t="shared" si="229"/>
        <v>0</v>
      </c>
      <c r="AC1672" s="230">
        <f t="shared" si="230"/>
        <v>0</v>
      </c>
      <c r="AD1672" s="222" t="str">
        <f t="shared" si="231"/>
        <v/>
      </c>
      <c r="AE1672" s="201"/>
      <c r="AF1672" s="231" t="str">
        <f>+IFERROR(VLOOKUP(L1672,Data!$F$4:$G$97,2,0),"")</f>
        <v/>
      </c>
    </row>
    <row r="1673" spans="9:32" ht="15" customHeight="1" x14ac:dyDescent="0.3">
      <c r="I1673" s="201" t="str">
        <f t="shared" si="224"/>
        <v/>
      </c>
      <c r="J1673" s="218">
        <f t="shared" si="225"/>
        <v>1670</v>
      </c>
      <c r="K1673" s="250"/>
      <c r="L1673" s="219"/>
      <c r="M1673" s="218"/>
      <c r="N1673" s="220" t="str">
        <f>IFERROR(VLOOKUP(M1673,Data!$C$4:$D$395,2,0),"")</f>
        <v/>
      </c>
      <c r="O1673" s="220"/>
      <c r="P1673" s="229"/>
      <c r="Q1673" s="221"/>
      <c r="R1673" s="222" t="str">
        <f t="shared" si="226"/>
        <v>-</v>
      </c>
      <c r="S1673" s="223"/>
      <c r="T1673" s="224"/>
      <c r="U1673" s="225">
        <f t="shared" si="227"/>
        <v>0</v>
      </c>
      <c r="V1673" s="226">
        <v>0</v>
      </c>
      <c r="W1673" s="227"/>
      <c r="X1673" s="228">
        <f t="shared" si="228"/>
        <v>0</v>
      </c>
      <c r="Y1673" s="229"/>
      <c r="Z1673" s="229"/>
      <c r="AA1673" s="229"/>
      <c r="AB1673" s="222">
        <f t="shared" si="229"/>
        <v>0</v>
      </c>
      <c r="AC1673" s="230">
        <f t="shared" si="230"/>
        <v>0</v>
      </c>
      <c r="AD1673" s="222" t="str">
        <f t="shared" si="231"/>
        <v/>
      </c>
      <c r="AE1673" s="201"/>
      <c r="AF1673" s="231" t="str">
        <f>+IFERROR(VLOOKUP(L1673,Data!$F$4:$G$97,2,0),"")</f>
        <v/>
      </c>
    </row>
    <row r="1674" spans="9:32" ht="15" customHeight="1" x14ac:dyDescent="0.3">
      <c r="I1674" s="201" t="str">
        <f t="shared" si="224"/>
        <v/>
      </c>
      <c r="J1674" s="218">
        <f t="shared" si="225"/>
        <v>1671</v>
      </c>
      <c r="K1674" s="250"/>
      <c r="L1674" s="219"/>
      <c r="M1674" s="218"/>
      <c r="N1674" s="220" t="str">
        <f>IFERROR(VLOOKUP(M1674,Data!$C$4:$D$395,2,0),"")</f>
        <v/>
      </c>
      <c r="O1674" s="220"/>
      <c r="P1674" s="229"/>
      <c r="Q1674" s="221"/>
      <c r="R1674" s="222" t="str">
        <f t="shared" si="226"/>
        <v>-</v>
      </c>
      <c r="S1674" s="223"/>
      <c r="T1674" s="224"/>
      <c r="U1674" s="225">
        <f t="shared" si="227"/>
        <v>0</v>
      </c>
      <c r="V1674" s="226">
        <v>0</v>
      </c>
      <c r="W1674" s="227"/>
      <c r="X1674" s="228">
        <f t="shared" si="228"/>
        <v>0</v>
      </c>
      <c r="Y1674" s="229"/>
      <c r="Z1674" s="229"/>
      <c r="AA1674" s="229"/>
      <c r="AB1674" s="222">
        <f t="shared" si="229"/>
        <v>0</v>
      </c>
      <c r="AC1674" s="230">
        <f t="shared" si="230"/>
        <v>0</v>
      </c>
      <c r="AD1674" s="222" t="str">
        <f t="shared" si="231"/>
        <v/>
      </c>
      <c r="AE1674" s="201"/>
      <c r="AF1674" s="231" t="str">
        <f>+IFERROR(VLOOKUP(L1674,Data!$F$4:$G$97,2,0),"")</f>
        <v/>
      </c>
    </row>
    <row r="1675" spans="9:32" ht="15" customHeight="1" x14ac:dyDescent="0.3">
      <c r="I1675" s="201" t="str">
        <f t="shared" si="224"/>
        <v/>
      </c>
      <c r="J1675" s="218">
        <f t="shared" si="225"/>
        <v>1672</v>
      </c>
      <c r="K1675" s="250"/>
      <c r="L1675" s="219"/>
      <c r="M1675" s="218"/>
      <c r="N1675" s="220" t="str">
        <f>IFERROR(VLOOKUP(M1675,Data!$C$4:$D$395,2,0),"")</f>
        <v/>
      </c>
      <c r="O1675" s="220"/>
      <c r="P1675" s="229"/>
      <c r="Q1675" s="221"/>
      <c r="R1675" s="222" t="str">
        <f t="shared" si="226"/>
        <v>-</v>
      </c>
      <c r="S1675" s="223"/>
      <c r="T1675" s="224"/>
      <c r="U1675" s="225">
        <f t="shared" si="227"/>
        <v>0</v>
      </c>
      <c r="V1675" s="226">
        <v>0</v>
      </c>
      <c r="W1675" s="227"/>
      <c r="X1675" s="228">
        <f t="shared" si="228"/>
        <v>0</v>
      </c>
      <c r="Y1675" s="229"/>
      <c r="Z1675" s="229"/>
      <c r="AA1675" s="229"/>
      <c r="AB1675" s="222">
        <f t="shared" si="229"/>
        <v>0</v>
      </c>
      <c r="AC1675" s="230">
        <f t="shared" si="230"/>
        <v>0</v>
      </c>
      <c r="AD1675" s="222" t="str">
        <f t="shared" si="231"/>
        <v/>
      </c>
      <c r="AE1675" s="201"/>
      <c r="AF1675" s="231" t="str">
        <f>+IFERROR(VLOOKUP(L1675,Data!$F$4:$G$97,2,0),"")</f>
        <v/>
      </c>
    </row>
    <row r="1676" spans="9:32" ht="15" customHeight="1" x14ac:dyDescent="0.3">
      <c r="I1676" s="201" t="str">
        <f t="shared" si="224"/>
        <v/>
      </c>
      <c r="J1676" s="218">
        <f t="shared" si="225"/>
        <v>1673</v>
      </c>
      <c r="K1676" s="250"/>
      <c r="L1676" s="219"/>
      <c r="M1676" s="218"/>
      <c r="N1676" s="220" t="str">
        <f>IFERROR(VLOOKUP(M1676,Data!$C$4:$D$395,2,0),"")</f>
        <v/>
      </c>
      <c r="O1676" s="220"/>
      <c r="P1676" s="229"/>
      <c r="Q1676" s="221"/>
      <c r="R1676" s="222" t="str">
        <f t="shared" si="226"/>
        <v>-</v>
      </c>
      <c r="S1676" s="223"/>
      <c r="T1676" s="224"/>
      <c r="U1676" s="225">
        <f t="shared" si="227"/>
        <v>0</v>
      </c>
      <c r="V1676" s="226">
        <v>0</v>
      </c>
      <c r="W1676" s="227"/>
      <c r="X1676" s="228">
        <f t="shared" si="228"/>
        <v>0</v>
      </c>
      <c r="Y1676" s="229"/>
      <c r="Z1676" s="229"/>
      <c r="AA1676" s="229"/>
      <c r="AB1676" s="222">
        <f t="shared" si="229"/>
        <v>0</v>
      </c>
      <c r="AC1676" s="230">
        <f t="shared" si="230"/>
        <v>0</v>
      </c>
      <c r="AD1676" s="222" t="str">
        <f t="shared" si="231"/>
        <v/>
      </c>
      <c r="AE1676" s="201"/>
      <c r="AF1676" s="231" t="str">
        <f>+IFERROR(VLOOKUP(L1676,Data!$F$4:$G$97,2,0),"")</f>
        <v/>
      </c>
    </row>
    <row r="1677" spans="9:32" ht="15" customHeight="1" x14ac:dyDescent="0.3">
      <c r="I1677" s="201" t="str">
        <f t="shared" si="224"/>
        <v/>
      </c>
      <c r="J1677" s="218">
        <f t="shared" si="225"/>
        <v>1674</v>
      </c>
      <c r="K1677" s="250"/>
      <c r="L1677" s="219"/>
      <c r="M1677" s="218"/>
      <c r="N1677" s="220" t="str">
        <f>IFERROR(VLOOKUP(M1677,Data!$C$4:$D$395,2,0),"")</f>
        <v/>
      </c>
      <c r="O1677" s="220"/>
      <c r="P1677" s="229"/>
      <c r="Q1677" s="221"/>
      <c r="R1677" s="222" t="str">
        <f t="shared" si="226"/>
        <v>-</v>
      </c>
      <c r="S1677" s="223"/>
      <c r="T1677" s="224"/>
      <c r="U1677" s="225">
        <f t="shared" si="227"/>
        <v>0</v>
      </c>
      <c r="V1677" s="226">
        <v>0</v>
      </c>
      <c r="W1677" s="227"/>
      <c r="X1677" s="228">
        <f t="shared" si="228"/>
        <v>0</v>
      </c>
      <c r="Y1677" s="229"/>
      <c r="Z1677" s="229"/>
      <c r="AA1677" s="229"/>
      <c r="AB1677" s="222">
        <f t="shared" si="229"/>
        <v>0</v>
      </c>
      <c r="AC1677" s="230">
        <f t="shared" si="230"/>
        <v>0</v>
      </c>
      <c r="AD1677" s="222" t="str">
        <f t="shared" si="231"/>
        <v/>
      </c>
      <c r="AE1677" s="201"/>
      <c r="AF1677" s="231" t="str">
        <f>+IFERROR(VLOOKUP(L1677,Data!$F$4:$G$97,2,0),"")</f>
        <v/>
      </c>
    </row>
    <row r="1678" spans="9:32" ht="15" customHeight="1" x14ac:dyDescent="0.3">
      <c r="I1678" s="201" t="str">
        <f t="shared" si="224"/>
        <v/>
      </c>
      <c r="J1678" s="218">
        <f t="shared" si="225"/>
        <v>1675</v>
      </c>
      <c r="K1678" s="250"/>
      <c r="L1678" s="219"/>
      <c r="M1678" s="218"/>
      <c r="N1678" s="220" t="str">
        <f>IFERROR(VLOOKUP(M1678,Data!$C$4:$D$395,2,0),"")</f>
        <v/>
      </c>
      <c r="O1678" s="220"/>
      <c r="P1678" s="229"/>
      <c r="Q1678" s="221"/>
      <c r="R1678" s="222" t="str">
        <f t="shared" si="226"/>
        <v>-</v>
      </c>
      <c r="S1678" s="223"/>
      <c r="T1678" s="224"/>
      <c r="U1678" s="225">
        <f t="shared" si="227"/>
        <v>0</v>
      </c>
      <c r="V1678" s="226">
        <v>0</v>
      </c>
      <c r="W1678" s="227"/>
      <c r="X1678" s="228">
        <f t="shared" si="228"/>
        <v>0</v>
      </c>
      <c r="Y1678" s="229"/>
      <c r="Z1678" s="229"/>
      <c r="AA1678" s="229"/>
      <c r="AB1678" s="222">
        <f t="shared" si="229"/>
        <v>0</v>
      </c>
      <c r="AC1678" s="230">
        <f t="shared" si="230"/>
        <v>0</v>
      </c>
      <c r="AD1678" s="222" t="str">
        <f t="shared" si="231"/>
        <v/>
      </c>
      <c r="AE1678" s="201"/>
      <c r="AF1678" s="231" t="str">
        <f>+IFERROR(VLOOKUP(L1678,Data!$F$4:$G$97,2,0),"")</f>
        <v/>
      </c>
    </row>
    <row r="1679" spans="9:32" ht="15" customHeight="1" x14ac:dyDescent="0.3">
      <c r="I1679" s="201" t="str">
        <f t="shared" si="224"/>
        <v/>
      </c>
      <c r="J1679" s="218">
        <f t="shared" si="225"/>
        <v>1676</v>
      </c>
      <c r="K1679" s="250"/>
      <c r="L1679" s="219"/>
      <c r="M1679" s="218"/>
      <c r="N1679" s="220" t="str">
        <f>IFERROR(VLOOKUP(M1679,Data!$C$4:$D$395,2,0),"")</f>
        <v/>
      </c>
      <c r="O1679" s="220"/>
      <c r="P1679" s="229"/>
      <c r="Q1679" s="221"/>
      <c r="R1679" s="222" t="str">
        <f t="shared" si="226"/>
        <v>-</v>
      </c>
      <c r="S1679" s="223"/>
      <c r="T1679" s="224"/>
      <c r="U1679" s="225">
        <f t="shared" si="227"/>
        <v>0</v>
      </c>
      <c r="V1679" s="226">
        <v>0</v>
      </c>
      <c r="W1679" s="227"/>
      <c r="X1679" s="228">
        <f t="shared" si="228"/>
        <v>0</v>
      </c>
      <c r="Y1679" s="229"/>
      <c r="Z1679" s="229"/>
      <c r="AA1679" s="229"/>
      <c r="AB1679" s="222">
        <f t="shared" si="229"/>
        <v>0</v>
      </c>
      <c r="AC1679" s="230">
        <f t="shared" si="230"/>
        <v>0</v>
      </c>
      <c r="AD1679" s="222" t="str">
        <f t="shared" si="231"/>
        <v/>
      </c>
      <c r="AE1679" s="201"/>
      <c r="AF1679" s="231" t="str">
        <f>+IFERROR(VLOOKUP(L1679,Data!$F$4:$G$97,2,0),"")</f>
        <v/>
      </c>
    </row>
    <row r="1680" spans="9:32" ht="15" customHeight="1" x14ac:dyDescent="0.3">
      <c r="I1680" s="201" t="str">
        <f t="shared" si="224"/>
        <v/>
      </c>
      <c r="J1680" s="218">
        <f t="shared" si="225"/>
        <v>1677</v>
      </c>
      <c r="K1680" s="250"/>
      <c r="L1680" s="219"/>
      <c r="M1680" s="218"/>
      <c r="N1680" s="220" t="str">
        <f>IFERROR(VLOOKUP(M1680,Data!$C$4:$D$395,2,0),"")</f>
        <v/>
      </c>
      <c r="O1680" s="220"/>
      <c r="P1680" s="229"/>
      <c r="Q1680" s="221"/>
      <c r="R1680" s="222" t="str">
        <f t="shared" si="226"/>
        <v>-</v>
      </c>
      <c r="S1680" s="223"/>
      <c r="T1680" s="224"/>
      <c r="U1680" s="225">
        <f t="shared" si="227"/>
        <v>0</v>
      </c>
      <c r="V1680" s="226">
        <v>0</v>
      </c>
      <c r="W1680" s="227"/>
      <c r="X1680" s="228">
        <f t="shared" si="228"/>
        <v>0</v>
      </c>
      <c r="Y1680" s="229"/>
      <c r="Z1680" s="229"/>
      <c r="AA1680" s="229"/>
      <c r="AB1680" s="222">
        <f t="shared" si="229"/>
        <v>0</v>
      </c>
      <c r="AC1680" s="230">
        <f t="shared" si="230"/>
        <v>0</v>
      </c>
      <c r="AD1680" s="222" t="str">
        <f t="shared" si="231"/>
        <v/>
      </c>
      <c r="AE1680" s="201"/>
      <c r="AF1680" s="231" t="str">
        <f>+IFERROR(VLOOKUP(L1680,Data!$F$4:$G$97,2,0),"")</f>
        <v/>
      </c>
    </row>
    <row r="1681" spans="9:32" ht="15" customHeight="1" x14ac:dyDescent="0.3">
      <c r="I1681" s="201" t="str">
        <f t="shared" si="224"/>
        <v/>
      </c>
      <c r="J1681" s="218">
        <f t="shared" si="225"/>
        <v>1678</v>
      </c>
      <c r="K1681" s="250"/>
      <c r="L1681" s="219"/>
      <c r="M1681" s="218"/>
      <c r="N1681" s="220" t="str">
        <f>IFERROR(VLOOKUP(M1681,Data!$C$4:$D$395,2,0),"")</f>
        <v/>
      </c>
      <c r="O1681" s="220"/>
      <c r="P1681" s="229"/>
      <c r="Q1681" s="221"/>
      <c r="R1681" s="222" t="str">
        <f t="shared" si="226"/>
        <v>-</v>
      </c>
      <c r="S1681" s="223"/>
      <c r="T1681" s="224"/>
      <c r="U1681" s="225">
        <f t="shared" si="227"/>
        <v>0</v>
      </c>
      <c r="V1681" s="226">
        <v>0</v>
      </c>
      <c r="W1681" s="227"/>
      <c r="X1681" s="228">
        <f t="shared" si="228"/>
        <v>0</v>
      </c>
      <c r="Y1681" s="229"/>
      <c r="Z1681" s="229"/>
      <c r="AA1681" s="229"/>
      <c r="AB1681" s="222">
        <f t="shared" si="229"/>
        <v>0</v>
      </c>
      <c r="AC1681" s="230">
        <f t="shared" si="230"/>
        <v>0</v>
      </c>
      <c r="AD1681" s="222" t="str">
        <f t="shared" si="231"/>
        <v/>
      </c>
      <c r="AE1681" s="201"/>
      <c r="AF1681" s="231" t="str">
        <f>+IFERROR(VLOOKUP(L1681,Data!$F$4:$G$97,2,0),"")</f>
        <v/>
      </c>
    </row>
    <row r="1682" spans="9:32" ht="15" customHeight="1" x14ac:dyDescent="0.3">
      <c r="I1682" s="201" t="str">
        <f t="shared" si="224"/>
        <v/>
      </c>
      <c r="J1682" s="218">
        <f t="shared" si="225"/>
        <v>1679</v>
      </c>
      <c r="K1682" s="250"/>
      <c r="L1682" s="219"/>
      <c r="M1682" s="218"/>
      <c r="N1682" s="220" t="str">
        <f>IFERROR(VLOOKUP(M1682,Data!$C$4:$D$395,2,0),"")</f>
        <v/>
      </c>
      <c r="O1682" s="220"/>
      <c r="P1682" s="229"/>
      <c r="Q1682" s="221"/>
      <c r="R1682" s="222" t="str">
        <f t="shared" si="226"/>
        <v>-</v>
      </c>
      <c r="S1682" s="223"/>
      <c r="T1682" s="224"/>
      <c r="U1682" s="225">
        <f t="shared" si="227"/>
        <v>0</v>
      </c>
      <c r="V1682" s="226">
        <v>0</v>
      </c>
      <c r="W1682" s="227"/>
      <c r="X1682" s="228">
        <f t="shared" si="228"/>
        <v>0</v>
      </c>
      <c r="Y1682" s="229"/>
      <c r="Z1682" s="229"/>
      <c r="AA1682" s="229"/>
      <c r="AB1682" s="222">
        <f t="shared" si="229"/>
        <v>0</v>
      </c>
      <c r="AC1682" s="230">
        <f t="shared" si="230"/>
        <v>0</v>
      </c>
      <c r="AD1682" s="222" t="str">
        <f t="shared" si="231"/>
        <v/>
      </c>
      <c r="AE1682" s="201"/>
      <c r="AF1682" s="231" t="str">
        <f>+IFERROR(VLOOKUP(L1682,Data!$F$4:$G$97,2,0),"")</f>
        <v/>
      </c>
    </row>
    <row r="1683" spans="9:32" ht="15" customHeight="1" x14ac:dyDescent="0.3">
      <c r="I1683" s="201" t="str">
        <f t="shared" si="224"/>
        <v/>
      </c>
      <c r="J1683" s="218">
        <f t="shared" si="225"/>
        <v>1680</v>
      </c>
      <c r="K1683" s="250"/>
      <c r="L1683" s="219"/>
      <c r="M1683" s="218"/>
      <c r="N1683" s="220" t="str">
        <f>IFERROR(VLOOKUP(M1683,Data!$C$4:$D$395,2,0),"")</f>
        <v/>
      </c>
      <c r="O1683" s="220"/>
      <c r="P1683" s="229"/>
      <c r="Q1683" s="221"/>
      <c r="R1683" s="222" t="str">
        <f t="shared" si="226"/>
        <v>-</v>
      </c>
      <c r="S1683" s="223"/>
      <c r="T1683" s="224"/>
      <c r="U1683" s="225">
        <f t="shared" si="227"/>
        <v>0</v>
      </c>
      <c r="V1683" s="226">
        <v>0</v>
      </c>
      <c r="W1683" s="227"/>
      <c r="X1683" s="228">
        <f t="shared" si="228"/>
        <v>0</v>
      </c>
      <c r="Y1683" s="229"/>
      <c r="Z1683" s="229"/>
      <c r="AA1683" s="229"/>
      <c r="AB1683" s="222">
        <f t="shared" si="229"/>
        <v>0</v>
      </c>
      <c r="AC1683" s="230">
        <f t="shared" si="230"/>
        <v>0</v>
      </c>
      <c r="AD1683" s="222" t="str">
        <f t="shared" si="231"/>
        <v/>
      </c>
      <c r="AE1683" s="201"/>
      <c r="AF1683" s="231" t="str">
        <f>+IFERROR(VLOOKUP(L1683,Data!$F$4:$G$97,2,0),"")</f>
        <v/>
      </c>
    </row>
    <row r="1684" spans="9:32" ht="15" customHeight="1" x14ac:dyDescent="0.3">
      <c r="I1684" s="201" t="str">
        <f t="shared" si="224"/>
        <v/>
      </c>
      <c r="J1684" s="218">
        <f t="shared" si="225"/>
        <v>1681</v>
      </c>
      <c r="K1684" s="250"/>
      <c r="L1684" s="219"/>
      <c r="M1684" s="218"/>
      <c r="N1684" s="220" t="str">
        <f>IFERROR(VLOOKUP(M1684,Data!$C$4:$D$395,2,0),"")</f>
        <v/>
      </c>
      <c r="O1684" s="220"/>
      <c r="P1684" s="229"/>
      <c r="Q1684" s="221"/>
      <c r="R1684" s="222" t="str">
        <f t="shared" si="226"/>
        <v>-</v>
      </c>
      <c r="S1684" s="223"/>
      <c r="T1684" s="224"/>
      <c r="U1684" s="225">
        <f t="shared" si="227"/>
        <v>0</v>
      </c>
      <c r="V1684" s="226">
        <v>0</v>
      </c>
      <c r="W1684" s="227"/>
      <c r="X1684" s="228">
        <f t="shared" si="228"/>
        <v>0</v>
      </c>
      <c r="Y1684" s="229"/>
      <c r="Z1684" s="229"/>
      <c r="AA1684" s="229"/>
      <c r="AB1684" s="222">
        <f t="shared" si="229"/>
        <v>0</v>
      </c>
      <c r="AC1684" s="230">
        <f t="shared" si="230"/>
        <v>0</v>
      </c>
      <c r="AD1684" s="222" t="str">
        <f t="shared" si="231"/>
        <v/>
      </c>
      <c r="AE1684" s="201"/>
      <c r="AF1684" s="231" t="str">
        <f>+IFERROR(VLOOKUP(L1684,Data!$F$4:$G$97,2,0),"")</f>
        <v/>
      </c>
    </row>
    <row r="1685" spans="9:32" ht="15" customHeight="1" x14ac:dyDescent="0.3">
      <c r="I1685" s="201" t="str">
        <f t="shared" si="224"/>
        <v/>
      </c>
      <c r="J1685" s="218">
        <f t="shared" si="225"/>
        <v>1682</v>
      </c>
      <c r="K1685" s="250"/>
      <c r="L1685" s="219"/>
      <c r="M1685" s="218"/>
      <c r="N1685" s="220" t="str">
        <f>IFERROR(VLOOKUP(M1685,Data!$C$4:$D$395,2,0),"")</f>
        <v/>
      </c>
      <c r="O1685" s="220"/>
      <c r="P1685" s="229"/>
      <c r="Q1685" s="221"/>
      <c r="R1685" s="222" t="str">
        <f t="shared" si="226"/>
        <v>-</v>
      </c>
      <c r="S1685" s="223"/>
      <c r="T1685" s="224"/>
      <c r="U1685" s="225">
        <f t="shared" si="227"/>
        <v>0</v>
      </c>
      <c r="V1685" s="226">
        <v>0</v>
      </c>
      <c r="W1685" s="227"/>
      <c r="X1685" s="228">
        <f t="shared" si="228"/>
        <v>0</v>
      </c>
      <c r="Y1685" s="229"/>
      <c r="Z1685" s="229"/>
      <c r="AA1685" s="229"/>
      <c r="AB1685" s="222">
        <f t="shared" si="229"/>
        <v>0</v>
      </c>
      <c r="AC1685" s="230">
        <f t="shared" si="230"/>
        <v>0</v>
      </c>
      <c r="AD1685" s="222" t="str">
        <f t="shared" si="231"/>
        <v/>
      </c>
      <c r="AE1685" s="201"/>
      <c r="AF1685" s="231" t="str">
        <f>+IFERROR(VLOOKUP(L1685,Data!$F$4:$G$97,2,0),"")</f>
        <v/>
      </c>
    </row>
    <row r="1686" spans="9:32" ht="15" customHeight="1" x14ac:dyDescent="0.3">
      <c r="I1686" s="201" t="str">
        <f t="shared" si="224"/>
        <v/>
      </c>
      <c r="J1686" s="218">
        <f t="shared" si="225"/>
        <v>1683</v>
      </c>
      <c r="K1686" s="250"/>
      <c r="L1686" s="219"/>
      <c r="M1686" s="218"/>
      <c r="N1686" s="220" t="str">
        <f>IFERROR(VLOOKUP(M1686,Data!$C$4:$D$395,2,0),"")</f>
        <v/>
      </c>
      <c r="O1686" s="220"/>
      <c r="P1686" s="229"/>
      <c r="Q1686" s="221"/>
      <c r="R1686" s="222" t="str">
        <f t="shared" si="226"/>
        <v>-</v>
      </c>
      <c r="S1686" s="223"/>
      <c r="T1686" s="224"/>
      <c r="U1686" s="225">
        <f t="shared" si="227"/>
        <v>0</v>
      </c>
      <c r="V1686" s="226">
        <v>0</v>
      </c>
      <c r="W1686" s="227"/>
      <c r="X1686" s="228">
        <f t="shared" si="228"/>
        <v>0</v>
      </c>
      <c r="Y1686" s="229"/>
      <c r="Z1686" s="229"/>
      <c r="AA1686" s="229"/>
      <c r="AB1686" s="222">
        <f t="shared" si="229"/>
        <v>0</v>
      </c>
      <c r="AC1686" s="230">
        <f t="shared" si="230"/>
        <v>0</v>
      </c>
      <c r="AD1686" s="222" t="str">
        <f t="shared" si="231"/>
        <v/>
      </c>
      <c r="AE1686" s="201"/>
      <c r="AF1686" s="231" t="str">
        <f>+IFERROR(VLOOKUP(L1686,Data!$F$4:$G$97,2,0),"")</f>
        <v/>
      </c>
    </row>
    <row r="1687" spans="9:32" ht="15" customHeight="1" x14ac:dyDescent="0.3">
      <c r="I1687" s="201" t="str">
        <f t="shared" si="224"/>
        <v/>
      </c>
      <c r="J1687" s="218">
        <f t="shared" si="225"/>
        <v>1684</v>
      </c>
      <c r="K1687" s="250"/>
      <c r="L1687" s="219"/>
      <c r="M1687" s="218"/>
      <c r="N1687" s="220" t="str">
        <f>IFERROR(VLOOKUP(M1687,Data!$C$4:$D$395,2,0),"")</f>
        <v/>
      </c>
      <c r="O1687" s="220"/>
      <c r="P1687" s="229"/>
      <c r="Q1687" s="221"/>
      <c r="R1687" s="222" t="str">
        <f t="shared" si="226"/>
        <v>-</v>
      </c>
      <c r="S1687" s="223"/>
      <c r="T1687" s="224"/>
      <c r="U1687" s="225">
        <f t="shared" si="227"/>
        <v>0</v>
      </c>
      <c r="V1687" s="226">
        <v>0</v>
      </c>
      <c r="W1687" s="227"/>
      <c r="X1687" s="228">
        <f t="shared" si="228"/>
        <v>0</v>
      </c>
      <c r="Y1687" s="229"/>
      <c r="Z1687" s="229"/>
      <c r="AA1687" s="229"/>
      <c r="AB1687" s="222">
        <f t="shared" si="229"/>
        <v>0</v>
      </c>
      <c r="AC1687" s="230">
        <f t="shared" si="230"/>
        <v>0</v>
      </c>
      <c r="AD1687" s="222" t="str">
        <f t="shared" si="231"/>
        <v/>
      </c>
      <c r="AE1687" s="201"/>
      <c r="AF1687" s="231" t="str">
        <f>+IFERROR(VLOOKUP(L1687,Data!$F$4:$G$97,2,0),"")</f>
        <v/>
      </c>
    </row>
    <row r="1688" spans="9:32" ht="15" customHeight="1" x14ac:dyDescent="0.3">
      <c r="I1688" s="201" t="str">
        <f t="shared" si="224"/>
        <v/>
      </c>
      <c r="J1688" s="218">
        <f t="shared" si="225"/>
        <v>1685</v>
      </c>
      <c r="K1688" s="250"/>
      <c r="L1688" s="219"/>
      <c r="M1688" s="218"/>
      <c r="N1688" s="220" t="str">
        <f>IFERROR(VLOOKUP(M1688,Data!$C$4:$D$395,2,0),"")</f>
        <v/>
      </c>
      <c r="O1688" s="220"/>
      <c r="P1688" s="229"/>
      <c r="Q1688" s="221"/>
      <c r="R1688" s="222" t="str">
        <f t="shared" si="226"/>
        <v>-</v>
      </c>
      <c r="S1688" s="223"/>
      <c r="T1688" s="224"/>
      <c r="U1688" s="225">
        <f t="shared" si="227"/>
        <v>0</v>
      </c>
      <c r="V1688" s="226">
        <v>0</v>
      </c>
      <c r="W1688" s="227"/>
      <c r="X1688" s="228">
        <f t="shared" si="228"/>
        <v>0</v>
      </c>
      <c r="Y1688" s="229"/>
      <c r="Z1688" s="229"/>
      <c r="AA1688" s="229"/>
      <c r="AB1688" s="222">
        <f t="shared" si="229"/>
        <v>0</v>
      </c>
      <c r="AC1688" s="230">
        <f t="shared" si="230"/>
        <v>0</v>
      </c>
      <c r="AD1688" s="222" t="str">
        <f t="shared" si="231"/>
        <v/>
      </c>
      <c r="AE1688" s="201"/>
      <c r="AF1688" s="231" t="str">
        <f>+IFERROR(VLOOKUP(L1688,Data!$F$4:$G$97,2,0),"")</f>
        <v/>
      </c>
    </row>
    <row r="1689" spans="9:32" ht="15" customHeight="1" x14ac:dyDescent="0.3">
      <c r="I1689" s="201" t="str">
        <f t="shared" si="224"/>
        <v/>
      </c>
      <c r="J1689" s="218">
        <f t="shared" si="225"/>
        <v>1686</v>
      </c>
      <c r="K1689" s="250"/>
      <c r="L1689" s="219"/>
      <c r="M1689" s="218"/>
      <c r="N1689" s="220" t="str">
        <f>IFERROR(VLOOKUP(M1689,Data!$C$4:$D$395,2,0),"")</f>
        <v/>
      </c>
      <c r="O1689" s="220"/>
      <c r="P1689" s="229"/>
      <c r="Q1689" s="221"/>
      <c r="R1689" s="222" t="str">
        <f t="shared" si="226"/>
        <v>-</v>
      </c>
      <c r="S1689" s="223"/>
      <c r="T1689" s="224"/>
      <c r="U1689" s="225">
        <f t="shared" si="227"/>
        <v>0</v>
      </c>
      <c r="V1689" s="226">
        <v>0</v>
      </c>
      <c r="W1689" s="227"/>
      <c r="X1689" s="228">
        <f t="shared" si="228"/>
        <v>0</v>
      </c>
      <c r="Y1689" s="229"/>
      <c r="Z1689" s="229"/>
      <c r="AA1689" s="229"/>
      <c r="AB1689" s="222">
        <f t="shared" si="229"/>
        <v>0</v>
      </c>
      <c r="AC1689" s="230">
        <f t="shared" si="230"/>
        <v>0</v>
      </c>
      <c r="AD1689" s="222" t="str">
        <f t="shared" si="231"/>
        <v/>
      </c>
      <c r="AE1689" s="201"/>
      <c r="AF1689" s="231" t="str">
        <f>+IFERROR(VLOOKUP(L1689,Data!$F$4:$G$97,2,0),"")</f>
        <v/>
      </c>
    </row>
    <row r="1690" spans="9:32" ht="15" customHeight="1" x14ac:dyDescent="0.3">
      <c r="I1690" s="201" t="str">
        <f t="shared" si="224"/>
        <v/>
      </c>
      <c r="J1690" s="218">
        <f t="shared" si="225"/>
        <v>1687</v>
      </c>
      <c r="K1690" s="250"/>
      <c r="L1690" s="219"/>
      <c r="M1690" s="218"/>
      <c r="N1690" s="220" t="str">
        <f>IFERROR(VLOOKUP(M1690,Data!$C$4:$D$395,2,0),"")</f>
        <v/>
      </c>
      <c r="O1690" s="220"/>
      <c r="P1690" s="229"/>
      <c r="Q1690" s="221"/>
      <c r="R1690" s="222" t="str">
        <f t="shared" si="226"/>
        <v>-</v>
      </c>
      <c r="S1690" s="223"/>
      <c r="T1690" s="224"/>
      <c r="U1690" s="225">
        <f t="shared" si="227"/>
        <v>0</v>
      </c>
      <c r="V1690" s="226">
        <v>0</v>
      </c>
      <c r="W1690" s="227"/>
      <c r="X1690" s="228">
        <f t="shared" si="228"/>
        <v>0</v>
      </c>
      <c r="Y1690" s="229"/>
      <c r="Z1690" s="229"/>
      <c r="AA1690" s="229"/>
      <c r="AB1690" s="222">
        <f t="shared" si="229"/>
        <v>0</v>
      </c>
      <c r="AC1690" s="230">
        <f t="shared" si="230"/>
        <v>0</v>
      </c>
      <c r="AD1690" s="222" t="str">
        <f t="shared" si="231"/>
        <v/>
      </c>
      <c r="AE1690" s="201"/>
      <c r="AF1690" s="231" t="str">
        <f>+IFERROR(VLOOKUP(L1690,Data!$F$4:$G$97,2,0),"")</f>
        <v/>
      </c>
    </row>
    <row r="1691" spans="9:32" ht="15" customHeight="1" x14ac:dyDescent="0.3">
      <c r="I1691" s="201" t="str">
        <f t="shared" si="224"/>
        <v/>
      </c>
      <c r="J1691" s="218">
        <f t="shared" si="225"/>
        <v>1688</v>
      </c>
      <c r="K1691" s="250"/>
      <c r="L1691" s="219"/>
      <c r="M1691" s="218"/>
      <c r="N1691" s="220" t="str">
        <f>IFERROR(VLOOKUP(M1691,Data!$C$4:$D$395,2,0),"")</f>
        <v/>
      </c>
      <c r="O1691" s="220"/>
      <c r="P1691" s="229"/>
      <c r="Q1691" s="221"/>
      <c r="R1691" s="222" t="str">
        <f t="shared" si="226"/>
        <v>-</v>
      </c>
      <c r="S1691" s="223"/>
      <c r="T1691" s="224"/>
      <c r="U1691" s="225">
        <f t="shared" si="227"/>
        <v>0</v>
      </c>
      <c r="V1691" s="226">
        <v>0</v>
      </c>
      <c r="W1691" s="227"/>
      <c r="X1691" s="228">
        <f t="shared" si="228"/>
        <v>0</v>
      </c>
      <c r="Y1691" s="229"/>
      <c r="Z1691" s="229"/>
      <c r="AA1691" s="229"/>
      <c r="AB1691" s="222">
        <f t="shared" si="229"/>
        <v>0</v>
      </c>
      <c r="AC1691" s="230">
        <f t="shared" si="230"/>
        <v>0</v>
      </c>
      <c r="AD1691" s="222" t="str">
        <f t="shared" si="231"/>
        <v/>
      </c>
      <c r="AE1691" s="201"/>
      <c r="AF1691" s="231" t="str">
        <f>+IFERROR(VLOOKUP(L1691,Data!$F$4:$G$97,2,0),"")</f>
        <v/>
      </c>
    </row>
    <row r="1692" spans="9:32" ht="15" customHeight="1" x14ac:dyDescent="0.3">
      <c r="I1692" s="201" t="str">
        <f t="shared" si="224"/>
        <v/>
      </c>
      <c r="J1692" s="218">
        <f t="shared" si="225"/>
        <v>1689</v>
      </c>
      <c r="K1692" s="250"/>
      <c r="L1692" s="219"/>
      <c r="M1692" s="218"/>
      <c r="N1692" s="220" t="str">
        <f>IFERROR(VLOOKUP(M1692,Data!$C$4:$D$395,2,0),"")</f>
        <v/>
      </c>
      <c r="O1692" s="220"/>
      <c r="P1692" s="229"/>
      <c r="Q1692" s="221"/>
      <c r="R1692" s="222" t="str">
        <f t="shared" si="226"/>
        <v>-</v>
      </c>
      <c r="S1692" s="223"/>
      <c r="T1692" s="224"/>
      <c r="U1692" s="225">
        <f t="shared" si="227"/>
        <v>0</v>
      </c>
      <c r="V1692" s="226">
        <v>0</v>
      </c>
      <c r="W1692" s="227"/>
      <c r="X1692" s="228">
        <f t="shared" si="228"/>
        <v>0</v>
      </c>
      <c r="Y1692" s="229"/>
      <c r="Z1692" s="229"/>
      <c r="AA1692" s="229"/>
      <c r="AB1692" s="222">
        <f t="shared" si="229"/>
        <v>0</v>
      </c>
      <c r="AC1692" s="230">
        <f t="shared" si="230"/>
        <v>0</v>
      </c>
      <c r="AD1692" s="222" t="str">
        <f t="shared" si="231"/>
        <v/>
      </c>
      <c r="AE1692" s="201"/>
      <c r="AF1692" s="231" t="str">
        <f>+IFERROR(VLOOKUP(L1692,Data!$F$4:$G$97,2,0),"")</f>
        <v/>
      </c>
    </row>
    <row r="1693" spans="9:32" ht="15" customHeight="1" x14ac:dyDescent="0.3">
      <c r="I1693" s="201" t="str">
        <f t="shared" si="224"/>
        <v/>
      </c>
      <c r="J1693" s="218">
        <f t="shared" si="225"/>
        <v>1690</v>
      </c>
      <c r="K1693" s="250"/>
      <c r="L1693" s="219"/>
      <c r="M1693" s="218"/>
      <c r="N1693" s="220" t="str">
        <f>IFERROR(VLOOKUP(M1693,Data!$C$4:$D$395,2,0),"")</f>
        <v/>
      </c>
      <c r="O1693" s="220"/>
      <c r="P1693" s="229"/>
      <c r="Q1693" s="221"/>
      <c r="R1693" s="222" t="str">
        <f t="shared" si="226"/>
        <v>-</v>
      </c>
      <c r="S1693" s="223"/>
      <c r="T1693" s="224"/>
      <c r="U1693" s="225">
        <f t="shared" si="227"/>
        <v>0</v>
      </c>
      <c r="V1693" s="226">
        <v>0</v>
      </c>
      <c r="W1693" s="227"/>
      <c r="X1693" s="228">
        <f t="shared" si="228"/>
        <v>0</v>
      </c>
      <c r="Y1693" s="229"/>
      <c r="Z1693" s="229"/>
      <c r="AA1693" s="229"/>
      <c r="AB1693" s="222">
        <f t="shared" si="229"/>
        <v>0</v>
      </c>
      <c r="AC1693" s="230">
        <f t="shared" si="230"/>
        <v>0</v>
      </c>
      <c r="AD1693" s="222" t="str">
        <f t="shared" si="231"/>
        <v/>
      </c>
      <c r="AE1693" s="201"/>
      <c r="AF1693" s="231" t="str">
        <f>+IFERROR(VLOOKUP(L1693,Data!$F$4:$G$97,2,0),"")</f>
        <v/>
      </c>
    </row>
    <row r="1694" spans="9:32" ht="15" customHeight="1" x14ac:dyDescent="0.3">
      <c r="I1694" s="201" t="str">
        <f t="shared" si="224"/>
        <v/>
      </c>
      <c r="J1694" s="218">
        <f t="shared" si="225"/>
        <v>1691</v>
      </c>
      <c r="K1694" s="250"/>
      <c r="L1694" s="219"/>
      <c r="M1694" s="218"/>
      <c r="N1694" s="220" t="str">
        <f>IFERROR(VLOOKUP(M1694,Data!$C$4:$D$395,2,0),"")</f>
        <v/>
      </c>
      <c r="O1694" s="220"/>
      <c r="P1694" s="229"/>
      <c r="Q1694" s="221"/>
      <c r="R1694" s="222" t="str">
        <f t="shared" si="226"/>
        <v>-</v>
      </c>
      <c r="S1694" s="223"/>
      <c r="T1694" s="224"/>
      <c r="U1694" s="225">
        <f t="shared" si="227"/>
        <v>0</v>
      </c>
      <c r="V1694" s="226">
        <v>0</v>
      </c>
      <c r="W1694" s="227"/>
      <c r="X1694" s="228">
        <f t="shared" si="228"/>
        <v>0</v>
      </c>
      <c r="Y1694" s="229"/>
      <c r="Z1694" s="229"/>
      <c r="AA1694" s="229"/>
      <c r="AB1694" s="222">
        <f t="shared" si="229"/>
        <v>0</v>
      </c>
      <c r="AC1694" s="230">
        <f t="shared" si="230"/>
        <v>0</v>
      </c>
      <c r="AD1694" s="222" t="str">
        <f t="shared" si="231"/>
        <v/>
      </c>
      <c r="AE1694" s="201"/>
      <c r="AF1694" s="231" t="str">
        <f>+IFERROR(VLOOKUP(L1694,Data!$F$4:$G$97,2,0),"")</f>
        <v/>
      </c>
    </row>
    <row r="1695" spans="9:32" ht="15" customHeight="1" x14ac:dyDescent="0.3">
      <c r="I1695" s="201" t="str">
        <f t="shared" si="224"/>
        <v/>
      </c>
      <c r="J1695" s="218">
        <f t="shared" si="225"/>
        <v>1692</v>
      </c>
      <c r="K1695" s="250"/>
      <c r="L1695" s="219"/>
      <c r="M1695" s="218"/>
      <c r="N1695" s="220" t="str">
        <f>IFERROR(VLOOKUP(M1695,Data!$C$4:$D$395,2,0),"")</f>
        <v/>
      </c>
      <c r="O1695" s="220"/>
      <c r="P1695" s="229"/>
      <c r="Q1695" s="221"/>
      <c r="R1695" s="222" t="str">
        <f t="shared" si="226"/>
        <v>-</v>
      </c>
      <c r="S1695" s="223"/>
      <c r="T1695" s="224"/>
      <c r="U1695" s="225">
        <f t="shared" si="227"/>
        <v>0</v>
      </c>
      <c r="V1695" s="226">
        <v>0</v>
      </c>
      <c r="W1695" s="227"/>
      <c r="X1695" s="228">
        <f t="shared" si="228"/>
        <v>0</v>
      </c>
      <c r="Y1695" s="229"/>
      <c r="Z1695" s="229"/>
      <c r="AA1695" s="229"/>
      <c r="AB1695" s="222">
        <f t="shared" si="229"/>
        <v>0</v>
      </c>
      <c r="AC1695" s="230">
        <f t="shared" si="230"/>
        <v>0</v>
      </c>
      <c r="AD1695" s="222" t="str">
        <f t="shared" si="231"/>
        <v/>
      </c>
      <c r="AE1695" s="201"/>
      <c r="AF1695" s="231" t="str">
        <f>+IFERROR(VLOOKUP(L1695,Data!$F$4:$G$97,2,0),"")</f>
        <v/>
      </c>
    </row>
    <row r="1696" spans="9:32" ht="15" customHeight="1" x14ac:dyDescent="0.3">
      <c r="I1696" s="201" t="str">
        <f t="shared" si="224"/>
        <v/>
      </c>
      <c r="J1696" s="218">
        <f t="shared" si="225"/>
        <v>1693</v>
      </c>
      <c r="K1696" s="250"/>
      <c r="L1696" s="219"/>
      <c r="M1696" s="218"/>
      <c r="N1696" s="220" t="str">
        <f>IFERROR(VLOOKUP(M1696,Data!$C$4:$D$395,2,0),"")</f>
        <v/>
      </c>
      <c r="O1696" s="220"/>
      <c r="P1696" s="229"/>
      <c r="Q1696" s="221"/>
      <c r="R1696" s="222" t="str">
        <f t="shared" si="226"/>
        <v>-</v>
      </c>
      <c r="S1696" s="223"/>
      <c r="T1696" s="224"/>
      <c r="U1696" s="225">
        <f t="shared" si="227"/>
        <v>0</v>
      </c>
      <c r="V1696" s="226">
        <v>0</v>
      </c>
      <c r="W1696" s="227"/>
      <c r="X1696" s="228">
        <f t="shared" si="228"/>
        <v>0</v>
      </c>
      <c r="Y1696" s="229"/>
      <c r="Z1696" s="229"/>
      <c r="AA1696" s="229"/>
      <c r="AB1696" s="222">
        <f t="shared" si="229"/>
        <v>0</v>
      </c>
      <c r="AC1696" s="230">
        <f t="shared" si="230"/>
        <v>0</v>
      </c>
      <c r="AD1696" s="222" t="str">
        <f t="shared" si="231"/>
        <v/>
      </c>
      <c r="AE1696" s="201"/>
      <c r="AF1696" s="231" t="str">
        <f>+IFERROR(VLOOKUP(L1696,Data!$F$4:$G$97,2,0),"")</f>
        <v/>
      </c>
    </row>
    <row r="1697" spans="9:32" ht="15" customHeight="1" x14ac:dyDescent="0.3">
      <c r="I1697" s="201" t="str">
        <f t="shared" si="224"/>
        <v/>
      </c>
      <c r="J1697" s="218">
        <f t="shared" si="225"/>
        <v>1694</v>
      </c>
      <c r="K1697" s="250"/>
      <c r="L1697" s="219"/>
      <c r="M1697" s="218"/>
      <c r="N1697" s="220" t="str">
        <f>IFERROR(VLOOKUP(M1697,Data!$C$4:$D$395,2,0),"")</f>
        <v/>
      </c>
      <c r="O1697" s="220"/>
      <c r="P1697" s="229"/>
      <c r="Q1697" s="221"/>
      <c r="R1697" s="222" t="str">
        <f t="shared" si="226"/>
        <v>-</v>
      </c>
      <c r="S1697" s="223"/>
      <c r="T1697" s="224"/>
      <c r="U1697" s="225">
        <f t="shared" si="227"/>
        <v>0</v>
      </c>
      <c r="V1697" s="226">
        <v>0</v>
      </c>
      <c r="W1697" s="227"/>
      <c r="X1697" s="228">
        <f t="shared" si="228"/>
        <v>0</v>
      </c>
      <c r="Y1697" s="229"/>
      <c r="Z1697" s="229"/>
      <c r="AA1697" s="229"/>
      <c r="AB1697" s="222">
        <f t="shared" si="229"/>
        <v>0</v>
      </c>
      <c r="AC1697" s="230">
        <f t="shared" si="230"/>
        <v>0</v>
      </c>
      <c r="AD1697" s="222" t="str">
        <f t="shared" si="231"/>
        <v/>
      </c>
      <c r="AE1697" s="201"/>
      <c r="AF1697" s="231" t="str">
        <f>+IFERROR(VLOOKUP(L1697,Data!$F$4:$G$97,2,0),"")</f>
        <v/>
      </c>
    </row>
    <row r="1698" spans="9:32" ht="15" customHeight="1" x14ac:dyDescent="0.3">
      <c r="I1698" s="201" t="str">
        <f t="shared" si="224"/>
        <v/>
      </c>
      <c r="J1698" s="218">
        <f t="shared" si="225"/>
        <v>1695</v>
      </c>
      <c r="K1698" s="250"/>
      <c r="L1698" s="219"/>
      <c r="M1698" s="218"/>
      <c r="N1698" s="220" t="str">
        <f>IFERROR(VLOOKUP(M1698,Data!$C$4:$D$395,2,0),"")</f>
        <v/>
      </c>
      <c r="O1698" s="220"/>
      <c r="P1698" s="229"/>
      <c r="Q1698" s="221"/>
      <c r="R1698" s="222" t="str">
        <f t="shared" si="226"/>
        <v>-</v>
      </c>
      <c r="S1698" s="223"/>
      <c r="T1698" s="224"/>
      <c r="U1698" s="225">
        <f t="shared" si="227"/>
        <v>0</v>
      </c>
      <c r="V1698" s="226">
        <v>0</v>
      </c>
      <c r="W1698" s="227"/>
      <c r="X1698" s="228">
        <f t="shared" si="228"/>
        <v>0</v>
      </c>
      <c r="Y1698" s="229"/>
      <c r="Z1698" s="229"/>
      <c r="AA1698" s="229"/>
      <c r="AB1698" s="222">
        <f t="shared" si="229"/>
        <v>0</v>
      </c>
      <c r="AC1698" s="230">
        <f t="shared" si="230"/>
        <v>0</v>
      </c>
      <c r="AD1698" s="222" t="str">
        <f t="shared" si="231"/>
        <v/>
      </c>
      <c r="AE1698" s="201"/>
      <c r="AF1698" s="231" t="str">
        <f>+IFERROR(VLOOKUP(L1698,Data!$F$4:$G$97,2,0),"")</f>
        <v/>
      </c>
    </row>
    <row r="1699" spans="9:32" ht="15" customHeight="1" x14ac:dyDescent="0.3">
      <c r="I1699" s="201" t="str">
        <f t="shared" si="224"/>
        <v/>
      </c>
      <c r="J1699" s="218">
        <f t="shared" si="225"/>
        <v>1696</v>
      </c>
      <c r="K1699" s="250"/>
      <c r="L1699" s="219"/>
      <c r="M1699" s="218"/>
      <c r="N1699" s="220" t="str">
        <f>IFERROR(VLOOKUP(M1699,Data!$C$4:$D$395,2,0),"")</f>
        <v/>
      </c>
      <c r="O1699" s="220"/>
      <c r="P1699" s="229"/>
      <c r="Q1699" s="221"/>
      <c r="R1699" s="222" t="str">
        <f t="shared" si="226"/>
        <v>-</v>
      </c>
      <c r="S1699" s="223"/>
      <c r="T1699" s="224"/>
      <c r="U1699" s="225">
        <f t="shared" si="227"/>
        <v>0</v>
      </c>
      <c r="V1699" s="226">
        <v>0</v>
      </c>
      <c r="W1699" s="227"/>
      <c r="X1699" s="228">
        <f t="shared" si="228"/>
        <v>0</v>
      </c>
      <c r="Y1699" s="229"/>
      <c r="Z1699" s="229"/>
      <c r="AA1699" s="229"/>
      <c r="AB1699" s="222">
        <f t="shared" si="229"/>
        <v>0</v>
      </c>
      <c r="AC1699" s="230">
        <f t="shared" si="230"/>
        <v>0</v>
      </c>
      <c r="AD1699" s="222" t="str">
        <f t="shared" si="231"/>
        <v/>
      </c>
      <c r="AE1699" s="201"/>
      <c r="AF1699" s="231" t="str">
        <f>+IFERROR(VLOOKUP(L1699,Data!$F$4:$G$97,2,0),"")</f>
        <v/>
      </c>
    </row>
    <row r="1700" spans="9:32" ht="15" customHeight="1" x14ac:dyDescent="0.3">
      <c r="I1700" s="201" t="str">
        <f t="shared" si="224"/>
        <v/>
      </c>
      <c r="J1700" s="218">
        <f t="shared" si="225"/>
        <v>1697</v>
      </c>
      <c r="K1700" s="250"/>
      <c r="L1700" s="219"/>
      <c r="M1700" s="218"/>
      <c r="N1700" s="220" t="str">
        <f>IFERROR(VLOOKUP(M1700,Data!$C$4:$D$395,2,0),"")</f>
        <v/>
      </c>
      <c r="O1700" s="220"/>
      <c r="P1700" s="229"/>
      <c r="Q1700" s="221"/>
      <c r="R1700" s="222" t="str">
        <f t="shared" si="226"/>
        <v>-</v>
      </c>
      <c r="S1700" s="223"/>
      <c r="T1700" s="224"/>
      <c r="U1700" s="225">
        <f t="shared" si="227"/>
        <v>0</v>
      </c>
      <c r="V1700" s="226">
        <v>0</v>
      </c>
      <c r="W1700" s="227"/>
      <c r="X1700" s="228">
        <f t="shared" si="228"/>
        <v>0</v>
      </c>
      <c r="Y1700" s="229"/>
      <c r="Z1700" s="229"/>
      <c r="AA1700" s="229"/>
      <c r="AB1700" s="222">
        <f t="shared" si="229"/>
        <v>0</v>
      </c>
      <c r="AC1700" s="230">
        <f t="shared" si="230"/>
        <v>0</v>
      </c>
      <c r="AD1700" s="222" t="str">
        <f t="shared" si="231"/>
        <v/>
      </c>
      <c r="AE1700" s="201"/>
      <c r="AF1700" s="231" t="str">
        <f>+IFERROR(VLOOKUP(L1700,Data!$F$4:$G$97,2,0),"")</f>
        <v/>
      </c>
    </row>
    <row r="1701" spans="9:32" ht="15" customHeight="1" x14ac:dyDescent="0.3">
      <c r="I1701" s="201" t="str">
        <f t="shared" si="224"/>
        <v/>
      </c>
      <c r="J1701" s="218">
        <f t="shared" si="225"/>
        <v>1698</v>
      </c>
      <c r="K1701" s="250"/>
      <c r="L1701" s="219"/>
      <c r="M1701" s="218"/>
      <c r="N1701" s="220" t="str">
        <f>IFERROR(VLOOKUP(M1701,Data!$C$4:$D$395,2,0),"")</f>
        <v/>
      </c>
      <c r="O1701" s="220"/>
      <c r="P1701" s="229"/>
      <c r="Q1701" s="221"/>
      <c r="R1701" s="222" t="str">
        <f t="shared" si="226"/>
        <v>-</v>
      </c>
      <c r="S1701" s="223"/>
      <c r="T1701" s="224"/>
      <c r="U1701" s="225">
        <f t="shared" si="227"/>
        <v>0</v>
      </c>
      <c r="V1701" s="226">
        <v>0</v>
      </c>
      <c r="W1701" s="227"/>
      <c r="X1701" s="228">
        <f t="shared" si="228"/>
        <v>0</v>
      </c>
      <c r="Y1701" s="229"/>
      <c r="Z1701" s="229"/>
      <c r="AA1701" s="229"/>
      <c r="AB1701" s="222">
        <f t="shared" si="229"/>
        <v>0</v>
      </c>
      <c r="AC1701" s="230">
        <f t="shared" si="230"/>
        <v>0</v>
      </c>
      <c r="AD1701" s="222" t="str">
        <f t="shared" si="231"/>
        <v/>
      </c>
      <c r="AE1701" s="201"/>
      <c r="AF1701" s="231" t="str">
        <f>+IFERROR(VLOOKUP(L1701,Data!$F$4:$G$97,2,0),"")</f>
        <v/>
      </c>
    </row>
    <row r="1702" spans="9:32" ht="15" customHeight="1" x14ac:dyDescent="0.3">
      <c r="I1702" s="201" t="str">
        <f t="shared" si="224"/>
        <v/>
      </c>
      <c r="J1702" s="218">
        <f t="shared" si="225"/>
        <v>1699</v>
      </c>
      <c r="K1702" s="250"/>
      <c r="L1702" s="219"/>
      <c r="M1702" s="218"/>
      <c r="N1702" s="220" t="str">
        <f>IFERROR(VLOOKUP(M1702,Data!$C$4:$D$395,2,0),"")</f>
        <v/>
      </c>
      <c r="O1702" s="220"/>
      <c r="P1702" s="229"/>
      <c r="Q1702" s="221"/>
      <c r="R1702" s="222" t="str">
        <f t="shared" si="226"/>
        <v>-</v>
      </c>
      <c r="S1702" s="223"/>
      <c r="T1702" s="224"/>
      <c r="U1702" s="225">
        <f t="shared" si="227"/>
        <v>0</v>
      </c>
      <c r="V1702" s="226">
        <v>0</v>
      </c>
      <c r="W1702" s="227"/>
      <c r="X1702" s="228">
        <f t="shared" si="228"/>
        <v>0</v>
      </c>
      <c r="Y1702" s="229"/>
      <c r="Z1702" s="229"/>
      <c r="AA1702" s="229"/>
      <c r="AB1702" s="222">
        <f t="shared" si="229"/>
        <v>0</v>
      </c>
      <c r="AC1702" s="230">
        <f t="shared" si="230"/>
        <v>0</v>
      </c>
      <c r="AD1702" s="222" t="str">
        <f t="shared" si="231"/>
        <v/>
      </c>
      <c r="AE1702" s="201"/>
      <c r="AF1702" s="231" t="str">
        <f>+IFERROR(VLOOKUP(L1702,Data!$F$4:$G$97,2,0),"")</f>
        <v/>
      </c>
    </row>
    <row r="1703" spans="9:32" ht="15" customHeight="1" x14ac:dyDescent="0.3">
      <c r="I1703" s="201" t="str">
        <f t="shared" si="224"/>
        <v/>
      </c>
      <c r="J1703" s="218">
        <f t="shared" si="225"/>
        <v>1700</v>
      </c>
      <c r="K1703" s="250"/>
      <c r="L1703" s="219"/>
      <c r="M1703" s="218"/>
      <c r="N1703" s="220" t="str">
        <f>IFERROR(VLOOKUP(M1703,Data!$C$4:$D$395,2,0),"")</f>
        <v/>
      </c>
      <c r="O1703" s="220"/>
      <c r="P1703" s="229"/>
      <c r="Q1703" s="221"/>
      <c r="R1703" s="222" t="str">
        <f t="shared" si="226"/>
        <v>-</v>
      </c>
      <c r="S1703" s="223"/>
      <c r="T1703" s="224"/>
      <c r="U1703" s="225">
        <f t="shared" si="227"/>
        <v>0</v>
      </c>
      <c r="V1703" s="226">
        <v>0</v>
      </c>
      <c r="W1703" s="227"/>
      <c r="X1703" s="228">
        <f t="shared" si="228"/>
        <v>0</v>
      </c>
      <c r="Y1703" s="229"/>
      <c r="Z1703" s="229"/>
      <c r="AA1703" s="229"/>
      <c r="AB1703" s="222">
        <f t="shared" si="229"/>
        <v>0</v>
      </c>
      <c r="AC1703" s="230">
        <f t="shared" si="230"/>
        <v>0</v>
      </c>
      <c r="AD1703" s="222" t="str">
        <f t="shared" si="231"/>
        <v/>
      </c>
      <c r="AE1703" s="201"/>
      <c r="AF1703" s="231" t="str">
        <f>+IFERROR(VLOOKUP(L1703,Data!$F$4:$G$97,2,0),"")</f>
        <v/>
      </c>
    </row>
    <row r="1704" spans="9:32" ht="15" customHeight="1" x14ac:dyDescent="0.3">
      <c r="I1704" s="201" t="str">
        <f t="shared" si="224"/>
        <v/>
      </c>
      <c r="J1704" s="218">
        <f t="shared" si="225"/>
        <v>1701</v>
      </c>
      <c r="K1704" s="250"/>
      <c r="L1704" s="219"/>
      <c r="M1704" s="218"/>
      <c r="N1704" s="220" t="str">
        <f>IFERROR(VLOOKUP(M1704,Data!$C$4:$D$395,2,0),"")</f>
        <v/>
      </c>
      <c r="O1704" s="220"/>
      <c r="P1704" s="229"/>
      <c r="Q1704" s="221"/>
      <c r="R1704" s="222" t="str">
        <f t="shared" si="226"/>
        <v>-</v>
      </c>
      <c r="S1704" s="223"/>
      <c r="T1704" s="224"/>
      <c r="U1704" s="225">
        <f t="shared" si="227"/>
        <v>0</v>
      </c>
      <c r="V1704" s="226">
        <v>0</v>
      </c>
      <c r="W1704" s="227"/>
      <c r="X1704" s="228">
        <f t="shared" si="228"/>
        <v>0</v>
      </c>
      <c r="Y1704" s="229"/>
      <c r="Z1704" s="229"/>
      <c r="AA1704" s="229"/>
      <c r="AB1704" s="222">
        <f t="shared" si="229"/>
        <v>0</v>
      </c>
      <c r="AC1704" s="230">
        <f t="shared" si="230"/>
        <v>0</v>
      </c>
      <c r="AD1704" s="222" t="str">
        <f t="shared" si="231"/>
        <v/>
      </c>
      <c r="AE1704" s="201"/>
      <c r="AF1704" s="231" t="str">
        <f>+IFERROR(VLOOKUP(L1704,Data!$F$4:$G$97,2,0),"")</f>
        <v/>
      </c>
    </row>
    <row r="1705" spans="9:32" ht="15" customHeight="1" x14ac:dyDescent="0.3">
      <c r="I1705" s="201" t="str">
        <f t="shared" si="224"/>
        <v/>
      </c>
      <c r="J1705" s="218">
        <f t="shared" si="225"/>
        <v>1702</v>
      </c>
      <c r="K1705" s="250"/>
      <c r="L1705" s="219"/>
      <c r="M1705" s="218"/>
      <c r="N1705" s="220" t="str">
        <f>IFERROR(VLOOKUP(M1705,Data!$C$4:$D$395,2,0),"")</f>
        <v/>
      </c>
      <c r="O1705" s="220"/>
      <c r="P1705" s="229"/>
      <c r="Q1705" s="221"/>
      <c r="R1705" s="222" t="str">
        <f t="shared" si="226"/>
        <v>-</v>
      </c>
      <c r="S1705" s="223"/>
      <c r="T1705" s="224"/>
      <c r="U1705" s="225">
        <f t="shared" si="227"/>
        <v>0</v>
      </c>
      <c r="V1705" s="226">
        <v>0</v>
      </c>
      <c r="W1705" s="227"/>
      <c r="X1705" s="228">
        <f t="shared" si="228"/>
        <v>0</v>
      </c>
      <c r="Y1705" s="229"/>
      <c r="Z1705" s="229"/>
      <c r="AA1705" s="229"/>
      <c r="AB1705" s="222">
        <f t="shared" si="229"/>
        <v>0</v>
      </c>
      <c r="AC1705" s="230">
        <f t="shared" si="230"/>
        <v>0</v>
      </c>
      <c r="AD1705" s="222" t="str">
        <f t="shared" si="231"/>
        <v/>
      </c>
      <c r="AE1705" s="201"/>
      <c r="AF1705" s="231" t="str">
        <f>+IFERROR(VLOOKUP(L1705,Data!$F$4:$G$97,2,0),"")</f>
        <v/>
      </c>
    </row>
    <row r="1706" spans="9:32" ht="15" customHeight="1" x14ac:dyDescent="0.3">
      <c r="I1706" s="201" t="str">
        <f t="shared" si="224"/>
        <v/>
      </c>
      <c r="J1706" s="218">
        <f t="shared" si="225"/>
        <v>1703</v>
      </c>
      <c r="K1706" s="250"/>
      <c r="L1706" s="219"/>
      <c r="M1706" s="218"/>
      <c r="N1706" s="220" t="str">
        <f>IFERROR(VLOOKUP(M1706,Data!$C$4:$D$395,2,0),"")</f>
        <v/>
      </c>
      <c r="O1706" s="220"/>
      <c r="P1706" s="229"/>
      <c r="Q1706" s="221"/>
      <c r="R1706" s="222" t="str">
        <f t="shared" si="226"/>
        <v>-</v>
      </c>
      <c r="S1706" s="223"/>
      <c r="T1706" s="224"/>
      <c r="U1706" s="225">
        <f t="shared" si="227"/>
        <v>0</v>
      </c>
      <c r="V1706" s="226">
        <v>0</v>
      </c>
      <c r="W1706" s="227"/>
      <c r="X1706" s="228">
        <f t="shared" si="228"/>
        <v>0</v>
      </c>
      <c r="Y1706" s="229"/>
      <c r="Z1706" s="229"/>
      <c r="AA1706" s="229"/>
      <c r="AB1706" s="222">
        <f t="shared" si="229"/>
        <v>0</v>
      </c>
      <c r="AC1706" s="230">
        <f t="shared" si="230"/>
        <v>0</v>
      </c>
      <c r="AD1706" s="222" t="str">
        <f t="shared" si="231"/>
        <v/>
      </c>
      <c r="AE1706" s="201"/>
      <c r="AF1706" s="231" t="str">
        <f>+IFERROR(VLOOKUP(L1706,Data!$F$4:$G$97,2,0),"")</f>
        <v/>
      </c>
    </row>
    <row r="1707" spans="9:32" ht="15" customHeight="1" x14ac:dyDescent="0.3">
      <c r="I1707" s="201" t="str">
        <f t="shared" si="224"/>
        <v/>
      </c>
      <c r="J1707" s="218">
        <f t="shared" si="225"/>
        <v>1704</v>
      </c>
      <c r="K1707" s="250"/>
      <c r="L1707" s="219"/>
      <c r="M1707" s="218"/>
      <c r="N1707" s="220" t="str">
        <f>IFERROR(VLOOKUP(M1707,Data!$C$4:$D$395,2,0),"")</f>
        <v/>
      </c>
      <c r="O1707" s="220"/>
      <c r="P1707" s="229"/>
      <c r="Q1707" s="221"/>
      <c r="R1707" s="222" t="str">
        <f t="shared" si="226"/>
        <v>-</v>
      </c>
      <c r="S1707" s="223"/>
      <c r="T1707" s="224"/>
      <c r="U1707" s="225">
        <f t="shared" si="227"/>
        <v>0</v>
      </c>
      <c r="V1707" s="226">
        <v>0</v>
      </c>
      <c r="W1707" s="227"/>
      <c r="X1707" s="228">
        <f t="shared" si="228"/>
        <v>0</v>
      </c>
      <c r="Y1707" s="229"/>
      <c r="Z1707" s="229"/>
      <c r="AA1707" s="229"/>
      <c r="AB1707" s="222">
        <f t="shared" si="229"/>
        <v>0</v>
      </c>
      <c r="AC1707" s="230">
        <f t="shared" si="230"/>
        <v>0</v>
      </c>
      <c r="AD1707" s="222" t="str">
        <f t="shared" si="231"/>
        <v/>
      </c>
      <c r="AE1707" s="201"/>
      <c r="AF1707" s="231" t="str">
        <f>+IFERROR(VLOOKUP(L1707,Data!$F$4:$G$97,2,0),"")</f>
        <v/>
      </c>
    </row>
    <row r="1708" spans="9:32" ht="15" customHeight="1" x14ac:dyDescent="0.3">
      <c r="I1708" s="201" t="str">
        <f t="shared" si="224"/>
        <v/>
      </c>
      <c r="J1708" s="218">
        <f t="shared" si="225"/>
        <v>1705</v>
      </c>
      <c r="K1708" s="250"/>
      <c r="L1708" s="219"/>
      <c r="M1708" s="218"/>
      <c r="N1708" s="220" t="str">
        <f>IFERROR(VLOOKUP(M1708,Data!$C$4:$D$395,2,0),"")</f>
        <v/>
      </c>
      <c r="O1708" s="220"/>
      <c r="P1708" s="229"/>
      <c r="Q1708" s="221"/>
      <c r="R1708" s="222" t="str">
        <f t="shared" si="226"/>
        <v>-</v>
      </c>
      <c r="S1708" s="223"/>
      <c r="T1708" s="224"/>
      <c r="U1708" s="225">
        <f t="shared" si="227"/>
        <v>0</v>
      </c>
      <c r="V1708" s="226">
        <v>0</v>
      </c>
      <c r="W1708" s="227"/>
      <c r="X1708" s="228">
        <f t="shared" si="228"/>
        <v>0</v>
      </c>
      <c r="Y1708" s="229"/>
      <c r="Z1708" s="229"/>
      <c r="AA1708" s="229"/>
      <c r="AB1708" s="222">
        <f t="shared" si="229"/>
        <v>0</v>
      </c>
      <c r="AC1708" s="230">
        <f t="shared" si="230"/>
        <v>0</v>
      </c>
      <c r="AD1708" s="222" t="str">
        <f t="shared" si="231"/>
        <v/>
      </c>
      <c r="AE1708" s="201"/>
      <c r="AF1708" s="231" t="str">
        <f>+IFERROR(VLOOKUP(L1708,Data!$F$4:$G$97,2,0),"")</f>
        <v/>
      </c>
    </row>
    <row r="1709" spans="9:32" ht="15" customHeight="1" x14ac:dyDescent="0.3">
      <c r="I1709" s="201" t="str">
        <f t="shared" si="224"/>
        <v/>
      </c>
      <c r="J1709" s="218">
        <f t="shared" si="225"/>
        <v>1706</v>
      </c>
      <c r="K1709" s="250"/>
      <c r="L1709" s="219"/>
      <c r="M1709" s="218"/>
      <c r="N1709" s="220" t="str">
        <f>IFERROR(VLOOKUP(M1709,Data!$C$4:$D$395,2,0),"")</f>
        <v/>
      </c>
      <c r="O1709" s="220"/>
      <c r="P1709" s="229"/>
      <c r="Q1709" s="221"/>
      <c r="R1709" s="222" t="str">
        <f t="shared" si="226"/>
        <v>-</v>
      </c>
      <c r="S1709" s="223"/>
      <c r="T1709" s="224"/>
      <c r="U1709" s="225">
        <f t="shared" si="227"/>
        <v>0</v>
      </c>
      <c r="V1709" s="226">
        <v>0</v>
      </c>
      <c r="W1709" s="227"/>
      <c r="X1709" s="228">
        <f t="shared" si="228"/>
        <v>0</v>
      </c>
      <c r="Y1709" s="229"/>
      <c r="Z1709" s="229"/>
      <c r="AA1709" s="229"/>
      <c r="AB1709" s="222">
        <f t="shared" si="229"/>
        <v>0</v>
      </c>
      <c r="AC1709" s="230">
        <f t="shared" si="230"/>
        <v>0</v>
      </c>
      <c r="AD1709" s="222" t="str">
        <f t="shared" si="231"/>
        <v/>
      </c>
      <c r="AE1709" s="201"/>
      <c r="AF1709" s="231" t="str">
        <f>+IFERROR(VLOOKUP(L1709,Data!$F$4:$G$97,2,0),"")</f>
        <v/>
      </c>
    </row>
    <row r="1710" spans="9:32" ht="15" customHeight="1" x14ac:dyDescent="0.3">
      <c r="I1710" s="201" t="str">
        <f t="shared" si="224"/>
        <v/>
      </c>
      <c r="J1710" s="218">
        <f t="shared" si="225"/>
        <v>1707</v>
      </c>
      <c r="K1710" s="250"/>
      <c r="L1710" s="219"/>
      <c r="M1710" s="218"/>
      <c r="N1710" s="220" t="str">
        <f>IFERROR(VLOOKUP(M1710,Data!$C$4:$D$395,2,0),"")</f>
        <v/>
      </c>
      <c r="O1710" s="220"/>
      <c r="P1710" s="229"/>
      <c r="Q1710" s="221"/>
      <c r="R1710" s="222" t="str">
        <f t="shared" si="226"/>
        <v>-</v>
      </c>
      <c r="S1710" s="223"/>
      <c r="T1710" s="224"/>
      <c r="U1710" s="225">
        <f t="shared" si="227"/>
        <v>0</v>
      </c>
      <c r="V1710" s="226">
        <v>0</v>
      </c>
      <c r="W1710" s="227"/>
      <c r="X1710" s="228">
        <f t="shared" si="228"/>
        <v>0</v>
      </c>
      <c r="Y1710" s="229"/>
      <c r="Z1710" s="229"/>
      <c r="AA1710" s="229"/>
      <c r="AB1710" s="222">
        <f t="shared" si="229"/>
        <v>0</v>
      </c>
      <c r="AC1710" s="230">
        <f t="shared" si="230"/>
        <v>0</v>
      </c>
      <c r="AD1710" s="222" t="str">
        <f t="shared" si="231"/>
        <v/>
      </c>
      <c r="AE1710" s="201"/>
      <c r="AF1710" s="231" t="str">
        <f>+IFERROR(VLOOKUP(L1710,Data!$F$4:$G$97,2,0),"")</f>
        <v/>
      </c>
    </row>
    <row r="1711" spans="9:32" ht="15" customHeight="1" x14ac:dyDescent="0.3">
      <c r="I1711" s="201" t="str">
        <f t="shared" si="224"/>
        <v/>
      </c>
      <c r="J1711" s="218">
        <f t="shared" si="225"/>
        <v>1708</v>
      </c>
      <c r="K1711" s="250"/>
      <c r="L1711" s="219"/>
      <c r="M1711" s="218"/>
      <c r="N1711" s="220" t="str">
        <f>IFERROR(VLOOKUP(M1711,Data!$C$4:$D$395,2,0),"")</f>
        <v/>
      </c>
      <c r="O1711" s="220"/>
      <c r="P1711" s="229"/>
      <c r="Q1711" s="221"/>
      <c r="R1711" s="222" t="str">
        <f t="shared" si="226"/>
        <v>-</v>
      </c>
      <c r="S1711" s="223"/>
      <c r="T1711" s="224"/>
      <c r="U1711" s="225">
        <f t="shared" si="227"/>
        <v>0</v>
      </c>
      <c r="V1711" s="226">
        <v>0</v>
      </c>
      <c r="W1711" s="227"/>
      <c r="X1711" s="228">
        <f t="shared" si="228"/>
        <v>0</v>
      </c>
      <c r="Y1711" s="229"/>
      <c r="Z1711" s="229"/>
      <c r="AA1711" s="229"/>
      <c r="AB1711" s="222">
        <f t="shared" si="229"/>
        <v>0</v>
      </c>
      <c r="AC1711" s="230">
        <f t="shared" si="230"/>
        <v>0</v>
      </c>
      <c r="AD1711" s="222" t="str">
        <f t="shared" si="231"/>
        <v/>
      </c>
      <c r="AE1711" s="201"/>
      <c r="AF1711" s="231" t="str">
        <f>+IFERROR(VLOOKUP(L1711,Data!$F$4:$G$97,2,0),"")</f>
        <v/>
      </c>
    </row>
    <row r="1712" spans="9:32" ht="15" customHeight="1" x14ac:dyDescent="0.3">
      <c r="I1712" s="201" t="str">
        <f t="shared" si="224"/>
        <v/>
      </c>
      <c r="J1712" s="218">
        <f t="shared" si="225"/>
        <v>1709</v>
      </c>
      <c r="K1712" s="250"/>
      <c r="L1712" s="219"/>
      <c r="M1712" s="218"/>
      <c r="N1712" s="220" t="str">
        <f>IFERROR(VLOOKUP(M1712,Data!$C$4:$D$395,2,0),"")</f>
        <v/>
      </c>
      <c r="O1712" s="220"/>
      <c r="P1712" s="229"/>
      <c r="Q1712" s="221"/>
      <c r="R1712" s="222" t="str">
        <f t="shared" si="226"/>
        <v>-</v>
      </c>
      <c r="S1712" s="223"/>
      <c r="T1712" s="224"/>
      <c r="U1712" s="225">
        <f t="shared" si="227"/>
        <v>0</v>
      </c>
      <c r="V1712" s="226">
        <v>0</v>
      </c>
      <c r="W1712" s="227"/>
      <c r="X1712" s="228">
        <f t="shared" si="228"/>
        <v>0</v>
      </c>
      <c r="Y1712" s="229"/>
      <c r="Z1712" s="229"/>
      <c r="AA1712" s="229"/>
      <c r="AB1712" s="222">
        <f t="shared" si="229"/>
        <v>0</v>
      </c>
      <c r="AC1712" s="230">
        <f t="shared" si="230"/>
        <v>0</v>
      </c>
      <c r="AD1712" s="222" t="str">
        <f t="shared" si="231"/>
        <v/>
      </c>
      <c r="AE1712" s="201"/>
      <c r="AF1712" s="231" t="str">
        <f>+IFERROR(VLOOKUP(L1712,Data!$F$4:$G$97,2,0),"")</f>
        <v/>
      </c>
    </row>
    <row r="1713" spans="9:32" ht="15" customHeight="1" x14ac:dyDescent="0.3">
      <c r="I1713" s="201" t="str">
        <f t="shared" si="224"/>
        <v/>
      </c>
      <c r="J1713" s="218">
        <f t="shared" si="225"/>
        <v>1710</v>
      </c>
      <c r="K1713" s="250"/>
      <c r="L1713" s="219"/>
      <c r="M1713" s="218"/>
      <c r="N1713" s="220" t="str">
        <f>IFERROR(VLOOKUP(M1713,Data!$C$4:$D$395,2,0),"")</f>
        <v/>
      </c>
      <c r="O1713" s="220"/>
      <c r="P1713" s="229"/>
      <c r="Q1713" s="221"/>
      <c r="R1713" s="222" t="str">
        <f t="shared" si="226"/>
        <v>-</v>
      </c>
      <c r="S1713" s="223"/>
      <c r="T1713" s="224"/>
      <c r="U1713" s="225">
        <f t="shared" si="227"/>
        <v>0</v>
      </c>
      <c r="V1713" s="226">
        <v>0</v>
      </c>
      <c r="W1713" s="227"/>
      <c r="X1713" s="228">
        <f t="shared" si="228"/>
        <v>0</v>
      </c>
      <c r="Y1713" s="229"/>
      <c r="Z1713" s="229"/>
      <c r="AA1713" s="229"/>
      <c r="AB1713" s="222">
        <f t="shared" si="229"/>
        <v>0</v>
      </c>
      <c r="AC1713" s="230">
        <f t="shared" si="230"/>
        <v>0</v>
      </c>
      <c r="AD1713" s="222" t="str">
        <f t="shared" si="231"/>
        <v/>
      </c>
      <c r="AE1713" s="201"/>
      <c r="AF1713" s="231" t="str">
        <f>+IFERROR(VLOOKUP(L1713,Data!$F$4:$G$97,2,0),"")</f>
        <v/>
      </c>
    </row>
    <row r="1714" spans="9:32" ht="15" customHeight="1" x14ac:dyDescent="0.3">
      <c r="I1714" s="201" t="str">
        <f t="shared" si="224"/>
        <v/>
      </c>
      <c r="J1714" s="218">
        <f t="shared" si="225"/>
        <v>1711</v>
      </c>
      <c r="K1714" s="250"/>
      <c r="L1714" s="219"/>
      <c r="M1714" s="218"/>
      <c r="N1714" s="220" t="str">
        <f>IFERROR(VLOOKUP(M1714,Data!$C$4:$D$395,2,0),"")</f>
        <v/>
      </c>
      <c r="O1714" s="220"/>
      <c r="P1714" s="229"/>
      <c r="Q1714" s="221"/>
      <c r="R1714" s="222" t="str">
        <f t="shared" si="226"/>
        <v>-</v>
      </c>
      <c r="S1714" s="223"/>
      <c r="T1714" s="224"/>
      <c r="U1714" s="225">
        <f t="shared" si="227"/>
        <v>0</v>
      </c>
      <c r="V1714" s="226">
        <v>0</v>
      </c>
      <c r="W1714" s="227"/>
      <c r="X1714" s="228">
        <f t="shared" si="228"/>
        <v>0</v>
      </c>
      <c r="Y1714" s="229"/>
      <c r="Z1714" s="229"/>
      <c r="AA1714" s="229"/>
      <c r="AB1714" s="222">
        <f t="shared" si="229"/>
        <v>0</v>
      </c>
      <c r="AC1714" s="230">
        <f t="shared" si="230"/>
        <v>0</v>
      </c>
      <c r="AD1714" s="222" t="str">
        <f t="shared" si="231"/>
        <v/>
      </c>
      <c r="AE1714" s="201"/>
      <c r="AF1714" s="231" t="str">
        <f>+IFERROR(VLOOKUP(L1714,Data!$F$4:$G$97,2,0),"")</f>
        <v/>
      </c>
    </row>
    <row r="1715" spans="9:32" ht="15" customHeight="1" x14ac:dyDescent="0.3">
      <c r="I1715" s="201" t="str">
        <f t="shared" si="224"/>
        <v/>
      </c>
      <c r="J1715" s="218">
        <f t="shared" si="225"/>
        <v>1712</v>
      </c>
      <c r="K1715" s="250"/>
      <c r="L1715" s="219"/>
      <c r="M1715" s="218"/>
      <c r="N1715" s="220" t="str">
        <f>IFERROR(VLOOKUP(M1715,Data!$C$4:$D$395,2,0),"")</f>
        <v/>
      </c>
      <c r="O1715" s="220"/>
      <c r="P1715" s="229"/>
      <c r="Q1715" s="221"/>
      <c r="R1715" s="222" t="str">
        <f t="shared" si="226"/>
        <v>-</v>
      </c>
      <c r="S1715" s="223"/>
      <c r="T1715" s="224"/>
      <c r="U1715" s="225">
        <f t="shared" si="227"/>
        <v>0</v>
      </c>
      <c r="V1715" s="226">
        <v>0</v>
      </c>
      <c r="W1715" s="227"/>
      <c r="X1715" s="228">
        <f t="shared" si="228"/>
        <v>0</v>
      </c>
      <c r="Y1715" s="229"/>
      <c r="Z1715" s="229"/>
      <c r="AA1715" s="229"/>
      <c r="AB1715" s="222">
        <f t="shared" si="229"/>
        <v>0</v>
      </c>
      <c r="AC1715" s="230">
        <f t="shared" si="230"/>
        <v>0</v>
      </c>
      <c r="AD1715" s="222" t="str">
        <f t="shared" si="231"/>
        <v/>
      </c>
      <c r="AE1715" s="201"/>
      <c r="AF1715" s="231" t="str">
        <f>+IFERROR(VLOOKUP(L1715,Data!$F$4:$G$97,2,0),"")</f>
        <v/>
      </c>
    </row>
    <row r="1716" spans="9:32" ht="15" customHeight="1" x14ac:dyDescent="0.3">
      <c r="I1716" s="201" t="str">
        <f t="shared" si="224"/>
        <v/>
      </c>
      <c r="J1716" s="218">
        <f t="shared" si="225"/>
        <v>1713</v>
      </c>
      <c r="K1716" s="250"/>
      <c r="L1716" s="219"/>
      <c r="M1716" s="218"/>
      <c r="N1716" s="220" t="str">
        <f>IFERROR(VLOOKUP(M1716,Data!$C$4:$D$395,2,0),"")</f>
        <v/>
      </c>
      <c r="O1716" s="220"/>
      <c r="P1716" s="229"/>
      <c r="Q1716" s="221"/>
      <c r="R1716" s="222" t="str">
        <f t="shared" si="226"/>
        <v>-</v>
      </c>
      <c r="S1716" s="223"/>
      <c r="T1716" s="224"/>
      <c r="U1716" s="225">
        <f t="shared" si="227"/>
        <v>0</v>
      </c>
      <c r="V1716" s="226">
        <v>0</v>
      </c>
      <c r="W1716" s="227"/>
      <c r="X1716" s="228">
        <f t="shared" si="228"/>
        <v>0</v>
      </c>
      <c r="Y1716" s="229"/>
      <c r="Z1716" s="229"/>
      <c r="AA1716" s="229"/>
      <c r="AB1716" s="222">
        <f t="shared" si="229"/>
        <v>0</v>
      </c>
      <c r="AC1716" s="230">
        <f t="shared" si="230"/>
        <v>0</v>
      </c>
      <c r="AD1716" s="222" t="str">
        <f t="shared" si="231"/>
        <v/>
      </c>
      <c r="AE1716" s="201"/>
      <c r="AF1716" s="231" t="str">
        <f>+IFERROR(VLOOKUP(L1716,Data!$F$4:$G$97,2,0),"")</f>
        <v/>
      </c>
    </row>
    <row r="1717" spans="9:32" ht="15" customHeight="1" x14ac:dyDescent="0.3">
      <c r="I1717" s="201" t="str">
        <f t="shared" si="224"/>
        <v/>
      </c>
      <c r="J1717" s="218">
        <f t="shared" si="225"/>
        <v>1714</v>
      </c>
      <c r="K1717" s="250"/>
      <c r="L1717" s="219"/>
      <c r="M1717" s="218"/>
      <c r="N1717" s="220" t="str">
        <f>IFERROR(VLOOKUP(M1717,Data!$C$4:$D$395,2,0),"")</f>
        <v/>
      </c>
      <c r="O1717" s="220"/>
      <c r="P1717" s="229"/>
      <c r="Q1717" s="221"/>
      <c r="R1717" s="222" t="str">
        <f t="shared" si="226"/>
        <v>-</v>
      </c>
      <c r="S1717" s="223"/>
      <c r="T1717" s="224"/>
      <c r="U1717" s="225">
        <f t="shared" si="227"/>
        <v>0</v>
      </c>
      <c r="V1717" s="226">
        <v>0</v>
      </c>
      <c r="W1717" s="227"/>
      <c r="X1717" s="228">
        <f t="shared" si="228"/>
        <v>0</v>
      </c>
      <c r="Y1717" s="229"/>
      <c r="Z1717" s="229"/>
      <c r="AA1717" s="229"/>
      <c r="AB1717" s="222">
        <f t="shared" si="229"/>
        <v>0</v>
      </c>
      <c r="AC1717" s="230">
        <f t="shared" si="230"/>
        <v>0</v>
      </c>
      <c r="AD1717" s="222" t="str">
        <f t="shared" si="231"/>
        <v/>
      </c>
      <c r="AE1717" s="201"/>
      <c r="AF1717" s="231" t="str">
        <f>+IFERROR(VLOOKUP(L1717,Data!$F$4:$G$97,2,0),"")</f>
        <v/>
      </c>
    </row>
    <row r="1718" spans="9:32" ht="15" customHeight="1" x14ac:dyDescent="0.3">
      <c r="I1718" s="201" t="str">
        <f t="shared" si="224"/>
        <v/>
      </c>
      <c r="J1718" s="218">
        <f t="shared" si="225"/>
        <v>1715</v>
      </c>
      <c r="K1718" s="250"/>
      <c r="L1718" s="219"/>
      <c r="M1718" s="218"/>
      <c r="N1718" s="220" t="str">
        <f>IFERROR(VLOOKUP(M1718,Data!$C$4:$D$395,2,0),"")</f>
        <v/>
      </c>
      <c r="O1718" s="220"/>
      <c r="P1718" s="229"/>
      <c r="Q1718" s="221"/>
      <c r="R1718" s="222" t="str">
        <f t="shared" si="226"/>
        <v>-</v>
      </c>
      <c r="S1718" s="223"/>
      <c r="T1718" s="224"/>
      <c r="U1718" s="225">
        <f t="shared" si="227"/>
        <v>0</v>
      </c>
      <c r="V1718" s="226">
        <v>0</v>
      </c>
      <c r="W1718" s="227"/>
      <c r="X1718" s="228">
        <f t="shared" si="228"/>
        <v>0</v>
      </c>
      <c r="Y1718" s="229"/>
      <c r="Z1718" s="229"/>
      <c r="AA1718" s="229"/>
      <c r="AB1718" s="222">
        <f t="shared" si="229"/>
        <v>0</v>
      </c>
      <c r="AC1718" s="230">
        <f t="shared" si="230"/>
        <v>0</v>
      </c>
      <c r="AD1718" s="222" t="str">
        <f t="shared" si="231"/>
        <v/>
      </c>
      <c r="AE1718" s="201"/>
      <c r="AF1718" s="231" t="str">
        <f>+IFERROR(VLOOKUP(L1718,Data!$F$4:$G$97,2,0),"")</f>
        <v/>
      </c>
    </row>
    <row r="1719" spans="9:32" ht="15" customHeight="1" x14ac:dyDescent="0.3">
      <c r="I1719" s="201" t="str">
        <f t="shared" si="224"/>
        <v/>
      </c>
      <c r="J1719" s="218">
        <f t="shared" si="225"/>
        <v>1716</v>
      </c>
      <c r="K1719" s="250"/>
      <c r="L1719" s="219"/>
      <c r="M1719" s="218"/>
      <c r="N1719" s="220" t="str">
        <f>IFERROR(VLOOKUP(M1719,Data!$C$4:$D$395,2,0),"")</f>
        <v/>
      </c>
      <c r="O1719" s="220"/>
      <c r="P1719" s="229"/>
      <c r="Q1719" s="221"/>
      <c r="R1719" s="222" t="str">
        <f t="shared" si="226"/>
        <v>-</v>
      </c>
      <c r="S1719" s="223"/>
      <c r="T1719" s="224"/>
      <c r="U1719" s="225">
        <f t="shared" si="227"/>
        <v>0</v>
      </c>
      <c r="V1719" s="226">
        <v>0</v>
      </c>
      <c r="W1719" s="227"/>
      <c r="X1719" s="228">
        <f t="shared" si="228"/>
        <v>0</v>
      </c>
      <c r="Y1719" s="229"/>
      <c r="Z1719" s="229"/>
      <c r="AA1719" s="229"/>
      <c r="AB1719" s="222">
        <f t="shared" si="229"/>
        <v>0</v>
      </c>
      <c r="AC1719" s="230">
        <f t="shared" si="230"/>
        <v>0</v>
      </c>
      <c r="AD1719" s="222" t="str">
        <f t="shared" si="231"/>
        <v/>
      </c>
      <c r="AE1719" s="201"/>
      <c r="AF1719" s="231" t="str">
        <f>+IFERROR(VLOOKUP(L1719,Data!$F$4:$G$97,2,0),"")</f>
        <v/>
      </c>
    </row>
    <row r="1720" spans="9:32" ht="15" customHeight="1" x14ac:dyDescent="0.3">
      <c r="I1720" s="201" t="str">
        <f t="shared" si="224"/>
        <v/>
      </c>
      <c r="J1720" s="218">
        <f t="shared" si="225"/>
        <v>1717</v>
      </c>
      <c r="K1720" s="250"/>
      <c r="L1720" s="219"/>
      <c r="M1720" s="218"/>
      <c r="N1720" s="220" t="str">
        <f>IFERROR(VLOOKUP(M1720,Data!$C$4:$D$395,2,0),"")</f>
        <v/>
      </c>
      <c r="O1720" s="220"/>
      <c r="P1720" s="229"/>
      <c r="Q1720" s="221"/>
      <c r="R1720" s="222" t="str">
        <f t="shared" si="226"/>
        <v>-</v>
      </c>
      <c r="S1720" s="223"/>
      <c r="T1720" s="224"/>
      <c r="U1720" s="225">
        <f t="shared" si="227"/>
        <v>0</v>
      </c>
      <c r="V1720" s="226">
        <v>0</v>
      </c>
      <c r="W1720" s="227"/>
      <c r="X1720" s="228">
        <f t="shared" si="228"/>
        <v>0</v>
      </c>
      <c r="Y1720" s="229"/>
      <c r="Z1720" s="229"/>
      <c r="AA1720" s="229"/>
      <c r="AB1720" s="222">
        <f t="shared" si="229"/>
        <v>0</v>
      </c>
      <c r="AC1720" s="230">
        <f t="shared" si="230"/>
        <v>0</v>
      </c>
      <c r="AD1720" s="222" t="str">
        <f t="shared" si="231"/>
        <v/>
      </c>
      <c r="AE1720" s="201"/>
      <c r="AF1720" s="231" t="str">
        <f>+IFERROR(VLOOKUP(L1720,Data!$F$4:$G$97,2,0),"")</f>
        <v/>
      </c>
    </row>
    <row r="1721" spans="9:32" ht="15" customHeight="1" x14ac:dyDescent="0.3">
      <c r="I1721" s="201" t="str">
        <f t="shared" si="224"/>
        <v/>
      </c>
      <c r="J1721" s="218">
        <f t="shared" si="225"/>
        <v>1718</v>
      </c>
      <c r="K1721" s="250"/>
      <c r="L1721" s="219"/>
      <c r="M1721" s="218"/>
      <c r="N1721" s="220" t="str">
        <f>IFERROR(VLOOKUP(M1721,Data!$C$4:$D$395,2,0),"")</f>
        <v/>
      </c>
      <c r="O1721" s="220"/>
      <c r="P1721" s="229"/>
      <c r="Q1721" s="221"/>
      <c r="R1721" s="222" t="str">
        <f t="shared" si="226"/>
        <v>-</v>
      </c>
      <c r="S1721" s="223"/>
      <c r="T1721" s="224"/>
      <c r="U1721" s="225">
        <f t="shared" si="227"/>
        <v>0</v>
      </c>
      <c r="V1721" s="226">
        <v>0</v>
      </c>
      <c r="W1721" s="227"/>
      <c r="X1721" s="228">
        <f t="shared" si="228"/>
        <v>0</v>
      </c>
      <c r="Y1721" s="229"/>
      <c r="Z1721" s="229"/>
      <c r="AA1721" s="229"/>
      <c r="AB1721" s="222">
        <f t="shared" si="229"/>
        <v>0</v>
      </c>
      <c r="AC1721" s="230">
        <f t="shared" si="230"/>
        <v>0</v>
      </c>
      <c r="AD1721" s="222" t="str">
        <f t="shared" si="231"/>
        <v/>
      </c>
      <c r="AE1721" s="201"/>
      <c r="AF1721" s="231" t="str">
        <f>+IFERROR(VLOOKUP(L1721,Data!$F$4:$G$97,2,0),"")</f>
        <v/>
      </c>
    </row>
    <row r="1722" spans="9:32" ht="15" customHeight="1" x14ac:dyDescent="0.3">
      <c r="I1722" s="201" t="str">
        <f t="shared" si="224"/>
        <v/>
      </c>
      <c r="J1722" s="218">
        <f t="shared" si="225"/>
        <v>1719</v>
      </c>
      <c r="K1722" s="250"/>
      <c r="L1722" s="219"/>
      <c r="M1722" s="218"/>
      <c r="N1722" s="220" t="str">
        <f>IFERROR(VLOOKUP(M1722,Data!$C$4:$D$395,2,0),"")</f>
        <v/>
      </c>
      <c r="O1722" s="220"/>
      <c r="P1722" s="229"/>
      <c r="Q1722" s="221"/>
      <c r="R1722" s="222" t="str">
        <f t="shared" si="226"/>
        <v>-</v>
      </c>
      <c r="S1722" s="223"/>
      <c r="T1722" s="224"/>
      <c r="U1722" s="225">
        <f t="shared" si="227"/>
        <v>0</v>
      </c>
      <c r="V1722" s="226">
        <v>0</v>
      </c>
      <c r="W1722" s="227"/>
      <c r="X1722" s="228">
        <f t="shared" si="228"/>
        <v>0</v>
      </c>
      <c r="Y1722" s="229"/>
      <c r="Z1722" s="229"/>
      <c r="AA1722" s="229"/>
      <c r="AB1722" s="222">
        <f t="shared" si="229"/>
        <v>0</v>
      </c>
      <c r="AC1722" s="230">
        <f t="shared" si="230"/>
        <v>0</v>
      </c>
      <c r="AD1722" s="222" t="str">
        <f t="shared" si="231"/>
        <v/>
      </c>
      <c r="AE1722" s="201"/>
      <c r="AF1722" s="231" t="str">
        <f>+IFERROR(VLOOKUP(L1722,Data!$F$4:$G$97,2,0),"")</f>
        <v/>
      </c>
    </row>
    <row r="1723" spans="9:32" ht="15" customHeight="1" x14ac:dyDescent="0.3">
      <c r="I1723" s="201" t="str">
        <f t="shared" si="224"/>
        <v/>
      </c>
      <c r="J1723" s="218">
        <f t="shared" si="225"/>
        <v>1720</v>
      </c>
      <c r="K1723" s="250"/>
      <c r="L1723" s="219"/>
      <c r="M1723" s="218"/>
      <c r="N1723" s="220" t="str">
        <f>IFERROR(VLOOKUP(M1723,Data!$C$4:$D$395,2,0),"")</f>
        <v/>
      </c>
      <c r="O1723" s="220"/>
      <c r="P1723" s="229"/>
      <c r="Q1723" s="221"/>
      <c r="R1723" s="222" t="str">
        <f t="shared" si="226"/>
        <v>-</v>
      </c>
      <c r="S1723" s="223"/>
      <c r="T1723" s="224"/>
      <c r="U1723" s="225">
        <f t="shared" si="227"/>
        <v>0</v>
      </c>
      <c r="V1723" s="226">
        <v>0</v>
      </c>
      <c r="W1723" s="227"/>
      <c r="X1723" s="228">
        <f t="shared" si="228"/>
        <v>0</v>
      </c>
      <c r="Y1723" s="229"/>
      <c r="Z1723" s="229"/>
      <c r="AA1723" s="229"/>
      <c r="AB1723" s="222">
        <f t="shared" si="229"/>
        <v>0</v>
      </c>
      <c r="AC1723" s="230">
        <f t="shared" si="230"/>
        <v>0</v>
      </c>
      <c r="AD1723" s="222" t="str">
        <f t="shared" si="231"/>
        <v/>
      </c>
      <c r="AE1723" s="201"/>
      <c r="AF1723" s="231" t="str">
        <f>+IFERROR(VLOOKUP(L1723,Data!$F$4:$G$97,2,0),"")</f>
        <v/>
      </c>
    </row>
    <row r="1724" spans="9:32" ht="15" customHeight="1" x14ac:dyDescent="0.3">
      <c r="I1724" s="201" t="str">
        <f t="shared" si="224"/>
        <v/>
      </c>
      <c r="J1724" s="218">
        <f t="shared" si="225"/>
        <v>1721</v>
      </c>
      <c r="K1724" s="250"/>
      <c r="L1724" s="219"/>
      <c r="M1724" s="218"/>
      <c r="N1724" s="220" t="str">
        <f>IFERROR(VLOOKUP(M1724,Data!$C$4:$D$395,2,0),"")</f>
        <v/>
      </c>
      <c r="O1724" s="220"/>
      <c r="P1724" s="229"/>
      <c r="Q1724" s="221"/>
      <c r="R1724" s="222" t="str">
        <f t="shared" si="226"/>
        <v>-</v>
      </c>
      <c r="S1724" s="223"/>
      <c r="T1724" s="224"/>
      <c r="U1724" s="225">
        <f t="shared" si="227"/>
        <v>0</v>
      </c>
      <c r="V1724" s="226">
        <v>0</v>
      </c>
      <c r="W1724" s="227"/>
      <c r="X1724" s="228">
        <f t="shared" si="228"/>
        <v>0</v>
      </c>
      <c r="Y1724" s="229"/>
      <c r="Z1724" s="229"/>
      <c r="AA1724" s="229"/>
      <c r="AB1724" s="222">
        <f t="shared" si="229"/>
        <v>0</v>
      </c>
      <c r="AC1724" s="230">
        <f t="shared" si="230"/>
        <v>0</v>
      </c>
      <c r="AD1724" s="222" t="str">
        <f t="shared" si="231"/>
        <v/>
      </c>
      <c r="AE1724" s="201"/>
      <c r="AF1724" s="231" t="str">
        <f>+IFERROR(VLOOKUP(L1724,Data!$F$4:$G$97,2,0),"")</f>
        <v/>
      </c>
    </row>
    <row r="1725" spans="9:32" ht="15" customHeight="1" x14ac:dyDescent="0.3">
      <c r="I1725" s="201" t="str">
        <f t="shared" ref="I1725:I1788" si="232">+AF1725</f>
        <v/>
      </c>
      <c r="J1725" s="218">
        <f t="shared" si="225"/>
        <v>1722</v>
      </c>
      <c r="K1725" s="250"/>
      <c r="L1725" s="219"/>
      <c r="M1725" s="218"/>
      <c r="N1725" s="220" t="str">
        <f>IFERROR(VLOOKUP(M1725,Data!$C$4:$D$395,2,0),"")</f>
        <v/>
      </c>
      <c r="O1725" s="220"/>
      <c r="P1725" s="229"/>
      <c r="Q1725" s="221"/>
      <c r="R1725" s="222" t="str">
        <f t="shared" si="226"/>
        <v>-</v>
      </c>
      <c r="S1725" s="223"/>
      <c r="T1725" s="224"/>
      <c r="U1725" s="225">
        <f t="shared" si="227"/>
        <v>0</v>
      </c>
      <c r="V1725" s="226">
        <v>0</v>
      </c>
      <c r="W1725" s="227"/>
      <c r="X1725" s="228">
        <f t="shared" si="228"/>
        <v>0</v>
      </c>
      <c r="Y1725" s="229"/>
      <c r="Z1725" s="229"/>
      <c r="AA1725" s="229"/>
      <c r="AB1725" s="222">
        <f t="shared" si="229"/>
        <v>0</v>
      </c>
      <c r="AC1725" s="230">
        <f t="shared" si="230"/>
        <v>0</v>
      </c>
      <c r="AD1725" s="222" t="str">
        <f t="shared" si="231"/>
        <v/>
      </c>
      <c r="AE1725" s="201"/>
      <c r="AF1725" s="231" t="str">
        <f>+IFERROR(VLOOKUP(L1725,Data!$F$4:$G$97,2,0),"")</f>
        <v/>
      </c>
    </row>
    <row r="1726" spans="9:32" ht="15" customHeight="1" x14ac:dyDescent="0.3">
      <c r="I1726" s="201" t="str">
        <f t="shared" si="232"/>
        <v/>
      </c>
      <c r="J1726" s="218">
        <f t="shared" ref="J1726:J1789" si="233">J1725+1</f>
        <v>1723</v>
      </c>
      <c r="K1726" s="250"/>
      <c r="L1726" s="219"/>
      <c r="M1726" s="218"/>
      <c r="N1726" s="220" t="str">
        <f>IFERROR(VLOOKUP(M1726,Data!$C$4:$D$395,2,0),"")</f>
        <v/>
      </c>
      <c r="O1726" s="220"/>
      <c r="P1726" s="229"/>
      <c r="Q1726" s="221"/>
      <c r="R1726" s="222" t="str">
        <f t="shared" si="226"/>
        <v>-</v>
      </c>
      <c r="S1726" s="223"/>
      <c r="T1726" s="224"/>
      <c r="U1726" s="225">
        <f t="shared" si="227"/>
        <v>0</v>
      </c>
      <c r="V1726" s="226">
        <v>0</v>
      </c>
      <c r="W1726" s="227"/>
      <c r="X1726" s="228">
        <f t="shared" si="228"/>
        <v>0</v>
      </c>
      <c r="Y1726" s="229"/>
      <c r="Z1726" s="229"/>
      <c r="AA1726" s="229"/>
      <c r="AB1726" s="222">
        <f t="shared" si="229"/>
        <v>0</v>
      </c>
      <c r="AC1726" s="230">
        <f t="shared" si="230"/>
        <v>0</v>
      </c>
      <c r="AD1726" s="222" t="str">
        <f t="shared" si="231"/>
        <v/>
      </c>
      <c r="AE1726" s="201"/>
      <c r="AF1726" s="231" t="str">
        <f>+IFERROR(VLOOKUP(L1726,Data!$F$4:$G$97,2,0),"")</f>
        <v/>
      </c>
    </row>
    <row r="1727" spans="9:32" ht="15" customHeight="1" x14ac:dyDescent="0.3">
      <c r="I1727" s="201" t="str">
        <f t="shared" si="232"/>
        <v/>
      </c>
      <c r="J1727" s="218">
        <f t="shared" si="233"/>
        <v>1724</v>
      </c>
      <c r="K1727" s="250"/>
      <c r="L1727" s="219"/>
      <c r="M1727" s="218"/>
      <c r="N1727" s="220" t="str">
        <f>IFERROR(VLOOKUP(M1727,Data!$C$4:$D$395,2,0),"")</f>
        <v/>
      </c>
      <c r="O1727" s="220"/>
      <c r="P1727" s="229"/>
      <c r="Q1727" s="221"/>
      <c r="R1727" s="222" t="str">
        <f t="shared" si="226"/>
        <v>-</v>
      </c>
      <c r="S1727" s="223"/>
      <c r="T1727" s="224"/>
      <c r="U1727" s="225">
        <f t="shared" si="227"/>
        <v>0</v>
      </c>
      <c r="V1727" s="226">
        <v>0</v>
      </c>
      <c r="W1727" s="227"/>
      <c r="X1727" s="228">
        <f t="shared" si="228"/>
        <v>0</v>
      </c>
      <c r="Y1727" s="229"/>
      <c r="Z1727" s="229"/>
      <c r="AA1727" s="229"/>
      <c r="AB1727" s="222">
        <f t="shared" si="229"/>
        <v>0</v>
      </c>
      <c r="AC1727" s="230">
        <f t="shared" si="230"/>
        <v>0</v>
      </c>
      <c r="AD1727" s="222" t="str">
        <f t="shared" si="231"/>
        <v/>
      </c>
      <c r="AE1727" s="201"/>
      <c r="AF1727" s="231" t="str">
        <f>+IFERROR(VLOOKUP(L1727,Data!$F$4:$G$97,2,0),"")</f>
        <v/>
      </c>
    </row>
    <row r="1728" spans="9:32" ht="15" customHeight="1" x14ac:dyDescent="0.3">
      <c r="I1728" s="201" t="str">
        <f t="shared" si="232"/>
        <v/>
      </c>
      <c r="J1728" s="218">
        <f t="shared" si="233"/>
        <v>1725</v>
      </c>
      <c r="K1728" s="250"/>
      <c r="L1728" s="219"/>
      <c r="M1728" s="218"/>
      <c r="N1728" s="220" t="str">
        <f>IFERROR(VLOOKUP(M1728,Data!$C$4:$D$395,2,0),"")</f>
        <v/>
      </c>
      <c r="O1728" s="220"/>
      <c r="P1728" s="229"/>
      <c r="Q1728" s="221"/>
      <c r="R1728" s="222" t="str">
        <f t="shared" ref="R1728:R1791" si="234">IFERROR(Q1728/P1728, "-")</f>
        <v>-</v>
      </c>
      <c r="S1728" s="223"/>
      <c r="T1728" s="224"/>
      <c r="U1728" s="225">
        <f t="shared" ref="U1728:U1791" si="235">+Q1728*S1728+P1728*T1728</f>
        <v>0</v>
      </c>
      <c r="V1728" s="226">
        <v>0</v>
      </c>
      <c r="W1728" s="227"/>
      <c r="X1728" s="228">
        <f t="shared" ref="X1728:X1791" si="236">+Q1728*V1728+P1728*W1728</f>
        <v>0</v>
      </c>
      <c r="Y1728" s="229"/>
      <c r="Z1728" s="229"/>
      <c r="AA1728" s="229"/>
      <c r="AB1728" s="222">
        <f t="shared" ref="AB1728:AB1791" si="237">+Y1728+Z1728+AA1728</f>
        <v>0</v>
      </c>
      <c r="AC1728" s="230">
        <f t="shared" ref="AC1728:AC1791" si="238">IF((U1728-Y1728-Z1728-AA1728)&lt;0,"",(U1728-Y1728-Z1728-AA1728))</f>
        <v>0</v>
      </c>
      <c r="AD1728" s="222" t="str">
        <f t="shared" ref="AD1728:AD1791" si="239">IF((U1728-Y1728-Z1728-AA1728)&lt;0,(Y1728+Z1728+AA1728-U1728),"")</f>
        <v/>
      </c>
      <c r="AE1728" s="201"/>
      <c r="AF1728" s="231" t="str">
        <f>+IFERROR(VLOOKUP(L1728,Data!$F$4:$G$97,2,0),"")</f>
        <v/>
      </c>
    </row>
    <row r="1729" spans="9:32" ht="15" customHeight="1" x14ac:dyDescent="0.3">
      <c r="I1729" s="201" t="str">
        <f t="shared" si="232"/>
        <v/>
      </c>
      <c r="J1729" s="218">
        <f t="shared" si="233"/>
        <v>1726</v>
      </c>
      <c r="K1729" s="250"/>
      <c r="L1729" s="219"/>
      <c r="M1729" s="218"/>
      <c r="N1729" s="220" t="str">
        <f>IFERROR(VLOOKUP(M1729,Data!$C$4:$D$395,2,0),"")</f>
        <v/>
      </c>
      <c r="O1729" s="220"/>
      <c r="P1729" s="229"/>
      <c r="Q1729" s="221"/>
      <c r="R1729" s="222" t="str">
        <f t="shared" si="234"/>
        <v>-</v>
      </c>
      <c r="S1729" s="223"/>
      <c r="T1729" s="224"/>
      <c r="U1729" s="225">
        <f t="shared" si="235"/>
        <v>0</v>
      </c>
      <c r="V1729" s="226">
        <v>0</v>
      </c>
      <c r="W1729" s="227"/>
      <c r="X1729" s="228">
        <f t="shared" si="236"/>
        <v>0</v>
      </c>
      <c r="Y1729" s="229"/>
      <c r="Z1729" s="229"/>
      <c r="AA1729" s="229"/>
      <c r="AB1729" s="222">
        <f t="shared" si="237"/>
        <v>0</v>
      </c>
      <c r="AC1729" s="230">
        <f t="shared" si="238"/>
        <v>0</v>
      </c>
      <c r="AD1729" s="222" t="str">
        <f t="shared" si="239"/>
        <v/>
      </c>
      <c r="AE1729" s="201"/>
      <c r="AF1729" s="231" t="str">
        <f>+IFERROR(VLOOKUP(L1729,Data!$F$4:$G$97,2,0),"")</f>
        <v/>
      </c>
    </row>
    <row r="1730" spans="9:32" ht="15" customHeight="1" x14ac:dyDescent="0.3">
      <c r="I1730" s="201" t="str">
        <f t="shared" si="232"/>
        <v/>
      </c>
      <c r="J1730" s="218">
        <f t="shared" si="233"/>
        <v>1727</v>
      </c>
      <c r="K1730" s="250"/>
      <c r="L1730" s="219"/>
      <c r="M1730" s="218"/>
      <c r="N1730" s="220" t="str">
        <f>IFERROR(VLOOKUP(M1730,Data!$C$4:$D$395,2,0),"")</f>
        <v/>
      </c>
      <c r="O1730" s="220"/>
      <c r="P1730" s="229"/>
      <c r="Q1730" s="221"/>
      <c r="R1730" s="222" t="str">
        <f t="shared" si="234"/>
        <v>-</v>
      </c>
      <c r="S1730" s="223"/>
      <c r="T1730" s="224"/>
      <c r="U1730" s="225">
        <f t="shared" si="235"/>
        <v>0</v>
      </c>
      <c r="V1730" s="226">
        <v>0</v>
      </c>
      <c r="W1730" s="227"/>
      <c r="X1730" s="228">
        <f t="shared" si="236"/>
        <v>0</v>
      </c>
      <c r="Y1730" s="229"/>
      <c r="Z1730" s="229"/>
      <c r="AA1730" s="229"/>
      <c r="AB1730" s="222">
        <f t="shared" si="237"/>
        <v>0</v>
      </c>
      <c r="AC1730" s="230">
        <f t="shared" si="238"/>
        <v>0</v>
      </c>
      <c r="AD1730" s="222" t="str">
        <f t="shared" si="239"/>
        <v/>
      </c>
      <c r="AE1730" s="201"/>
      <c r="AF1730" s="231" t="str">
        <f>+IFERROR(VLOOKUP(L1730,Data!$F$4:$G$97,2,0),"")</f>
        <v/>
      </c>
    </row>
    <row r="1731" spans="9:32" ht="15" customHeight="1" x14ac:dyDescent="0.3">
      <c r="I1731" s="201" t="str">
        <f t="shared" si="232"/>
        <v/>
      </c>
      <c r="J1731" s="218">
        <f t="shared" si="233"/>
        <v>1728</v>
      </c>
      <c r="K1731" s="250"/>
      <c r="L1731" s="219"/>
      <c r="M1731" s="218"/>
      <c r="N1731" s="220" t="str">
        <f>IFERROR(VLOOKUP(M1731,Data!$C$4:$D$395,2,0),"")</f>
        <v/>
      </c>
      <c r="O1731" s="220"/>
      <c r="P1731" s="229"/>
      <c r="Q1731" s="221"/>
      <c r="R1731" s="222" t="str">
        <f t="shared" si="234"/>
        <v>-</v>
      </c>
      <c r="S1731" s="223"/>
      <c r="T1731" s="224"/>
      <c r="U1731" s="225">
        <f t="shared" si="235"/>
        <v>0</v>
      </c>
      <c r="V1731" s="226">
        <v>0</v>
      </c>
      <c r="W1731" s="227"/>
      <c r="X1731" s="228">
        <f t="shared" si="236"/>
        <v>0</v>
      </c>
      <c r="Y1731" s="229"/>
      <c r="Z1731" s="229"/>
      <c r="AA1731" s="229"/>
      <c r="AB1731" s="222">
        <f t="shared" si="237"/>
        <v>0</v>
      </c>
      <c r="AC1731" s="230">
        <f t="shared" si="238"/>
        <v>0</v>
      </c>
      <c r="AD1731" s="222" t="str">
        <f t="shared" si="239"/>
        <v/>
      </c>
      <c r="AE1731" s="201"/>
      <c r="AF1731" s="231" t="str">
        <f>+IFERROR(VLOOKUP(L1731,Data!$F$4:$G$97,2,0),"")</f>
        <v/>
      </c>
    </row>
    <row r="1732" spans="9:32" ht="15" customHeight="1" x14ac:dyDescent="0.3">
      <c r="I1732" s="201" t="str">
        <f t="shared" si="232"/>
        <v/>
      </c>
      <c r="J1732" s="218">
        <f t="shared" si="233"/>
        <v>1729</v>
      </c>
      <c r="K1732" s="250"/>
      <c r="L1732" s="219"/>
      <c r="M1732" s="218"/>
      <c r="N1732" s="220" t="str">
        <f>IFERROR(VLOOKUP(M1732,Data!$C$4:$D$395,2,0),"")</f>
        <v/>
      </c>
      <c r="O1732" s="220"/>
      <c r="P1732" s="229"/>
      <c r="Q1732" s="221"/>
      <c r="R1732" s="222" t="str">
        <f t="shared" si="234"/>
        <v>-</v>
      </c>
      <c r="S1732" s="223"/>
      <c r="T1732" s="224"/>
      <c r="U1732" s="225">
        <f t="shared" si="235"/>
        <v>0</v>
      </c>
      <c r="V1732" s="226">
        <v>0</v>
      </c>
      <c r="W1732" s="227"/>
      <c r="X1732" s="228">
        <f t="shared" si="236"/>
        <v>0</v>
      </c>
      <c r="Y1732" s="229"/>
      <c r="Z1732" s="229"/>
      <c r="AA1732" s="229"/>
      <c r="AB1732" s="222">
        <f t="shared" si="237"/>
        <v>0</v>
      </c>
      <c r="AC1732" s="230">
        <f t="shared" si="238"/>
        <v>0</v>
      </c>
      <c r="AD1732" s="222" t="str">
        <f t="shared" si="239"/>
        <v/>
      </c>
      <c r="AE1732" s="201"/>
      <c r="AF1732" s="231" t="str">
        <f>+IFERROR(VLOOKUP(L1732,Data!$F$4:$G$97,2,0),"")</f>
        <v/>
      </c>
    </row>
    <row r="1733" spans="9:32" ht="15" customHeight="1" x14ac:dyDescent="0.3">
      <c r="I1733" s="201" t="str">
        <f t="shared" si="232"/>
        <v/>
      </c>
      <c r="J1733" s="218">
        <f t="shared" si="233"/>
        <v>1730</v>
      </c>
      <c r="K1733" s="250"/>
      <c r="L1733" s="219"/>
      <c r="M1733" s="218"/>
      <c r="N1733" s="220" t="str">
        <f>IFERROR(VLOOKUP(M1733,Data!$C$4:$D$395,2,0),"")</f>
        <v/>
      </c>
      <c r="O1733" s="220"/>
      <c r="P1733" s="229"/>
      <c r="Q1733" s="221"/>
      <c r="R1733" s="222" t="str">
        <f t="shared" si="234"/>
        <v>-</v>
      </c>
      <c r="S1733" s="223"/>
      <c r="T1733" s="224"/>
      <c r="U1733" s="225">
        <f t="shared" si="235"/>
        <v>0</v>
      </c>
      <c r="V1733" s="226">
        <v>0</v>
      </c>
      <c r="W1733" s="227"/>
      <c r="X1733" s="228">
        <f t="shared" si="236"/>
        <v>0</v>
      </c>
      <c r="Y1733" s="229"/>
      <c r="Z1733" s="229"/>
      <c r="AA1733" s="229"/>
      <c r="AB1733" s="222">
        <f t="shared" si="237"/>
        <v>0</v>
      </c>
      <c r="AC1733" s="230">
        <f t="shared" si="238"/>
        <v>0</v>
      </c>
      <c r="AD1733" s="222" t="str">
        <f t="shared" si="239"/>
        <v/>
      </c>
      <c r="AE1733" s="201"/>
      <c r="AF1733" s="231" t="str">
        <f>+IFERROR(VLOOKUP(L1733,Data!$F$4:$G$97,2,0),"")</f>
        <v/>
      </c>
    </row>
    <row r="1734" spans="9:32" ht="15" customHeight="1" x14ac:dyDescent="0.3">
      <c r="I1734" s="201" t="str">
        <f t="shared" si="232"/>
        <v/>
      </c>
      <c r="J1734" s="218">
        <f t="shared" si="233"/>
        <v>1731</v>
      </c>
      <c r="K1734" s="250"/>
      <c r="L1734" s="219"/>
      <c r="M1734" s="218"/>
      <c r="N1734" s="220" t="str">
        <f>IFERROR(VLOOKUP(M1734,Data!$C$4:$D$395,2,0),"")</f>
        <v/>
      </c>
      <c r="O1734" s="220"/>
      <c r="P1734" s="229"/>
      <c r="Q1734" s="221"/>
      <c r="R1734" s="222" t="str">
        <f t="shared" si="234"/>
        <v>-</v>
      </c>
      <c r="S1734" s="223"/>
      <c r="T1734" s="224"/>
      <c r="U1734" s="225">
        <f t="shared" si="235"/>
        <v>0</v>
      </c>
      <c r="V1734" s="226">
        <v>0</v>
      </c>
      <c r="W1734" s="227"/>
      <c r="X1734" s="228">
        <f t="shared" si="236"/>
        <v>0</v>
      </c>
      <c r="Y1734" s="229"/>
      <c r="Z1734" s="229"/>
      <c r="AA1734" s="229"/>
      <c r="AB1734" s="222">
        <f t="shared" si="237"/>
        <v>0</v>
      </c>
      <c r="AC1734" s="230">
        <f t="shared" si="238"/>
        <v>0</v>
      </c>
      <c r="AD1734" s="222" t="str">
        <f t="shared" si="239"/>
        <v/>
      </c>
      <c r="AE1734" s="201"/>
      <c r="AF1734" s="231" t="str">
        <f>+IFERROR(VLOOKUP(L1734,Data!$F$4:$G$97,2,0),"")</f>
        <v/>
      </c>
    </row>
    <row r="1735" spans="9:32" ht="15" customHeight="1" x14ac:dyDescent="0.3">
      <c r="I1735" s="201" t="str">
        <f t="shared" si="232"/>
        <v/>
      </c>
      <c r="J1735" s="218">
        <f t="shared" si="233"/>
        <v>1732</v>
      </c>
      <c r="K1735" s="250"/>
      <c r="L1735" s="219"/>
      <c r="M1735" s="218"/>
      <c r="N1735" s="220" t="str">
        <f>IFERROR(VLOOKUP(M1735,Data!$C$4:$D$395,2,0),"")</f>
        <v/>
      </c>
      <c r="O1735" s="220"/>
      <c r="P1735" s="229"/>
      <c r="Q1735" s="221"/>
      <c r="R1735" s="222" t="str">
        <f t="shared" si="234"/>
        <v>-</v>
      </c>
      <c r="S1735" s="223"/>
      <c r="T1735" s="224"/>
      <c r="U1735" s="225">
        <f t="shared" si="235"/>
        <v>0</v>
      </c>
      <c r="V1735" s="226">
        <v>0</v>
      </c>
      <c r="W1735" s="227"/>
      <c r="X1735" s="228">
        <f t="shared" si="236"/>
        <v>0</v>
      </c>
      <c r="Y1735" s="229"/>
      <c r="Z1735" s="229"/>
      <c r="AA1735" s="229"/>
      <c r="AB1735" s="222">
        <f t="shared" si="237"/>
        <v>0</v>
      </c>
      <c r="AC1735" s="230">
        <f t="shared" si="238"/>
        <v>0</v>
      </c>
      <c r="AD1735" s="222" t="str">
        <f t="shared" si="239"/>
        <v/>
      </c>
      <c r="AE1735" s="201"/>
      <c r="AF1735" s="231" t="str">
        <f>+IFERROR(VLOOKUP(L1735,Data!$F$4:$G$97,2,0),"")</f>
        <v/>
      </c>
    </row>
    <row r="1736" spans="9:32" ht="15" customHeight="1" x14ac:dyDescent="0.3">
      <c r="I1736" s="201" t="str">
        <f t="shared" si="232"/>
        <v/>
      </c>
      <c r="J1736" s="218">
        <f t="shared" si="233"/>
        <v>1733</v>
      </c>
      <c r="K1736" s="250"/>
      <c r="L1736" s="219"/>
      <c r="M1736" s="218"/>
      <c r="N1736" s="220" t="str">
        <f>IFERROR(VLOOKUP(M1736,Data!$C$4:$D$395,2,0),"")</f>
        <v/>
      </c>
      <c r="O1736" s="220"/>
      <c r="P1736" s="229"/>
      <c r="Q1736" s="221"/>
      <c r="R1736" s="222" t="str">
        <f t="shared" si="234"/>
        <v>-</v>
      </c>
      <c r="S1736" s="223"/>
      <c r="T1736" s="224"/>
      <c r="U1736" s="225">
        <f t="shared" si="235"/>
        <v>0</v>
      </c>
      <c r="V1736" s="226">
        <v>0</v>
      </c>
      <c r="W1736" s="227"/>
      <c r="X1736" s="228">
        <f t="shared" si="236"/>
        <v>0</v>
      </c>
      <c r="Y1736" s="229"/>
      <c r="Z1736" s="229"/>
      <c r="AA1736" s="229"/>
      <c r="AB1736" s="222">
        <f t="shared" si="237"/>
        <v>0</v>
      </c>
      <c r="AC1736" s="230">
        <f t="shared" si="238"/>
        <v>0</v>
      </c>
      <c r="AD1736" s="222" t="str">
        <f t="shared" si="239"/>
        <v/>
      </c>
      <c r="AE1736" s="201"/>
      <c r="AF1736" s="231" t="str">
        <f>+IFERROR(VLOOKUP(L1736,Data!$F$4:$G$97,2,0),"")</f>
        <v/>
      </c>
    </row>
    <row r="1737" spans="9:32" ht="15" customHeight="1" x14ac:dyDescent="0.3">
      <c r="I1737" s="201" t="str">
        <f t="shared" si="232"/>
        <v/>
      </c>
      <c r="J1737" s="218">
        <f t="shared" si="233"/>
        <v>1734</v>
      </c>
      <c r="K1737" s="250"/>
      <c r="L1737" s="219"/>
      <c r="M1737" s="218"/>
      <c r="N1737" s="220" t="str">
        <f>IFERROR(VLOOKUP(M1737,Data!$C$4:$D$395,2,0),"")</f>
        <v/>
      </c>
      <c r="O1737" s="220"/>
      <c r="P1737" s="229"/>
      <c r="Q1737" s="221"/>
      <c r="R1737" s="222" t="str">
        <f t="shared" si="234"/>
        <v>-</v>
      </c>
      <c r="S1737" s="223"/>
      <c r="T1737" s="224"/>
      <c r="U1737" s="225">
        <f t="shared" si="235"/>
        <v>0</v>
      </c>
      <c r="V1737" s="226">
        <v>0</v>
      </c>
      <c r="W1737" s="227"/>
      <c r="X1737" s="228">
        <f t="shared" si="236"/>
        <v>0</v>
      </c>
      <c r="Y1737" s="229"/>
      <c r="Z1737" s="229"/>
      <c r="AA1737" s="229"/>
      <c r="AB1737" s="222">
        <f t="shared" si="237"/>
        <v>0</v>
      </c>
      <c r="AC1737" s="230">
        <f t="shared" si="238"/>
        <v>0</v>
      </c>
      <c r="AD1737" s="222" t="str">
        <f t="shared" si="239"/>
        <v/>
      </c>
      <c r="AE1737" s="201"/>
      <c r="AF1737" s="231" t="str">
        <f>+IFERROR(VLOOKUP(L1737,Data!$F$4:$G$97,2,0),"")</f>
        <v/>
      </c>
    </row>
    <row r="1738" spans="9:32" ht="15" customHeight="1" x14ac:dyDescent="0.3">
      <c r="I1738" s="201" t="str">
        <f t="shared" si="232"/>
        <v/>
      </c>
      <c r="J1738" s="218">
        <f t="shared" si="233"/>
        <v>1735</v>
      </c>
      <c r="K1738" s="250"/>
      <c r="L1738" s="219"/>
      <c r="M1738" s="218"/>
      <c r="N1738" s="220" t="str">
        <f>IFERROR(VLOOKUP(M1738,Data!$C$4:$D$395,2,0),"")</f>
        <v/>
      </c>
      <c r="O1738" s="220"/>
      <c r="P1738" s="229"/>
      <c r="Q1738" s="221"/>
      <c r="R1738" s="222" t="str">
        <f t="shared" si="234"/>
        <v>-</v>
      </c>
      <c r="S1738" s="223"/>
      <c r="T1738" s="224"/>
      <c r="U1738" s="225">
        <f t="shared" si="235"/>
        <v>0</v>
      </c>
      <c r="V1738" s="226">
        <v>0</v>
      </c>
      <c r="W1738" s="227"/>
      <c r="X1738" s="228">
        <f t="shared" si="236"/>
        <v>0</v>
      </c>
      <c r="Y1738" s="229"/>
      <c r="Z1738" s="229"/>
      <c r="AA1738" s="229"/>
      <c r="AB1738" s="222">
        <f t="shared" si="237"/>
        <v>0</v>
      </c>
      <c r="AC1738" s="230">
        <f t="shared" si="238"/>
        <v>0</v>
      </c>
      <c r="AD1738" s="222" t="str">
        <f t="shared" si="239"/>
        <v/>
      </c>
      <c r="AE1738" s="201"/>
      <c r="AF1738" s="231" t="str">
        <f>+IFERROR(VLOOKUP(L1738,Data!$F$4:$G$97,2,0),"")</f>
        <v/>
      </c>
    </row>
    <row r="1739" spans="9:32" ht="15" customHeight="1" x14ac:dyDescent="0.3">
      <c r="I1739" s="201" t="str">
        <f t="shared" si="232"/>
        <v/>
      </c>
      <c r="J1739" s="218">
        <f t="shared" si="233"/>
        <v>1736</v>
      </c>
      <c r="K1739" s="250"/>
      <c r="L1739" s="219"/>
      <c r="M1739" s="218"/>
      <c r="N1739" s="220" t="str">
        <f>IFERROR(VLOOKUP(M1739,Data!$C$4:$D$395,2,0),"")</f>
        <v/>
      </c>
      <c r="O1739" s="220"/>
      <c r="P1739" s="229"/>
      <c r="Q1739" s="221"/>
      <c r="R1739" s="222" t="str">
        <f t="shared" si="234"/>
        <v>-</v>
      </c>
      <c r="S1739" s="223"/>
      <c r="T1739" s="224"/>
      <c r="U1739" s="225">
        <f t="shared" si="235"/>
        <v>0</v>
      </c>
      <c r="V1739" s="226">
        <v>0</v>
      </c>
      <c r="W1739" s="227"/>
      <c r="X1739" s="228">
        <f t="shared" si="236"/>
        <v>0</v>
      </c>
      <c r="Y1739" s="229"/>
      <c r="Z1739" s="229"/>
      <c r="AA1739" s="229"/>
      <c r="AB1739" s="222">
        <f t="shared" si="237"/>
        <v>0</v>
      </c>
      <c r="AC1739" s="230">
        <f t="shared" si="238"/>
        <v>0</v>
      </c>
      <c r="AD1739" s="222" t="str">
        <f t="shared" si="239"/>
        <v/>
      </c>
      <c r="AE1739" s="201"/>
      <c r="AF1739" s="231" t="str">
        <f>+IFERROR(VLOOKUP(L1739,Data!$F$4:$G$97,2,0),"")</f>
        <v/>
      </c>
    </row>
    <row r="1740" spans="9:32" ht="15" customHeight="1" x14ac:dyDescent="0.3">
      <c r="I1740" s="201" t="str">
        <f t="shared" si="232"/>
        <v/>
      </c>
      <c r="J1740" s="218">
        <f t="shared" si="233"/>
        <v>1737</v>
      </c>
      <c r="K1740" s="250"/>
      <c r="L1740" s="219"/>
      <c r="M1740" s="218"/>
      <c r="N1740" s="220" t="str">
        <f>IFERROR(VLOOKUP(M1740,Data!$C$4:$D$395,2,0),"")</f>
        <v/>
      </c>
      <c r="O1740" s="220"/>
      <c r="P1740" s="229"/>
      <c r="Q1740" s="221"/>
      <c r="R1740" s="222" t="str">
        <f t="shared" si="234"/>
        <v>-</v>
      </c>
      <c r="S1740" s="223"/>
      <c r="T1740" s="224"/>
      <c r="U1740" s="225">
        <f t="shared" si="235"/>
        <v>0</v>
      </c>
      <c r="V1740" s="226">
        <v>0</v>
      </c>
      <c r="W1740" s="227"/>
      <c r="X1740" s="228">
        <f t="shared" si="236"/>
        <v>0</v>
      </c>
      <c r="Y1740" s="229"/>
      <c r="Z1740" s="229"/>
      <c r="AA1740" s="229"/>
      <c r="AB1740" s="222">
        <f t="shared" si="237"/>
        <v>0</v>
      </c>
      <c r="AC1740" s="230">
        <f t="shared" si="238"/>
        <v>0</v>
      </c>
      <c r="AD1740" s="222" t="str">
        <f t="shared" si="239"/>
        <v/>
      </c>
      <c r="AE1740" s="201"/>
      <c r="AF1740" s="231" t="str">
        <f>+IFERROR(VLOOKUP(L1740,Data!$F$4:$G$97,2,0),"")</f>
        <v/>
      </c>
    </row>
    <row r="1741" spans="9:32" ht="15" customHeight="1" x14ac:dyDescent="0.3">
      <c r="I1741" s="201" t="str">
        <f t="shared" si="232"/>
        <v/>
      </c>
      <c r="J1741" s="218">
        <f t="shared" si="233"/>
        <v>1738</v>
      </c>
      <c r="K1741" s="250"/>
      <c r="L1741" s="219"/>
      <c r="M1741" s="218"/>
      <c r="N1741" s="220" t="str">
        <f>IFERROR(VLOOKUP(M1741,Data!$C$4:$D$395,2,0),"")</f>
        <v/>
      </c>
      <c r="O1741" s="220"/>
      <c r="P1741" s="229"/>
      <c r="Q1741" s="221"/>
      <c r="R1741" s="222" t="str">
        <f t="shared" si="234"/>
        <v>-</v>
      </c>
      <c r="S1741" s="223"/>
      <c r="T1741" s="224"/>
      <c r="U1741" s="225">
        <f t="shared" si="235"/>
        <v>0</v>
      </c>
      <c r="V1741" s="226">
        <v>0</v>
      </c>
      <c r="W1741" s="227"/>
      <c r="X1741" s="228">
        <f t="shared" si="236"/>
        <v>0</v>
      </c>
      <c r="Y1741" s="229"/>
      <c r="Z1741" s="229"/>
      <c r="AA1741" s="229"/>
      <c r="AB1741" s="222">
        <f t="shared" si="237"/>
        <v>0</v>
      </c>
      <c r="AC1741" s="230">
        <f t="shared" si="238"/>
        <v>0</v>
      </c>
      <c r="AD1741" s="222" t="str">
        <f t="shared" si="239"/>
        <v/>
      </c>
      <c r="AE1741" s="201"/>
      <c r="AF1741" s="231" t="str">
        <f>+IFERROR(VLOOKUP(L1741,Data!$F$4:$G$97,2,0),"")</f>
        <v/>
      </c>
    </row>
    <row r="1742" spans="9:32" ht="15" customHeight="1" x14ac:dyDescent="0.3">
      <c r="I1742" s="201" t="str">
        <f t="shared" si="232"/>
        <v/>
      </c>
      <c r="J1742" s="218">
        <f t="shared" si="233"/>
        <v>1739</v>
      </c>
      <c r="K1742" s="250"/>
      <c r="L1742" s="219"/>
      <c r="M1742" s="218"/>
      <c r="N1742" s="220" t="str">
        <f>IFERROR(VLOOKUP(M1742,Data!$C$4:$D$395,2,0),"")</f>
        <v/>
      </c>
      <c r="O1742" s="220"/>
      <c r="P1742" s="229"/>
      <c r="Q1742" s="221"/>
      <c r="R1742" s="222" t="str">
        <f t="shared" si="234"/>
        <v>-</v>
      </c>
      <c r="S1742" s="223"/>
      <c r="T1742" s="224"/>
      <c r="U1742" s="225">
        <f t="shared" si="235"/>
        <v>0</v>
      </c>
      <c r="V1742" s="226">
        <v>0</v>
      </c>
      <c r="W1742" s="227"/>
      <c r="X1742" s="228">
        <f t="shared" si="236"/>
        <v>0</v>
      </c>
      <c r="Y1742" s="229"/>
      <c r="Z1742" s="229"/>
      <c r="AA1742" s="229"/>
      <c r="AB1742" s="222">
        <f t="shared" si="237"/>
        <v>0</v>
      </c>
      <c r="AC1742" s="230">
        <f t="shared" si="238"/>
        <v>0</v>
      </c>
      <c r="AD1742" s="222" t="str">
        <f t="shared" si="239"/>
        <v/>
      </c>
      <c r="AE1742" s="201"/>
      <c r="AF1742" s="231" t="str">
        <f>+IFERROR(VLOOKUP(L1742,Data!$F$4:$G$97,2,0),"")</f>
        <v/>
      </c>
    </row>
    <row r="1743" spans="9:32" ht="15" customHeight="1" x14ac:dyDescent="0.3">
      <c r="I1743" s="201" t="str">
        <f t="shared" si="232"/>
        <v/>
      </c>
      <c r="J1743" s="218">
        <f t="shared" si="233"/>
        <v>1740</v>
      </c>
      <c r="K1743" s="250"/>
      <c r="L1743" s="219"/>
      <c r="M1743" s="218"/>
      <c r="N1743" s="220" t="str">
        <f>IFERROR(VLOOKUP(M1743,Data!$C$4:$D$395,2,0),"")</f>
        <v/>
      </c>
      <c r="O1743" s="220"/>
      <c r="P1743" s="229"/>
      <c r="Q1743" s="221"/>
      <c r="R1743" s="222" t="str">
        <f t="shared" si="234"/>
        <v>-</v>
      </c>
      <c r="S1743" s="223"/>
      <c r="T1743" s="224"/>
      <c r="U1743" s="225">
        <f t="shared" si="235"/>
        <v>0</v>
      </c>
      <c r="V1743" s="226">
        <v>0</v>
      </c>
      <c r="W1743" s="227"/>
      <c r="X1743" s="228">
        <f t="shared" si="236"/>
        <v>0</v>
      </c>
      <c r="Y1743" s="229"/>
      <c r="Z1743" s="229"/>
      <c r="AA1743" s="229"/>
      <c r="AB1743" s="222">
        <f t="shared" si="237"/>
        <v>0</v>
      </c>
      <c r="AC1743" s="230">
        <f t="shared" si="238"/>
        <v>0</v>
      </c>
      <c r="AD1743" s="222" t="str">
        <f t="shared" si="239"/>
        <v/>
      </c>
      <c r="AE1743" s="201"/>
      <c r="AF1743" s="231" t="str">
        <f>+IFERROR(VLOOKUP(L1743,Data!$F$4:$G$97,2,0),"")</f>
        <v/>
      </c>
    </row>
    <row r="1744" spans="9:32" ht="15" customHeight="1" x14ac:dyDescent="0.3">
      <c r="I1744" s="201" t="str">
        <f t="shared" si="232"/>
        <v/>
      </c>
      <c r="J1744" s="218">
        <f t="shared" si="233"/>
        <v>1741</v>
      </c>
      <c r="K1744" s="250"/>
      <c r="L1744" s="219"/>
      <c r="M1744" s="218"/>
      <c r="N1744" s="220" t="str">
        <f>IFERROR(VLOOKUP(M1744,Data!$C$4:$D$395,2,0),"")</f>
        <v/>
      </c>
      <c r="O1744" s="220"/>
      <c r="P1744" s="229"/>
      <c r="Q1744" s="221"/>
      <c r="R1744" s="222" t="str">
        <f t="shared" si="234"/>
        <v>-</v>
      </c>
      <c r="S1744" s="223"/>
      <c r="T1744" s="224"/>
      <c r="U1744" s="225">
        <f t="shared" si="235"/>
        <v>0</v>
      </c>
      <c r="V1744" s="226">
        <v>0</v>
      </c>
      <c r="W1744" s="227"/>
      <c r="X1744" s="228">
        <f t="shared" si="236"/>
        <v>0</v>
      </c>
      <c r="Y1744" s="229"/>
      <c r="Z1744" s="229"/>
      <c r="AA1744" s="229"/>
      <c r="AB1744" s="222">
        <f t="shared" si="237"/>
        <v>0</v>
      </c>
      <c r="AC1744" s="230">
        <f t="shared" si="238"/>
        <v>0</v>
      </c>
      <c r="AD1744" s="222" t="str">
        <f t="shared" si="239"/>
        <v/>
      </c>
      <c r="AE1744" s="201"/>
      <c r="AF1744" s="231" t="str">
        <f>+IFERROR(VLOOKUP(L1744,Data!$F$4:$G$97,2,0),"")</f>
        <v/>
      </c>
    </row>
    <row r="1745" spans="9:32" ht="15" customHeight="1" x14ac:dyDescent="0.3">
      <c r="I1745" s="201" t="str">
        <f t="shared" si="232"/>
        <v/>
      </c>
      <c r="J1745" s="218">
        <f t="shared" si="233"/>
        <v>1742</v>
      </c>
      <c r="K1745" s="250"/>
      <c r="L1745" s="219"/>
      <c r="M1745" s="218"/>
      <c r="N1745" s="220" t="str">
        <f>IFERROR(VLOOKUP(M1745,Data!$C$4:$D$395,2,0),"")</f>
        <v/>
      </c>
      <c r="O1745" s="220"/>
      <c r="P1745" s="229"/>
      <c r="Q1745" s="221"/>
      <c r="R1745" s="222" t="str">
        <f t="shared" si="234"/>
        <v>-</v>
      </c>
      <c r="S1745" s="223"/>
      <c r="T1745" s="224"/>
      <c r="U1745" s="225">
        <f t="shared" si="235"/>
        <v>0</v>
      </c>
      <c r="V1745" s="226">
        <v>0</v>
      </c>
      <c r="W1745" s="227"/>
      <c r="X1745" s="228">
        <f t="shared" si="236"/>
        <v>0</v>
      </c>
      <c r="Y1745" s="229"/>
      <c r="Z1745" s="229"/>
      <c r="AA1745" s="229"/>
      <c r="AB1745" s="222">
        <f t="shared" si="237"/>
        <v>0</v>
      </c>
      <c r="AC1745" s="230">
        <f t="shared" si="238"/>
        <v>0</v>
      </c>
      <c r="AD1745" s="222" t="str">
        <f t="shared" si="239"/>
        <v/>
      </c>
      <c r="AE1745" s="201"/>
      <c r="AF1745" s="231" t="str">
        <f>+IFERROR(VLOOKUP(L1745,Data!$F$4:$G$97,2,0),"")</f>
        <v/>
      </c>
    </row>
    <row r="1746" spans="9:32" ht="15" customHeight="1" x14ac:dyDescent="0.3">
      <c r="I1746" s="201" t="str">
        <f t="shared" si="232"/>
        <v/>
      </c>
      <c r="J1746" s="218">
        <f t="shared" si="233"/>
        <v>1743</v>
      </c>
      <c r="K1746" s="250"/>
      <c r="L1746" s="219"/>
      <c r="M1746" s="218"/>
      <c r="N1746" s="220" t="str">
        <f>IFERROR(VLOOKUP(M1746,Data!$C$4:$D$395,2,0),"")</f>
        <v/>
      </c>
      <c r="O1746" s="220"/>
      <c r="P1746" s="229"/>
      <c r="Q1746" s="221"/>
      <c r="R1746" s="222" t="str">
        <f t="shared" si="234"/>
        <v>-</v>
      </c>
      <c r="S1746" s="223"/>
      <c r="T1746" s="224"/>
      <c r="U1746" s="225">
        <f t="shared" si="235"/>
        <v>0</v>
      </c>
      <c r="V1746" s="226">
        <v>0</v>
      </c>
      <c r="W1746" s="227"/>
      <c r="X1746" s="228">
        <f t="shared" si="236"/>
        <v>0</v>
      </c>
      <c r="Y1746" s="229"/>
      <c r="Z1746" s="229"/>
      <c r="AA1746" s="229"/>
      <c r="AB1746" s="222">
        <f t="shared" si="237"/>
        <v>0</v>
      </c>
      <c r="AC1746" s="230">
        <f t="shared" si="238"/>
        <v>0</v>
      </c>
      <c r="AD1746" s="222" t="str">
        <f t="shared" si="239"/>
        <v/>
      </c>
      <c r="AE1746" s="201"/>
      <c r="AF1746" s="231" t="str">
        <f>+IFERROR(VLOOKUP(L1746,Data!$F$4:$G$97,2,0),"")</f>
        <v/>
      </c>
    </row>
    <row r="1747" spans="9:32" ht="15" customHeight="1" x14ac:dyDescent="0.3">
      <c r="I1747" s="201" t="str">
        <f t="shared" si="232"/>
        <v/>
      </c>
      <c r="J1747" s="218">
        <f t="shared" si="233"/>
        <v>1744</v>
      </c>
      <c r="K1747" s="250"/>
      <c r="L1747" s="219"/>
      <c r="M1747" s="218"/>
      <c r="N1747" s="220" t="str">
        <f>IFERROR(VLOOKUP(M1747,Data!$C$4:$D$395,2,0),"")</f>
        <v/>
      </c>
      <c r="O1747" s="220"/>
      <c r="P1747" s="229"/>
      <c r="Q1747" s="221"/>
      <c r="R1747" s="222" t="str">
        <f t="shared" si="234"/>
        <v>-</v>
      </c>
      <c r="S1747" s="223"/>
      <c r="T1747" s="224"/>
      <c r="U1747" s="225">
        <f t="shared" si="235"/>
        <v>0</v>
      </c>
      <c r="V1747" s="226">
        <v>0</v>
      </c>
      <c r="W1747" s="227"/>
      <c r="X1747" s="228">
        <f t="shared" si="236"/>
        <v>0</v>
      </c>
      <c r="Y1747" s="229"/>
      <c r="Z1747" s="229"/>
      <c r="AA1747" s="229"/>
      <c r="AB1747" s="222">
        <f t="shared" si="237"/>
        <v>0</v>
      </c>
      <c r="AC1747" s="230">
        <f t="shared" si="238"/>
        <v>0</v>
      </c>
      <c r="AD1747" s="222" t="str">
        <f t="shared" si="239"/>
        <v/>
      </c>
      <c r="AE1747" s="201"/>
      <c r="AF1747" s="231" t="str">
        <f>+IFERROR(VLOOKUP(L1747,Data!$F$4:$G$97,2,0),"")</f>
        <v/>
      </c>
    </row>
    <row r="1748" spans="9:32" ht="15" customHeight="1" x14ac:dyDescent="0.3">
      <c r="I1748" s="201" t="str">
        <f t="shared" si="232"/>
        <v/>
      </c>
      <c r="J1748" s="218">
        <f t="shared" si="233"/>
        <v>1745</v>
      </c>
      <c r="K1748" s="250"/>
      <c r="L1748" s="219"/>
      <c r="M1748" s="218"/>
      <c r="N1748" s="220" t="str">
        <f>IFERROR(VLOOKUP(M1748,Data!$C$4:$D$395,2,0),"")</f>
        <v/>
      </c>
      <c r="O1748" s="220"/>
      <c r="P1748" s="229"/>
      <c r="Q1748" s="221"/>
      <c r="R1748" s="222" t="str">
        <f t="shared" si="234"/>
        <v>-</v>
      </c>
      <c r="S1748" s="223"/>
      <c r="T1748" s="224"/>
      <c r="U1748" s="225">
        <f t="shared" si="235"/>
        <v>0</v>
      </c>
      <c r="V1748" s="226">
        <v>0</v>
      </c>
      <c r="W1748" s="227"/>
      <c r="X1748" s="228">
        <f t="shared" si="236"/>
        <v>0</v>
      </c>
      <c r="Y1748" s="229"/>
      <c r="Z1748" s="229"/>
      <c r="AA1748" s="229"/>
      <c r="AB1748" s="222">
        <f t="shared" si="237"/>
        <v>0</v>
      </c>
      <c r="AC1748" s="230">
        <f t="shared" si="238"/>
        <v>0</v>
      </c>
      <c r="AD1748" s="222" t="str">
        <f t="shared" si="239"/>
        <v/>
      </c>
      <c r="AE1748" s="201"/>
      <c r="AF1748" s="231" t="str">
        <f>+IFERROR(VLOOKUP(L1748,Data!$F$4:$G$97,2,0),"")</f>
        <v/>
      </c>
    </row>
    <row r="1749" spans="9:32" ht="15" customHeight="1" x14ac:dyDescent="0.3">
      <c r="I1749" s="201" t="str">
        <f t="shared" si="232"/>
        <v/>
      </c>
      <c r="J1749" s="218">
        <f t="shared" si="233"/>
        <v>1746</v>
      </c>
      <c r="K1749" s="250"/>
      <c r="L1749" s="219"/>
      <c r="M1749" s="218"/>
      <c r="N1749" s="220" t="str">
        <f>IFERROR(VLOOKUP(M1749,Data!$C$4:$D$395,2,0),"")</f>
        <v/>
      </c>
      <c r="O1749" s="220"/>
      <c r="P1749" s="229"/>
      <c r="Q1749" s="221"/>
      <c r="R1749" s="222" t="str">
        <f t="shared" si="234"/>
        <v>-</v>
      </c>
      <c r="S1749" s="223"/>
      <c r="T1749" s="224"/>
      <c r="U1749" s="225">
        <f t="shared" si="235"/>
        <v>0</v>
      </c>
      <c r="V1749" s="226">
        <v>0</v>
      </c>
      <c r="W1749" s="227"/>
      <c r="X1749" s="228">
        <f t="shared" si="236"/>
        <v>0</v>
      </c>
      <c r="Y1749" s="229"/>
      <c r="Z1749" s="229"/>
      <c r="AA1749" s="229"/>
      <c r="AB1749" s="222">
        <f t="shared" si="237"/>
        <v>0</v>
      </c>
      <c r="AC1749" s="230">
        <f t="shared" si="238"/>
        <v>0</v>
      </c>
      <c r="AD1749" s="222" t="str">
        <f t="shared" si="239"/>
        <v/>
      </c>
      <c r="AE1749" s="201"/>
      <c r="AF1749" s="231" t="str">
        <f>+IFERROR(VLOOKUP(L1749,Data!$F$4:$G$97,2,0),"")</f>
        <v/>
      </c>
    </row>
    <row r="1750" spans="9:32" ht="15" customHeight="1" x14ac:dyDescent="0.3">
      <c r="I1750" s="201" t="str">
        <f t="shared" si="232"/>
        <v/>
      </c>
      <c r="J1750" s="218">
        <f t="shared" si="233"/>
        <v>1747</v>
      </c>
      <c r="K1750" s="250"/>
      <c r="L1750" s="219"/>
      <c r="M1750" s="218"/>
      <c r="N1750" s="220" t="str">
        <f>IFERROR(VLOOKUP(M1750,Data!$C$4:$D$395,2,0),"")</f>
        <v/>
      </c>
      <c r="O1750" s="220"/>
      <c r="P1750" s="229"/>
      <c r="Q1750" s="221"/>
      <c r="R1750" s="222" t="str">
        <f t="shared" si="234"/>
        <v>-</v>
      </c>
      <c r="S1750" s="223"/>
      <c r="T1750" s="224"/>
      <c r="U1750" s="225">
        <f t="shared" si="235"/>
        <v>0</v>
      </c>
      <c r="V1750" s="226">
        <v>0</v>
      </c>
      <c r="W1750" s="227"/>
      <c r="X1750" s="228">
        <f t="shared" si="236"/>
        <v>0</v>
      </c>
      <c r="Y1750" s="229"/>
      <c r="Z1750" s="229"/>
      <c r="AA1750" s="229"/>
      <c r="AB1750" s="222">
        <f t="shared" si="237"/>
        <v>0</v>
      </c>
      <c r="AC1750" s="230">
        <f t="shared" si="238"/>
        <v>0</v>
      </c>
      <c r="AD1750" s="222" t="str">
        <f t="shared" si="239"/>
        <v/>
      </c>
      <c r="AE1750" s="201"/>
      <c r="AF1750" s="231" t="str">
        <f>+IFERROR(VLOOKUP(L1750,Data!$F$4:$G$97,2,0),"")</f>
        <v/>
      </c>
    </row>
    <row r="1751" spans="9:32" ht="15" customHeight="1" x14ac:dyDescent="0.3">
      <c r="I1751" s="201" t="str">
        <f t="shared" si="232"/>
        <v/>
      </c>
      <c r="J1751" s="218">
        <f t="shared" si="233"/>
        <v>1748</v>
      </c>
      <c r="K1751" s="250"/>
      <c r="L1751" s="219"/>
      <c r="M1751" s="218"/>
      <c r="N1751" s="220" t="str">
        <f>IFERROR(VLOOKUP(M1751,Data!$C$4:$D$395,2,0),"")</f>
        <v/>
      </c>
      <c r="O1751" s="220"/>
      <c r="P1751" s="229"/>
      <c r="Q1751" s="221"/>
      <c r="R1751" s="222" t="str">
        <f t="shared" si="234"/>
        <v>-</v>
      </c>
      <c r="S1751" s="223"/>
      <c r="T1751" s="224"/>
      <c r="U1751" s="225">
        <f t="shared" si="235"/>
        <v>0</v>
      </c>
      <c r="V1751" s="226">
        <v>0</v>
      </c>
      <c r="W1751" s="227"/>
      <c r="X1751" s="228">
        <f t="shared" si="236"/>
        <v>0</v>
      </c>
      <c r="Y1751" s="229"/>
      <c r="Z1751" s="229"/>
      <c r="AA1751" s="229"/>
      <c r="AB1751" s="222">
        <f t="shared" si="237"/>
        <v>0</v>
      </c>
      <c r="AC1751" s="230">
        <f t="shared" si="238"/>
        <v>0</v>
      </c>
      <c r="AD1751" s="222" t="str">
        <f t="shared" si="239"/>
        <v/>
      </c>
      <c r="AE1751" s="201"/>
      <c r="AF1751" s="231" t="str">
        <f>+IFERROR(VLOOKUP(L1751,Data!$F$4:$G$97,2,0),"")</f>
        <v/>
      </c>
    </row>
    <row r="1752" spans="9:32" ht="15" customHeight="1" x14ac:dyDescent="0.3">
      <c r="I1752" s="201" t="str">
        <f t="shared" si="232"/>
        <v/>
      </c>
      <c r="J1752" s="218">
        <f t="shared" si="233"/>
        <v>1749</v>
      </c>
      <c r="K1752" s="250"/>
      <c r="L1752" s="219"/>
      <c r="M1752" s="218"/>
      <c r="N1752" s="220" t="str">
        <f>IFERROR(VLOOKUP(M1752,Data!$C$4:$D$395,2,0),"")</f>
        <v/>
      </c>
      <c r="O1752" s="220"/>
      <c r="P1752" s="229"/>
      <c r="Q1752" s="221"/>
      <c r="R1752" s="222" t="str">
        <f t="shared" si="234"/>
        <v>-</v>
      </c>
      <c r="S1752" s="223"/>
      <c r="T1752" s="224"/>
      <c r="U1752" s="225">
        <f t="shared" si="235"/>
        <v>0</v>
      </c>
      <c r="V1752" s="226">
        <v>0</v>
      </c>
      <c r="W1752" s="227"/>
      <c r="X1752" s="228">
        <f t="shared" si="236"/>
        <v>0</v>
      </c>
      <c r="Y1752" s="229"/>
      <c r="Z1752" s="229"/>
      <c r="AA1752" s="229"/>
      <c r="AB1752" s="222">
        <f t="shared" si="237"/>
        <v>0</v>
      </c>
      <c r="AC1752" s="230">
        <f t="shared" si="238"/>
        <v>0</v>
      </c>
      <c r="AD1752" s="222" t="str">
        <f t="shared" si="239"/>
        <v/>
      </c>
      <c r="AE1752" s="201"/>
      <c r="AF1752" s="231" t="str">
        <f>+IFERROR(VLOOKUP(L1752,Data!$F$4:$G$97,2,0),"")</f>
        <v/>
      </c>
    </row>
    <row r="1753" spans="9:32" ht="15" customHeight="1" x14ac:dyDescent="0.3">
      <c r="I1753" s="201" t="str">
        <f t="shared" si="232"/>
        <v/>
      </c>
      <c r="J1753" s="218">
        <f t="shared" si="233"/>
        <v>1750</v>
      </c>
      <c r="K1753" s="250"/>
      <c r="L1753" s="219"/>
      <c r="M1753" s="218"/>
      <c r="N1753" s="220" t="str">
        <f>IFERROR(VLOOKUP(M1753,Data!$C$4:$D$395,2,0),"")</f>
        <v/>
      </c>
      <c r="O1753" s="220"/>
      <c r="P1753" s="229"/>
      <c r="Q1753" s="221"/>
      <c r="R1753" s="222" t="str">
        <f t="shared" si="234"/>
        <v>-</v>
      </c>
      <c r="S1753" s="223"/>
      <c r="T1753" s="224"/>
      <c r="U1753" s="225">
        <f t="shared" si="235"/>
        <v>0</v>
      </c>
      <c r="V1753" s="226">
        <v>0</v>
      </c>
      <c r="W1753" s="227"/>
      <c r="X1753" s="228">
        <f t="shared" si="236"/>
        <v>0</v>
      </c>
      <c r="Y1753" s="229"/>
      <c r="Z1753" s="229"/>
      <c r="AA1753" s="229"/>
      <c r="AB1753" s="222">
        <f t="shared" si="237"/>
        <v>0</v>
      </c>
      <c r="AC1753" s="230">
        <f t="shared" si="238"/>
        <v>0</v>
      </c>
      <c r="AD1753" s="222" t="str">
        <f t="shared" si="239"/>
        <v/>
      </c>
      <c r="AE1753" s="201"/>
      <c r="AF1753" s="231" t="str">
        <f>+IFERROR(VLOOKUP(L1753,Data!$F$4:$G$97,2,0),"")</f>
        <v/>
      </c>
    </row>
    <row r="1754" spans="9:32" ht="15" customHeight="1" x14ac:dyDescent="0.3">
      <c r="I1754" s="201" t="str">
        <f t="shared" si="232"/>
        <v/>
      </c>
      <c r="J1754" s="218">
        <f t="shared" si="233"/>
        <v>1751</v>
      </c>
      <c r="K1754" s="250"/>
      <c r="L1754" s="219"/>
      <c r="M1754" s="218"/>
      <c r="N1754" s="220" t="str">
        <f>IFERROR(VLOOKUP(M1754,Data!$C$4:$D$395,2,0),"")</f>
        <v/>
      </c>
      <c r="O1754" s="220"/>
      <c r="P1754" s="229"/>
      <c r="Q1754" s="221"/>
      <c r="R1754" s="222" t="str">
        <f t="shared" si="234"/>
        <v>-</v>
      </c>
      <c r="S1754" s="223"/>
      <c r="T1754" s="224"/>
      <c r="U1754" s="225">
        <f t="shared" si="235"/>
        <v>0</v>
      </c>
      <c r="V1754" s="226">
        <v>0</v>
      </c>
      <c r="W1754" s="227"/>
      <c r="X1754" s="228">
        <f t="shared" si="236"/>
        <v>0</v>
      </c>
      <c r="Y1754" s="229"/>
      <c r="Z1754" s="229"/>
      <c r="AA1754" s="229"/>
      <c r="AB1754" s="222">
        <f t="shared" si="237"/>
        <v>0</v>
      </c>
      <c r="AC1754" s="230">
        <f t="shared" si="238"/>
        <v>0</v>
      </c>
      <c r="AD1754" s="222" t="str">
        <f t="shared" si="239"/>
        <v/>
      </c>
      <c r="AE1754" s="201"/>
      <c r="AF1754" s="231" t="str">
        <f>+IFERROR(VLOOKUP(L1754,Data!$F$4:$G$97,2,0),"")</f>
        <v/>
      </c>
    </row>
    <row r="1755" spans="9:32" ht="15" customHeight="1" x14ac:dyDescent="0.3">
      <c r="I1755" s="201" t="str">
        <f t="shared" si="232"/>
        <v/>
      </c>
      <c r="J1755" s="218">
        <f t="shared" si="233"/>
        <v>1752</v>
      </c>
      <c r="K1755" s="250"/>
      <c r="L1755" s="219"/>
      <c r="M1755" s="218"/>
      <c r="N1755" s="220" t="str">
        <f>IFERROR(VLOOKUP(M1755,Data!$C$4:$D$395,2,0),"")</f>
        <v/>
      </c>
      <c r="O1755" s="220"/>
      <c r="P1755" s="229"/>
      <c r="Q1755" s="221"/>
      <c r="R1755" s="222" t="str">
        <f t="shared" si="234"/>
        <v>-</v>
      </c>
      <c r="S1755" s="223"/>
      <c r="T1755" s="224"/>
      <c r="U1755" s="225">
        <f t="shared" si="235"/>
        <v>0</v>
      </c>
      <c r="V1755" s="226">
        <v>0</v>
      </c>
      <c r="W1755" s="227"/>
      <c r="X1755" s="228">
        <f t="shared" si="236"/>
        <v>0</v>
      </c>
      <c r="Y1755" s="229"/>
      <c r="Z1755" s="229"/>
      <c r="AA1755" s="229"/>
      <c r="AB1755" s="222">
        <f t="shared" si="237"/>
        <v>0</v>
      </c>
      <c r="AC1755" s="230">
        <f t="shared" si="238"/>
        <v>0</v>
      </c>
      <c r="AD1755" s="222" t="str">
        <f t="shared" si="239"/>
        <v/>
      </c>
      <c r="AE1755" s="201"/>
      <c r="AF1755" s="231" t="str">
        <f>+IFERROR(VLOOKUP(L1755,Data!$F$4:$G$97,2,0),"")</f>
        <v/>
      </c>
    </row>
    <row r="1756" spans="9:32" ht="15" customHeight="1" x14ac:dyDescent="0.3">
      <c r="I1756" s="201" t="str">
        <f t="shared" si="232"/>
        <v/>
      </c>
      <c r="J1756" s="218">
        <f t="shared" si="233"/>
        <v>1753</v>
      </c>
      <c r="K1756" s="250"/>
      <c r="L1756" s="219"/>
      <c r="M1756" s="218"/>
      <c r="N1756" s="220" t="str">
        <f>IFERROR(VLOOKUP(M1756,Data!$C$4:$D$395,2,0),"")</f>
        <v/>
      </c>
      <c r="O1756" s="220"/>
      <c r="P1756" s="229"/>
      <c r="Q1756" s="221"/>
      <c r="R1756" s="222" t="str">
        <f t="shared" si="234"/>
        <v>-</v>
      </c>
      <c r="S1756" s="223"/>
      <c r="T1756" s="224"/>
      <c r="U1756" s="225">
        <f t="shared" si="235"/>
        <v>0</v>
      </c>
      <c r="V1756" s="226">
        <v>0</v>
      </c>
      <c r="W1756" s="227"/>
      <c r="X1756" s="228">
        <f t="shared" si="236"/>
        <v>0</v>
      </c>
      <c r="Y1756" s="229"/>
      <c r="Z1756" s="229"/>
      <c r="AA1756" s="229"/>
      <c r="AB1756" s="222">
        <f t="shared" si="237"/>
        <v>0</v>
      </c>
      <c r="AC1756" s="230">
        <f t="shared" si="238"/>
        <v>0</v>
      </c>
      <c r="AD1756" s="222" t="str">
        <f t="shared" si="239"/>
        <v/>
      </c>
      <c r="AE1756" s="201"/>
      <c r="AF1756" s="231" t="str">
        <f>+IFERROR(VLOOKUP(L1756,Data!$F$4:$G$97,2,0),"")</f>
        <v/>
      </c>
    </row>
    <row r="1757" spans="9:32" ht="15" customHeight="1" x14ac:dyDescent="0.3">
      <c r="I1757" s="201" t="str">
        <f t="shared" si="232"/>
        <v/>
      </c>
      <c r="J1757" s="218">
        <f t="shared" si="233"/>
        <v>1754</v>
      </c>
      <c r="K1757" s="250"/>
      <c r="L1757" s="219"/>
      <c r="M1757" s="218"/>
      <c r="N1757" s="220" t="str">
        <f>IFERROR(VLOOKUP(M1757,Data!$C$4:$D$395,2,0),"")</f>
        <v/>
      </c>
      <c r="O1757" s="220"/>
      <c r="P1757" s="229"/>
      <c r="Q1757" s="221"/>
      <c r="R1757" s="222" t="str">
        <f t="shared" si="234"/>
        <v>-</v>
      </c>
      <c r="S1757" s="223"/>
      <c r="T1757" s="224"/>
      <c r="U1757" s="225">
        <f t="shared" si="235"/>
        <v>0</v>
      </c>
      <c r="V1757" s="226">
        <v>0</v>
      </c>
      <c r="W1757" s="227"/>
      <c r="X1757" s="228">
        <f t="shared" si="236"/>
        <v>0</v>
      </c>
      <c r="Y1757" s="229"/>
      <c r="Z1757" s="229"/>
      <c r="AA1757" s="229"/>
      <c r="AB1757" s="222">
        <f t="shared" si="237"/>
        <v>0</v>
      </c>
      <c r="AC1757" s="230">
        <f t="shared" si="238"/>
        <v>0</v>
      </c>
      <c r="AD1757" s="222" t="str">
        <f t="shared" si="239"/>
        <v/>
      </c>
      <c r="AE1757" s="201"/>
      <c r="AF1757" s="231" t="str">
        <f>+IFERROR(VLOOKUP(L1757,Data!$F$4:$G$97,2,0),"")</f>
        <v/>
      </c>
    </row>
    <row r="1758" spans="9:32" ht="15" customHeight="1" x14ac:dyDescent="0.3">
      <c r="I1758" s="201" t="str">
        <f t="shared" si="232"/>
        <v/>
      </c>
      <c r="J1758" s="218">
        <f t="shared" si="233"/>
        <v>1755</v>
      </c>
      <c r="K1758" s="250"/>
      <c r="L1758" s="219"/>
      <c r="M1758" s="218"/>
      <c r="N1758" s="220" t="str">
        <f>IFERROR(VLOOKUP(M1758,Data!$C$4:$D$395,2,0),"")</f>
        <v/>
      </c>
      <c r="O1758" s="220"/>
      <c r="P1758" s="229"/>
      <c r="Q1758" s="221"/>
      <c r="R1758" s="222" t="str">
        <f t="shared" si="234"/>
        <v>-</v>
      </c>
      <c r="S1758" s="223"/>
      <c r="T1758" s="224"/>
      <c r="U1758" s="225">
        <f t="shared" si="235"/>
        <v>0</v>
      </c>
      <c r="V1758" s="226">
        <v>0</v>
      </c>
      <c r="W1758" s="227"/>
      <c r="X1758" s="228">
        <f t="shared" si="236"/>
        <v>0</v>
      </c>
      <c r="Y1758" s="229"/>
      <c r="Z1758" s="229"/>
      <c r="AA1758" s="229"/>
      <c r="AB1758" s="222">
        <f t="shared" si="237"/>
        <v>0</v>
      </c>
      <c r="AC1758" s="230">
        <f t="shared" si="238"/>
        <v>0</v>
      </c>
      <c r="AD1758" s="222" t="str">
        <f t="shared" si="239"/>
        <v/>
      </c>
      <c r="AE1758" s="201"/>
      <c r="AF1758" s="231" t="str">
        <f>+IFERROR(VLOOKUP(L1758,Data!$F$4:$G$97,2,0),"")</f>
        <v/>
      </c>
    </row>
    <row r="1759" spans="9:32" ht="15" customHeight="1" x14ac:dyDescent="0.3">
      <c r="I1759" s="201" t="str">
        <f t="shared" si="232"/>
        <v/>
      </c>
      <c r="J1759" s="218">
        <f t="shared" si="233"/>
        <v>1756</v>
      </c>
      <c r="K1759" s="250"/>
      <c r="L1759" s="219"/>
      <c r="M1759" s="218"/>
      <c r="N1759" s="220" t="str">
        <f>IFERROR(VLOOKUP(M1759,Data!$C$4:$D$395,2,0),"")</f>
        <v/>
      </c>
      <c r="O1759" s="220"/>
      <c r="P1759" s="229"/>
      <c r="Q1759" s="221"/>
      <c r="R1759" s="222" t="str">
        <f t="shared" si="234"/>
        <v>-</v>
      </c>
      <c r="S1759" s="223"/>
      <c r="T1759" s="224"/>
      <c r="U1759" s="225">
        <f t="shared" si="235"/>
        <v>0</v>
      </c>
      <c r="V1759" s="226">
        <v>0</v>
      </c>
      <c r="W1759" s="227"/>
      <c r="X1759" s="228">
        <f t="shared" si="236"/>
        <v>0</v>
      </c>
      <c r="Y1759" s="229"/>
      <c r="Z1759" s="229"/>
      <c r="AA1759" s="229"/>
      <c r="AB1759" s="222">
        <f t="shared" si="237"/>
        <v>0</v>
      </c>
      <c r="AC1759" s="230">
        <f t="shared" si="238"/>
        <v>0</v>
      </c>
      <c r="AD1759" s="222" t="str">
        <f t="shared" si="239"/>
        <v/>
      </c>
      <c r="AE1759" s="201"/>
      <c r="AF1759" s="231" t="str">
        <f>+IFERROR(VLOOKUP(L1759,Data!$F$4:$G$97,2,0),"")</f>
        <v/>
      </c>
    </row>
    <row r="1760" spans="9:32" ht="15" customHeight="1" x14ac:dyDescent="0.3">
      <c r="I1760" s="201" t="str">
        <f t="shared" si="232"/>
        <v/>
      </c>
      <c r="J1760" s="218">
        <f t="shared" si="233"/>
        <v>1757</v>
      </c>
      <c r="K1760" s="250"/>
      <c r="L1760" s="219"/>
      <c r="M1760" s="218"/>
      <c r="N1760" s="220" t="str">
        <f>IFERROR(VLOOKUP(M1760,Data!$C$4:$D$395,2,0),"")</f>
        <v/>
      </c>
      <c r="O1760" s="220"/>
      <c r="P1760" s="229"/>
      <c r="Q1760" s="221"/>
      <c r="R1760" s="222" t="str">
        <f t="shared" si="234"/>
        <v>-</v>
      </c>
      <c r="S1760" s="223"/>
      <c r="T1760" s="224"/>
      <c r="U1760" s="225">
        <f t="shared" si="235"/>
        <v>0</v>
      </c>
      <c r="V1760" s="226">
        <v>0</v>
      </c>
      <c r="W1760" s="227"/>
      <c r="X1760" s="228">
        <f t="shared" si="236"/>
        <v>0</v>
      </c>
      <c r="Y1760" s="229"/>
      <c r="Z1760" s="229"/>
      <c r="AA1760" s="229"/>
      <c r="AB1760" s="222">
        <f t="shared" si="237"/>
        <v>0</v>
      </c>
      <c r="AC1760" s="230">
        <f t="shared" si="238"/>
        <v>0</v>
      </c>
      <c r="AD1760" s="222" t="str">
        <f t="shared" si="239"/>
        <v/>
      </c>
      <c r="AE1760" s="201"/>
      <c r="AF1760" s="231" t="str">
        <f>+IFERROR(VLOOKUP(L1760,Data!$F$4:$G$97,2,0),"")</f>
        <v/>
      </c>
    </row>
    <row r="1761" spans="9:32" ht="15" customHeight="1" x14ac:dyDescent="0.3">
      <c r="I1761" s="201" t="str">
        <f t="shared" si="232"/>
        <v/>
      </c>
      <c r="J1761" s="218">
        <f t="shared" si="233"/>
        <v>1758</v>
      </c>
      <c r="K1761" s="250"/>
      <c r="L1761" s="219"/>
      <c r="M1761" s="218"/>
      <c r="N1761" s="220" t="str">
        <f>IFERROR(VLOOKUP(M1761,Data!$C$4:$D$395,2,0),"")</f>
        <v/>
      </c>
      <c r="O1761" s="220"/>
      <c r="P1761" s="229"/>
      <c r="Q1761" s="221"/>
      <c r="R1761" s="222" t="str">
        <f t="shared" si="234"/>
        <v>-</v>
      </c>
      <c r="S1761" s="223"/>
      <c r="T1761" s="224"/>
      <c r="U1761" s="225">
        <f t="shared" si="235"/>
        <v>0</v>
      </c>
      <c r="V1761" s="226">
        <v>0</v>
      </c>
      <c r="W1761" s="227"/>
      <c r="X1761" s="228">
        <f t="shared" si="236"/>
        <v>0</v>
      </c>
      <c r="Y1761" s="229"/>
      <c r="Z1761" s="229"/>
      <c r="AA1761" s="229"/>
      <c r="AB1761" s="222">
        <f t="shared" si="237"/>
        <v>0</v>
      </c>
      <c r="AC1761" s="230">
        <f t="shared" si="238"/>
        <v>0</v>
      </c>
      <c r="AD1761" s="222" t="str">
        <f t="shared" si="239"/>
        <v/>
      </c>
      <c r="AE1761" s="201"/>
      <c r="AF1761" s="231" t="str">
        <f>+IFERROR(VLOOKUP(L1761,Data!$F$4:$G$97,2,0),"")</f>
        <v/>
      </c>
    </row>
    <row r="1762" spans="9:32" ht="15" customHeight="1" x14ac:dyDescent="0.3">
      <c r="I1762" s="201" t="str">
        <f t="shared" si="232"/>
        <v/>
      </c>
      <c r="J1762" s="218">
        <f t="shared" si="233"/>
        <v>1759</v>
      </c>
      <c r="K1762" s="250"/>
      <c r="L1762" s="219"/>
      <c r="M1762" s="218"/>
      <c r="N1762" s="220" t="str">
        <f>IFERROR(VLOOKUP(M1762,Data!$C$4:$D$395,2,0),"")</f>
        <v/>
      </c>
      <c r="O1762" s="220"/>
      <c r="P1762" s="229"/>
      <c r="Q1762" s="221"/>
      <c r="R1762" s="222" t="str">
        <f t="shared" si="234"/>
        <v>-</v>
      </c>
      <c r="S1762" s="223"/>
      <c r="T1762" s="224"/>
      <c r="U1762" s="225">
        <f t="shared" si="235"/>
        <v>0</v>
      </c>
      <c r="V1762" s="226">
        <v>0</v>
      </c>
      <c r="W1762" s="227"/>
      <c r="X1762" s="228">
        <f t="shared" si="236"/>
        <v>0</v>
      </c>
      <c r="Y1762" s="229"/>
      <c r="Z1762" s="229"/>
      <c r="AA1762" s="229"/>
      <c r="AB1762" s="222">
        <f t="shared" si="237"/>
        <v>0</v>
      </c>
      <c r="AC1762" s="230">
        <f t="shared" si="238"/>
        <v>0</v>
      </c>
      <c r="AD1762" s="222" t="str">
        <f t="shared" si="239"/>
        <v/>
      </c>
      <c r="AE1762" s="201"/>
      <c r="AF1762" s="231" t="str">
        <f>+IFERROR(VLOOKUP(L1762,Data!$F$4:$G$97,2,0),"")</f>
        <v/>
      </c>
    </row>
    <row r="1763" spans="9:32" ht="15" customHeight="1" x14ac:dyDescent="0.3">
      <c r="I1763" s="201" t="str">
        <f t="shared" si="232"/>
        <v/>
      </c>
      <c r="J1763" s="218">
        <f t="shared" si="233"/>
        <v>1760</v>
      </c>
      <c r="K1763" s="250"/>
      <c r="L1763" s="219"/>
      <c r="M1763" s="218"/>
      <c r="N1763" s="220" t="str">
        <f>IFERROR(VLOOKUP(M1763,Data!$C$4:$D$395,2,0),"")</f>
        <v/>
      </c>
      <c r="O1763" s="220"/>
      <c r="P1763" s="229"/>
      <c r="Q1763" s="221"/>
      <c r="R1763" s="222" t="str">
        <f t="shared" si="234"/>
        <v>-</v>
      </c>
      <c r="S1763" s="223"/>
      <c r="T1763" s="224"/>
      <c r="U1763" s="225">
        <f t="shared" si="235"/>
        <v>0</v>
      </c>
      <c r="V1763" s="226">
        <v>0</v>
      </c>
      <c r="W1763" s="227"/>
      <c r="X1763" s="228">
        <f t="shared" si="236"/>
        <v>0</v>
      </c>
      <c r="Y1763" s="229"/>
      <c r="Z1763" s="229"/>
      <c r="AA1763" s="229"/>
      <c r="AB1763" s="222">
        <f t="shared" si="237"/>
        <v>0</v>
      </c>
      <c r="AC1763" s="230">
        <f t="shared" si="238"/>
        <v>0</v>
      </c>
      <c r="AD1763" s="222" t="str">
        <f t="shared" si="239"/>
        <v/>
      </c>
      <c r="AE1763" s="201"/>
      <c r="AF1763" s="231" t="str">
        <f>+IFERROR(VLOOKUP(L1763,Data!$F$4:$G$97,2,0),"")</f>
        <v/>
      </c>
    </row>
    <row r="1764" spans="9:32" ht="15" customHeight="1" x14ac:dyDescent="0.3">
      <c r="I1764" s="201" t="str">
        <f t="shared" si="232"/>
        <v/>
      </c>
      <c r="J1764" s="218">
        <f t="shared" si="233"/>
        <v>1761</v>
      </c>
      <c r="K1764" s="250"/>
      <c r="L1764" s="219"/>
      <c r="M1764" s="218"/>
      <c r="N1764" s="220" t="str">
        <f>IFERROR(VLOOKUP(M1764,Data!$C$4:$D$395,2,0),"")</f>
        <v/>
      </c>
      <c r="O1764" s="220"/>
      <c r="P1764" s="229"/>
      <c r="Q1764" s="221"/>
      <c r="R1764" s="222" t="str">
        <f t="shared" si="234"/>
        <v>-</v>
      </c>
      <c r="S1764" s="223"/>
      <c r="T1764" s="224"/>
      <c r="U1764" s="225">
        <f t="shared" si="235"/>
        <v>0</v>
      </c>
      <c r="V1764" s="226">
        <v>0</v>
      </c>
      <c r="W1764" s="227"/>
      <c r="X1764" s="228">
        <f t="shared" si="236"/>
        <v>0</v>
      </c>
      <c r="Y1764" s="229"/>
      <c r="Z1764" s="229"/>
      <c r="AA1764" s="229"/>
      <c r="AB1764" s="222">
        <f t="shared" si="237"/>
        <v>0</v>
      </c>
      <c r="AC1764" s="230">
        <f t="shared" si="238"/>
        <v>0</v>
      </c>
      <c r="AD1764" s="222" t="str">
        <f t="shared" si="239"/>
        <v/>
      </c>
      <c r="AE1764" s="201"/>
      <c r="AF1764" s="231" t="str">
        <f>+IFERROR(VLOOKUP(L1764,Data!$F$4:$G$97,2,0),"")</f>
        <v/>
      </c>
    </row>
    <row r="1765" spans="9:32" ht="15" customHeight="1" x14ac:dyDescent="0.3">
      <c r="I1765" s="201" t="str">
        <f t="shared" si="232"/>
        <v/>
      </c>
      <c r="J1765" s="218">
        <f t="shared" si="233"/>
        <v>1762</v>
      </c>
      <c r="K1765" s="250"/>
      <c r="L1765" s="219"/>
      <c r="M1765" s="218"/>
      <c r="N1765" s="220" t="str">
        <f>IFERROR(VLOOKUP(M1765,Data!$C$4:$D$395,2,0),"")</f>
        <v/>
      </c>
      <c r="O1765" s="220"/>
      <c r="P1765" s="229"/>
      <c r="Q1765" s="221"/>
      <c r="R1765" s="222" t="str">
        <f t="shared" si="234"/>
        <v>-</v>
      </c>
      <c r="S1765" s="223"/>
      <c r="T1765" s="224"/>
      <c r="U1765" s="225">
        <f t="shared" si="235"/>
        <v>0</v>
      </c>
      <c r="V1765" s="226">
        <v>0</v>
      </c>
      <c r="W1765" s="227"/>
      <c r="X1765" s="228">
        <f t="shared" si="236"/>
        <v>0</v>
      </c>
      <c r="Y1765" s="229"/>
      <c r="Z1765" s="229"/>
      <c r="AA1765" s="229"/>
      <c r="AB1765" s="222">
        <f t="shared" si="237"/>
        <v>0</v>
      </c>
      <c r="AC1765" s="230">
        <f t="shared" si="238"/>
        <v>0</v>
      </c>
      <c r="AD1765" s="222" t="str">
        <f t="shared" si="239"/>
        <v/>
      </c>
      <c r="AE1765" s="201"/>
      <c r="AF1765" s="231" t="str">
        <f>+IFERROR(VLOOKUP(L1765,Data!$F$4:$G$97,2,0),"")</f>
        <v/>
      </c>
    </row>
    <row r="1766" spans="9:32" ht="15" customHeight="1" x14ac:dyDescent="0.3">
      <c r="I1766" s="201" t="str">
        <f t="shared" si="232"/>
        <v/>
      </c>
      <c r="J1766" s="218">
        <f t="shared" si="233"/>
        <v>1763</v>
      </c>
      <c r="K1766" s="250"/>
      <c r="L1766" s="219"/>
      <c r="M1766" s="218"/>
      <c r="N1766" s="220" t="str">
        <f>IFERROR(VLOOKUP(M1766,Data!$C$4:$D$395,2,0),"")</f>
        <v/>
      </c>
      <c r="O1766" s="220"/>
      <c r="P1766" s="229"/>
      <c r="Q1766" s="221"/>
      <c r="R1766" s="222" t="str">
        <f t="shared" si="234"/>
        <v>-</v>
      </c>
      <c r="S1766" s="223"/>
      <c r="T1766" s="224"/>
      <c r="U1766" s="225">
        <f t="shared" si="235"/>
        <v>0</v>
      </c>
      <c r="V1766" s="226">
        <v>0</v>
      </c>
      <c r="W1766" s="227"/>
      <c r="X1766" s="228">
        <f t="shared" si="236"/>
        <v>0</v>
      </c>
      <c r="Y1766" s="229"/>
      <c r="Z1766" s="229"/>
      <c r="AA1766" s="229"/>
      <c r="AB1766" s="222">
        <f t="shared" si="237"/>
        <v>0</v>
      </c>
      <c r="AC1766" s="230">
        <f t="shared" si="238"/>
        <v>0</v>
      </c>
      <c r="AD1766" s="222" t="str">
        <f t="shared" si="239"/>
        <v/>
      </c>
      <c r="AE1766" s="201"/>
      <c r="AF1766" s="231" t="str">
        <f>+IFERROR(VLOOKUP(L1766,Data!$F$4:$G$97,2,0),"")</f>
        <v/>
      </c>
    </row>
    <row r="1767" spans="9:32" ht="15" customHeight="1" x14ac:dyDescent="0.3">
      <c r="I1767" s="201" t="str">
        <f t="shared" si="232"/>
        <v/>
      </c>
      <c r="J1767" s="218">
        <f t="shared" si="233"/>
        <v>1764</v>
      </c>
      <c r="K1767" s="250"/>
      <c r="L1767" s="219"/>
      <c r="M1767" s="218"/>
      <c r="N1767" s="220" t="str">
        <f>IFERROR(VLOOKUP(M1767,Data!$C$4:$D$395,2,0),"")</f>
        <v/>
      </c>
      <c r="O1767" s="220"/>
      <c r="P1767" s="229"/>
      <c r="Q1767" s="221"/>
      <c r="R1767" s="222" t="str">
        <f t="shared" si="234"/>
        <v>-</v>
      </c>
      <c r="S1767" s="223"/>
      <c r="T1767" s="224"/>
      <c r="U1767" s="225">
        <f t="shared" si="235"/>
        <v>0</v>
      </c>
      <c r="V1767" s="226">
        <v>0</v>
      </c>
      <c r="W1767" s="227"/>
      <c r="X1767" s="228">
        <f t="shared" si="236"/>
        <v>0</v>
      </c>
      <c r="Y1767" s="229"/>
      <c r="Z1767" s="229"/>
      <c r="AA1767" s="229"/>
      <c r="AB1767" s="222">
        <f t="shared" si="237"/>
        <v>0</v>
      </c>
      <c r="AC1767" s="230">
        <f t="shared" si="238"/>
        <v>0</v>
      </c>
      <c r="AD1767" s="222" t="str">
        <f t="shared" si="239"/>
        <v/>
      </c>
      <c r="AE1767" s="201"/>
      <c r="AF1767" s="231" t="str">
        <f>+IFERROR(VLOOKUP(L1767,Data!$F$4:$G$97,2,0),"")</f>
        <v/>
      </c>
    </row>
    <row r="1768" spans="9:32" ht="15" customHeight="1" x14ac:dyDescent="0.3">
      <c r="I1768" s="201" t="str">
        <f t="shared" si="232"/>
        <v/>
      </c>
      <c r="J1768" s="218">
        <f t="shared" si="233"/>
        <v>1765</v>
      </c>
      <c r="K1768" s="250"/>
      <c r="L1768" s="219"/>
      <c r="M1768" s="218"/>
      <c r="N1768" s="220" t="str">
        <f>IFERROR(VLOOKUP(M1768,Data!$C$4:$D$395,2,0),"")</f>
        <v/>
      </c>
      <c r="O1768" s="220"/>
      <c r="P1768" s="229"/>
      <c r="Q1768" s="221"/>
      <c r="R1768" s="222" t="str">
        <f t="shared" si="234"/>
        <v>-</v>
      </c>
      <c r="S1768" s="223"/>
      <c r="T1768" s="224"/>
      <c r="U1768" s="225">
        <f t="shared" si="235"/>
        <v>0</v>
      </c>
      <c r="V1768" s="226">
        <v>0</v>
      </c>
      <c r="W1768" s="227"/>
      <c r="X1768" s="228">
        <f t="shared" si="236"/>
        <v>0</v>
      </c>
      <c r="Y1768" s="229"/>
      <c r="Z1768" s="229"/>
      <c r="AA1768" s="229"/>
      <c r="AB1768" s="222">
        <f t="shared" si="237"/>
        <v>0</v>
      </c>
      <c r="AC1768" s="230">
        <f t="shared" si="238"/>
        <v>0</v>
      </c>
      <c r="AD1768" s="222" t="str">
        <f t="shared" si="239"/>
        <v/>
      </c>
      <c r="AE1768" s="201"/>
      <c r="AF1768" s="231" t="str">
        <f>+IFERROR(VLOOKUP(L1768,Data!$F$4:$G$97,2,0),"")</f>
        <v/>
      </c>
    </row>
    <row r="1769" spans="9:32" ht="15" customHeight="1" x14ac:dyDescent="0.3">
      <c r="I1769" s="201" t="str">
        <f t="shared" si="232"/>
        <v/>
      </c>
      <c r="J1769" s="218">
        <f t="shared" si="233"/>
        <v>1766</v>
      </c>
      <c r="K1769" s="250"/>
      <c r="L1769" s="219"/>
      <c r="M1769" s="218"/>
      <c r="N1769" s="220" t="str">
        <f>IFERROR(VLOOKUP(M1769,Data!$C$4:$D$395,2,0),"")</f>
        <v/>
      </c>
      <c r="O1769" s="220"/>
      <c r="P1769" s="229"/>
      <c r="Q1769" s="221"/>
      <c r="R1769" s="222" t="str">
        <f t="shared" si="234"/>
        <v>-</v>
      </c>
      <c r="S1769" s="223"/>
      <c r="T1769" s="224"/>
      <c r="U1769" s="225">
        <f t="shared" si="235"/>
        <v>0</v>
      </c>
      <c r="V1769" s="226">
        <v>0</v>
      </c>
      <c r="W1769" s="227"/>
      <c r="X1769" s="228">
        <f t="shared" si="236"/>
        <v>0</v>
      </c>
      <c r="Y1769" s="229"/>
      <c r="Z1769" s="229"/>
      <c r="AA1769" s="229"/>
      <c r="AB1769" s="222">
        <f t="shared" si="237"/>
        <v>0</v>
      </c>
      <c r="AC1769" s="230">
        <f t="shared" si="238"/>
        <v>0</v>
      </c>
      <c r="AD1769" s="222" t="str">
        <f t="shared" si="239"/>
        <v/>
      </c>
      <c r="AE1769" s="201"/>
      <c r="AF1769" s="231" t="str">
        <f>+IFERROR(VLOOKUP(L1769,Data!$F$4:$G$97,2,0),"")</f>
        <v/>
      </c>
    </row>
    <row r="1770" spans="9:32" ht="15" customHeight="1" x14ac:dyDescent="0.3">
      <c r="I1770" s="201" t="str">
        <f t="shared" si="232"/>
        <v/>
      </c>
      <c r="J1770" s="218">
        <f t="shared" si="233"/>
        <v>1767</v>
      </c>
      <c r="K1770" s="250"/>
      <c r="L1770" s="219"/>
      <c r="M1770" s="218"/>
      <c r="N1770" s="220" t="str">
        <f>IFERROR(VLOOKUP(M1770,Data!$C$4:$D$395,2,0),"")</f>
        <v/>
      </c>
      <c r="O1770" s="220"/>
      <c r="P1770" s="229"/>
      <c r="Q1770" s="221"/>
      <c r="R1770" s="222" t="str">
        <f t="shared" si="234"/>
        <v>-</v>
      </c>
      <c r="S1770" s="223"/>
      <c r="T1770" s="224"/>
      <c r="U1770" s="225">
        <f t="shared" si="235"/>
        <v>0</v>
      </c>
      <c r="V1770" s="226">
        <v>0</v>
      </c>
      <c r="W1770" s="227"/>
      <c r="X1770" s="228">
        <f t="shared" si="236"/>
        <v>0</v>
      </c>
      <c r="Y1770" s="229"/>
      <c r="Z1770" s="229"/>
      <c r="AA1770" s="229"/>
      <c r="AB1770" s="222">
        <f t="shared" si="237"/>
        <v>0</v>
      </c>
      <c r="AC1770" s="230">
        <f t="shared" si="238"/>
        <v>0</v>
      </c>
      <c r="AD1770" s="222" t="str">
        <f t="shared" si="239"/>
        <v/>
      </c>
      <c r="AE1770" s="201"/>
      <c r="AF1770" s="231" t="str">
        <f>+IFERROR(VLOOKUP(L1770,Data!$F$4:$G$97,2,0),"")</f>
        <v/>
      </c>
    </row>
    <row r="1771" spans="9:32" ht="15" customHeight="1" x14ac:dyDescent="0.3">
      <c r="I1771" s="201" t="str">
        <f t="shared" si="232"/>
        <v/>
      </c>
      <c r="J1771" s="218">
        <f t="shared" si="233"/>
        <v>1768</v>
      </c>
      <c r="K1771" s="250"/>
      <c r="L1771" s="219"/>
      <c r="M1771" s="218"/>
      <c r="N1771" s="220" t="str">
        <f>IFERROR(VLOOKUP(M1771,Data!$C$4:$D$395,2,0),"")</f>
        <v/>
      </c>
      <c r="O1771" s="220"/>
      <c r="P1771" s="229"/>
      <c r="Q1771" s="221"/>
      <c r="R1771" s="222" t="str">
        <f t="shared" si="234"/>
        <v>-</v>
      </c>
      <c r="S1771" s="223"/>
      <c r="T1771" s="224"/>
      <c r="U1771" s="225">
        <f t="shared" si="235"/>
        <v>0</v>
      </c>
      <c r="V1771" s="226">
        <v>0</v>
      </c>
      <c r="W1771" s="227"/>
      <c r="X1771" s="228">
        <f t="shared" si="236"/>
        <v>0</v>
      </c>
      <c r="Y1771" s="229"/>
      <c r="Z1771" s="229"/>
      <c r="AA1771" s="229"/>
      <c r="AB1771" s="222">
        <f t="shared" si="237"/>
        <v>0</v>
      </c>
      <c r="AC1771" s="230">
        <f t="shared" si="238"/>
        <v>0</v>
      </c>
      <c r="AD1771" s="222" t="str">
        <f t="shared" si="239"/>
        <v/>
      </c>
      <c r="AE1771" s="201"/>
      <c r="AF1771" s="231" t="str">
        <f>+IFERROR(VLOOKUP(L1771,Data!$F$4:$G$97,2,0),"")</f>
        <v/>
      </c>
    </row>
    <row r="1772" spans="9:32" ht="15" customHeight="1" x14ac:dyDescent="0.3">
      <c r="I1772" s="201" t="str">
        <f t="shared" si="232"/>
        <v/>
      </c>
      <c r="J1772" s="218">
        <f t="shared" si="233"/>
        <v>1769</v>
      </c>
      <c r="K1772" s="250"/>
      <c r="L1772" s="219"/>
      <c r="M1772" s="218"/>
      <c r="N1772" s="220" t="str">
        <f>IFERROR(VLOOKUP(M1772,Data!$C$4:$D$395,2,0),"")</f>
        <v/>
      </c>
      <c r="O1772" s="220"/>
      <c r="P1772" s="229"/>
      <c r="Q1772" s="221"/>
      <c r="R1772" s="222" t="str">
        <f t="shared" si="234"/>
        <v>-</v>
      </c>
      <c r="S1772" s="223"/>
      <c r="T1772" s="224"/>
      <c r="U1772" s="225">
        <f t="shared" si="235"/>
        <v>0</v>
      </c>
      <c r="V1772" s="226">
        <v>0</v>
      </c>
      <c r="W1772" s="227"/>
      <c r="X1772" s="228">
        <f t="shared" si="236"/>
        <v>0</v>
      </c>
      <c r="Y1772" s="229"/>
      <c r="Z1772" s="229"/>
      <c r="AA1772" s="229"/>
      <c r="AB1772" s="222">
        <f t="shared" si="237"/>
        <v>0</v>
      </c>
      <c r="AC1772" s="230">
        <f t="shared" si="238"/>
        <v>0</v>
      </c>
      <c r="AD1772" s="222" t="str">
        <f t="shared" si="239"/>
        <v/>
      </c>
      <c r="AE1772" s="201"/>
      <c r="AF1772" s="231" t="str">
        <f>+IFERROR(VLOOKUP(L1772,Data!$F$4:$G$97,2,0),"")</f>
        <v/>
      </c>
    </row>
    <row r="1773" spans="9:32" ht="15" customHeight="1" x14ac:dyDescent="0.3">
      <c r="I1773" s="201" t="str">
        <f t="shared" si="232"/>
        <v/>
      </c>
      <c r="J1773" s="218">
        <f t="shared" si="233"/>
        <v>1770</v>
      </c>
      <c r="K1773" s="250"/>
      <c r="L1773" s="219"/>
      <c r="M1773" s="218"/>
      <c r="N1773" s="220" t="str">
        <f>IFERROR(VLOOKUP(M1773,Data!$C$4:$D$395,2,0),"")</f>
        <v/>
      </c>
      <c r="O1773" s="220"/>
      <c r="P1773" s="229"/>
      <c r="Q1773" s="221"/>
      <c r="R1773" s="222" t="str">
        <f t="shared" si="234"/>
        <v>-</v>
      </c>
      <c r="S1773" s="223"/>
      <c r="T1773" s="224"/>
      <c r="U1773" s="225">
        <f t="shared" si="235"/>
        <v>0</v>
      </c>
      <c r="V1773" s="226">
        <v>0</v>
      </c>
      <c r="W1773" s="227"/>
      <c r="X1773" s="228">
        <f t="shared" si="236"/>
        <v>0</v>
      </c>
      <c r="Y1773" s="229"/>
      <c r="Z1773" s="229"/>
      <c r="AA1773" s="229"/>
      <c r="AB1773" s="222">
        <f t="shared" si="237"/>
        <v>0</v>
      </c>
      <c r="AC1773" s="230">
        <f t="shared" si="238"/>
        <v>0</v>
      </c>
      <c r="AD1773" s="222" t="str">
        <f t="shared" si="239"/>
        <v/>
      </c>
      <c r="AE1773" s="201"/>
      <c r="AF1773" s="231" t="str">
        <f>+IFERROR(VLOOKUP(L1773,Data!$F$4:$G$97,2,0),"")</f>
        <v/>
      </c>
    </row>
    <row r="1774" spans="9:32" ht="15" customHeight="1" x14ac:dyDescent="0.3">
      <c r="I1774" s="201" t="str">
        <f t="shared" si="232"/>
        <v/>
      </c>
      <c r="J1774" s="218">
        <f t="shared" si="233"/>
        <v>1771</v>
      </c>
      <c r="K1774" s="250"/>
      <c r="L1774" s="219"/>
      <c r="M1774" s="218"/>
      <c r="N1774" s="220" t="str">
        <f>IFERROR(VLOOKUP(M1774,Data!$C$4:$D$395,2,0),"")</f>
        <v/>
      </c>
      <c r="O1774" s="220"/>
      <c r="P1774" s="229"/>
      <c r="Q1774" s="221"/>
      <c r="R1774" s="222" t="str">
        <f t="shared" si="234"/>
        <v>-</v>
      </c>
      <c r="S1774" s="223"/>
      <c r="T1774" s="224"/>
      <c r="U1774" s="225">
        <f t="shared" si="235"/>
        <v>0</v>
      </c>
      <c r="V1774" s="226">
        <v>0</v>
      </c>
      <c r="W1774" s="227"/>
      <c r="X1774" s="228">
        <f t="shared" si="236"/>
        <v>0</v>
      </c>
      <c r="Y1774" s="229"/>
      <c r="Z1774" s="229"/>
      <c r="AA1774" s="229"/>
      <c r="AB1774" s="222">
        <f t="shared" si="237"/>
        <v>0</v>
      </c>
      <c r="AC1774" s="230">
        <f t="shared" si="238"/>
        <v>0</v>
      </c>
      <c r="AD1774" s="222" t="str">
        <f t="shared" si="239"/>
        <v/>
      </c>
      <c r="AE1774" s="201"/>
      <c r="AF1774" s="231" t="str">
        <f>+IFERROR(VLOOKUP(L1774,Data!$F$4:$G$97,2,0),"")</f>
        <v/>
      </c>
    </row>
    <row r="1775" spans="9:32" ht="15" customHeight="1" x14ac:dyDescent="0.3">
      <c r="I1775" s="201" t="str">
        <f t="shared" si="232"/>
        <v/>
      </c>
      <c r="J1775" s="218">
        <f t="shared" si="233"/>
        <v>1772</v>
      </c>
      <c r="K1775" s="250"/>
      <c r="L1775" s="219"/>
      <c r="M1775" s="218"/>
      <c r="N1775" s="220" t="str">
        <f>IFERROR(VLOOKUP(M1775,Data!$C$4:$D$395,2,0),"")</f>
        <v/>
      </c>
      <c r="O1775" s="220"/>
      <c r="P1775" s="229"/>
      <c r="Q1775" s="221"/>
      <c r="R1775" s="222" t="str">
        <f t="shared" si="234"/>
        <v>-</v>
      </c>
      <c r="S1775" s="223"/>
      <c r="T1775" s="224"/>
      <c r="U1775" s="225">
        <f t="shared" si="235"/>
        <v>0</v>
      </c>
      <c r="V1775" s="226">
        <v>0</v>
      </c>
      <c r="W1775" s="227"/>
      <c r="X1775" s="228">
        <f t="shared" si="236"/>
        <v>0</v>
      </c>
      <c r="Y1775" s="229"/>
      <c r="Z1775" s="229"/>
      <c r="AA1775" s="229"/>
      <c r="AB1775" s="222">
        <f t="shared" si="237"/>
        <v>0</v>
      </c>
      <c r="AC1775" s="230">
        <f t="shared" si="238"/>
        <v>0</v>
      </c>
      <c r="AD1775" s="222" t="str">
        <f t="shared" si="239"/>
        <v/>
      </c>
      <c r="AE1775" s="201"/>
      <c r="AF1775" s="231" t="str">
        <f>+IFERROR(VLOOKUP(L1775,Data!$F$4:$G$97,2,0),"")</f>
        <v/>
      </c>
    </row>
    <row r="1776" spans="9:32" ht="15" customHeight="1" x14ac:dyDescent="0.3">
      <c r="I1776" s="201" t="str">
        <f t="shared" si="232"/>
        <v/>
      </c>
      <c r="J1776" s="218">
        <f t="shared" si="233"/>
        <v>1773</v>
      </c>
      <c r="K1776" s="250"/>
      <c r="L1776" s="219"/>
      <c r="M1776" s="218"/>
      <c r="N1776" s="220" t="str">
        <f>IFERROR(VLOOKUP(M1776,Data!$C$4:$D$395,2,0),"")</f>
        <v/>
      </c>
      <c r="O1776" s="220"/>
      <c r="P1776" s="229"/>
      <c r="Q1776" s="221"/>
      <c r="R1776" s="222" t="str">
        <f t="shared" si="234"/>
        <v>-</v>
      </c>
      <c r="S1776" s="223"/>
      <c r="T1776" s="224"/>
      <c r="U1776" s="225">
        <f t="shared" si="235"/>
        <v>0</v>
      </c>
      <c r="V1776" s="226">
        <v>0</v>
      </c>
      <c r="W1776" s="227"/>
      <c r="X1776" s="228">
        <f t="shared" si="236"/>
        <v>0</v>
      </c>
      <c r="Y1776" s="229"/>
      <c r="Z1776" s="229"/>
      <c r="AA1776" s="229"/>
      <c r="AB1776" s="222">
        <f t="shared" si="237"/>
        <v>0</v>
      </c>
      <c r="AC1776" s="230">
        <f t="shared" si="238"/>
        <v>0</v>
      </c>
      <c r="AD1776" s="222" t="str">
        <f t="shared" si="239"/>
        <v/>
      </c>
      <c r="AE1776" s="201"/>
      <c r="AF1776" s="231" t="str">
        <f>+IFERROR(VLOOKUP(L1776,Data!$F$4:$G$97,2,0),"")</f>
        <v/>
      </c>
    </row>
    <row r="1777" spans="9:32" ht="15" customHeight="1" x14ac:dyDescent="0.3">
      <c r="I1777" s="201" t="str">
        <f t="shared" si="232"/>
        <v/>
      </c>
      <c r="J1777" s="218">
        <f t="shared" si="233"/>
        <v>1774</v>
      </c>
      <c r="K1777" s="250"/>
      <c r="L1777" s="219"/>
      <c r="M1777" s="218"/>
      <c r="N1777" s="220" t="str">
        <f>IFERROR(VLOOKUP(M1777,Data!$C$4:$D$395,2,0),"")</f>
        <v/>
      </c>
      <c r="O1777" s="220"/>
      <c r="P1777" s="229"/>
      <c r="Q1777" s="221"/>
      <c r="R1777" s="222" t="str">
        <f t="shared" si="234"/>
        <v>-</v>
      </c>
      <c r="S1777" s="223"/>
      <c r="T1777" s="224"/>
      <c r="U1777" s="225">
        <f t="shared" si="235"/>
        <v>0</v>
      </c>
      <c r="V1777" s="226">
        <v>0</v>
      </c>
      <c r="W1777" s="227"/>
      <c r="X1777" s="228">
        <f t="shared" si="236"/>
        <v>0</v>
      </c>
      <c r="Y1777" s="229"/>
      <c r="Z1777" s="229"/>
      <c r="AA1777" s="229"/>
      <c r="AB1777" s="222">
        <f t="shared" si="237"/>
        <v>0</v>
      </c>
      <c r="AC1777" s="230">
        <f t="shared" si="238"/>
        <v>0</v>
      </c>
      <c r="AD1777" s="222" t="str">
        <f t="shared" si="239"/>
        <v/>
      </c>
      <c r="AE1777" s="201"/>
      <c r="AF1777" s="231" t="str">
        <f>+IFERROR(VLOOKUP(L1777,Data!$F$4:$G$97,2,0),"")</f>
        <v/>
      </c>
    </row>
    <row r="1778" spans="9:32" ht="15" customHeight="1" x14ac:dyDescent="0.3">
      <c r="I1778" s="201" t="str">
        <f t="shared" si="232"/>
        <v/>
      </c>
      <c r="J1778" s="218">
        <f t="shared" si="233"/>
        <v>1775</v>
      </c>
      <c r="K1778" s="250"/>
      <c r="L1778" s="219"/>
      <c r="M1778" s="218"/>
      <c r="N1778" s="220" t="str">
        <f>IFERROR(VLOOKUP(M1778,Data!$C$4:$D$395,2,0),"")</f>
        <v/>
      </c>
      <c r="O1778" s="220"/>
      <c r="P1778" s="229"/>
      <c r="Q1778" s="221"/>
      <c r="R1778" s="222" t="str">
        <f t="shared" si="234"/>
        <v>-</v>
      </c>
      <c r="S1778" s="223"/>
      <c r="T1778" s="224"/>
      <c r="U1778" s="225">
        <f t="shared" si="235"/>
        <v>0</v>
      </c>
      <c r="V1778" s="226">
        <v>0</v>
      </c>
      <c r="W1778" s="227"/>
      <c r="X1778" s="228">
        <f t="shared" si="236"/>
        <v>0</v>
      </c>
      <c r="Y1778" s="229"/>
      <c r="Z1778" s="229"/>
      <c r="AA1778" s="229"/>
      <c r="AB1778" s="222">
        <f t="shared" si="237"/>
        <v>0</v>
      </c>
      <c r="AC1778" s="230">
        <f t="shared" si="238"/>
        <v>0</v>
      </c>
      <c r="AD1778" s="222" t="str">
        <f t="shared" si="239"/>
        <v/>
      </c>
      <c r="AE1778" s="201"/>
      <c r="AF1778" s="231" t="str">
        <f>+IFERROR(VLOOKUP(L1778,Data!$F$4:$G$97,2,0),"")</f>
        <v/>
      </c>
    </row>
    <row r="1779" spans="9:32" ht="15" customHeight="1" x14ac:dyDescent="0.3">
      <c r="I1779" s="201" t="str">
        <f t="shared" si="232"/>
        <v/>
      </c>
      <c r="J1779" s="218">
        <f t="shared" si="233"/>
        <v>1776</v>
      </c>
      <c r="K1779" s="250"/>
      <c r="L1779" s="219"/>
      <c r="M1779" s="218"/>
      <c r="N1779" s="220" t="str">
        <f>IFERROR(VLOOKUP(M1779,Data!$C$4:$D$395,2,0),"")</f>
        <v/>
      </c>
      <c r="O1779" s="220"/>
      <c r="P1779" s="229"/>
      <c r="Q1779" s="221"/>
      <c r="R1779" s="222" t="str">
        <f t="shared" si="234"/>
        <v>-</v>
      </c>
      <c r="S1779" s="223"/>
      <c r="T1779" s="224"/>
      <c r="U1779" s="225">
        <f t="shared" si="235"/>
        <v>0</v>
      </c>
      <c r="V1779" s="226">
        <v>0</v>
      </c>
      <c r="W1779" s="227"/>
      <c r="X1779" s="228">
        <f t="shared" si="236"/>
        <v>0</v>
      </c>
      <c r="Y1779" s="229"/>
      <c r="Z1779" s="229"/>
      <c r="AA1779" s="229"/>
      <c r="AB1779" s="222">
        <f t="shared" si="237"/>
        <v>0</v>
      </c>
      <c r="AC1779" s="230">
        <f t="shared" si="238"/>
        <v>0</v>
      </c>
      <c r="AD1779" s="222" t="str">
        <f t="shared" si="239"/>
        <v/>
      </c>
      <c r="AE1779" s="201"/>
      <c r="AF1779" s="231" t="str">
        <f>+IFERROR(VLOOKUP(L1779,Data!$F$4:$G$97,2,0),"")</f>
        <v/>
      </c>
    </row>
    <row r="1780" spans="9:32" ht="15" customHeight="1" x14ac:dyDescent="0.3">
      <c r="I1780" s="201" t="str">
        <f t="shared" si="232"/>
        <v/>
      </c>
      <c r="J1780" s="218">
        <f t="shared" si="233"/>
        <v>1777</v>
      </c>
      <c r="K1780" s="250"/>
      <c r="L1780" s="219"/>
      <c r="M1780" s="218"/>
      <c r="N1780" s="220" t="str">
        <f>IFERROR(VLOOKUP(M1780,Data!$C$4:$D$395,2,0),"")</f>
        <v/>
      </c>
      <c r="O1780" s="220"/>
      <c r="P1780" s="229"/>
      <c r="Q1780" s="221"/>
      <c r="R1780" s="222" t="str">
        <f t="shared" si="234"/>
        <v>-</v>
      </c>
      <c r="S1780" s="223"/>
      <c r="T1780" s="224"/>
      <c r="U1780" s="225">
        <f t="shared" si="235"/>
        <v>0</v>
      </c>
      <c r="V1780" s="226">
        <v>0</v>
      </c>
      <c r="W1780" s="227"/>
      <c r="X1780" s="228">
        <f t="shared" si="236"/>
        <v>0</v>
      </c>
      <c r="Y1780" s="229"/>
      <c r="Z1780" s="229"/>
      <c r="AA1780" s="229"/>
      <c r="AB1780" s="222">
        <f t="shared" si="237"/>
        <v>0</v>
      </c>
      <c r="AC1780" s="230">
        <f t="shared" si="238"/>
        <v>0</v>
      </c>
      <c r="AD1780" s="222" t="str">
        <f t="shared" si="239"/>
        <v/>
      </c>
      <c r="AE1780" s="201"/>
      <c r="AF1780" s="231" t="str">
        <f>+IFERROR(VLOOKUP(L1780,Data!$F$4:$G$97,2,0),"")</f>
        <v/>
      </c>
    </row>
    <row r="1781" spans="9:32" ht="15" customHeight="1" x14ac:dyDescent="0.3">
      <c r="I1781" s="201" t="str">
        <f t="shared" si="232"/>
        <v/>
      </c>
      <c r="J1781" s="218">
        <f t="shared" si="233"/>
        <v>1778</v>
      </c>
      <c r="K1781" s="250"/>
      <c r="L1781" s="219"/>
      <c r="M1781" s="218"/>
      <c r="N1781" s="220" t="str">
        <f>IFERROR(VLOOKUP(M1781,Data!$C$4:$D$395,2,0),"")</f>
        <v/>
      </c>
      <c r="O1781" s="220"/>
      <c r="P1781" s="229"/>
      <c r="Q1781" s="221"/>
      <c r="R1781" s="222" t="str">
        <f t="shared" si="234"/>
        <v>-</v>
      </c>
      <c r="S1781" s="223"/>
      <c r="T1781" s="224"/>
      <c r="U1781" s="225">
        <f t="shared" si="235"/>
        <v>0</v>
      </c>
      <c r="V1781" s="226">
        <v>0</v>
      </c>
      <c r="W1781" s="227"/>
      <c r="X1781" s="228">
        <f t="shared" si="236"/>
        <v>0</v>
      </c>
      <c r="Y1781" s="229"/>
      <c r="Z1781" s="229"/>
      <c r="AA1781" s="229"/>
      <c r="AB1781" s="222">
        <f t="shared" si="237"/>
        <v>0</v>
      </c>
      <c r="AC1781" s="230">
        <f t="shared" si="238"/>
        <v>0</v>
      </c>
      <c r="AD1781" s="222" t="str">
        <f t="shared" si="239"/>
        <v/>
      </c>
      <c r="AE1781" s="201"/>
      <c r="AF1781" s="231" t="str">
        <f>+IFERROR(VLOOKUP(L1781,Data!$F$4:$G$97,2,0),"")</f>
        <v/>
      </c>
    </row>
    <row r="1782" spans="9:32" ht="15" customHeight="1" x14ac:dyDescent="0.3">
      <c r="I1782" s="201" t="str">
        <f t="shared" si="232"/>
        <v/>
      </c>
      <c r="J1782" s="218">
        <f t="shared" si="233"/>
        <v>1779</v>
      </c>
      <c r="K1782" s="250"/>
      <c r="L1782" s="219"/>
      <c r="M1782" s="218"/>
      <c r="N1782" s="220" t="str">
        <f>IFERROR(VLOOKUP(M1782,Data!$C$4:$D$395,2,0),"")</f>
        <v/>
      </c>
      <c r="O1782" s="220"/>
      <c r="P1782" s="229"/>
      <c r="Q1782" s="221"/>
      <c r="R1782" s="222" t="str">
        <f t="shared" si="234"/>
        <v>-</v>
      </c>
      <c r="S1782" s="223"/>
      <c r="T1782" s="224"/>
      <c r="U1782" s="225">
        <f t="shared" si="235"/>
        <v>0</v>
      </c>
      <c r="V1782" s="226">
        <v>0</v>
      </c>
      <c r="W1782" s="227"/>
      <c r="X1782" s="228">
        <f t="shared" si="236"/>
        <v>0</v>
      </c>
      <c r="Y1782" s="229"/>
      <c r="Z1782" s="229"/>
      <c r="AA1782" s="229"/>
      <c r="AB1782" s="222">
        <f t="shared" si="237"/>
        <v>0</v>
      </c>
      <c r="AC1782" s="230">
        <f t="shared" si="238"/>
        <v>0</v>
      </c>
      <c r="AD1782" s="222" t="str">
        <f t="shared" si="239"/>
        <v/>
      </c>
      <c r="AE1782" s="201"/>
      <c r="AF1782" s="231" t="str">
        <f>+IFERROR(VLOOKUP(L1782,Data!$F$4:$G$97,2,0),"")</f>
        <v/>
      </c>
    </row>
    <row r="1783" spans="9:32" ht="15" customHeight="1" x14ac:dyDescent="0.3">
      <c r="I1783" s="201" t="str">
        <f t="shared" si="232"/>
        <v/>
      </c>
      <c r="J1783" s="218">
        <f t="shared" si="233"/>
        <v>1780</v>
      </c>
      <c r="K1783" s="250"/>
      <c r="L1783" s="219"/>
      <c r="M1783" s="218"/>
      <c r="N1783" s="220" t="str">
        <f>IFERROR(VLOOKUP(M1783,Data!$C$4:$D$395,2,0),"")</f>
        <v/>
      </c>
      <c r="O1783" s="220"/>
      <c r="P1783" s="229"/>
      <c r="Q1783" s="221"/>
      <c r="R1783" s="222" t="str">
        <f t="shared" si="234"/>
        <v>-</v>
      </c>
      <c r="S1783" s="223"/>
      <c r="T1783" s="224"/>
      <c r="U1783" s="225">
        <f t="shared" si="235"/>
        <v>0</v>
      </c>
      <c r="V1783" s="226">
        <v>0</v>
      </c>
      <c r="W1783" s="227"/>
      <c r="X1783" s="228">
        <f t="shared" si="236"/>
        <v>0</v>
      </c>
      <c r="Y1783" s="229"/>
      <c r="Z1783" s="229"/>
      <c r="AA1783" s="229"/>
      <c r="AB1783" s="222">
        <f t="shared" si="237"/>
        <v>0</v>
      </c>
      <c r="AC1783" s="230">
        <f t="shared" si="238"/>
        <v>0</v>
      </c>
      <c r="AD1783" s="222" t="str">
        <f t="shared" si="239"/>
        <v/>
      </c>
      <c r="AE1783" s="201"/>
      <c r="AF1783" s="231" t="str">
        <f>+IFERROR(VLOOKUP(L1783,Data!$F$4:$G$97,2,0),"")</f>
        <v/>
      </c>
    </row>
    <row r="1784" spans="9:32" ht="15" customHeight="1" x14ac:dyDescent="0.3">
      <c r="I1784" s="201" t="str">
        <f t="shared" si="232"/>
        <v/>
      </c>
      <c r="J1784" s="218">
        <f t="shared" si="233"/>
        <v>1781</v>
      </c>
      <c r="K1784" s="250"/>
      <c r="L1784" s="219"/>
      <c r="M1784" s="218"/>
      <c r="N1784" s="220" t="str">
        <f>IFERROR(VLOOKUP(M1784,Data!$C$4:$D$395,2,0),"")</f>
        <v/>
      </c>
      <c r="O1784" s="220"/>
      <c r="P1784" s="229"/>
      <c r="Q1784" s="221"/>
      <c r="R1784" s="222" t="str">
        <f t="shared" si="234"/>
        <v>-</v>
      </c>
      <c r="S1784" s="223"/>
      <c r="T1784" s="224"/>
      <c r="U1784" s="225">
        <f t="shared" si="235"/>
        <v>0</v>
      </c>
      <c r="V1784" s="226">
        <v>0</v>
      </c>
      <c r="W1784" s="227"/>
      <c r="X1784" s="228">
        <f t="shared" si="236"/>
        <v>0</v>
      </c>
      <c r="Y1784" s="229"/>
      <c r="Z1784" s="229"/>
      <c r="AA1784" s="229"/>
      <c r="AB1784" s="222">
        <f t="shared" si="237"/>
        <v>0</v>
      </c>
      <c r="AC1784" s="230">
        <f t="shared" si="238"/>
        <v>0</v>
      </c>
      <c r="AD1784" s="222" t="str">
        <f t="shared" si="239"/>
        <v/>
      </c>
      <c r="AE1784" s="201"/>
      <c r="AF1784" s="231" t="str">
        <f>+IFERROR(VLOOKUP(L1784,Data!$F$4:$G$97,2,0),"")</f>
        <v/>
      </c>
    </row>
    <row r="1785" spans="9:32" ht="15" customHeight="1" x14ac:dyDescent="0.3">
      <c r="I1785" s="201" t="str">
        <f t="shared" si="232"/>
        <v/>
      </c>
      <c r="J1785" s="218">
        <f t="shared" si="233"/>
        <v>1782</v>
      </c>
      <c r="K1785" s="250"/>
      <c r="L1785" s="219"/>
      <c r="M1785" s="218"/>
      <c r="N1785" s="220" t="str">
        <f>IFERROR(VLOOKUP(M1785,Data!$C$4:$D$395,2,0),"")</f>
        <v/>
      </c>
      <c r="O1785" s="220"/>
      <c r="P1785" s="229"/>
      <c r="Q1785" s="221"/>
      <c r="R1785" s="222" t="str">
        <f t="shared" si="234"/>
        <v>-</v>
      </c>
      <c r="S1785" s="223"/>
      <c r="T1785" s="224"/>
      <c r="U1785" s="225">
        <f t="shared" si="235"/>
        <v>0</v>
      </c>
      <c r="V1785" s="226">
        <v>0</v>
      </c>
      <c r="W1785" s="227"/>
      <c r="X1785" s="228">
        <f t="shared" si="236"/>
        <v>0</v>
      </c>
      <c r="Y1785" s="229"/>
      <c r="Z1785" s="229"/>
      <c r="AA1785" s="229"/>
      <c r="AB1785" s="222">
        <f t="shared" si="237"/>
        <v>0</v>
      </c>
      <c r="AC1785" s="230">
        <f t="shared" si="238"/>
        <v>0</v>
      </c>
      <c r="AD1785" s="222" t="str">
        <f t="shared" si="239"/>
        <v/>
      </c>
      <c r="AE1785" s="201"/>
      <c r="AF1785" s="231" t="str">
        <f>+IFERROR(VLOOKUP(L1785,Data!$F$4:$G$97,2,0),"")</f>
        <v/>
      </c>
    </row>
    <row r="1786" spans="9:32" ht="15" customHeight="1" x14ac:dyDescent="0.3">
      <c r="I1786" s="201" t="str">
        <f t="shared" si="232"/>
        <v/>
      </c>
      <c r="J1786" s="218">
        <f t="shared" si="233"/>
        <v>1783</v>
      </c>
      <c r="K1786" s="250"/>
      <c r="L1786" s="219"/>
      <c r="M1786" s="218"/>
      <c r="N1786" s="220" t="str">
        <f>IFERROR(VLOOKUP(M1786,Data!$C$4:$D$395,2,0),"")</f>
        <v/>
      </c>
      <c r="O1786" s="220"/>
      <c r="P1786" s="229"/>
      <c r="Q1786" s="221"/>
      <c r="R1786" s="222" t="str">
        <f t="shared" si="234"/>
        <v>-</v>
      </c>
      <c r="S1786" s="223"/>
      <c r="T1786" s="224"/>
      <c r="U1786" s="225">
        <f t="shared" si="235"/>
        <v>0</v>
      </c>
      <c r="V1786" s="226">
        <v>0</v>
      </c>
      <c r="W1786" s="227"/>
      <c r="X1786" s="228">
        <f t="shared" si="236"/>
        <v>0</v>
      </c>
      <c r="Y1786" s="229"/>
      <c r="Z1786" s="229"/>
      <c r="AA1786" s="229"/>
      <c r="AB1786" s="222">
        <f t="shared" si="237"/>
        <v>0</v>
      </c>
      <c r="AC1786" s="230">
        <f t="shared" si="238"/>
        <v>0</v>
      </c>
      <c r="AD1786" s="222" t="str">
        <f t="shared" si="239"/>
        <v/>
      </c>
      <c r="AE1786" s="201"/>
      <c r="AF1786" s="231" t="str">
        <f>+IFERROR(VLOOKUP(L1786,Data!$F$4:$G$97,2,0),"")</f>
        <v/>
      </c>
    </row>
    <row r="1787" spans="9:32" ht="15" customHeight="1" x14ac:dyDescent="0.3">
      <c r="I1787" s="201" t="str">
        <f t="shared" si="232"/>
        <v/>
      </c>
      <c r="J1787" s="218">
        <f t="shared" si="233"/>
        <v>1784</v>
      </c>
      <c r="K1787" s="250"/>
      <c r="L1787" s="219"/>
      <c r="M1787" s="218"/>
      <c r="N1787" s="220" t="str">
        <f>IFERROR(VLOOKUP(M1787,Data!$C$4:$D$395,2,0),"")</f>
        <v/>
      </c>
      <c r="O1787" s="220"/>
      <c r="P1787" s="229"/>
      <c r="Q1787" s="221"/>
      <c r="R1787" s="222" t="str">
        <f t="shared" si="234"/>
        <v>-</v>
      </c>
      <c r="S1787" s="223"/>
      <c r="T1787" s="224"/>
      <c r="U1787" s="225">
        <f t="shared" si="235"/>
        <v>0</v>
      </c>
      <c r="V1787" s="226">
        <v>0</v>
      </c>
      <c r="W1787" s="227"/>
      <c r="X1787" s="228">
        <f t="shared" si="236"/>
        <v>0</v>
      </c>
      <c r="Y1787" s="229"/>
      <c r="Z1787" s="229"/>
      <c r="AA1787" s="229"/>
      <c r="AB1787" s="222">
        <f t="shared" si="237"/>
        <v>0</v>
      </c>
      <c r="AC1787" s="230">
        <f t="shared" si="238"/>
        <v>0</v>
      </c>
      <c r="AD1787" s="222" t="str">
        <f t="shared" si="239"/>
        <v/>
      </c>
      <c r="AE1787" s="201"/>
      <c r="AF1787" s="231" t="str">
        <f>+IFERROR(VLOOKUP(L1787,Data!$F$4:$G$97,2,0),"")</f>
        <v/>
      </c>
    </row>
    <row r="1788" spans="9:32" ht="15" customHeight="1" x14ac:dyDescent="0.3">
      <c r="I1788" s="201" t="str">
        <f t="shared" si="232"/>
        <v/>
      </c>
      <c r="J1788" s="218">
        <f t="shared" si="233"/>
        <v>1785</v>
      </c>
      <c r="K1788" s="250"/>
      <c r="L1788" s="219"/>
      <c r="M1788" s="218"/>
      <c r="N1788" s="220" t="str">
        <f>IFERROR(VLOOKUP(M1788,Data!$C$4:$D$395,2,0),"")</f>
        <v/>
      </c>
      <c r="O1788" s="220"/>
      <c r="P1788" s="229"/>
      <c r="Q1788" s="221"/>
      <c r="R1788" s="222" t="str">
        <f t="shared" si="234"/>
        <v>-</v>
      </c>
      <c r="S1788" s="223"/>
      <c r="T1788" s="224"/>
      <c r="U1788" s="225">
        <f t="shared" si="235"/>
        <v>0</v>
      </c>
      <c r="V1788" s="226">
        <v>0</v>
      </c>
      <c r="W1788" s="227"/>
      <c r="X1788" s="228">
        <f t="shared" si="236"/>
        <v>0</v>
      </c>
      <c r="Y1788" s="229"/>
      <c r="Z1788" s="229"/>
      <c r="AA1788" s="229"/>
      <c r="AB1788" s="222">
        <f t="shared" si="237"/>
        <v>0</v>
      </c>
      <c r="AC1788" s="230">
        <f t="shared" si="238"/>
        <v>0</v>
      </c>
      <c r="AD1788" s="222" t="str">
        <f t="shared" si="239"/>
        <v/>
      </c>
      <c r="AE1788" s="201"/>
      <c r="AF1788" s="231" t="str">
        <f>+IFERROR(VLOOKUP(L1788,Data!$F$4:$G$97,2,0),"")</f>
        <v/>
      </c>
    </row>
    <row r="1789" spans="9:32" ht="15" customHeight="1" x14ac:dyDescent="0.3">
      <c r="I1789" s="201" t="str">
        <f t="shared" ref="I1789:I1852" si="240">+AF1789</f>
        <v/>
      </c>
      <c r="J1789" s="218">
        <f t="shared" si="233"/>
        <v>1786</v>
      </c>
      <c r="K1789" s="250"/>
      <c r="L1789" s="219"/>
      <c r="M1789" s="218"/>
      <c r="N1789" s="220" t="str">
        <f>IFERROR(VLOOKUP(M1789,Data!$C$4:$D$395,2,0),"")</f>
        <v/>
      </c>
      <c r="O1789" s="220"/>
      <c r="P1789" s="229"/>
      <c r="Q1789" s="221"/>
      <c r="R1789" s="222" t="str">
        <f t="shared" si="234"/>
        <v>-</v>
      </c>
      <c r="S1789" s="223"/>
      <c r="T1789" s="224"/>
      <c r="U1789" s="225">
        <f t="shared" si="235"/>
        <v>0</v>
      </c>
      <c r="V1789" s="226">
        <v>0</v>
      </c>
      <c r="W1789" s="227"/>
      <c r="X1789" s="228">
        <f t="shared" si="236"/>
        <v>0</v>
      </c>
      <c r="Y1789" s="229"/>
      <c r="Z1789" s="229"/>
      <c r="AA1789" s="229"/>
      <c r="AB1789" s="222">
        <f t="shared" si="237"/>
        <v>0</v>
      </c>
      <c r="AC1789" s="230">
        <f t="shared" si="238"/>
        <v>0</v>
      </c>
      <c r="AD1789" s="222" t="str">
        <f t="shared" si="239"/>
        <v/>
      </c>
      <c r="AE1789" s="201"/>
      <c r="AF1789" s="231" t="str">
        <f>+IFERROR(VLOOKUP(L1789,Data!$F$4:$G$97,2,0),"")</f>
        <v/>
      </c>
    </row>
    <row r="1790" spans="9:32" ht="15" customHeight="1" x14ac:dyDescent="0.3">
      <c r="I1790" s="201" t="str">
        <f t="shared" si="240"/>
        <v/>
      </c>
      <c r="J1790" s="218">
        <f t="shared" ref="J1790:J1853" si="241">J1789+1</f>
        <v>1787</v>
      </c>
      <c r="K1790" s="250"/>
      <c r="L1790" s="219"/>
      <c r="M1790" s="218"/>
      <c r="N1790" s="220" t="str">
        <f>IFERROR(VLOOKUP(M1790,Data!$C$4:$D$395,2,0),"")</f>
        <v/>
      </c>
      <c r="O1790" s="220"/>
      <c r="P1790" s="229"/>
      <c r="Q1790" s="221"/>
      <c r="R1790" s="222" t="str">
        <f t="shared" si="234"/>
        <v>-</v>
      </c>
      <c r="S1790" s="223"/>
      <c r="T1790" s="224"/>
      <c r="U1790" s="225">
        <f t="shared" si="235"/>
        <v>0</v>
      </c>
      <c r="V1790" s="226">
        <v>0</v>
      </c>
      <c r="W1790" s="227"/>
      <c r="X1790" s="228">
        <f t="shared" si="236"/>
        <v>0</v>
      </c>
      <c r="Y1790" s="229"/>
      <c r="Z1790" s="229"/>
      <c r="AA1790" s="229"/>
      <c r="AB1790" s="222">
        <f t="shared" si="237"/>
        <v>0</v>
      </c>
      <c r="AC1790" s="230">
        <f t="shared" si="238"/>
        <v>0</v>
      </c>
      <c r="AD1790" s="222" t="str">
        <f t="shared" si="239"/>
        <v/>
      </c>
      <c r="AE1790" s="201"/>
      <c r="AF1790" s="231" t="str">
        <f>+IFERROR(VLOOKUP(L1790,Data!$F$4:$G$97,2,0),"")</f>
        <v/>
      </c>
    </row>
    <row r="1791" spans="9:32" ht="15" customHeight="1" x14ac:dyDescent="0.3">
      <c r="I1791" s="201" t="str">
        <f t="shared" si="240"/>
        <v/>
      </c>
      <c r="J1791" s="218">
        <f t="shared" si="241"/>
        <v>1788</v>
      </c>
      <c r="K1791" s="250"/>
      <c r="L1791" s="219"/>
      <c r="M1791" s="218"/>
      <c r="N1791" s="220" t="str">
        <f>IFERROR(VLOOKUP(M1791,Data!$C$4:$D$395,2,0),"")</f>
        <v/>
      </c>
      <c r="O1791" s="220"/>
      <c r="P1791" s="229"/>
      <c r="Q1791" s="221"/>
      <c r="R1791" s="222" t="str">
        <f t="shared" si="234"/>
        <v>-</v>
      </c>
      <c r="S1791" s="223"/>
      <c r="T1791" s="224"/>
      <c r="U1791" s="225">
        <f t="shared" si="235"/>
        <v>0</v>
      </c>
      <c r="V1791" s="226">
        <v>0</v>
      </c>
      <c r="W1791" s="227"/>
      <c r="X1791" s="228">
        <f t="shared" si="236"/>
        <v>0</v>
      </c>
      <c r="Y1791" s="229"/>
      <c r="Z1791" s="229"/>
      <c r="AA1791" s="229"/>
      <c r="AB1791" s="222">
        <f t="shared" si="237"/>
        <v>0</v>
      </c>
      <c r="AC1791" s="230">
        <f t="shared" si="238"/>
        <v>0</v>
      </c>
      <c r="AD1791" s="222" t="str">
        <f t="shared" si="239"/>
        <v/>
      </c>
      <c r="AE1791" s="201"/>
      <c r="AF1791" s="231" t="str">
        <f>+IFERROR(VLOOKUP(L1791,Data!$F$4:$G$97,2,0),"")</f>
        <v/>
      </c>
    </row>
    <row r="1792" spans="9:32" ht="15" customHeight="1" x14ac:dyDescent="0.3">
      <c r="I1792" s="201" t="str">
        <f t="shared" si="240"/>
        <v/>
      </c>
      <c r="J1792" s="218">
        <f t="shared" si="241"/>
        <v>1789</v>
      </c>
      <c r="K1792" s="250"/>
      <c r="L1792" s="219"/>
      <c r="M1792" s="218"/>
      <c r="N1792" s="220" t="str">
        <f>IFERROR(VLOOKUP(M1792,Data!$C$4:$D$395,2,0),"")</f>
        <v/>
      </c>
      <c r="O1792" s="220"/>
      <c r="P1792" s="229"/>
      <c r="Q1792" s="221"/>
      <c r="R1792" s="222" t="str">
        <f t="shared" ref="R1792:R1855" si="242">IFERROR(Q1792/P1792, "-")</f>
        <v>-</v>
      </c>
      <c r="S1792" s="223"/>
      <c r="T1792" s="224"/>
      <c r="U1792" s="225">
        <f t="shared" ref="U1792:U1855" si="243">+Q1792*S1792+P1792*T1792</f>
        <v>0</v>
      </c>
      <c r="V1792" s="226">
        <v>0</v>
      </c>
      <c r="W1792" s="227"/>
      <c r="X1792" s="228">
        <f t="shared" ref="X1792:X1855" si="244">+Q1792*V1792+P1792*W1792</f>
        <v>0</v>
      </c>
      <c r="Y1792" s="229"/>
      <c r="Z1792" s="229"/>
      <c r="AA1792" s="229"/>
      <c r="AB1792" s="222">
        <f t="shared" ref="AB1792:AB1855" si="245">+Y1792+Z1792+AA1792</f>
        <v>0</v>
      </c>
      <c r="AC1792" s="230">
        <f t="shared" ref="AC1792:AC1855" si="246">IF((U1792-Y1792-Z1792-AA1792)&lt;0,"",(U1792-Y1792-Z1792-AA1792))</f>
        <v>0</v>
      </c>
      <c r="AD1792" s="222" t="str">
        <f t="shared" ref="AD1792:AD1855" si="247">IF((U1792-Y1792-Z1792-AA1792)&lt;0,(Y1792+Z1792+AA1792-U1792),"")</f>
        <v/>
      </c>
      <c r="AE1792" s="201"/>
      <c r="AF1792" s="231" t="str">
        <f>+IFERROR(VLOOKUP(L1792,Data!$F$4:$G$97,2,0),"")</f>
        <v/>
      </c>
    </row>
    <row r="1793" spans="9:32" ht="15" customHeight="1" x14ac:dyDescent="0.3">
      <c r="I1793" s="201" t="str">
        <f t="shared" si="240"/>
        <v/>
      </c>
      <c r="J1793" s="218">
        <f t="shared" si="241"/>
        <v>1790</v>
      </c>
      <c r="K1793" s="250"/>
      <c r="L1793" s="219"/>
      <c r="M1793" s="218"/>
      <c r="N1793" s="220" t="str">
        <f>IFERROR(VLOOKUP(M1793,Data!$C$4:$D$395,2,0),"")</f>
        <v/>
      </c>
      <c r="O1793" s="220"/>
      <c r="P1793" s="229"/>
      <c r="Q1793" s="221"/>
      <c r="R1793" s="222" t="str">
        <f t="shared" si="242"/>
        <v>-</v>
      </c>
      <c r="S1793" s="223"/>
      <c r="T1793" s="224"/>
      <c r="U1793" s="225">
        <f t="shared" si="243"/>
        <v>0</v>
      </c>
      <c r="V1793" s="226">
        <v>0</v>
      </c>
      <c r="W1793" s="227"/>
      <c r="X1793" s="228">
        <f t="shared" si="244"/>
        <v>0</v>
      </c>
      <c r="Y1793" s="229"/>
      <c r="Z1793" s="229"/>
      <c r="AA1793" s="229"/>
      <c r="AB1793" s="222">
        <f t="shared" si="245"/>
        <v>0</v>
      </c>
      <c r="AC1793" s="230">
        <f t="shared" si="246"/>
        <v>0</v>
      </c>
      <c r="AD1793" s="222" t="str">
        <f t="shared" si="247"/>
        <v/>
      </c>
      <c r="AE1793" s="201"/>
      <c r="AF1793" s="231" t="str">
        <f>+IFERROR(VLOOKUP(L1793,Data!$F$4:$G$97,2,0),"")</f>
        <v/>
      </c>
    </row>
    <row r="1794" spans="9:32" ht="15" customHeight="1" x14ac:dyDescent="0.3">
      <c r="I1794" s="201" t="str">
        <f t="shared" si="240"/>
        <v/>
      </c>
      <c r="J1794" s="218">
        <f t="shared" si="241"/>
        <v>1791</v>
      </c>
      <c r="K1794" s="250"/>
      <c r="L1794" s="219"/>
      <c r="M1794" s="218"/>
      <c r="N1794" s="220" t="str">
        <f>IFERROR(VLOOKUP(M1794,Data!$C$4:$D$395,2,0),"")</f>
        <v/>
      </c>
      <c r="O1794" s="220"/>
      <c r="P1794" s="229"/>
      <c r="Q1794" s="221"/>
      <c r="R1794" s="222" t="str">
        <f t="shared" si="242"/>
        <v>-</v>
      </c>
      <c r="S1794" s="223"/>
      <c r="T1794" s="224"/>
      <c r="U1794" s="225">
        <f t="shared" si="243"/>
        <v>0</v>
      </c>
      <c r="V1794" s="226">
        <v>0</v>
      </c>
      <c r="W1794" s="227"/>
      <c r="X1794" s="228">
        <f t="shared" si="244"/>
        <v>0</v>
      </c>
      <c r="Y1794" s="229"/>
      <c r="Z1794" s="229"/>
      <c r="AA1794" s="229"/>
      <c r="AB1794" s="222">
        <f t="shared" si="245"/>
        <v>0</v>
      </c>
      <c r="AC1794" s="230">
        <f t="shared" si="246"/>
        <v>0</v>
      </c>
      <c r="AD1794" s="222" t="str">
        <f t="shared" si="247"/>
        <v/>
      </c>
      <c r="AE1794" s="201"/>
      <c r="AF1794" s="231" t="str">
        <f>+IFERROR(VLOOKUP(L1794,Data!$F$4:$G$97,2,0),"")</f>
        <v/>
      </c>
    </row>
    <row r="1795" spans="9:32" ht="15" customHeight="1" x14ac:dyDescent="0.3">
      <c r="I1795" s="201" t="str">
        <f t="shared" si="240"/>
        <v/>
      </c>
      <c r="J1795" s="218">
        <f t="shared" si="241"/>
        <v>1792</v>
      </c>
      <c r="K1795" s="250"/>
      <c r="L1795" s="219"/>
      <c r="M1795" s="218"/>
      <c r="N1795" s="220" t="str">
        <f>IFERROR(VLOOKUP(M1795,Data!$C$4:$D$395,2,0),"")</f>
        <v/>
      </c>
      <c r="O1795" s="220"/>
      <c r="P1795" s="229"/>
      <c r="Q1795" s="221"/>
      <c r="R1795" s="222" t="str">
        <f t="shared" si="242"/>
        <v>-</v>
      </c>
      <c r="S1795" s="223"/>
      <c r="T1795" s="224"/>
      <c r="U1795" s="225">
        <f t="shared" si="243"/>
        <v>0</v>
      </c>
      <c r="V1795" s="226">
        <v>0</v>
      </c>
      <c r="W1795" s="227"/>
      <c r="X1795" s="228">
        <f t="shared" si="244"/>
        <v>0</v>
      </c>
      <c r="Y1795" s="229"/>
      <c r="Z1795" s="229"/>
      <c r="AA1795" s="229"/>
      <c r="AB1795" s="222">
        <f t="shared" si="245"/>
        <v>0</v>
      </c>
      <c r="AC1795" s="230">
        <f t="shared" si="246"/>
        <v>0</v>
      </c>
      <c r="AD1795" s="222" t="str">
        <f t="shared" si="247"/>
        <v/>
      </c>
      <c r="AE1795" s="201"/>
      <c r="AF1795" s="231" t="str">
        <f>+IFERROR(VLOOKUP(L1795,Data!$F$4:$G$97,2,0),"")</f>
        <v/>
      </c>
    </row>
    <row r="1796" spans="9:32" ht="15" customHeight="1" x14ac:dyDescent="0.3">
      <c r="I1796" s="201" t="str">
        <f t="shared" si="240"/>
        <v/>
      </c>
      <c r="J1796" s="218">
        <f t="shared" si="241"/>
        <v>1793</v>
      </c>
      <c r="K1796" s="250"/>
      <c r="L1796" s="219"/>
      <c r="M1796" s="218"/>
      <c r="N1796" s="220" t="str">
        <f>IFERROR(VLOOKUP(M1796,Data!$C$4:$D$395,2,0),"")</f>
        <v/>
      </c>
      <c r="O1796" s="220"/>
      <c r="P1796" s="229"/>
      <c r="Q1796" s="221"/>
      <c r="R1796" s="222" t="str">
        <f t="shared" si="242"/>
        <v>-</v>
      </c>
      <c r="S1796" s="223"/>
      <c r="T1796" s="224"/>
      <c r="U1796" s="225">
        <f t="shared" si="243"/>
        <v>0</v>
      </c>
      <c r="V1796" s="226">
        <v>0</v>
      </c>
      <c r="W1796" s="227"/>
      <c r="X1796" s="228">
        <f t="shared" si="244"/>
        <v>0</v>
      </c>
      <c r="Y1796" s="229"/>
      <c r="Z1796" s="229"/>
      <c r="AA1796" s="229"/>
      <c r="AB1796" s="222">
        <f t="shared" si="245"/>
        <v>0</v>
      </c>
      <c r="AC1796" s="230">
        <f t="shared" si="246"/>
        <v>0</v>
      </c>
      <c r="AD1796" s="222" t="str">
        <f t="shared" si="247"/>
        <v/>
      </c>
      <c r="AE1796" s="201"/>
      <c r="AF1796" s="231" t="str">
        <f>+IFERROR(VLOOKUP(L1796,Data!$F$4:$G$97,2,0),"")</f>
        <v/>
      </c>
    </row>
    <row r="1797" spans="9:32" ht="15" customHeight="1" x14ac:dyDescent="0.3">
      <c r="I1797" s="201" t="str">
        <f t="shared" si="240"/>
        <v/>
      </c>
      <c r="J1797" s="218">
        <f t="shared" si="241"/>
        <v>1794</v>
      </c>
      <c r="K1797" s="250"/>
      <c r="L1797" s="219"/>
      <c r="M1797" s="218"/>
      <c r="N1797" s="220" t="str">
        <f>IFERROR(VLOOKUP(M1797,Data!$C$4:$D$395,2,0),"")</f>
        <v/>
      </c>
      <c r="O1797" s="220"/>
      <c r="P1797" s="229"/>
      <c r="Q1797" s="221"/>
      <c r="R1797" s="222" t="str">
        <f t="shared" si="242"/>
        <v>-</v>
      </c>
      <c r="S1797" s="223"/>
      <c r="T1797" s="224"/>
      <c r="U1797" s="225">
        <f t="shared" si="243"/>
        <v>0</v>
      </c>
      <c r="V1797" s="226">
        <v>0</v>
      </c>
      <c r="W1797" s="227"/>
      <c r="X1797" s="228">
        <f t="shared" si="244"/>
        <v>0</v>
      </c>
      <c r="Y1797" s="229"/>
      <c r="Z1797" s="229"/>
      <c r="AA1797" s="229"/>
      <c r="AB1797" s="222">
        <f t="shared" si="245"/>
        <v>0</v>
      </c>
      <c r="AC1797" s="230">
        <f t="shared" si="246"/>
        <v>0</v>
      </c>
      <c r="AD1797" s="222" t="str">
        <f t="shared" si="247"/>
        <v/>
      </c>
      <c r="AE1797" s="201"/>
      <c r="AF1797" s="231" t="str">
        <f>+IFERROR(VLOOKUP(L1797,Data!$F$4:$G$97,2,0),"")</f>
        <v/>
      </c>
    </row>
    <row r="1798" spans="9:32" ht="15" customHeight="1" x14ac:dyDescent="0.3">
      <c r="I1798" s="201" t="str">
        <f t="shared" si="240"/>
        <v/>
      </c>
      <c r="J1798" s="218">
        <f t="shared" si="241"/>
        <v>1795</v>
      </c>
      <c r="K1798" s="250"/>
      <c r="L1798" s="219"/>
      <c r="M1798" s="218"/>
      <c r="N1798" s="220" t="str">
        <f>IFERROR(VLOOKUP(M1798,Data!$C$4:$D$395,2,0),"")</f>
        <v/>
      </c>
      <c r="O1798" s="220"/>
      <c r="P1798" s="229"/>
      <c r="Q1798" s="221"/>
      <c r="R1798" s="222" t="str">
        <f t="shared" si="242"/>
        <v>-</v>
      </c>
      <c r="S1798" s="223"/>
      <c r="T1798" s="224"/>
      <c r="U1798" s="225">
        <f t="shared" si="243"/>
        <v>0</v>
      </c>
      <c r="V1798" s="226">
        <v>0</v>
      </c>
      <c r="W1798" s="227"/>
      <c r="X1798" s="228">
        <f t="shared" si="244"/>
        <v>0</v>
      </c>
      <c r="Y1798" s="229"/>
      <c r="Z1798" s="229"/>
      <c r="AA1798" s="229"/>
      <c r="AB1798" s="222">
        <f t="shared" si="245"/>
        <v>0</v>
      </c>
      <c r="AC1798" s="230">
        <f t="shared" si="246"/>
        <v>0</v>
      </c>
      <c r="AD1798" s="222" t="str">
        <f t="shared" si="247"/>
        <v/>
      </c>
      <c r="AE1798" s="201"/>
      <c r="AF1798" s="231" t="str">
        <f>+IFERROR(VLOOKUP(L1798,Data!$F$4:$G$97,2,0),"")</f>
        <v/>
      </c>
    </row>
    <row r="1799" spans="9:32" ht="15" customHeight="1" x14ac:dyDescent="0.3">
      <c r="I1799" s="201" t="str">
        <f t="shared" si="240"/>
        <v/>
      </c>
      <c r="J1799" s="218">
        <f t="shared" si="241"/>
        <v>1796</v>
      </c>
      <c r="K1799" s="250"/>
      <c r="L1799" s="219"/>
      <c r="M1799" s="218"/>
      <c r="N1799" s="220" t="str">
        <f>IFERROR(VLOOKUP(M1799,Data!$C$4:$D$395,2,0),"")</f>
        <v/>
      </c>
      <c r="O1799" s="220"/>
      <c r="P1799" s="229"/>
      <c r="Q1799" s="221"/>
      <c r="R1799" s="222" t="str">
        <f t="shared" si="242"/>
        <v>-</v>
      </c>
      <c r="S1799" s="223"/>
      <c r="T1799" s="224"/>
      <c r="U1799" s="225">
        <f t="shared" si="243"/>
        <v>0</v>
      </c>
      <c r="V1799" s="226">
        <v>0</v>
      </c>
      <c r="W1799" s="227"/>
      <c r="X1799" s="228">
        <f t="shared" si="244"/>
        <v>0</v>
      </c>
      <c r="Y1799" s="229"/>
      <c r="Z1799" s="229"/>
      <c r="AA1799" s="229"/>
      <c r="AB1799" s="222">
        <f t="shared" si="245"/>
        <v>0</v>
      </c>
      <c r="AC1799" s="230">
        <f t="shared" si="246"/>
        <v>0</v>
      </c>
      <c r="AD1799" s="222" t="str">
        <f t="shared" si="247"/>
        <v/>
      </c>
      <c r="AE1799" s="201"/>
      <c r="AF1799" s="231" t="str">
        <f>+IFERROR(VLOOKUP(L1799,Data!$F$4:$G$97,2,0),"")</f>
        <v/>
      </c>
    </row>
    <row r="1800" spans="9:32" ht="15" customHeight="1" x14ac:dyDescent="0.3">
      <c r="I1800" s="201" t="str">
        <f t="shared" si="240"/>
        <v/>
      </c>
      <c r="J1800" s="218">
        <f t="shared" si="241"/>
        <v>1797</v>
      </c>
      <c r="K1800" s="250"/>
      <c r="L1800" s="219"/>
      <c r="M1800" s="218"/>
      <c r="N1800" s="220" t="str">
        <f>IFERROR(VLOOKUP(M1800,Data!$C$4:$D$395,2,0),"")</f>
        <v/>
      </c>
      <c r="O1800" s="220"/>
      <c r="P1800" s="229"/>
      <c r="Q1800" s="221"/>
      <c r="R1800" s="222" t="str">
        <f t="shared" si="242"/>
        <v>-</v>
      </c>
      <c r="S1800" s="223"/>
      <c r="T1800" s="224"/>
      <c r="U1800" s="225">
        <f t="shared" si="243"/>
        <v>0</v>
      </c>
      <c r="V1800" s="226">
        <v>0</v>
      </c>
      <c r="W1800" s="227"/>
      <c r="X1800" s="228">
        <f t="shared" si="244"/>
        <v>0</v>
      </c>
      <c r="Y1800" s="229"/>
      <c r="Z1800" s="229"/>
      <c r="AA1800" s="229"/>
      <c r="AB1800" s="222">
        <f t="shared" si="245"/>
        <v>0</v>
      </c>
      <c r="AC1800" s="230">
        <f t="shared" si="246"/>
        <v>0</v>
      </c>
      <c r="AD1800" s="222" t="str">
        <f t="shared" si="247"/>
        <v/>
      </c>
      <c r="AE1800" s="201"/>
      <c r="AF1800" s="231" t="str">
        <f>+IFERROR(VLOOKUP(L1800,Data!$F$4:$G$97,2,0),"")</f>
        <v/>
      </c>
    </row>
    <row r="1801" spans="9:32" ht="15" customHeight="1" x14ac:dyDescent="0.3">
      <c r="I1801" s="201" t="str">
        <f t="shared" si="240"/>
        <v/>
      </c>
      <c r="J1801" s="218">
        <f t="shared" si="241"/>
        <v>1798</v>
      </c>
      <c r="K1801" s="250"/>
      <c r="L1801" s="219"/>
      <c r="M1801" s="218"/>
      <c r="N1801" s="220" t="str">
        <f>IFERROR(VLOOKUP(M1801,Data!$C$4:$D$395,2,0),"")</f>
        <v/>
      </c>
      <c r="O1801" s="220"/>
      <c r="P1801" s="229"/>
      <c r="Q1801" s="221"/>
      <c r="R1801" s="222" t="str">
        <f t="shared" si="242"/>
        <v>-</v>
      </c>
      <c r="S1801" s="223"/>
      <c r="T1801" s="224"/>
      <c r="U1801" s="225">
        <f t="shared" si="243"/>
        <v>0</v>
      </c>
      <c r="V1801" s="226">
        <v>0</v>
      </c>
      <c r="W1801" s="227"/>
      <c r="X1801" s="228">
        <f t="shared" si="244"/>
        <v>0</v>
      </c>
      <c r="Y1801" s="229"/>
      <c r="Z1801" s="229"/>
      <c r="AA1801" s="229"/>
      <c r="AB1801" s="222">
        <f t="shared" si="245"/>
        <v>0</v>
      </c>
      <c r="AC1801" s="230">
        <f t="shared" si="246"/>
        <v>0</v>
      </c>
      <c r="AD1801" s="222" t="str">
        <f t="shared" si="247"/>
        <v/>
      </c>
      <c r="AE1801" s="201"/>
      <c r="AF1801" s="231" t="str">
        <f>+IFERROR(VLOOKUP(L1801,Data!$F$4:$G$97,2,0),"")</f>
        <v/>
      </c>
    </row>
    <row r="1802" spans="9:32" ht="15" customHeight="1" x14ac:dyDescent="0.3">
      <c r="I1802" s="201" t="str">
        <f t="shared" si="240"/>
        <v/>
      </c>
      <c r="J1802" s="218">
        <f t="shared" si="241"/>
        <v>1799</v>
      </c>
      <c r="K1802" s="250"/>
      <c r="L1802" s="219"/>
      <c r="M1802" s="218"/>
      <c r="N1802" s="220" t="str">
        <f>IFERROR(VLOOKUP(M1802,Data!$C$4:$D$395,2,0),"")</f>
        <v/>
      </c>
      <c r="O1802" s="220"/>
      <c r="P1802" s="229"/>
      <c r="Q1802" s="221"/>
      <c r="R1802" s="222" t="str">
        <f t="shared" si="242"/>
        <v>-</v>
      </c>
      <c r="S1802" s="223"/>
      <c r="T1802" s="224"/>
      <c r="U1802" s="225">
        <f t="shared" si="243"/>
        <v>0</v>
      </c>
      <c r="V1802" s="226">
        <v>0</v>
      </c>
      <c r="W1802" s="227"/>
      <c r="X1802" s="228">
        <f t="shared" si="244"/>
        <v>0</v>
      </c>
      <c r="Y1802" s="229"/>
      <c r="Z1802" s="229"/>
      <c r="AA1802" s="229"/>
      <c r="AB1802" s="222">
        <f t="shared" si="245"/>
        <v>0</v>
      </c>
      <c r="AC1802" s="230">
        <f t="shared" si="246"/>
        <v>0</v>
      </c>
      <c r="AD1802" s="222" t="str">
        <f t="shared" si="247"/>
        <v/>
      </c>
      <c r="AE1802" s="201"/>
      <c r="AF1802" s="231" t="str">
        <f>+IFERROR(VLOOKUP(L1802,Data!$F$4:$G$97,2,0),"")</f>
        <v/>
      </c>
    </row>
    <row r="1803" spans="9:32" ht="15" customHeight="1" x14ac:dyDescent="0.3">
      <c r="I1803" s="201" t="str">
        <f t="shared" si="240"/>
        <v/>
      </c>
      <c r="J1803" s="218">
        <f t="shared" si="241"/>
        <v>1800</v>
      </c>
      <c r="K1803" s="250"/>
      <c r="L1803" s="219"/>
      <c r="M1803" s="218"/>
      <c r="N1803" s="220" t="str">
        <f>IFERROR(VLOOKUP(M1803,Data!$C$4:$D$395,2,0),"")</f>
        <v/>
      </c>
      <c r="O1803" s="220"/>
      <c r="P1803" s="229"/>
      <c r="Q1803" s="221"/>
      <c r="R1803" s="222" t="str">
        <f t="shared" si="242"/>
        <v>-</v>
      </c>
      <c r="S1803" s="223"/>
      <c r="T1803" s="224"/>
      <c r="U1803" s="225">
        <f t="shared" si="243"/>
        <v>0</v>
      </c>
      <c r="V1803" s="226">
        <v>0</v>
      </c>
      <c r="W1803" s="227"/>
      <c r="X1803" s="228">
        <f t="shared" si="244"/>
        <v>0</v>
      </c>
      <c r="Y1803" s="229"/>
      <c r="Z1803" s="229"/>
      <c r="AA1803" s="229"/>
      <c r="AB1803" s="222">
        <f t="shared" si="245"/>
        <v>0</v>
      </c>
      <c r="AC1803" s="230">
        <f t="shared" si="246"/>
        <v>0</v>
      </c>
      <c r="AD1803" s="222" t="str">
        <f t="shared" si="247"/>
        <v/>
      </c>
      <c r="AE1803" s="201"/>
      <c r="AF1803" s="231" t="str">
        <f>+IFERROR(VLOOKUP(L1803,Data!$F$4:$G$97,2,0),"")</f>
        <v/>
      </c>
    </row>
    <row r="1804" spans="9:32" ht="15" customHeight="1" x14ac:dyDescent="0.3">
      <c r="I1804" s="201" t="str">
        <f t="shared" si="240"/>
        <v/>
      </c>
      <c r="J1804" s="218">
        <f t="shared" si="241"/>
        <v>1801</v>
      </c>
      <c r="K1804" s="250"/>
      <c r="L1804" s="219"/>
      <c r="M1804" s="218"/>
      <c r="N1804" s="220" t="str">
        <f>IFERROR(VLOOKUP(M1804,Data!$C$4:$D$395,2,0),"")</f>
        <v/>
      </c>
      <c r="O1804" s="220"/>
      <c r="P1804" s="229"/>
      <c r="Q1804" s="221"/>
      <c r="R1804" s="222" t="str">
        <f t="shared" si="242"/>
        <v>-</v>
      </c>
      <c r="S1804" s="223"/>
      <c r="T1804" s="224"/>
      <c r="U1804" s="225">
        <f t="shared" si="243"/>
        <v>0</v>
      </c>
      <c r="V1804" s="226">
        <v>0</v>
      </c>
      <c r="W1804" s="227"/>
      <c r="X1804" s="228">
        <f t="shared" si="244"/>
        <v>0</v>
      </c>
      <c r="Y1804" s="229"/>
      <c r="Z1804" s="229"/>
      <c r="AA1804" s="229"/>
      <c r="AB1804" s="222">
        <f t="shared" si="245"/>
        <v>0</v>
      </c>
      <c r="AC1804" s="230">
        <f t="shared" si="246"/>
        <v>0</v>
      </c>
      <c r="AD1804" s="222" t="str">
        <f t="shared" si="247"/>
        <v/>
      </c>
      <c r="AE1804" s="201"/>
      <c r="AF1804" s="231" t="str">
        <f>+IFERROR(VLOOKUP(L1804,Data!$F$4:$G$97,2,0),"")</f>
        <v/>
      </c>
    </row>
    <row r="1805" spans="9:32" ht="15" customHeight="1" x14ac:dyDescent="0.3">
      <c r="I1805" s="201" t="str">
        <f t="shared" si="240"/>
        <v/>
      </c>
      <c r="J1805" s="218">
        <f t="shared" si="241"/>
        <v>1802</v>
      </c>
      <c r="K1805" s="250"/>
      <c r="L1805" s="219"/>
      <c r="M1805" s="218"/>
      <c r="N1805" s="220" t="str">
        <f>IFERROR(VLOOKUP(M1805,Data!$C$4:$D$395,2,0),"")</f>
        <v/>
      </c>
      <c r="O1805" s="220"/>
      <c r="P1805" s="229"/>
      <c r="Q1805" s="221"/>
      <c r="R1805" s="222" t="str">
        <f t="shared" si="242"/>
        <v>-</v>
      </c>
      <c r="S1805" s="223"/>
      <c r="T1805" s="224"/>
      <c r="U1805" s="225">
        <f t="shared" si="243"/>
        <v>0</v>
      </c>
      <c r="V1805" s="226">
        <v>0</v>
      </c>
      <c r="W1805" s="227"/>
      <c r="X1805" s="228">
        <f t="shared" si="244"/>
        <v>0</v>
      </c>
      <c r="Y1805" s="229"/>
      <c r="Z1805" s="229"/>
      <c r="AA1805" s="229"/>
      <c r="AB1805" s="222">
        <f t="shared" si="245"/>
        <v>0</v>
      </c>
      <c r="AC1805" s="230">
        <f t="shared" si="246"/>
        <v>0</v>
      </c>
      <c r="AD1805" s="222" t="str">
        <f t="shared" si="247"/>
        <v/>
      </c>
      <c r="AE1805" s="201"/>
      <c r="AF1805" s="231" t="str">
        <f>+IFERROR(VLOOKUP(L1805,Data!$F$4:$G$97,2,0),"")</f>
        <v/>
      </c>
    </row>
    <row r="1806" spans="9:32" ht="15" customHeight="1" x14ac:dyDescent="0.3">
      <c r="I1806" s="201" t="str">
        <f t="shared" si="240"/>
        <v/>
      </c>
      <c r="J1806" s="218">
        <f t="shared" si="241"/>
        <v>1803</v>
      </c>
      <c r="K1806" s="250"/>
      <c r="L1806" s="219"/>
      <c r="M1806" s="218"/>
      <c r="N1806" s="220" t="str">
        <f>IFERROR(VLOOKUP(M1806,Data!$C$4:$D$395,2,0),"")</f>
        <v/>
      </c>
      <c r="O1806" s="220"/>
      <c r="P1806" s="229"/>
      <c r="Q1806" s="221"/>
      <c r="R1806" s="222" t="str">
        <f t="shared" si="242"/>
        <v>-</v>
      </c>
      <c r="S1806" s="223"/>
      <c r="T1806" s="224"/>
      <c r="U1806" s="225">
        <f t="shared" si="243"/>
        <v>0</v>
      </c>
      <c r="V1806" s="226">
        <v>0</v>
      </c>
      <c r="W1806" s="227"/>
      <c r="X1806" s="228">
        <f t="shared" si="244"/>
        <v>0</v>
      </c>
      <c r="Y1806" s="229"/>
      <c r="Z1806" s="229"/>
      <c r="AA1806" s="229"/>
      <c r="AB1806" s="222">
        <f t="shared" si="245"/>
        <v>0</v>
      </c>
      <c r="AC1806" s="230">
        <f t="shared" si="246"/>
        <v>0</v>
      </c>
      <c r="AD1806" s="222" t="str">
        <f t="shared" si="247"/>
        <v/>
      </c>
      <c r="AE1806" s="201"/>
      <c r="AF1806" s="231" t="str">
        <f>+IFERROR(VLOOKUP(L1806,Data!$F$4:$G$97,2,0),"")</f>
        <v/>
      </c>
    </row>
    <row r="1807" spans="9:32" ht="15" customHeight="1" x14ac:dyDescent="0.3">
      <c r="I1807" s="201" t="str">
        <f t="shared" si="240"/>
        <v/>
      </c>
      <c r="J1807" s="218">
        <f t="shared" si="241"/>
        <v>1804</v>
      </c>
      <c r="K1807" s="250"/>
      <c r="L1807" s="219"/>
      <c r="M1807" s="218"/>
      <c r="N1807" s="220" t="str">
        <f>IFERROR(VLOOKUP(M1807,Data!$C$4:$D$395,2,0),"")</f>
        <v/>
      </c>
      <c r="O1807" s="220"/>
      <c r="P1807" s="229"/>
      <c r="Q1807" s="221"/>
      <c r="R1807" s="222" t="str">
        <f t="shared" si="242"/>
        <v>-</v>
      </c>
      <c r="S1807" s="223"/>
      <c r="T1807" s="224"/>
      <c r="U1807" s="225">
        <f t="shared" si="243"/>
        <v>0</v>
      </c>
      <c r="V1807" s="226">
        <v>0</v>
      </c>
      <c r="W1807" s="227"/>
      <c r="X1807" s="228">
        <f t="shared" si="244"/>
        <v>0</v>
      </c>
      <c r="Y1807" s="229"/>
      <c r="Z1807" s="229"/>
      <c r="AA1807" s="229"/>
      <c r="AB1807" s="222">
        <f t="shared" si="245"/>
        <v>0</v>
      </c>
      <c r="AC1807" s="230">
        <f t="shared" si="246"/>
        <v>0</v>
      </c>
      <c r="AD1807" s="222" t="str">
        <f t="shared" si="247"/>
        <v/>
      </c>
      <c r="AE1807" s="201"/>
      <c r="AF1807" s="231" t="str">
        <f>+IFERROR(VLOOKUP(L1807,Data!$F$4:$G$97,2,0),"")</f>
        <v/>
      </c>
    </row>
    <row r="1808" spans="9:32" ht="15" customHeight="1" x14ac:dyDescent="0.3">
      <c r="I1808" s="201" t="str">
        <f t="shared" si="240"/>
        <v/>
      </c>
      <c r="J1808" s="218">
        <f t="shared" si="241"/>
        <v>1805</v>
      </c>
      <c r="K1808" s="250"/>
      <c r="L1808" s="219"/>
      <c r="M1808" s="218"/>
      <c r="N1808" s="220" t="str">
        <f>IFERROR(VLOOKUP(M1808,Data!$C$4:$D$395,2,0),"")</f>
        <v/>
      </c>
      <c r="O1808" s="220"/>
      <c r="P1808" s="229"/>
      <c r="Q1808" s="221"/>
      <c r="R1808" s="222" t="str">
        <f t="shared" si="242"/>
        <v>-</v>
      </c>
      <c r="S1808" s="223"/>
      <c r="T1808" s="224"/>
      <c r="U1808" s="225">
        <f t="shared" si="243"/>
        <v>0</v>
      </c>
      <c r="V1808" s="226">
        <v>0</v>
      </c>
      <c r="W1808" s="227"/>
      <c r="X1808" s="228">
        <f t="shared" si="244"/>
        <v>0</v>
      </c>
      <c r="Y1808" s="229"/>
      <c r="Z1808" s="229"/>
      <c r="AA1808" s="229"/>
      <c r="AB1808" s="222">
        <f t="shared" si="245"/>
        <v>0</v>
      </c>
      <c r="AC1808" s="230">
        <f t="shared" si="246"/>
        <v>0</v>
      </c>
      <c r="AD1808" s="222" t="str">
        <f t="shared" si="247"/>
        <v/>
      </c>
      <c r="AE1808" s="201"/>
      <c r="AF1808" s="231" t="str">
        <f>+IFERROR(VLOOKUP(L1808,Data!$F$4:$G$97,2,0),"")</f>
        <v/>
      </c>
    </row>
    <row r="1809" spans="9:32" ht="15" customHeight="1" x14ac:dyDescent="0.3">
      <c r="I1809" s="201" t="str">
        <f t="shared" si="240"/>
        <v/>
      </c>
      <c r="J1809" s="218">
        <f t="shared" si="241"/>
        <v>1806</v>
      </c>
      <c r="K1809" s="250"/>
      <c r="L1809" s="219"/>
      <c r="M1809" s="218"/>
      <c r="N1809" s="220" t="str">
        <f>IFERROR(VLOOKUP(M1809,Data!$C$4:$D$395,2,0),"")</f>
        <v/>
      </c>
      <c r="O1809" s="220"/>
      <c r="P1809" s="229"/>
      <c r="Q1809" s="221"/>
      <c r="R1809" s="222" t="str">
        <f t="shared" si="242"/>
        <v>-</v>
      </c>
      <c r="S1809" s="223"/>
      <c r="T1809" s="224"/>
      <c r="U1809" s="225">
        <f t="shared" si="243"/>
        <v>0</v>
      </c>
      <c r="V1809" s="226">
        <v>0</v>
      </c>
      <c r="W1809" s="227"/>
      <c r="X1809" s="228">
        <f t="shared" si="244"/>
        <v>0</v>
      </c>
      <c r="Y1809" s="229"/>
      <c r="Z1809" s="229"/>
      <c r="AA1809" s="229"/>
      <c r="AB1809" s="222">
        <f t="shared" si="245"/>
        <v>0</v>
      </c>
      <c r="AC1809" s="230">
        <f t="shared" si="246"/>
        <v>0</v>
      </c>
      <c r="AD1809" s="222" t="str">
        <f t="shared" si="247"/>
        <v/>
      </c>
      <c r="AE1809" s="201"/>
      <c r="AF1809" s="231" t="str">
        <f>+IFERROR(VLOOKUP(L1809,Data!$F$4:$G$97,2,0),"")</f>
        <v/>
      </c>
    </row>
    <row r="1810" spans="9:32" ht="15" customHeight="1" x14ac:dyDescent="0.3">
      <c r="I1810" s="201" t="str">
        <f t="shared" si="240"/>
        <v/>
      </c>
      <c r="J1810" s="218">
        <f t="shared" si="241"/>
        <v>1807</v>
      </c>
      <c r="K1810" s="250"/>
      <c r="L1810" s="219"/>
      <c r="M1810" s="218"/>
      <c r="N1810" s="220" t="str">
        <f>IFERROR(VLOOKUP(M1810,Data!$C$4:$D$395,2,0),"")</f>
        <v/>
      </c>
      <c r="O1810" s="220"/>
      <c r="P1810" s="229"/>
      <c r="Q1810" s="221"/>
      <c r="R1810" s="222" t="str">
        <f t="shared" si="242"/>
        <v>-</v>
      </c>
      <c r="S1810" s="223"/>
      <c r="T1810" s="224"/>
      <c r="U1810" s="225">
        <f t="shared" si="243"/>
        <v>0</v>
      </c>
      <c r="V1810" s="226">
        <v>0</v>
      </c>
      <c r="W1810" s="227"/>
      <c r="X1810" s="228">
        <f t="shared" si="244"/>
        <v>0</v>
      </c>
      <c r="Y1810" s="229"/>
      <c r="Z1810" s="229"/>
      <c r="AA1810" s="229"/>
      <c r="AB1810" s="222">
        <f t="shared" si="245"/>
        <v>0</v>
      </c>
      <c r="AC1810" s="230">
        <f t="shared" si="246"/>
        <v>0</v>
      </c>
      <c r="AD1810" s="222" t="str">
        <f t="shared" si="247"/>
        <v/>
      </c>
      <c r="AE1810" s="201"/>
      <c r="AF1810" s="231" t="str">
        <f>+IFERROR(VLOOKUP(L1810,Data!$F$4:$G$97,2,0),"")</f>
        <v/>
      </c>
    </row>
    <row r="1811" spans="9:32" ht="15" customHeight="1" x14ac:dyDescent="0.3">
      <c r="I1811" s="201" t="str">
        <f t="shared" si="240"/>
        <v/>
      </c>
      <c r="J1811" s="218">
        <f t="shared" si="241"/>
        <v>1808</v>
      </c>
      <c r="K1811" s="250"/>
      <c r="L1811" s="219"/>
      <c r="M1811" s="218"/>
      <c r="N1811" s="220" t="str">
        <f>IFERROR(VLOOKUP(M1811,Data!$C$4:$D$395,2,0),"")</f>
        <v/>
      </c>
      <c r="O1811" s="220"/>
      <c r="P1811" s="229"/>
      <c r="Q1811" s="221"/>
      <c r="R1811" s="222" t="str">
        <f t="shared" si="242"/>
        <v>-</v>
      </c>
      <c r="S1811" s="223"/>
      <c r="T1811" s="224"/>
      <c r="U1811" s="225">
        <f t="shared" si="243"/>
        <v>0</v>
      </c>
      <c r="V1811" s="226">
        <v>0</v>
      </c>
      <c r="W1811" s="227"/>
      <c r="X1811" s="228">
        <f t="shared" si="244"/>
        <v>0</v>
      </c>
      <c r="Y1811" s="229"/>
      <c r="Z1811" s="229"/>
      <c r="AA1811" s="229"/>
      <c r="AB1811" s="222">
        <f t="shared" si="245"/>
        <v>0</v>
      </c>
      <c r="AC1811" s="230">
        <f t="shared" si="246"/>
        <v>0</v>
      </c>
      <c r="AD1811" s="222" t="str">
        <f t="shared" si="247"/>
        <v/>
      </c>
      <c r="AE1811" s="201"/>
      <c r="AF1811" s="231" t="str">
        <f>+IFERROR(VLOOKUP(L1811,Data!$F$4:$G$97,2,0),"")</f>
        <v/>
      </c>
    </row>
    <row r="1812" spans="9:32" ht="15" customHeight="1" x14ac:dyDescent="0.3">
      <c r="I1812" s="201" t="str">
        <f t="shared" si="240"/>
        <v/>
      </c>
      <c r="J1812" s="218">
        <f t="shared" si="241"/>
        <v>1809</v>
      </c>
      <c r="K1812" s="250"/>
      <c r="L1812" s="219"/>
      <c r="M1812" s="218"/>
      <c r="N1812" s="220" t="str">
        <f>IFERROR(VLOOKUP(M1812,Data!$C$4:$D$395,2,0),"")</f>
        <v/>
      </c>
      <c r="O1812" s="220"/>
      <c r="P1812" s="229"/>
      <c r="Q1812" s="221"/>
      <c r="R1812" s="222" t="str">
        <f t="shared" si="242"/>
        <v>-</v>
      </c>
      <c r="S1812" s="223"/>
      <c r="T1812" s="224"/>
      <c r="U1812" s="225">
        <f t="shared" si="243"/>
        <v>0</v>
      </c>
      <c r="V1812" s="226">
        <v>0</v>
      </c>
      <c r="W1812" s="227"/>
      <c r="X1812" s="228">
        <f t="shared" si="244"/>
        <v>0</v>
      </c>
      <c r="Y1812" s="229"/>
      <c r="Z1812" s="229"/>
      <c r="AA1812" s="229"/>
      <c r="AB1812" s="222">
        <f t="shared" si="245"/>
        <v>0</v>
      </c>
      <c r="AC1812" s="230">
        <f t="shared" si="246"/>
        <v>0</v>
      </c>
      <c r="AD1812" s="222" t="str">
        <f t="shared" si="247"/>
        <v/>
      </c>
      <c r="AE1812" s="201"/>
      <c r="AF1812" s="231" t="str">
        <f>+IFERROR(VLOOKUP(L1812,Data!$F$4:$G$97,2,0),"")</f>
        <v/>
      </c>
    </row>
    <row r="1813" spans="9:32" ht="15" customHeight="1" x14ac:dyDescent="0.3">
      <c r="I1813" s="201" t="str">
        <f t="shared" si="240"/>
        <v/>
      </c>
      <c r="J1813" s="218">
        <f t="shared" si="241"/>
        <v>1810</v>
      </c>
      <c r="K1813" s="250"/>
      <c r="L1813" s="219"/>
      <c r="M1813" s="218"/>
      <c r="N1813" s="220" t="str">
        <f>IFERROR(VLOOKUP(M1813,Data!$C$4:$D$395,2,0),"")</f>
        <v/>
      </c>
      <c r="O1813" s="220"/>
      <c r="P1813" s="229"/>
      <c r="Q1813" s="221"/>
      <c r="R1813" s="222" t="str">
        <f t="shared" si="242"/>
        <v>-</v>
      </c>
      <c r="S1813" s="223"/>
      <c r="T1813" s="224"/>
      <c r="U1813" s="225">
        <f t="shared" si="243"/>
        <v>0</v>
      </c>
      <c r="V1813" s="226">
        <v>0</v>
      </c>
      <c r="W1813" s="227"/>
      <c r="X1813" s="228">
        <f t="shared" si="244"/>
        <v>0</v>
      </c>
      <c r="Y1813" s="229"/>
      <c r="Z1813" s="229"/>
      <c r="AA1813" s="229"/>
      <c r="AB1813" s="222">
        <f t="shared" si="245"/>
        <v>0</v>
      </c>
      <c r="AC1813" s="230">
        <f t="shared" si="246"/>
        <v>0</v>
      </c>
      <c r="AD1813" s="222" t="str">
        <f t="shared" si="247"/>
        <v/>
      </c>
      <c r="AE1813" s="201"/>
      <c r="AF1813" s="231" t="str">
        <f>+IFERROR(VLOOKUP(L1813,Data!$F$4:$G$97,2,0),"")</f>
        <v/>
      </c>
    </row>
    <row r="1814" spans="9:32" ht="15" customHeight="1" x14ac:dyDescent="0.3">
      <c r="I1814" s="201" t="str">
        <f t="shared" si="240"/>
        <v/>
      </c>
      <c r="J1814" s="218">
        <f t="shared" si="241"/>
        <v>1811</v>
      </c>
      <c r="K1814" s="250"/>
      <c r="L1814" s="219"/>
      <c r="M1814" s="218"/>
      <c r="N1814" s="220" t="str">
        <f>IFERROR(VLOOKUP(M1814,Data!$C$4:$D$395,2,0),"")</f>
        <v/>
      </c>
      <c r="O1814" s="220"/>
      <c r="P1814" s="229"/>
      <c r="Q1814" s="221"/>
      <c r="R1814" s="222" t="str">
        <f t="shared" si="242"/>
        <v>-</v>
      </c>
      <c r="S1814" s="223"/>
      <c r="T1814" s="224"/>
      <c r="U1814" s="225">
        <f t="shared" si="243"/>
        <v>0</v>
      </c>
      <c r="V1814" s="226">
        <v>0</v>
      </c>
      <c r="W1814" s="227"/>
      <c r="X1814" s="228">
        <f t="shared" si="244"/>
        <v>0</v>
      </c>
      <c r="Y1814" s="229"/>
      <c r="Z1814" s="229"/>
      <c r="AA1814" s="229"/>
      <c r="AB1814" s="222">
        <f t="shared" si="245"/>
        <v>0</v>
      </c>
      <c r="AC1814" s="230">
        <f t="shared" si="246"/>
        <v>0</v>
      </c>
      <c r="AD1814" s="222" t="str">
        <f t="shared" si="247"/>
        <v/>
      </c>
      <c r="AE1814" s="201"/>
      <c r="AF1814" s="231" t="str">
        <f>+IFERROR(VLOOKUP(L1814,Data!$F$4:$G$97,2,0),"")</f>
        <v/>
      </c>
    </row>
    <row r="1815" spans="9:32" ht="15" customHeight="1" x14ac:dyDescent="0.3">
      <c r="I1815" s="201" t="str">
        <f t="shared" si="240"/>
        <v/>
      </c>
      <c r="J1815" s="218">
        <f t="shared" si="241"/>
        <v>1812</v>
      </c>
      <c r="K1815" s="250"/>
      <c r="L1815" s="219"/>
      <c r="M1815" s="218"/>
      <c r="N1815" s="220" t="str">
        <f>IFERROR(VLOOKUP(M1815,Data!$C$4:$D$395,2,0),"")</f>
        <v/>
      </c>
      <c r="O1815" s="220"/>
      <c r="P1815" s="229"/>
      <c r="Q1815" s="221"/>
      <c r="R1815" s="222" t="str">
        <f t="shared" si="242"/>
        <v>-</v>
      </c>
      <c r="S1815" s="223"/>
      <c r="T1815" s="224"/>
      <c r="U1815" s="225">
        <f t="shared" si="243"/>
        <v>0</v>
      </c>
      <c r="V1815" s="226">
        <v>0</v>
      </c>
      <c r="W1815" s="227"/>
      <c r="X1815" s="228">
        <f t="shared" si="244"/>
        <v>0</v>
      </c>
      <c r="Y1815" s="229"/>
      <c r="Z1815" s="229"/>
      <c r="AA1815" s="229"/>
      <c r="AB1815" s="222">
        <f t="shared" si="245"/>
        <v>0</v>
      </c>
      <c r="AC1815" s="230">
        <f t="shared" si="246"/>
        <v>0</v>
      </c>
      <c r="AD1815" s="222" t="str">
        <f t="shared" si="247"/>
        <v/>
      </c>
      <c r="AE1815" s="201"/>
      <c r="AF1815" s="231" t="str">
        <f>+IFERROR(VLOOKUP(L1815,Data!$F$4:$G$97,2,0),"")</f>
        <v/>
      </c>
    </row>
    <row r="1816" spans="9:32" ht="15" customHeight="1" x14ac:dyDescent="0.3">
      <c r="I1816" s="201" t="str">
        <f t="shared" si="240"/>
        <v/>
      </c>
      <c r="J1816" s="218">
        <f t="shared" si="241"/>
        <v>1813</v>
      </c>
      <c r="K1816" s="250"/>
      <c r="L1816" s="219"/>
      <c r="M1816" s="218"/>
      <c r="N1816" s="220" t="str">
        <f>IFERROR(VLOOKUP(M1816,Data!$C$4:$D$395,2,0),"")</f>
        <v/>
      </c>
      <c r="O1816" s="220"/>
      <c r="P1816" s="229"/>
      <c r="Q1816" s="221"/>
      <c r="R1816" s="222" t="str">
        <f t="shared" si="242"/>
        <v>-</v>
      </c>
      <c r="S1816" s="223"/>
      <c r="T1816" s="224"/>
      <c r="U1816" s="225">
        <f t="shared" si="243"/>
        <v>0</v>
      </c>
      <c r="V1816" s="226">
        <v>0</v>
      </c>
      <c r="W1816" s="227"/>
      <c r="X1816" s="228">
        <f t="shared" si="244"/>
        <v>0</v>
      </c>
      <c r="Y1816" s="229"/>
      <c r="Z1816" s="229"/>
      <c r="AA1816" s="229"/>
      <c r="AB1816" s="222">
        <f t="shared" si="245"/>
        <v>0</v>
      </c>
      <c r="AC1816" s="230">
        <f t="shared" si="246"/>
        <v>0</v>
      </c>
      <c r="AD1816" s="222" t="str">
        <f t="shared" si="247"/>
        <v/>
      </c>
      <c r="AE1816" s="201"/>
      <c r="AF1816" s="231" t="str">
        <f>+IFERROR(VLOOKUP(L1816,Data!$F$4:$G$97,2,0),"")</f>
        <v/>
      </c>
    </row>
    <row r="1817" spans="9:32" ht="15" customHeight="1" x14ac:dyDescent="0.3">
      <c r="I1817" s="201" t="str">
        <f t="shared" si="240"/>
        <v/>
      </c>
      <c r="J1817" s="218">
        <f t="shared" si="241"/>
        <v>1814</v>
      </c>
      <c r="K1817" s="250"/>
      <c r="L1817" s="219"/>
      <c r="M1817" s="218"/>
      <c r="N1817" s="220" t="str">
        <f>IFERROR(VLOOKUP(M1817,Data!$C$4:$D$395,2,0),"")</f>
        <v/>
      </c>
      <c r="O1817" s="220"/>
      <c r="P1817" s="229"/>
      <c r="Q1817" s="221"/>
      <c r="R1817" s="222" t="str">
        <f t="shared" si="242"/>
        <v>-</v>
      </c>
      <c r="S1817" s="223"/>
      <c r="T1817" s="224"/>
      <c r="U1817" s="225">
        <f t="shared" si="243"/>
        <v>0</v>
      </c>
      <c r="V1817" s="226">
        <v>0</v>
      </c>
      <c r="W1817" s="227"/>
      <c r="X1817" s="228">
        <f t="shared" si="244"/>
        <v>0</v>
      </c>
      <c r="Y1817" s="229"/>
      <c r="Z1817" s="229"/>
      <c r="AA1817" s="229"/>
      <c r="AB1817" s="222">
        <f t="shared" si="245"/>
        <v>0</v>
      </c>
      <c r="AC1817" s="230">
        <f t="shared" si="246"/>
        <v>0</v>
      </c>
      <c r="AD1817" s="222" t="str">
        <f t="shared" si="247"/>
        <v/>
      </c>
      <c r="AE1817" s="201"/>
      <c r="AF1817" s="231" t="str">
        <f>+IFERROR(VLOOKUP(L1817,Data!$F$4:$G$97,2,0),"")</f>
        <v/>
      </c>
    </row>
    <row r="1818" spans="9:32" ht="15" customHeight="1" x14ac:dyDescent="0.3">
      <c r="I1818" s="201" t="str">
        <f t="shared" si="240"/>
        <v/>
      </c>
      <c r="J1818" s="218">
        <f t="shared" si="241"/>
        <v>1815</v>
      </c>
      <c r="K1818" s="250"/>
      <c r="L1818" s="219"/>
      <c r="M1818" s="218"/>
      <c r="N1818" s="220" t="str">
        <f>IFERROR(VLOOKUP(M1818,Data!$C$4:$D$395,2,0),"")</f>
        <v/>
      </c>
      <c r="O1818" s="220"/>
      <c r="P1818" s="229"/>
      <c r="Q1818" s="221"/>
      <c r="R1818" s="222" t="str">
        <f t="shared" si="242"/>
        <v>-</v>
      </c>
      <c r="S1818" s="223"/>
      <c r="T1818" s="224"/>
      <c r="U1818" s="225">
        <f t="shared" si="243"/>
        <v>0</v>
      </c>
      <c r="V1818" s="226">
        <v>0</v>
      </c>
      <c r="W1818" s="227"/>
      <c r="X1818" s="228">
        <f t="shared" si="244"/>
        <v>0</v>
      </c>
      <c r="Y1818" s="229"/>
      <c r="Z1818" s="229"/>
      <c r="AA1818" s="229"/>
      <c r="AB1818" s="222">
        <f t="shared" si="245"/>
        <v>0</v>
      </c>
      <c r="AC1818" s="230">
        <f t="shared" si="246"/>
        <v>0</v>
      </c>
      <c r="AD1818" s="222" t="str">
        <f t="shared" si="247"/>
        <v/>
      </c>
      <c r="AE1818" s="201"/>
      <c r="AF1818" s="231" t="str">
        <f>+IFERROR(VLOOKUP(L1818,Data!$F$4:$G$97,2,0),"")</f>
        <v/>
      </c>
    </row>
    <row r="1819" spans="9:32" ht="15" customHeight="1" x14ac:dyDescent="0.3">
      <c r="I1819" s="201" t="str">
        <f t="shared" si="240"/>
        <v/>
      </c>
      <c r="J1819" s="218">
        <f t="shared" si="241"/>
        <v>1816</v>
      </c>
      <c r="K1819" s="250"/>
      <c r="L1819" s="219"/>
      <c r="M1819" s="218"/>
      <c r="N1819" s="220" t="str">
        <f>IFERROR(VLOOKUP(M1819,Data!$C$4:$D$395,2,0),"")</f>
        <v/>
      </c>
      <c r="O1819" s="220"/>
      <c r="P1819" s="229"/>
      <c r="Q1819" s="221"/>
      <c r="R1819" s="222" t="str">
        <f t="shared" si="242"/>
        <v>-</v>
      </c>
      <c r="S1819" s="223"/>
      <c r="T1819" s="224"/>
      <c r="U1819" s="225">
        <f t="shared" si="243"/>
        <v>0</v>
      </c>
      <c r="V1819" s="226">
        <v>0</v>
      </c>
      <c r="W1819" s="227"/>
      <c r="X1819" s="228">
        <f t="shared" si="244"/>
        <v>0</v>
      </c>
      <c r="Y1819" s="229"/>
      <c r="Z1819" s="229"/>
      <c r="AA1819" s="229"/>
      <c r="AB1819" s="222">
        <f t="shared" si="245"/>
        <v>0</v>
      </c>
      <c r="AC1819" s="230">
        <f t="shared" si="246"/>
        <v>0</v>
      </c>
      <c r="AD1819" s="222" t="str">
        <f t="shared" si="247"/>
        <v/>
      </c>
      <c r="AE1819" s="201"/>
      <c r="AF1819" s="231" t="str">
        <f>+IFERROR(VLOOKUP(L1819,Data!$F$4:$G$97,2,0),"")</f>
        <v/>
      </c>
    </row>
    <row r="1820" spans="9:32" ht="15" customHeight="1" x14ac:dyDescent="0.3">
      <c r="I1820" s="201" t="str">
        <f t="shared" si="240"/>
        <v/>
      </c>
      <c r="J1820" s="218">
        <f t="shared" si="241"/>
        <v>1817</v>
      </c>
      <c r="K1820" s="250"/>
      <c r="L1820" s="219"/>
      <c r="M1820" s="218"/>
      <c r="N1820" s="220" t="str">
        <f>IFERROR(VLOOKUP(M1820,Data!$C$4:$D$395,2,0),"")</f>
        <v/>
      </c>
      <c r="O1820" s="220"/>
      <c r="P1820" s="229"/>
      <c r="Q1820" s="221"/>
      <c r="R1820" s="222" t="str">
        <f t="shared" si="242"/>
        <v>-</v>
      </c>
      <c r="S1820" s="223"/>
      <c r="T1820" s="224"/>
      <c r="U1820" s="225">
        <f t="shared" si="243"/>
        <v>0</v>
      </c>
      <c r="V1820" s="226">
        <v>0</v>
      </c>
      <c r="W1820" s="227"/>
      <c r="X1820" s="228">
        <f t="shared" si="244"/>
        <v>0</v>
      </c>
      <c r="Y1820" s="229"/>
      <c r="Z1820" s="229"/>
      <c r="AA1820" s="229"/>
      <c r="AB1820" s="222">
        <f t="shared" si="245"/>
        <v>0</v>
      </c>
      <c r="AC1820" s="230">
        <f t="shared" si="246"/>
        <v>0</v>
      </c>
      <c r="AD1820" s="222" t="str">
        <f t="shared" si="247"/>
        <v/>
      </c>
      <c r="AE1820" s="201"/>
      <c r="AF1820" s="231" t="str">
        <f>+IFERROR(VLOOKUP(L1820,Data!$F$4:$G$97,2,0),"")</f>
        <v/>
      </c>
    </row>
    <row r="1821" spans="9:32" ht="15" customHeight="1" x14ac:dyDescent="0.3">
      <c r="I1821" s="201" t="str">
        <f t="shared" si="240"/>
        <v/>
      </c>
      <c r="J1821" s="218">
        <f t="shared" si="241"/>
        <v>1818</v>
      </c>
      <c r="K1821" s="250"/>
      <c r="L1821" s="219"/>
      <c r="M1821" s="218"/>
      <c r="N1821" s="220" t="str">
        <f>IFERROR(VLOOKUP(M1821,Data!$C$4:$D$395,2,0),"")</f>
        <v/>
      </c>
      <c r="O1821" s="220"/>
      <c r="P1821" s="229"/>
      <c r="Q1821" s="221"/>
      <c r="R1821" s="222" t="str">
        <f t="shared" si="242"/>
        <v>-</v>
      </c>
      <c r="S1821" s="223"/>
      <c r="T1821" s="224"/>
      <c r="U1821" s="225">
        <f t="shared" si="243"/>
        <v>0</v>
      </c>
      <c r="V1821" s="226">
        <v>0</v>
      </c>
      <c r="W1821" s="227"/>
      <c r="X1821" s="228">
        <f t="shared" si="244"/>
        <v>0</v>
      </c>
      <c r="Y1821" s="229"/>
      <c r="Z1821" s="229"/>
      <c r="AA1821" s="229"/>
      <c r="AB1821" s="222">
        <f t="shared" si="245"/>
        <v>0</v>
      </c>
      <c r="AC1821" s="230">
        <f t="shared" si="246"/>
        <v>0</v>
      </c>
      <c r="AD1821" s="222" t="str">
        <f t="shared" si="247"/>
        <v/>
      </c>
      <c r="AE1821" s="201"/>
      <c r="AF1821" s="231" t="str">
        <f>+IFERROR(VLOOKUP(L1821,Data!$F$4:$G$97,2,0),"")</f>
        <v/>
      </c>
    </row>
    <row r="1822" spans="9:32" ht="15" customHeight="1" x14ac:dyDescent="0.3">
      <c r="I1822" s="201" t="str">
        <f t="shared" si="240"/>
        <v/>
      </c>
      <c r="J1822" s="218">
        <f t="shared" si="241"/>
        <v>1819</v>
      </c>
      <c r="K1822" s="250"/>
      <c r="L1822" s="219"/>
      <c r="M1822" s="218"/>
      <c r="N1822" s="220" t="str">
        <f>IFERROR(VLOOKUP(M1822,Data!$C$4:$D$395,2,0),"")</f>
        <v/>
      </c>
      <c r="O1822" s="220"/>
      <c r="P1822" s="229"/>
      <c r="Q1822" s="221"/>
      <c r="R1822" s="222" t="str">
        <f t="shared" si="242"/>
        <v>-</v>
      </c>
      <c r="S1822" s="223"/>
      <c r="T1822" s="224"/>
      <c r="U1822" s="225">
        <f t="shared" si="243"/>
        <v>0</v>
      </c>
      <c r="V1822" s="226">
        <v>0</v>
      </c>
      <c r="W1822" s="227"/>
      <c r="X1822" s="228">
        <f t="shared" si="244"/>
        <v>0</v>
      </c>
      <c r="Y1822" s="229"/>
      <c r="Z1822" s="229"/>
      <c r="AA1822" s="229"/>
      <c r="AB1822" s="222">
        <f t="shared" si="245"/>
        <v>0</v>
      </c>
      <c r="AC1822" s="230">
        <f t="shared" si="246"/>
        <v>0</v>
      </c>
      <c r="AD1822" s="222" t="str">
        <f t="shared" si="247"/>
        <v/>
      </c>
      <c r="AE1822" s="201"/>
      <c r="AF1822" s="231" t="str">
        <f>+IFERROR(VLOOKUP(L1822,Data!$F$4:$G$97,2,0),"")</f>
        <v/>
      </c>
    </row>
    <row r="1823" spans="9:32" ht="15" customHeight="1" x14ac:dyDescent="0.3">
      <c r="I1823" s="201" t="str">
        <f t="shared" si="240"/>
        <v/>
      </c>
      <c r="J1823" s="218">
        <f t="shared" si="241"/>
        <v>1820</v>
      </c>
      <c r="K1823" s="250"/>
      <c r="L1823" s="219"/>
      <c r="M1823" s="218"/>
      <c r="N1823" s="220" t="str">
        <f>IFERROR(VLOOKUP(M1823,Data!$C$4:$D$395,2,0),"")</f>
        <v/>
      </c>
      <c r="O1823" s="220"/>
      <c r="P1823" s="229"/>
      <c r="Q1823" s="221"/>
      <c r="R1823" s="222" t="str">
        <f t="shared" si="242"/>
        <v>-</v>
      </c>
      <c r="S1823" s="223"/>
      <c r="T1823" s="224"/>
      <c r="U1823" s="225">
        <f t="shared" si="243"/>
        <v>0</v>
      </c>
      <c r="V1823" s="226">
        <v>0</v>
      </c>
      <c r="W1823" s="227"/>
      <c r="X1823" s="228">
        <f t="shared" si="244"/>
        <v>0</v>
      </c>
      <c r="Y1823" s="229"/>
      <c r="Z1823" s="229"/>
      <c r="AA1823" s="229"/>
      <c r="AB1823" s="222">
        <f t="shared" si="245"/>
        <v>0</v>
      </c>
      <c r="AC1823" s="230">
        <f t="shared" si="246"/>
        <v>0</v>
      </c>
      <c r="AD1823" s="222" t="str">
        <f t="shared" si="247"/>
        <v/>
      </c>
      <c r="AE1823" s="201"/>
      <c r="AF1823" s="231" t="str">
        <f>+IFERROR(VLOOKUP(L1823,Data!$F$4:$G$97,2,0),"")</f>
        <v/>
      </c>
    </row>
    <row r="1824" spans="9:32" ht="15" customHeight="1" x14ac:dyDescent="0.3">
      <c r="I1824" s="201" t="str">
        <f t="shared" si="240"/>
        <v/>
      </c>
      <c r="J1824" s="218">
        <f t="shared" si="241"/>
        <v>1821</v>
      </c>
      <c r="K1824" s="250"/>
      <c r="L1824" s="219"/>
      <c r="M1824" s="218"/>
      <c r="N1824" s="220" t="str">
        <f>IFERROR(VLOOKUP(M1824,Data!$C$4:$D$395,2,0),"")</f>
        <v/>
      </c>
      <c r="O1824" s="220"/>
      <c r="P1824" s="229"/>
      <c r="Q1824" s="221"/>
      <c r="R1824" s="222" t="str">
        <f t="shared" si="242"/>
        <v>-</v>
      </c>
      <c r="S1824" s="223"/>
      <c r="T1824" s="224"/>
      <c r="U1824" s="225">
        <f t="shared" si="243"/>
        <v>0</v>
      </c>
      <c r="V1824" s="226">
        <v>0</v>
      </c>
      <c r="W1824" s="227"/>
      <c r="X1824" s="228">
        <f t="shared" si="244"/>
        <v>0</v>
      </c>
      <c r="Y1824" s="229"/>
      <c r="Z1824" s="229"/>
      <c r="AA1824" s="229"/>
      <c r="AB1824" s="222">
        <f t="shared" si="245"/>
        <v>0</v>
      </c>
      <c r="AC1824" s="230">
        <f t="shared" si="246"/>
        <v>0</v>
      </c>
      <c r="AD1824" s="222" t="str">
        <f t="shared" si="247"/>
        <v/>
      </c>
      <c r="AE1824" s="201"/>
      <c r="AF1824" s="231" t="str">
        <f>+IFERROR(VLOOKUP(L1824,Data!$F$4:$G$97,2,0),"")</f>
        <v/>
      </c>
    </row>
    <row r="1825" spans="9:32" ht="15" customHeight="1" x14ac:dyDescent="0.3">
      <c r="I1825" s="201" t="str">
        <f t="shared" si="240"/>
        <v/>
      </c>
      <c r="J1825" s="218">
        <f t="shared" si="241"/>
        <v>1822</v>
      </c>
      <c r="K1825" s="250"/>
      <c r="L1825" s="219"/>
      <c r="M1825" s="218"/>
      <c r="N1825" s="220" t="str">
        <f>IFERROR(VLOOKUP(M1825,Data!$C$4:$D$395,2,0),"")</f>
        <v/>
      </c>
      <c r="O1825" s="220"/>
      <c r="P1825" s="229"/>
      <c r="Q1825" s="221"/>
      <c r="R1825" s="222" t="str">
        <f t="shared" si="242"/>
        <v>-</v>
      </c>
      <c r="S1825" s="223"/>
      <c r="T1825" s="224"/>
      <c r="U1825" s="225">
        <f t="shared" si="243"/>
        <v>0</v>
      </c>
      <c r="V1825" s="226">
        <v>0</v>
      </c>
      <c r="W1825" s="227"/>
      <c r="X1825" s="228">
        <f t="shared" si="244"/>
        <v>0</v>
      </c>
      <c r="Y1825" s="229"/>
      <c r="Z1825" s="229"/>
      <c r="AA1825" s="229"/>
      <c r="AB1825" s="222">
        <f t="shared" si="245"/>
        <v>0</v>
      </c>
      <c r="AC1825" s="230">
        <f t="shared" si="246"/>
        <v>0</v>
      </c>
      <c r="AD1825" s="222" t="str">
        <f t="shared" si="247"/>
        <v/>
      </c>
      <c r="AE1825" s="201"/>
      <c r="AF1825" s="231" t="str">
        <f>+IFERROR(VLOOKUP(L1825,Data!$F$4:$G$97,2,0),"")</f>
        <v/>
      </c>
    </row>
    <row r="1826" spans="9:32" ht="15" customHeight="1" x14ac:dyDescent="0.3">
      <c r="I1826" s="201" t="str">
        <f t="shared" si="240"/>
        <v/>
      </c>
      <c r="J1826" s="218">
        <f t="shared" si="241"/>
        <v>1823</v>
      </c>
      <c r="K1826" s="250"/>
      <c r="L1826" s="219"/>
      <c r="M1826" s="218"/>
      <c r="N1826" s="220" t="str">
        <f>IFERROR(VLOOKUP(M1826,Data!$C$4:$D$395,2,0),"")</f>
        <v/>
      </c>
      <c r="O1826" s="220"/>
      <c r="P1826" s="229"/>
      <c r="Q1826" s="221"/>
      <c r="R1826" s="222" t="str">
        <f t="shared" si="242"/>
        <v>-</v>
      </c>
      <c r="S1826" s="223"/>
      <c r="T1826" s="224"/>
      <c r="U1826" s="225">
        <f t="shared" si="243"/>
        <v>0</v>
      </c>
      <c r="V1826" s="226">
        <v>0</v>
      </c>
      <c r="W1826" s="227"/>
      <c r="X1826" s="228">
        <f t="shared" si="244"/>
        <v>0</v>
      </c>
      <c r="Y1826" s="229"/>
      <c r="Z1826" s="229"/>
      <c r="AA1826" s="229"/>
      <c r="AB1826" s="222">
        <f t="shared" si="245"/>
        <v>0</v>
      </c>
      <c r="AC1826" s="230">
        <f t="shared" si="246"/>
        <v>0</v>
      </c>
      <c r="AD1826" s="222" t="str">
        <f t="shared" si="247"/>
        <v/>
      </c>
      <c r="AE1826" s="201"/>
      <c r="AF1826" s="231" t="str">
        <f>+IFERROR(VLOOKUP(L1826,Data!$F$4:$G$97,2,0),"")</f>
        <v/>
      </c>
    </row>
    <row r="1827" spans="9:32" ht="15" customHeight="1" x14ac:dyDescent="0.3">
      <c r="I1827" s="201" t="str">
        <f t="shared" si="240"/>
        <v/>
      </c>
      <c r="J1827" s="218">
        <f t="shared" si="241"/>
        <v>1824</v>
      </c>
      <c r="K1827" s="250"/>
      <c r="L1827" s="219"/>
      <c r="M1827" s="218"/>
      <c r="N1827" s="220" t="str">
        <f>IFERROR(VLOOKUP(M1827,Data!$C$4:$D$395,2,0),"")</f>
        <v/>
      </c>
      <c r="O1827" s="220"/>
      <c r="P1827" s="229"/>
      <c r="Q1827" s="221"/>
      <c r="R1827" s="222" t="str">
        <f t="shared" si="242"/>
        <v>-</v>
      </c>
      <c r="S1827" s="223"/>
      <c r="T1827" s="224"/>
      <c r="U1827" s="225">
        <f t="shared" si="243"/>
        <v>0</v>
      </c>
      <c r="V1827" s="226">
        <v>0</v>
      </c>
      <c r="W1827" s="227"/>
      <c r="X1827" s="228">
        <f t="shared" si="244"/>
        <v>0</v>
      </c>
      <c r="Y1827" s="229"/>
      <c r="Z1827" s="229"/>
      <c r="AA1827" s="229"/>
      <c r="AB1827" s="222">
        <f t="shared" si="245"/>
        <v>0</v>
      </c>
      <c r="AC1827" s="230">
        <f t="shared" si="246"/>
        <v>0</v>
      </c>
      <c r="AD1827" s="222" t="str">
        <f t="shared" si="247"/>
        <v/>
      </c>
      <c r="AE1827" s="201"/>
      <c r="AF1827" s="231" t="str">
        <f>+IFERROR(VLOOKUP(L1827,Data!$F$4:$G$97,2,0),"")</f>
        <v/>
      </c>
    </row>
    <row r="1828" spans="9:32" ht="15" customHeight="1" x14ac:dyDescent="0.3">
      <c r="I1828" s="201" t="str">
        <f t="shared" si="240"/>
        <v/>
      </c>
      <c r="J1828" s="218">
        <f t="shared" si="241"/>
        <v>1825</v>
      </c>
      <c r="K1828" s="250"/>
      <c r="L1828" s="219"/>
      <c r="M1828" s="218"/>
      <c r="N1828" s="220" t="str">
        <f>IFERROR(VLOOKUP(M1828,Data!$C$4:$D$395,2,0),"")</f>
        <v/>
      </c>
      <c r="O1828" s="220"/>
      <c r="P1828" s="229"/>
      <c r="Q1828" s="221"/>
      <c r="R1828" s="222" t="str">
        <f t="shared" si="242"/>
        <v>-</v>
      </c>
      <c r="S1828" s="223"/>
      <c r="T1828" s="224"/>
      <c r="U1828" s="225">
        <f t="shared" si="243"/>
        <v>0</v>
      </c>
      <c r="V1828" s="226">
        <v>0</v>
      </c>
      <c r="W1828" s="227"/>
      <c r="X1828" s="228">
        <f t="shared" si="244"/>
        <v>0</v>
      </c>
      <c r="Y1828" s="229"/>
      <c r="Z1828" s="229"/>
      <c r="AA1828" s="229"/>
      <c r="AB1828" s="222">
        <f t="shared" si="245"/>
        <v>0</v>
      </c>
      <c r="AC1828" s="230">
        <f t="shared" si="246"/>
        <v>0</v>
      </c>
      <c r="AD1828" s="222" t="str">
        <f t="shared" si="247"/>
        <v/>
      </c>
      <c r="AE1828" s="201"/>
      <c r="AF1828" s="231" t="str">
        <f>+IFERROR(VLOOKUP(L1828,Data!$F$4:$G$97,2,0),"")</f>
        <v/>
      </c>
    </row>
    <row r="1829" spans="9:32" ht="15" customHeight="1" x14ac:dyDescent="0.3">
      <c r="I1829" s="201" t="str">
        <f t="shared" si="240"/>
        <v/>
      </c>
      <c r="J1829" s="218">
        <f t="shared" si="241"/>
        <v>1826</v>
      </c>
      <c r="K1829" s="250"/>
      <c r="L1829" s="219"/>
      <c r="M1829" s="218"/>
      <c r="N1829" s="220" t="str">
        <f>IFERROR(VLOOKUP(M1829,Data!$C$4:$D$395,2,0),"")</f>
        <v/>
      </c>
      <c r="O1829" s="220"/>
      <c r="P1829" s="229"/>
      <c r="Q1829" s="221"/>
      <c r="R1829" s="222" t="str">
        <f t="shared" si="242"/>
        <v>-</v>
      </c>
      <c r="S1829" s="223"/>
      <c r="T1829" s="224"/>
      <c r="U1829" s="225">
        <f t="shared" si="243"/>
        <v>0</v>
      </c>
      <c r="V1829" s="226">
        <v>0</v>
      </c>
      <c r="W1829" s="227"/>
      <c r="X1829" s="228">
        <f t="shared" si="244"/>
        <v>0</v>
      </c>
      <c r="Y1829" s="229"/>
      <c r="Z1829" s="229"/>
      <c r="AA1829" s="229"/>
      <c r="AB1829" s="222">
        <f t="shared" si="245"/>
        <v>0</v>
      </c>
      <c r="AC1829" s="230">
        <f t="shared" si="246"/>
        <v>0</v>
      </c>
      <c r="AD1829" s="222" t="str">
        <f t="shared" si="247"/>
        <v/>
      </c>
      <c r="AE1829" s="201"/>
      <c r="AF1829" s="231" t="str">
        <f>+IFERROR(VLOOKUP(L1829,Data!$F$4:$G$97,2,0),"")</f>
        <v/>
      </c>
    </row>
    <row r="1830" spans="9:32" ht="15" customHeight="1" x14ac:dyDescent="0.3">
      <c r="I1830" s="201" t="str">
        <f t="shared" si="240"/>
        <v/>
      </c>
      <c r="J1830" s="218">
        <f t="shared" si="241"/>
        <v>1827</v>
      </c>
      <c r="K1830" s="250"/>
      <c r="L1830" s="219"/>
      <c r="M1830" s="218"/>
      <c r="N1830" s="220" t="str">
        <f>IFERROR(VLOOKUP(M1830,Data!$C$4:$D$395,2,0),"")</f>
        <v/>
      </c>
      <c r="O1830" s="220"/>
      <c r="P1830" s="229"/>
      <c r="Q1830" s="221"/>
      <c r="R1830" s="222" t="str">
        <f t="shared" si="242"/>
        <v>-</v>
      </c>
      <c r="S1830" s="223"/>
      <c r="T1830" s="224"/>
      <c r="U1830" s="225">
        <f t="shared" si="243"/>
        <v>0</v>
      </c>
      <c r="V1830" s="226">
        <v>0</v>
      </c>
      <c r="W1830" s="227"/>
      <c r="X1830" s="228">
        <f t="shared" si="244"/>
        <v>0</v>
      </c>
      <c r="Y1830" s="229"/>
      <c r="Z1830" s="229"/>
      <c r="AA1830" s="229"/>
      <c r="AB1830" s="222">
        <f t="shared" si="245"/>
        <v>0</v>
      </c>
      <c r="AC1830" s="230">
        <f t="shared" si="246"/>
        <v>0</v>
      </c>
      <c r="AD1830" s="222" t="str">
        <f t="shared" si="247"/>
        <v/>
      </c>
      <c r="AE1830" s="201"/>
      <c r="AF1830" s="231" t="str">
        <f>+IFERROR(VLOOKUP(L1830,Data!$F$4:$G$97,2,0),"")</f>
        <v/>
      </c>
    </row>
    <row r="1831" spans="9:32" ht="15" customHeight="1" x14ac:dyDescent="0.3">
      <c r="I1831" s="201" t="str">
        <f t="shared" si="240"/>
        <v/>
      </c>
      <c r="J1831" s="218">
        <f t="shared" si="241"/>
        <v>1828</v>
      </c>
      <c r="K1831" s="250"/>
      <c r="L1831" s="219"/>
      <c r="M1831" s="218"/>
      <c r="N1831" s="220" t="str">
        <f>IFERROR(VLOOKUP(M1831,Data!$C$4:$D$395,2,0),"")</f>
        <v/>
      </c>
      <c r="O1831" s="220"/>
      <c r="P1831" s="229"/>
      <c r="Q1831" s="221"/>
      <c r="R1831" s="222" t="str">
        <f t="shared" si="242"/>
        <v>-</v>
      </c>
      <c r="S1831" s="223"/>
      <c r="T1831" s="224"/>
      <c r="U1831" s="225">
        <f t="shared" si="243"/>
        <v>0</v>
      </c>
      <c r="V1831" s="226">
        <v>0</v>
      </c>
      <c r="W1831" s="227"/>
      <c r="X1831" s="228">
        <f t="shared" si="244"/>
        <v>0</v>
      </c>
      <c r="Y1831" s="229"/>
      <c r="Z1831" s="229"/>
      <c r="AA1831" s="229"/>
      <c r="AB1831" s="222">
        <f t="shared" si="245"/>
        <v>0</v>
      </c>
      <c r="AC1831" s="230">
        <f t="shared" si="246"/>
        <v>0</v>
      </c>
      <c r="AD1831" s="222" t="str">
        <f t="shared" si="247"/>
        <v/>
      </c>
      <c r="AE1831" s="201"/>
      <c r="AF1831" s="231" t="str">
        <f>+IFERROR(VLOOKUP(L1831,Data!$F$4:$G$97,2,0),"")</f>
        <v/>
      </c>
    </row>
    <row r="1832" spans="9:32" ht="15" customHeight="1" x14ac:dyDescent="0.3">
      <c r="I1832" s="201" t="str">
        <f t="shared" si="240"/>
        <v/>
      </c>
      <c r="J1832" s="218">
        <f t="shared" si="241"/>
        <v>1829</v>
      </c>
      <c r="K1832" s="250"/>
      <c r="L1832" s="219"/>
      <c r="M1832" s="218"/>
      <c r="N1832" s="220" t="str">
        <f>IFERROR(VLOOKUP(M1832,Data!$C$4:$D$395,2,0),"")</f>
        <v/>
      </c>
      <c r="O1832" s="220"/>
      <c r="P1832" s="229"/>
      <c r="Q1832" s="221"/>
      <c r="R1832" s="222" t="str">
        <f t="shared" si="242"/>
        <v>-</v>
      </c>
      <c r="S1832" s="223"/>
      <c r="T1832" s="224"/>
      <c r="U1832" s="225">
        <f t="shared" si="243"/>
        <v>0</v>
      </c>
      <c r="V1832" s="226">
        <v>0</v>
      </c>
      <c r="W1832" s="227"/>
      <c r="X1832" s="228">
        <f t="shared" si="244"/>
        <v>0</v>
      </c>
      <c r="Y1832" s="229"/>
      <c r="Z1832" s="229"/>
      <c r="AA1832" s="229"/>
      <c r="AB1832" s="222">
        <f t="shared" si="245"/>
        <v>0</v>
      </c>
      <c r="AC1832" s="230">
        <f t="shared" si="246"/>
        <v>0</v>
      </c>
      <c r="AD1832" s="222" t="str">
        <f t="shared" si="247"/>
        <v/>
      </c>
      <c r="AE1832" s="201"/>
      <c r="AF1832" s="231" t="str">
        <f>+IFERROR(VLOOKUP(L1832,Data!$F$4:$G$97,2,0),"")</f>
        <v/>
      </c>
    </row>
    <row r="1833" spans="9:32" ht="15" customHeight="1" x14ac:dyDescent="0.3">
      <c r="I1833" s="201" t="str">
        <f t="shared" si="240"/>
        <v/>
      </c>
      <c r="J1833" s="218">
        <f t="shared" si="241"/>
        <v>1830</v>
      </c>
      <c r="K1833" s="250"/>
      <c r="L1833" s="219"/>
      <c r="M1833" s="218"/>
      <c r="N1833" s="220" t="str">
        <f>IFERROR(VLOOKUP(M1833,Data!$C$4:$D$395,2,0),"")</f>
        <v/>
      </c>
      <c r="O1833" s="220"/>
      <c r="P1833" s="229"/>
      <c r="Q1833" s="221"/>
      <c r="R1833" s="222" t="str">
        <f t="shared" si="242"/>
        <v>-</v>
      </c>
      <c r="S1833" s="223"/>
      <c r="T1833" s="224"/>
      <c r="U1833" s="225">
        <f t="shared" si="243"/>
        <v>0</v>
      </c>
      <c r="V1833" s="226">
        <v>0</v>
      </c>
      <c r="W1833" s="227"/>
      <c r="X1833" s="228">
        <f t="shared" si="244"/>
        <v>0</v>
      </c>
      <c r="Y1833" s="229"/>
      <c r="Z1833" s="229"/>
      <c r="AA1833" s="229"/>
      <c r="AB1833" s="222">
        <f t="shared" si="245"/>
        <v>0</v>
      </c>
      <c r="AC1833" s="230">
        <f t="shared" si="246"/>
        <v>0</v>
      </c>
      <c r="AD1833" s="222" t="str">
        <f t="shared" si="247"/>
        <v/>
      </c>
      <c r="AE1833" s="201"/>
      <c r="AF1833" s="231" t="str">
        <f>+IFERROR(VLOOKUP(L1833,Data!$F$4:$G$97,2,0),"")</f>
        <v/>
      </c>
    </row>
    <row r="1834" spans="9:32" ht="15" customHeight="1" x14ac:dyDescent="0.3">
      <c r="I1834" s="201" t="str">
        <f t="shared" si="240"/>
        <v/>
      </c>
      <c r="J1834" s="218">
        <f t="shared" si="241"/>
        <v>1831</v>
      </c>
      <c r="K1834" s="250"/>
      <c r="L1834" s="219"/>
      <c r="M1834" s="218"/>
      <c r="N1834" s="220" t="str">
        <f>IFERROR(VLOOKUP(M1834,Data!$C$4:$D$395,2,0),"")</f>
        <v/>
      </c>
      <c r="O1834" s="220"/>
      <c r="P1834" s="229"/>
      <c r="Q1834" s="221"/>
      <c r="R1834" s="222" t="str">
        <f t="shared" si="242"/>
        <v>-</v>
      </c>
      <c r="S1834" s="223"/>
      <c r="T1834" s="224"/>
      <c r="U1834" s="225">
        <f t="shared" si="243"/>
        <v>0</v>
      </c>
      <c r="V1834" s="226">
        <v>0</v>
      </c>
      <c r="W1834" s="227"/>
      <c r="X1834" s="228">
        <f t="shared" si="244"/>
        <v>0</v>
      </c>
      <c r="Y1834" s="229"/>
      <c r="Z1834" s="229"/>
      <c r="AA1834" s="229"/>
      <c r="AB1834" s="222">
        <f t="shared" si="245"/>
        <v>0</v>
      </c>
      <c r="AC1834" s="230">
        <f t="shared" si="246"/>
        <v>0</v>
      </c>
      <c r="AD1834" s="222" t="str">
        <f t="shared" si="247"/>
        <v/>
      </c>
      <c r="AE1834" s="201"/>
      <c r="AF1834" s="231" t="str">
        <f>+IFERROR(VLOOKUP(L1834,Data!$F$4:$G$97,2,0),"")</f>
        <v/>
      </c>
    </row>
    <row r="1835" spans="9:32" ht="15" customHeight="1" x14ac:dyDescent="0.3">
      <c r="I1835" s="201" t="str">
        <f t="shared" si="240"/>
        <v/>
      </c>
      <c r="J1835" s="218">
        <f t="shared" si="241"/>
        <v>1832</v>
      </c>
      <c r="K1835" s="250"/>
      <c r="L1835" s="219"/>
      <c r="M1835" s="218"/>
      <c r="N1835" s="220" t="str">
        <f>IFERROR(VLOOKUP(M1835,Data!$C$4:$D$395,2,0),"")</f>
        <v/>
      </c>
      <c r="O1835" s="220"/>
      <c r="P1835" s="229"/>
      <c r="Q1835" s="221"/>
      <c r="R1835" s="222" t="str">
        <f t="shared" si="242"/>
        <v>-</v>
      </c>
      <c r="S1835" s="223"/>
      <c r="T1835" s="224"/>
      <c r="U1835" s="225">
        <f t="shared" si="243"/>
        <v>0</v>
      </c>
      <c r="V1835" s="226">
        <v>0</v>
      </c>
      <c r="W1835" s="227"/>
      <c r="X1835" s="228">
        <f t="shared" si="244"/>
        <v>0</v>
      </c>
      <c r="Y1835" s="229"/>
      <c r="Z1835" s="229"/>
      <c r="AA1835" s="229"/>
      <c r="AB1835" s="222">
        <f t="shared" si="245"/>
        <v>0</v>
      </c>
      <c r="AC1835" s="230">
        <f t="shared" si="246"/>
        <v>0</v>
      </c>
      <c r="AD1835" s="222" t="str">
        <f t="shared" si="247"/>
        <v/>
      </c>
      <c r="AE1835" s="201"/>
      <c r="AF1835" s="231" t="str">
        <f>+IFERROR(VLOOKUP(L1835,Data!$F$4:$G$97,2,0),"")</f>
        <v/>
      </c>
    </row>
    <row r="1836" spans="9:32" ht="15" customHeight="1" x14ac:dyDescent="0.3">
      <c r="I1836" s="201" t="str">
        <f t="shared" si="240"/>
        <v/>
      </c>
      <c r="J1836" s="218">
        <f t="shared" si="241"/>
        <v>1833</v>
      </c>
      <c r="K1836" s="250"/>
      <c r="L1836" s="219"/>
      <c r="M1836" s="218"/>
      <c r="N1836" s="220" t="str">
        <f>IFERROR(VLOOKUP(M1836,Data!$C$4:$D$395,2,0),"")</f>
        <v/>
      </c>
      <c r="O1836" s="220"/>
      <c r="P1836" s="229"/>
      <c r="Q1836" s="221"/>
      <c r="R1836" s="222" t="str">
        <f t="shared" si="242"/>
        <v>-</v>
      </c>
      <c r="S1836" s="223"/>
      <c r="T1836" s="224"/>
      <c r="U1836" s="225">
        <f t="shared" si="243"/>
        <v>0</v>
      </c>
      <c r="V1836" s="226">
        <v>0</v>
      </c>
      <c r="W1836" s="227"/>
      <c r="X1836" s="228">
        <f t="shared" si="244"/>
        <v>0</v>
      </c>
      <c r="Y1836" s="229"/>
      <c r="Z1836" s="229"/>
      <c r="AA1836" s="229"/>
      <c r="AB1836" s="222">
        <f t="shared" si="245"/>
        <v>0</v>
      </c>
      <c r="AC1836" s="230">
        <f t="shared" si="246"/>
        <v>0</v>
      </c>
      <c r="AD1836" s="222" t="str">
        <f t="shared" si="247"/>
        <v/>
      </c>
      <c r="AE1836" s="201"/>
      <c r="AF1836" s="231" t="str">
        <f>+IFERROR(VLOOKUP(L1836,Data!$F$4:$G$97,2,0),"")</f>
        <v/>
      </c>
    </row>
    <row r="1837" spans="9:32" ht="15" customHeight="1" x14ac:dyDescent="0.3">
      <c r="I1837" s="201" t="str">
        <f t="shared" si="240"/>
        <v/>
      </c>
      <c r="J1837" s="218">
        <f t="shared" si="241"/>
        <v>1834</v>
      </c>
      <c r="K1837" s="250"/>
      <c r="L1837" s="219"/>
      <c r="M1837" s="218"/>
      <c r="N1837" s="220" t="str">
        <f>IFERROR(VLOOKUP(M1837,Data!$C$4:$D$395,2,0),"")</f>
        <v/>
      </c>
      <c r="O1837" s="220"/>
      <c r="P1837" s="229"/>
      <c r="Q1837" s="221"/>
      <c r="R1837" s="222" t="str">
        <f t="shared" si="242"/>
        <v>-</v>
      </c>
      <c r="S1837" s="223"/>
      <c r="T1837" s="224"/>
      <c r="U1837" s="225">
        <f t="shared" si="243"/>
        <v>0</v>
      </c>
      <c r="V1837" s="226">
        <v>0</v>
      </c>
      <c r="W1837" s="227"/>
      <c r="X1837" s="228">
        <f t="shared" si="244"/>
        <v>0</v>
      </c>
      <c r="Y1837" s="229"/>
      <c r="Z1837" s="229"/>
      <c r="AA1837" s="229"/>
      <c r="AB1837" s="222">
        <f t="shared" si="245"/>
        <v>0</v>
      </c>
      <c r="AC1837" s="230">
        <f t="shared" si="246"/>
        <v>0</v>
      </c>
      <c r="AD1837" s="222" t="str">
        <f t="shared" si="247"/>
        <v/>
      </c>
      <c r="AE1837" s="201"/>
      <c r="AF1837" s="231" t="str">
        <f>+IFERROR(VLOOKUP(L1837,Data!$F$4:$G$97,2,0),"")</f>
        <v/>
      </c>
    </row>
    <row r="1838" spans="9:32" ht="15" customHeight="1" x14ac:dyDescent="0.3">
      <c r="I1838" s="201" t="str">
        <f t="shared" si="240"/>
        <v/>
      </c>
      <c r="J1838" s="218">
        <f t="shared" si="241"/>
        <v>1835</v>
      </c>
      <c r="K1838" s="250"/>
      <c r="L1838" s="219"/>
      <c r="M1838" s="218"/>
      <c r="N1838" s="220" t="str">
        <f>IFERROR(VLOOKUP(M1838,Data!$C$4:$D$395,2,0),"")</f>
        <v/>
      </c>
      <c r="O1838" s="220"/>
      <c r="P1838" s="229"/>
      <c r="Q1838" s="221"/>
      <c r="R1838" s="222" t="str">
        <f t="shared" si="242"/>
        <v>-</v>
      </c>
      <c r="S1838" s="223"/>
      <c r="T1838" s="224"/>
      <c r="U1838" s="225">
        <f t="shared" si="243"/>
        <v>0</v>
      </c>
      <c r="V1838" s="226">
        <v>0</v>
      </c>
      <c r="W1838" s="227"/>
      <c r="X1838" s="228">
        <f t="shared" si="244"/>
        <v>0</v>
      </c>
      <c r="Y1838" s="229"/>
      <c r="Z1838" s="229"/>
      <c r="AA1838" s="229"/>
      <c r="AB1838" s="222">
        <f t="shared" si="245"/>
        <v>0</v>
      </c>
      <c r="AC1838" s="230">
        <f t="shared" si="246"/>
        <v>0</v>
      </c>
      <c r="AD1838" s="222" t="str">
        <f t="shared" si="247"/>
        <v/>
      </c>
      <c r="AE1838" s="201"/>
      <c r="AF1838" s="231" t="str">
        <f>+IFERROR(VLOOKUP(L1838,Data!$F$4:$G$97,2,0),"")</f>
        <v/>
      </c>
    </row>
    <row r="1839" spans="9:32" ht="15" customHeight="1" x14ac:dyDescent="0.3">
      <c r="I1839" s="201" t="str">
        <f t="shared" si="240"/>
        <v/>
      </c>
      <c r="J1839" s="218">
        <f t="shared" si="241"/>
        <v>1836</v>
      </c>
      <c r="K1839" s="250"/>
      <c r="L1839" s="219"/>
      <c r="M1839" s="218"/>
      <c r="N1839" s="220" t="str">
        <f>IFERROR(VLOOKUP(M1839,Data!$C$4:$D$395,2,0),"")</f>
        <v/>
      </c>
      <c r="O1839" s="220"/>
      <c r="P1839" s="229"/>
      <c r="Q1839" s="221"/>
      <c r="R1839" s="222" t="str">
        <f t="shared" si="242"/>
        <v>-</v>
      </c>
      <c r="S1839" s="223"/>
      <c r="T1839" s="224"/>
      <c r="U1839" s="225">
        <f t="shared" si="243"/>
        <v>0</v>
      </c>
      <c r="V1839" s="226">
        <v>0</v>
      </c>
      <c r="W1839" s="227"/>
      <c r="X1839" s="228">
        <f t="shared" si="244"/>
        <v>0</v>
      </c>
      <c r="Y1839" s="229"/>
      <c r="Z1839" s="229"/>
      <c r="AA1839" s="229"/>
      <c r="AB1839" s="222">
        <f t="shared" si="245"/>
        <v>0</v>
      </c>
      <c r="AC1839" s="230">
        <f t="shared" si="246"/>
        <v>0</v>
      </c>
      <c r="AD1839" s="222" t="str">
        <f t="shared" si="247"/>
        <v/>
      </c>
      <c r="AE1839" s="201"/>
      <c r="AF1839" s="231" t="str">
        <f>+IFERROR(VLOOKUP(L1839,Data!$F$4:$G$97,2,0),"")</f>
        <v/>
      </c>
    </row>
    <row r="1840" spans="9:32" ht="15" customHeight="1" x14ac:dyDescent="0.3">
      <c r="I1840" s="201" t="str">
        <f t="shared" si="240"/>
        <v/>
      </c>
      <c r="J1840" s="218">
        <f t="shared" si="241"/>
        <v>1837</v>
      </c>
      <c r="K1840" s="250"/>
      <c r="L1840" s="219"/>
      <c r="M1840" s="218"/>
      <c r="N1840" s="220" t="str">
        <f>IFERROR(VLOOKUP(M1840,Data!$C$4:$D$395,2,0),"")</f>
        <v/>
      </c>
      <c r="O1840" s="220"/>
      <c r="P1840" s="229"/>
      <c r="Q1840" s="221"/>
      <c r="R1840" s="222" t="str">
        <f t="shared" si="242"/>
        <v>-</v>
      </c>
      <c r="S1840" s="223"/>
      <c r="T1840" s="224"/>
      <c r="U1840" s="225">
        <f t="shared" si="243"/>
        <v>0</v>
      </c>
      <c r="V1840" s="226">
        <v>0</v>
      </c>
      <c r="W1840" s="227"/>
      <c r="X1840" s="228">
        <f t="shared" si="244"/>
        <v>0</v>
      </c>
      <c r="Y1840" s="229"/>
      <c r="Z1840" s="229"/>
      <c r="AA1840" s="229"/>
      <c r="AB1840" s="222">
        <f t="shared" si="245"/>
        <v>0</v>
      </c>
      <c r="AC1840" s="230">
        <f t="shared" si="246"/>
        <v>0</v>
      </c>
      <c r="AD1840" s="222" t="str">
        <f t="shared" si="247"/>
        <v/>
      </c>
      <c r="AE1840" s="201"/>
      <c r="AF1840" s="231" t="str">
        <f>+IFERROR(VLOOKUP(L1840,Data!$F$4:$G$97,2,0),"")</f>
        <v/>
      </c>
    </row>
    <row r="1841" spans="9:32" ht="15" customHeight="1" x14ac:dyDescent="0.3">
      <c r="I1841" s="201" t="str">
        <f t="shared" si="240"/>
        <v/>
      </c>
      <c r="J1841" s="218">
        <f t="shared" si="241"/>
        <v>1838</v>
      </c>
      <c r="K1841" s="250"/>
      <c r="L1841" s="219"/>
      <c r="M1841" s="218"/>
      <c r="N1841" s="220" t="str">
        <f>IFERROR(VLOOKUP(M1841,Data!$C$4:$D$395,2,0),"")</f>
        <v/>
      </c>
      <c r="O1841" s="220"/>
      <c r="P1841" s="229"/>
      <c r="Q1841" s="221"/>
      <c r="R1841" s="222" t="str">
        <f t="shared" si="242"/>
        <v>-</v>
      </c>
      <c r="S1841" s="223"/>
      <c r="T1841" s="224"/>
      <c r="U1841" s="225">
        <f t="shared" si="243"/>
        <v>0</v>
      </c>
      <c r="V1841" s="226">
        <v>0</v>
      </c>
      <c r="W1841" s="227"/>
      <c r="X1841" s="228">
        <f t="shared" si="244"/>
        <v>0</v>
      </c>
      <c r="Y1841" s="229"/>
      <c r="Z1841" s="229"/>
      <c r="AA1841" s="229"/>
      <c r="AB1841" s="222">
        <f t="shared" si="245"/>
        <v>0</v>
      </c>
      <c r="AC1841" s="230">
        <f t="shared" si="246"/>
        <v>0</v>
      </c>
      <c r="AD1841" s="222" t="str">
        <f t="shared" si="247"/>
        <v/>
      </c>
      <c r="AE1841" s="201"/>
      <c r="AF1841" s="231" t="str">
        <f>+IFERROR(VLOOKUP(L1841,Data!$F$4:$G$97,2,0),"")</f>
        <v/>
      </c>
    </row>
    <row r="1842" spans="9:32" ht="15" customHeight="1" x14ac:dyDescent="0.3">
      <c r="I1842" s="201" t="str">
        <f t="shared" si="240"/>
        <v/>
      </c>
      <c r="J1842" s="218">
        <f t="shared" si="241"/>
        <v>1839</v>
      </c>
      <c r="K1842" s="250"/>
      <c r="L1842" s="219"/>
      <c r="M1842" s="218"/>
      <c r="N1842" s="220" t="str">
        <f>IFERROR(VLOOKUP(M1842,Data!$C$4:$D$395,2,0),"")</f>
        <v/>
      </c>
      <c r="O1842" s="220"/>
      <c r="P1842" s="229"/>
      <c r="Q1842" s="221"/>
      <c r="R1842" s="222" t="str">
        <f t="shared" si="242"/>
        <v>-</v>
      </c>
      <c r="S1842" s="223"/>
      <c r="T1842" s="224"/>
      <c r="U1842" s="225">
        <f t="shared" si="243"/>
        <v>0</v>
      </c>
      <c r="V1842" s="226">
        <v>0</v>
      </c>
      <c r="W1842" s="227"/>
      <c r="X1842" s="228">
        <f t="shared" si="244"/>
        <v>0</v>
      </c>
      <c r="Y1842" s="229"/>
      <c r="Z1842" s="229"/>
      <c r="AA1842" s="229"/>
      <c r="AB1842" s="222">
        <f t="shared" si="245"/>
        <v>0</v>
      </c>
      <c r="AC1842" s="230">
        <f t="shared" si="246"/>
        <v>0</v>
      </c>
      <c r="AD1842" s="222" t="str">
        <f t="shared" si="247"/>
        <v/>
      </c>
      <c r="AE1842" s="201"/>
      <c r="AF1842" s="231" t="str">
        <f>+IFERROR(VLOOKUP(L1842,Data!$F$4:$G$97,2,0),"")</f>
        <v/>
      </c>
    </row>
    <row r="1843" spans="9:32" ht="15" customHeight="1" x14ac:dyDescent="0.3">
      <c r="I1843" s="201" t="str">
        <f t="shared" si="240"/>
        <v/>
      </c>
      <c r="J1843" s="218">
        <f t="shared" si="241"/>
        <v>1840</v>
      </c>
      <c r="K1843" s="250"/>
      <c r="L1843" s="219"/>
      <c r="M1843" s="218"/>
      <c r="N1843" s="220" t="str">
        <f>IFERROR(VLOOKUP(M1843,Data!$C$4:$D$395,2,0),"")</f>
        <v/>
      </c>
      <c r="O1843" s="220"/>
      <c r="P1843" s="229"/>
      <c r="Q1843" s="221"/>
      <c r="R1843" s="222" t="str">
        <f t="shared" si="242"/>
        <v>-</v>
      </c>
      <c r="S1843" s="223"/>
      <c r="T1843" s="224"/>
      <c r="U1843" s="225">
        <f t="shared" si="243"/>
        <v>0</v>
      </c>
      <c r="V1843" s="226">
        <v>0</v>
      </c>
      <c r="W1843" s="227"/>
      <c r="X1843" s="228">
        <f t="shared" si="244"/>
        <v>0</v>
      </c>
      <c r="Y1843" s="229"/>
      <c r="Z1843" s="229"/>
      <c r="AA1843" s="229"/>
      <c r="AB1843" s="222">
        <f t="shared" si="245"/>
        <v>0</v>
      </c>
      <c r="AC1843" s="230">
        <f t="shared" si="246"/>
        <v>0</v>
      </c>
      <c r="AD1843" s="222" t="str">
        <f t="shared" si="247"/>
        <v/>
      </c>
      <c r="AE1843" s="201"/>
      <c r="AF1843" s="231" t="str">
        <f>+IFERROR(VLOOKUP(L1843,Data!$F$4:$G$97,2,0),"")</f>
        <v/>
      </c>
    </row>
    <row r="1844" spans="9:32" ht="15" customHeight="1" x14ac:dyDescent="0.3">
      <c r="I1844" s="201" t="str">
        <f t="shared" si="240"/>
        <v/>
      </c>
      <c r="J1844" s="218">
        <f t="shared" si="241"/>
        <v>1841</v>
      </c>
      <c r="K1844" s="250"/>
      <c r="L1844" s="219"/>
      <c r="M1844" s="218"/>
      <c r="N1844" s="220" t="str">
        <f>IFERROR(VLOOKUP(M1844,Data!$C$4:$D$395,2,0),"")</f>
        <v/>
      </c>
      <c r="O1844" s="220"/>
      <c r="P1844" s="229"/>
      <c r="Q1844" s="221"/>
      <c r="R1844" s="222" t="str">
        <f t="shared" si="242"/>
        <v>-</v>
      </c>
      <c r="S1844" s="223"/>
      <c r="T1844" s="224"/>
      <c r="U1844" s="225">
        <f t="shared" si="243"/>
        <v>0</v>
      </c>
      <c r="V1844" s="226">
        <v>0</v>
      </c>
      <c r="W1844" s="227"/>
      <c r="X1844" s="228">
        <f t="shared" si="244"/>
        <v>0</v>
      </c>
      <c r="Y1844" s="229"/>
      <c r="Z1844" s="229"/>
      <c r="AA1844" s="229"/>
      <c r="AB1844" s="222">
        <f t="shared" si="245"/>
        <v>0</v>
      </c>
      <c r="AC1844" s="230">
        <f t="shared" si="246"/>
        <v>0</v>
      </c>
      <c r="AD1844" s="222" t="str">
        <f t="shared" si="247"/>
        <v/>
      </c>
      <c r="AE1844" s="201"/>
      <c r="AF1844" s="231" t="str">
        <f>+IFERROR(VLOOKUP(L1844,Data!$F$4:$G$97,2,0),"")</f>
        <v/>
      </c>
    </row>
    <row r="1845" spans="9:32" ht="15" customHeight="1" x14ac:dyDescent="0.3">
      <c r="I1845" s="201" t="str">
        <f t="shared" si="240"/>
        <v/>
      </c>
      <c r="J1845" s="218">
        <f t="shared" si="241"/>
        <v>1842</v>
      </c>
      <c r="K1845" s="250"/>
      <c r="L1845" s="219"/>
      <c r="M1845" s="218"/>
      <c r="N1845" s="220" t="str">
        <f>IFERROR(VLOOKUP(M1845,Data!$C$4:$D$395,2,0),"")</f>
        <v/>
      </c>
      <c r="O1845" s="220"/>
      <c r="P1845" s="229"/>
      <c r="Q1845" s="221"/>
      <c r="R1845" s="222" t="str">
        <f t="shared" si="242"/>
        <v>-</v>
      </c>
      <c r="S1845" s="223"/>
      <c r="T1845" s="224"/>
      <c r="U1845" s="225">
        <f t="shared" si="243"/>
        <v>0</v>
      </c>
      <c r="V1845" s="226">
        <v>0</v>
      </c>
      <c r="W1845" s="227"/>
      <c r="X1845" s="228">
        <f t="shared" si="244"/>
        <v>0</v>
      </c>
      <c r="Y1845" s="229"/>
      <c r="Z1845" s="229"/>
      <c r="AA1845" s="229"/>
      <c r="AB1845" s="222">
        <f t="shared" si="245"/>
        <v>0</v>
      </c>
      <c r="AC1845" s="230">
        <f t="shared" si="246"/>
        <v>0</v>
      </c>
      <c r="AD1845" s="222" t="str">
        <f t="shared" si="247"/>
        <v/>
      </c>
      <c r="AE1845" s="201"/>
      <c r="AF1845" s="231" t="str">
        <f>+IFERROR(VLOOKUP(L1845,Data!$F$4:$G$97,2,0),"")</f>
        <v/>
      </c>
    </row>
    <row r="1846" spans="9:32" ht="15" customHeight="1" x14ac:dyDescent="0.3">
      <c r="I1846" s="201" t="str">
        <f t="shared" si="240"/>
        <v/>
      </c>
      <c r="J1846" s="218">
        <f t="shared" si="241"/>
        <v>1843</v>
      </c>
      <c r="K1846" s="250"/>
      <c r="L1846" s="219"/>
      <c r="M1846" s="218"/>
      <c r="N1846" s="220" t="str">
        <f>IFERROR(VLOOKUP(M1846,Data!$C$4:$D$395,2,0),"")</f>
        <v/>
      </c>
      <c r="O1846" s="220"/>
      <c r="P1846" s="229"/>
      <c r="Q1846" s="221"/>
      <c r="R1846" s="222" t="str">
        <f t="shared" si="242"/>
        <v>-</v>
      </c>
      <c r="S1846" s="223"/>
      <c r="T1846" s="224"/>
      <c r="U1846" s="225">
        <f t="shared" si="243"/>
        <v>0</v>
      </c>
      <c r="V1846" s="226">
        <v>0</v>
      </c>
      <c r="W1846" s="227"/>
      <c r="X1846" s="228">
        <f t="shared" si="244"/>
        <v>0</v>
      </c>
      <c r="Y1846" s="229"/>
      <c r="Z1846" s="229"/>
      <c r="AA1846" s="229"/>
      <c r="AB1846" s="222">
        <f t="shared" si="245"/>
        <v>0</v>
      </c>
      <c r="AC1846" s="230">
        <f t="shared" si="246"/>
        <v>0</v>
      </c>
      <c r="AD1846" s="222" t="str">
        <f t="shared" si="247"/>
        <v/>
      </c>
      <c r="AE1846" s="201"/>
      <c r="AF1846" s="231" t="str">
        <f>+IFERROR(VLOOKUP(L1846,Data!$F$4:$G$97,2,0),"")</f>
        <v/>
      </c>
    </row>
    <row r="1847" spans="9:32" ht="15" customHeight="1" x14ac:dyDescent="0.3">
      <c r="I1847" s="201" t="str">
        <f t="shared" si="240"/>
        <v/>
      </c>
      <c r="J1847" s="218">
        <f t="shared" si="241"/>
        <v>1844</v>
      </c>
      <c r="K1847" s="250"/>
      <c r="L1847" s="219"/>
      <c r="M1847" s="218"/>
      <c r="N1847" s="220" t="str">
        <f>IFERROR(VLOOKUP(M1847,Data!$C$4:$D$395,2,0),"")</f>
        <v/>
      </c>
      <c r="O1847" s="220"/>
      <c r="P1847" s="229"/>
      <c r="Q1847" s="221"/>
      <c r="R1847" s="222" t="str">
        <f t="shared" si="242"/>
        <v>-</v>
      </c>
      <c r="S1847" s="223"/>
      <c r="T1847" s="224"/>
      <c r="U1847" s="225">
        <f t="shared" si="243"/>
        <v>0</v>
      </c>
      <c r="V1847" s="226">
        <v>0</v>
      </c>
      <c r="W1847" s="227"/>
      <c r="X1847" s="228">
        <f t="shared" si="244"/>
        <v>0</v>
      </c>
      <c r="Y1847" s="229"/>
      <c r="Z1847" s="229"/>
      <c r="AA1847" s="229"/>
      <c r="AB1847" s="222">
        <f t="shared" si="245"/>
        <v>0</v>
      </c>
      <c r="AC1847" s="230">
        <f t="shared" si="246"/>
        <v>0</v>
      </c>
      <c r="AD1847" s="222" t="str">
        <f t="shared" si="247"/>
        <v/>
      </c>
      <c r="AE1847" s="201"/>
      <c r="AF1847" s="231" t="str">
        <f>+IFERROR(VLOOKUP(L1847,Data!$F$4:$G$97,2,0),"")</f>
        <v/>
      </c>
    </row>
    <row r="1848" spans="9:32" ht="15" customHeight="1" x14ac:dyDescent="0.3">
      <c r="I1848" s="201" t="str">
        <f t="shared" si="240"/>
        <v/>
      </c>
      <c r="J1848" s="218">
        <f t="shared" si="241"/>
        <v>1845</v>
      </c>
      <c r="K1848" s="250"/>
      <c r="L1848" s="219"/>
      <c r="M1848" s="218"/>
      <c r="N1848" s="220" t="str">
        <f>IFERROR(VLOOKUP(M1848,Data!$C$4:$D$395,2,0),"")</f>
        <v/>
      </c>
      <c r="O1848" s="220"/>
      <c r="P1848" s="229"/>
      <c r="Q1848" s="221"/>
      <c r="R1848" s="222" t="str">
        <f t="shared" si="242"/>
        <v>-</v>
      </c>
      <c r="S1848" s="223"/>
      <c r="T1848" s="224"/>
      <c r="U1848" s="225">
        <f t="shared" si="243"/>
        <v>0</v>
      </c>
      <c r="V1848" s="226">
        <v>0</v>
      </c>
      <c r="W1848" s="227"/>
      <c r="X1848" s="228">
        <f t="shared" si="244"/>
        <v>0</v>
      </c>
      <c r="Y1848" s="229"/>
      <c r="Z1848" s="229"/>
      <c r="AA1848" s="229"/>
      <c r="AB1848" s="222">
        <f t="shared" si="245"/>
        <v>0</v>
      </c>
      <c r="AC1848" s="230">
        <f t="shared" si="246"/>
        <v>0</v>
      </c>
      <c r="AD1848" s="222" t="str">
        <f t="shared" si="247"/>
        <v/>
      </c>
      <c r="AE1848" s="201"/>
      <c r="AF1848" s="231" t="str">
        <f>+IFERROR(VLOOKUP(L1848,Data!$F$4:$G$97,2,0),"")</f>
        <v/>
      </c>
    </row>
    <row r="1849" spans="9:32" ht="15" customHeight="1" x14ac:dyDescent="0.3">
      <c r="I1849" s="201" t="str">
        <f t="shared" si="240"/>
        <v/>
      </c>
      <c r="J1849" s="218">
        <f t="shared" si="241"/>
        <v>1846</v>
      </c>
      <c r="K1849" s="250"/>
      <c r="L1849" s="219"/>
      <c r="M1849" s="218"/>
      <c r="N1849" s="220" t="str">
        <f>IFERROR(VLOOKUP(M1849,Data!$C$4:$D$395,2,0),"")</f>
        <v/>
      </c>
      <c r="O1849" s="220"/>
      <c r="P1849" s="229"/>
      <c r="Q1849" s="221"/>
      <c r="R1849" s="222" t="str">
        <f t="shared" si="242"/>
        <v>-</v>
      </c>
      <c r="S1849" s="223"/>
      <c r="T1849" s="224"/>
      <c r="U1849" s="225">
        <f t="shared" si="243"/>
        <v>0</v>
      </c>
      <c r="V1849" s="226">
        <v>0</v>
      </c>
      <c r="W1849" s="227"/>
      <c r="X1849" s="228">
        <f t="shared" si="244"/>
        <v>0</v>
      </c>
      <c r="Y1849" s="229"/>
      <c r="Z1849" s="229"/>
      <c r="AA1849" s="229"/>
      <c r="AB1849" s="222">
        <f t="shared" si="245"/>
        <v>0</v>
      </c>
      <c r="AC1849" s="230">
        <f t="shared" si="246"/>
        <v>0</v>
      </c>
      <c r="AD1849" s="222" t="str">
        <f t="shared" si="247"/>
        <v/>
      </c>
      <c r="AE1849" s="201"/>
      <c r="AF1849" s="231" t="str">
        <f>+IFERROR(VLOOKUP(L1849,Data!$F$4:$G$97,2,0),"")</f>
        <v/>
      </c>
    </row>
    <row r="1850" spans="9:32" ht="15" customHeight="1" x14ac:dyDescent="0.3">
      <c r="I1850" s="201" t="str">
        <f t="shared" si="240"/>
        <v/>
      </c>
      <c r="J1850" s="218">
        <f t="shared" si="241"/>
        <v>1847</v>
      </c>
      <c r="K1850" s="250"/>
      <c r="L1850" s="219"/>
      <c r="M1850" s="218"/>
      <c r="N1850" s="220" t="str">
        <f>IFERROR(VLOOKUP(M1850,Data!$C$4:$D$395,2,0),"")</f>
        <v/>
      </c>
      <c r="O1850" s="220"/>
      <c r="P1850" s="229"/>
      <c r="Q1850" s="221"/>
      <c r="R1850" s="222" t="str">
        <f t="shared" si="242"/>
        <v>-</v>
      </c>
      <c r="S1850" s="223"/>
      <c r="T1850" s="224"/>
      <c r="U1850" s="225">
        <f t="shared" si="243"/>
        <v>0</v>
      </c>
      <c r="V1850" s="226">
        <v>0</v>
      </c>
      <c r="W1850" s="227"/>
      <c r="X1850" s="228">
        <f t="shared" si="244"/>
        <v>0</v>
      </c>
      <c r="Y1850" s="229"/>
      <c r="Z1850" s="229"/>
      <c r="AA1850" s="229"/>
      <c r="AB1850" s="222">
        <f t="shared" si="245"/>
        <v>0</v>
      </c>
      <c r="AC1850" s="230">
        <f t="shared" si="246"/>
        <v>0</v>
      </c>
      <c r="AD1850" s="222" t="str">
        <f t="shared" si="247"/>
        <v/>
      </c>
      <c r="AE1850" s="201"/>
      <c r="AF1850" s="231" t="str">
        <f>+IFERROR(VLOOKUP(L1850,Data!$F$4:$G$97,2,0),"")</f>
        <v/>
      </c>
    </row>
    <row r="1851" spans="9:32" ht="15" customHeight="1" x14ac:dyDescent="0.3">
      <c r="I1851" s="201" t="str">
        <f t="shared" si="240"/>
        <v/>
      </c>
      <c r="J1851" s="218">
        <f t="shared" si="241"/>
        <v>1848</v>
      </c>
      <c r="K1851" s="250"/>
      <c r="L1851" s="219"/>
      <c r="M1851" s="218"/>
      <c r="N1851" s="220" t="str">
        <f>IFERROR(VLOOKUP(M1851,Data!$C$4:$D$395,2,0),"")</f>
        <v/>
      </c>
      <c r="O1851" s="220"/>
      <c r="P1851" s="229"/>
      <c r="Q1851" s="221"/>
      <c r="R1851" s="222" t="str">
        <f t="shared" si="242"/>
        <v>-</v>
      </c>
      <c r="S1851" s="223"/>
      <c r="T1851" s="224"/>
      <c r="U1851" s="225">
        <f t="shared" si="243"/>
        <v>0</v>
      </c>
      <c r="V1851" s="226">
        <v>0</v>
      </c>
      <c r="W1851" s="227"/>
      <c r="X1851" s="228">
        <f t="shared" si="244"/>
        <v>0</v>
      </c>
      <c r="Y1851" s="229"/>
      <c r="Z1851" s="229"/>
      <c r="AA1851" s="229"/>
      <c r="AB1851" s="222">
        <f t="shared" si="245"/>
        <v>0</v>
      </c>
      <c r="AC1851" s="230">
        <f t="shared" si="246"/>
        <v>0</v>
      </c>
      <c r="AD1851" s="222" t="str">
        <f t="shared" si="247"/>
        <v/>
      </c>
      <c r="AE1851" s="201"/>
      <c r="AF1851" s="231" t="str">
        <f>+IFERROR(VLOOKUP(L1851,Data!$F$4:$G$97,2,0),"")</f>
        <v/>
      </c>
    </row>
    <row r="1852" spans="9:32" ht="15" customHeight="1" x14ac:dyDescent="0.3">
      <c r="I1852" s="201" t="str">
        <f t="shared" si="240"/>
        <v/>
      </c>
      <c r="J1852" s="218">
        <f t="shared" si="241"/>
        <v>1849</v>
      </c>
      <c r="K1852" s="250"/>
      <c r="L1852" s="219"/>
      <c r="M1852" s="218"/>
      <c r="N1852" s="220" t="str">
        <f>IFERROR(VLOOKUP(M1852,Data!$C$4:$D$395,2,0),"")</f>
        <v/>
      </c>
      <c r="O1852" s="220"/>
      <c r="P1852" s="229"/>
      <c r="Q1852" s="221"/>
      <c r="R1852" s="222" t="str">
        <f t="shared" si="242"/>
        <v>-</v>
      </c>
      <c r="S1852" s="223"/>
      <c r="T1852" s="224"/>
      <c r="U1852" s="225">
        <f t="shared" si="243"/>
        <v>0</v>
      </c>
      <c r="V1852" s="226">
        <v>0</v>
      </c>
      <c r="W1852" s="227"/>
      <c r="X1852" s="228">
        <f t="shared" si="244"/>
        <v>0</v>
      </c>
      <c r="Y1852" s="229"/>
      <c r="Z1852" s="229"/>
      <c r="AA1852" s="229"/>
      <c r="AB1852" s="222">
        <f t="shared" si="245"/>
        <v>0</v>
      </c>
      <c r="AC1852" s="230">
        <f t="shared" si="246"/>
        <v>0</v>
      </c>
      <c r="AD1852" s="222" t="str">
        <f t="shared" si="247"/>
        <v/>
      </c>
      <c r="AE1852" s="201"/>
      <c r="AF1852" s="231" t="str">
        <f>+IFERROR(VLOOKUP(L1852,Data!$F$4:$G$97,2,0),"")</f>
        <v/>
      </c>
    </row>
    <row r="1853" spans="9:32" ht="15" customHeight="1" x14ac:dyDescent="0.3">
      <c r="I1853" s="201" t="str">
        <f t="shared" ref="I1853:I1916" si="248">+AF1853</f>
        <v/>
      </c>
      <c r="J1853" s="218">
        <f t="shared" si="241"/>
        <v>1850</v>
      </c>
      <c r="K1853" s="250"/>
      <c r="L1853" s="219"/>
      <c r="M1853" s="218"/>
      <c r="N1853" s="220" t="str">
        <f>IFERROR(VLOOKUP(M1853,Data!$C$4:$D$395,2,0),"")</f>
        <v/>
      </c>
      <c r="O1853" s="220"/>
      <c r="P1853" s="229"/>
      <c r="Q1853" s="221"/>
      <c r="R1853" s="222" t="str">
        <f t="shared" si="242"/>
        <v>-</v>
      </c>
      <c r="S1853" s="223"/>
      <c r="T1853" s="224"/>
      <c r="U1853" s="225">
        <f t="shared" si="243"/>
        <v>0</v>
      </c>
      <c r="V1853" s="226">
        <v>0</v>
      </c>
      <c r="W1853" s="227"/>
      <c r="X1853" s="228">
        <f t="shared" si="244"/>
        <v>0</v>
      </c>
      <c r="Y1853" s="229"/>
      <c r="Z1853" s="229"/>
      <c r="AA1853" s="229"/>
      <c r="AB1853" s="222">
        <f t="shared" si="245"/>
        <v>0</v>
      </c>
      <c r="AC1853" s="230">
        <f t="shared" si="246"/>
        <v>0</v>
      </c>
      <c r="AD1853" s="222" t="str">
        <f t="shared" si="247"/>
        <v/>
      </c>
      <c r="AE1853" s="201"/>
      <c r="AF1853" s="231" t="str">
        <f>+IFERROR(VLOOKUP(L1853,Data!$F$4:$G$97,2,0),"")</f>
        <v/>
      </c>
    </row>
    <row r="1854" spans="9:32" ht="15" customHeight="1" x14ac:dyDescent="0.3">
      <c r="I1854" s="201" t="str">
        <f t="shared" si="248"/>
        <v/>
      </c>
      <c r="J1854" s="218">
        <f t="shared" ref="J1854:J1917" si="249">J1853+1</f>
        <v>1851</v>
      </c>
      <c r="K1854" s="250"/>
      <c r="L1854" s="219"/>
      <c r="M1854" s="218"/>
      <c r="N1854" s="220" t="str">
        <f>IFERROR(VLOOKUP(M1854,Data!$C$4:$D$395,2,0),"")</f>
        <v/>
      </c>
      <c r="O1854" s="220"/>
      <c r="P1854" s="229"/>
      <c r="Q1854" s="221"/>
      <c r="R1854" s="222" t="str">
        <f t="shared" si="242"/>
        <v>-</v>
      </c>
      <c r="S1854" s="223"/>
      <c r="T1854" s="224"/>
      <c r="U1854" s="225">
        <f t="shared" si="243"/>
        <v>0</v>
      </c>
      <c r="V1854" s="226">
        <v>0</v>
      </c>
      <c r="W1854" s="227"/>
      <c r="X1854" s="228">
        <f t="shared" si="244"/>
        <v>0</v>
      </c>
      <c r="Y1854" s="229"/>
      <c r="Z1854" s="229"/>
      <c r="AA1854" s="229"/>
      <c r="AB1854" s="222">
        <f t="shared" si="245"/>
        <v>0</v>
      </c>
      <c r="AC1854" s="230">
        <f t="shared" si="246"/>
        <v>0</v>
      </c>
      <c r="AD1854" s="222" t="str">
        <f t="shared" si="247"/>
        <v/>
      </c>
      <c r="AE1854" s="201"/>
      <c r="AF1854" s="231" t="str">
        <f>+IFERROR(VLOOKUP(L1854,Data!$F$4:$G$97,2,0),"")</f>
        <v/>
      </c>
    </row>
    <row r="1855" spans="9:32" ht="15" customHeight="1" x14ac:dyDescent="0.3">
      <c r="I1855" s="201" t="str">
        <f t="shared" si="248"/>
        <v/>
      </c>
      <c r="J1855" s="218">
        <f t="shared" si="249"/>
        <v>1852</v>
      </c>
      <c r="K1855" s="250"/>
      <c r="L1855" s="219"/>
      <c r="M1855" s="218"/>
      <c r="N1855" s="220" t="str">
        <f>IFERROR(VLOOKUP(M1855,Data!$C$4:$D$395,2,0),"")</f>
        <v/>
      </c>
      <c r="O1855" s="220"/>
      <c r="P1855" s="229"/>
      <c r="Q1855" s="221"/>
      <c r="R1855" s="222" t="str">
        <f t="shared" si="242"/>
        <v>-</v>
      </c>
      <c r="S1855" s="223"/>
      <c r="T1855" s="224"/>
      <c r="U1855" s="225">
        <f t="shared" si="243"/>
        <v>0</v>
      </c>
      <c r="V1855" s="226">
        <v>0</v>
      </c>
      <c r="W1855" s="227"/>
      <c r="X1855" s="228">
        <f t="shared" si="244"/>
        <v>0</v>
      </c>
      <c r="Y1855" s="229"/>
      <c r="Z1855" s="229"/>
      <c r="AA1855" s="229"/>
      <c r="AB1855" s="222">
        <f t="shared" si="245"/>
        <v>0</v>
      </c>
      <c r="AC1855" s="230">
        <f t="shared" si="246"/>
        <v>0</v>
      </c>
      <c r="AD1855" s="222" t="str">
        <f t="shared" si="247"/>
        <v/>
      </c>
      <c r="AE1855" s="201"/>
      <c r="AF1855" s="231" t="str">
        <f>+IFERROR(VLOOKUP(L1855,Data!$F$4:$G$97,2,0),"")</f>
        <v/>
      </c>
    </row>
    <row r="1856" spans="9:32" ht="15" customHeight="1" x14ac:dyDescent="0.3">
      <c r="I1856" s="201" t="str">
        <f t="shared" si="248"/>
        <v/>
      </c>
      <c r="J1856" s="218">
        <f t="shared" si="249"/>
        <v>1853</v>
      </c>
      <c r="K1856" s="250"/>
      <c r="L1856" s="219"/>
      <c r="M1856" s="218"/>
      <c r="N1856" s="220" t="str">
        <f>IFERROR(VLOOKUP(M1856,Data!$C$4:$D$395,2,0),"")</f>
        <v/>
      </c>
      <c r="O1856" s="220"/>
      <c r="P1856" s="229"/>
      <c r="Q1856" s="221"/>
      <c r="R1856" s="222" t="str">
        <f t="shared" ref="R1856:R1919" si="250">IFERROR(Q1856/P1856, "-")</f>
        <v>-</v>
      </c>
      <c r="S1856" s="223"/>
      <c r="T1856" s="224"/>
      <c r="U1856" s="225">
        <f t="shared" ref="U1856:U1919" si="251">+Q1856*S1856+P1856*T1856</f>
        <v>0</v>
      </c>
      <c r="V1856" s="226">
        <v>0</v>
      </c>
      <c r="W1856" s="227"/>
      <c r="X1856" s="228">
        <f t="shared" ref="X1856:X1919" si="252">+Q1856*V1856+P1856*W1856</f>
        <v>0</v>
      </c>
      <c r="Y1856" s="229"/>
      <c r="Z1856" s="229"/>
      <c r="AA1856" s="229"/>
      <c r="AB1856" s="222">
        <f t="shared" ref="AB1856:AB1919" si="253">+Y1856+Z1856+AA1856</f>
        <v>0</v>
      </c>
      <c r="AC1856" s="230">
        <f t="shared" ref="AC1856:AC1919" si="254">IF((U1856-Y1856-Z1856-AA1856)&lt;0,"",(U1856-Y1856-Z1856-AA1856))</f>
        <v>0</v>
      </c>
      <c r="AD1856" s="222" t="str">
        <f t="shared" ref="AD1856:AD1919" si="255">IF((U1856-Y1856-Z1856-AA1856)&lt;0,(Y1856+Z1856+AA1856-U1856),"")</f>
        <v/>
      </c>
      <c r="AE1856" s="201"/>
      <c r="AF1856" s="231" t="str">
        <f>+IFERROR(VLOOKUP(L1856,Data!$F$4:$G$97,2,0),"")</f>
        <v/>
      </c>
    </row>
    <row r="1857" spans="9:32" ht="15" customHeight="1" x14ac:dyDescent="0.3">
      <c r="I1857" s="201" t="str">
        <f t="shared" si="248"/>
        <v/>
      </c>
      <c r="J1857" s="218">
        <f t="shared" si="249"/>
        <v>1854</v>
      </c>
      <c r="K1857" s="250"/>
      <c r="L1857" s="219"/>
      <c r="M1857" s="218"/>
      <c r="N1857" s="220" t="str">
        <f>IFERROR(VLOOKUP(M1857,Data!$C$4:$D$395,2,0),"")</f>
        <v/>
      </c>
      <c r="O1857" s="220"/>
      <c r="P1857" s="229"/>
      <c r="Q1857" s="221"/>
      <c r="R1857" s="222" t="str">
        <f t="shared" si="250"/>
        <v>-</v>
      </c>
      <c r="S1857" s="223"/>
      <c r="T1857" s="224"/>
      <c r="U1857" s="225">
        <f t="shared" si="251"/>
        <v>0</v>
      </c>
      <c r="V1857" s="226">
        <v>0</v>
      </c>
      <c r="W1857" s="227"/>
      <c r="X1857" s="228">
        <f t="shared" si="252"/>
        <v>0</v>
      </c>
      <c r="Y1857" s="229"/>
      <c r="Z1857" s="229"/>
      <c r="AA1857" s="229"/>
      <c r="AB1857" s="222">
        <f t="shared" si="253"/>
        <v>0</v>
      </c>
      <c r="AC1857" s="230">
        <f t="shared" si="254"/>
        <v>0</v>
      </c>
      <c r="AD1857" s="222" t="str">
        <f t="shared" si="255"/>
        <v/>
      </c>
      <c r="AE1857" s="201"/>
      <c r="AF1857" s="231" t="str">
        <f>+IFERROR(VLOOKUP(L1857,Data!$F$4:$G$97,2,0),"")</f>
        <v/>
      </c>
    </row>
    <row r="1858" spans="9:32" ht="15" customHeight="1" x14ac:dyDescent="0.3">
      <c r="I1858" s="201" t="str">
        <f t="shared" si="248"/>
        <v/>
      </c>
      <c r="J1858" s="218">
        <f t="shared" si="249"/>
        <v>1855</v>
      </c>
      <c r="K1858" s="250"/>
      <c r="L1858" s="219"/>
      <c r="M1858" s="218"/>
      <c r="N1858" s="220" t="str">
        <f>IFERROR(VLOOKUP(M1858,Data!$C$4:$D$395,2,0),"")</f>
        <v/>
      </c>
      <c r="O1858" s="220"/>
      <c r="P1858" s="229"/>
      <c r="Q1858" s="221"/>
      <c r="R1858" s="222" t="str">
        <f t="shared" si="250"/>
        <v>-</v>
      </c>
      <c r="S1858" s="223"/>
      <c r="T1858" s="224"/>
      <c r="U1858" s="225">
        <f t="shared" si="251"/>
        <v>0</v>
      </c>
      <c r="V1858" s="226">
        <v>0</v>
      </c>
      <c r="W1858" s="227"/>
      <c r="X1858" s="228">
        <f t="shared" si="252"/>
        <v>0</v>
      </c>
      <c r="Y1858" s="229"/>
      <c r="Z1858" s="229"/>
      <c r="AA1858" s="229"/>
      <c r="AB1858" s="222">
        <f t="shared" si="253"/>
        <v>0</v>
      </c>
      <c r="AC1858" s="230">
        <f t="shared" si="254"/>
        <v>0</v>
      </c>
      <c r="AD1858" s="222" t="str">
        <f t="shared" si="255"/>
        <v/>
      </c>
      <c r="AE1858" s="201"/>
      <c r="AF1858" s="231" t="str">
        <f>+IFERROR(VLOOKUP(L1858,Data!$F$4:$G$97,2,0),"")</f>
        <v/>
      </c>
    </row>
    <row r="1859" spans="9:32" ht="15" customHeight="1" x14ac:dyDescent="0.3">
      <c r="I1859" s="201" t="str">
        <f t="shared" si="248"/>
        <v/>
      </c>
      <c r="J1859" s="218">
        <f t="shared" si="249"/>
        <v>1856</v>
      </c>
      <c r="K1859" s="250"/>
      <c r="L1859" s="219"/>
      <c r="M1859" s="218"/>
      <c r="N1859" s="220" t="str">
        <f>IFERROR(VLOOKUP(M1859,Data!$C$4:$D$395,2,0),"")</f>
        <v/>
      </c>
      <c r="O1859" s="220"/>
      <c r="P1859" s="229"/>
      <c r="Q1859" s="221"/>
      <c r="R1859" s="222" t="str">
        <f t="shared" si="250"/>
        <v>-</v>
      </c>
      <c r="S1859" s="223"/>
      <c r="T1859" s="224"/>
      <c r="U1859" s="225">
        <f t="shared" si="251"/>
        <v>0</v>
      </c>
      <c r="V1859" s="226">
        <v>0</v>
      </c>
      <c r="W1859" s="227"/>
      <c r="X1859" s="228">
        <f t="shared" si="252"/>
        <v>0</v>
      </c>
      <c r="Y1859" s="229"/>
      <c r="Z1859" s="229"/>
      <c r="AA1859" s="229"/>
      <c r="AB1859" s="222">
        <f t="shared" si="253"/>
        <v>0</v>
      </c>
      <c r="AC1859" s="230">
        <f t="shared" si="254"/>
        <v>0</v>
      </c>
      <c r="AD1859" s="222" t="str">
        <f t="shared" si="255"/>
        <v/>
      </c>
      <c r="AE1859" s="201"/>
      <c r="AF1859" s="231" t="str">
        <f>+IFERROR(VLOOKUP(L1859,Data!$F$4:$G$97,2,0),"")</f>
        <v/>
      </c>
    </row>
    <row r="1860" spans="9:32" ht="15" customHeight="1" x14ac:dyDescent="0.3">
      <c r="I1860" s="201" t="str">
        <f t="shared" si="248"/>
        <v/>
      </c>
      <c r="J1860" s="218">
        <f t="shared" si="249"/>
        <v>1857</v>
      </c>
      <c r="K1860" s="250"/>
      <c r="L1860" s="219"/>
      <c r="M1860" s="218"/>
      <c r="N1860" s="220" t="str">
        <f>IFERROR(VLOOKUP(M1860,Data!$C$4:$D$395,2,0),"")</f>
        <v/>
      </c>
      <c r="O1860" s="220"/>
      <c r="P1860" s="229"/>
      <c r="Q1860" s="221"/>
      <c r="R1860" s="222" t="str">
        <f t="shared" si="250"/>
        <v>-</v>
      </c>
      <c r="S1860" s="223"/>
      <c r="T1860" s="224"/>
      <c r="U1860" s="225">
        <f t="shared" si="251"/>
        <v>0</v>
      </c>
      <c r="V1860" s="226">
        <v>0</v>
      </c>
      <c r="W1860" s="227"/>
      <c r="X1860" s="228">
        <f t="shared" si="252"/>
        <v>0</v>
      </c>
      <c r="Y1860" s="229"/>
      <c r="Z1860" s="229"/>
      <c r="AA1860" s="229"/>
      <c r="AB1860" s="222">
        <f t="shared" si="253"/>
        <v>0</v>
      </c>
      <c r="AC1860" s="230">
        <f t="shared" si="254"/>
        <v>0</v>
      </c>
      <c r="AD1860" s="222" t="str">
        <f t="shared" si="255"/>
        <v/>
      </c>
      <c r="AE1860" s="201"/>
      <c r="AF1860" s="231" t="str">
        <f>+IFERROR(VLOOKUP(L1860,Data!$F$4:$G$97,2,0),"")</f>
        <v/>
      </c>
    </row>
    <row r="1861" spans="9:32" ht="15" customHeight="1" x14ac:dyDescent="0.3">
      <c r="I1861" s="201" t="str">
        <f t="shared" si="248"/>
        <v/>
      </c>
      <c r="J1861" s="218">
        <f t="shared" si="249"/>
        <v>1858</v>
      </c>
      <c r="K1861" s="250"/>
      <c r="L1861" s="219"/>
      <c r="M1861" s="218"/>
      <c r="N1861" s="220" t="str">
        <f>IFERROR(VLOOKUP(M1861,Data!$C$4:$D$395,2,0),"")</f>
        <v/>
      </c>
      <c r="O1861" s="220"/>
      <c r="P1861" s="229"/>
      <c r="Q1861" s="221"/>
      <c r="R1861" s="222" t="str">
        <f t="shared" si="250"/>
        <v>-</v>
      </c>
      <c r="S1861" s="223"/>
      <c r="T1861" s="224"/>
      <c r="U1861" s="225">
        <f t="shared" si="251"/>
        <v>0</v>
      </c>
      <c r="V1861" s="226">
        <v>0</v>
      </c>
      <c r="W1861" s="227"/>
      <c r="X1861" s="228">
        <f t="shared" si="252"/>
        <v>0</v>
      </c>
      <c r="Y1861" s="229"/>
      <c r="Z1861" s="229"/>
      <c r="AA1861" s="229"/>
      <c r="AB1861" s="222">
        <f t="shared" si="253"/>
        <v>0</v>
      </c>
      <c r="AC1861" s="230">
        <f t="shared" si="254"/>
        <v>0</v>
      </c>
      <c r="AD1861" s="222" t="str">
        <f t="shared" si="255"/>
        <v/>
      </c>
      <c r="AE1861" s="201"/>
      <c r="AF1861" s="231" t="str">
        <f>+IFERROR(VLOOKUP(L1861,Data!$F$4:$G$97,2,0),"")</f>
        <v/>
      </c>
    </row>
    <row r="1862" spans="9:32" ht="15" customHeight="1" x14ac:dyDescent="0.3">
      <c r="I1862" s="201" t="str">
        <f t="shared" si="248"/>
        <v/>
      </c>
      <c r="J1862" s="218">
        <f t="shared" si="249"/>
        <v>1859</v>
      </c>
      <c r="K1862" s="250"/>
      <c r="L1862" s="219"/>
      <c r="M1862" s="218"/>
      <c r="N1862" s="220" t="str">
        <f>IFERROR(VLOOKUP(M1862,Data!$C$4:$D$395,2,0),"")</f>
        <v/>
      </c>
      <c r="O1862" s="220"/>
      <c r="P1862" s="229"/>
      <c r="Q1862" s="221"/>
      <c r="R1862" s="222" t="str">
        <f t="shared" si="250"/>
        <v>-</v>
      </c>
      <c r="S1862" s="223"/>
      <c r="T1862" s="224"/>
      <c r="U1862" s="225">
        <f t="shared" si="251"/>
        <v>0</v>
      </c>
      <c r="V1862" s="226">
        <v>0</v>
      </c>
      <c r="W1862" s="227"/>
      <c r="X1862" s="228">
        <f t="shared" si="252"/>
        <v>0</v>
      </c>
      <c r="Y1862" s="229"/>
      <c r="Z1862" s="229"/>
      <c r="AA1862" s="229"/>
      <c r="AB1862" s="222">
        <f t="shared" si="253"/>
        <v>0</v>
      </c>
      <c r="AC1862" s="230">
        <f t="shared" si="254"/>
        <v>0</v>
      </c>
      <c r="AD1862" s="222" t="str">
        <f t="shared" si="255"/>
        <v/>
      </c>
      <c r="AE1862" s="201"/>
      <c r="AF1862" s="231" t="str">
        <f>+IFERROR(VLOOKUP(L1862,Data!$F$4:$G$97,2,0),"")</f>
        <v/>
      </c>
    </row>
    <row r="1863" spans="9:32" ht="15" customHeight="1" x14ac:dyDescent="0.3">
      <c r="I1863" s="201" t="str">
        <f t="shared" si="248"/>
        <v/>
      </c>
      <c r="J1863" s="218">
        <f t="shared" si="249"/>
        <v>1860</v>
      </c>
      <c r="K1863" s="250"/>
      <c r="L1863" s="219"/>
      <c r="M1863" s="218"/>
      <c r="N1863" s="220" t="str">
        <f>IFERROR(VLOOKUP(M1863,Data!$C$4:$D$395,2,0),"")</f>
        <v/>
      </c>
      <c r="O1863" s="220"/>
      <c r="P1863" s="229"/>
      <c r="Q1863" s="221"/>
      <c r="R1863" s="222" t="str">
        <f t="shared" si="250"/>
        <v>-</v>
      </c>
      <c r="S1863" s="223"/>
      <c r="T1863" s="224"/>
      <c r="U1863" s="225">
        <f t="shared" si="251"/>
        <v>0</v>
      </c>
      <c r="V1863" s="226">
        <v>0</v>
      </c>
      <c r="W1863" s="227"/>
      <c r="X1863" s="228">
        <f t="shared" si="252"/>
        <v>0</v>
      </c>
      <c r="Y1863" s="229"/>
      <c r="Z1863" s="229"/>
      <c r="AA1863" s="229"/>
      <c r="AB1863" s="222">
        <f t="shared" si="253"/>
        <v>0</v>
      </c>
      <c r="AC1863" s="230">
        <f t="shared" si="254"/>
        <v>0</v>
      </c>
      <c r="AD1863" s="222" t="str">
        <f t="shared" si="255"/>
        <v/>
      </c>
      <c r="AE1863" s="201"/>
      <c r="AF1863" s="231" t="str">
        <f>+IFERROR(VLOOKUP(L1863,Data!$F$4:$G$97,2,0),"")</f>
        <v/>
      </c>
    </row>
    <row r="1864" spans="9:32" ht="15" customHeight="1" x14ac:dyDescent="0.3">
      <c r="I1864" s="201" t="str">
        <f t="shared" si="248"/>
        <v/>
      </c>
      <c r="J1864" s="218">
        <f t="shared" si="249"/>
        <v>1861</v>
      </c>
      <c r="K1864" s="250"/>
      <c r="L1864" s="219"/>
      <c r="M1864" s="218"/>
      <c r="N1864" s="220" t="str">
        <f>IFERROR(VLOOKUP(M1864,Data!$C$4:$D$395,2,0),"")</f>
        <v/>
      </c>
      <c r="O1864" s="220"/>
      <c r="P1864" s="229"/>
      <c r="Q1864" s="221"/>
      <c r="R1864" s="222" t="str">
        <f t="shared" si="250"/>
        <v>-</v>
      </c>
      <c r="S1864" s="223"/>
      <c r="T1864" s="224"/>
      <c r="U1864" s="225">
        <f t="shared" si="251"/>
        <v>0</v>
      </c>
      <c r="V1864" s="226">
        <v>0</v>
      </c>
      <c r="W1864" s="227"/>
      <c r="X1864" s="228">
        <f t="shared" si="252"/>
        <v>0</v>
      </c>
      <c r="Y1864" s="229"/>
      <c r="Z1864" s="229"/>
      <c r="AA1864" s="229"/>
      <c r="AB1864" s="222">
        <f t="shared" si="253"/>
        <v>0</v>
      </c>
      <c r="AC1864" s="230">
        <f t="shared" si="254"/>
        <v>0</v>
      </c>
      <c r="AD1864" s="222" t="str">
        <f t="shared" si="255"/>
        <v/>
      </c>
      <c r="AE1864" s="201"/>
      <c r="AF1864" s="231" t="str">
        <f>+IFERROR(VLOOKUP(L1864,Data!$F$4:$G$97,2,0),"")</f>
        <v/>
      </c>
    </row>
    <row r="1865" spans="9:32" ht="15" customHeight="1" x14ac:dyDescent="0.3">
      <c r="I1865" s="201" t="str">
        <f t="shared" si="248"/>
        <v/>
      </c>
      <c r="J1865" s="218">
        <f t="shared" si="249"/>
        <v>1862</v>
      </c>
      <c r="K1865" s="250"/>
      <c r="L1865" s="219"/>
      <c r="M1865" s="218"/>
      <c r="N1865" s="220" t="str">
        <f>IFERROR(VLOOKUP(M1865,Data!$C$4:$D$395,2,0),"")</f>
        <v/>
      </c>
      <c r="O1865" s="220"/>
      <c r="P1865" s="229"/>
      <c r="Q1865" s="221"/>
      <c r="R1865" s="222" t="str">
        <f t="shared" si="250"/>
        <v>-</v>
      </c>
      <c r="S1865" s="223"/>
      <c r="T1865" s="224"/>
      <c r="U1865" s="225">
        <f t="shared" si="251"/>
        <v>0</v>
      </c>
      <c r="V1865" s="226">
        <v>0</v>
      </c>
      <c r="W1865" s="227"/>
      <c r="X1865" s="228">
        <f t="shared" si="252"/>
        <v>0</v>
      </c>
      <c r="Y1865" s="229"/>
      <c r="Z1865" s="229"/>
      <c r="AA1865" s="229"/>
      <c r="AB1865" s="222">
        <f t="shared" si="253"/>
        <v>0</v>
      </c>
      <c r="AC1865" s="230">
        <f t="shared" si="254"/>
        <v>0</v>
      </c>
      <c r="AD1865" s="222" t="str">
        <f t="shared" si="255"/>
        <v/>
      </c>
      <c r="AE1865" s="201"/>
      <c r="AF1865" s="231" t="str">
        <f>+IFERROR(VLOOKUP(L1865,Data!$F$4:$G$97,2,0),"")</f>
        <v/>
      </c>
    </row>
    <row r="1866" spans="9:32" ht="15" customHeight="1" x14ac:dyDescent="0.3">
      <c r="I1866" s="201" t="str">
        <f t="shared" si="248"/>
        <v/>
      </c>
      <c r="J1866" s="218">
        <f t="shared" si="249"/>
        <v>1863</v>
      </c>
      <c r="K1866" s="250"/>
      <c r="L1866" s="219"/>
      <c r="M1866" s="218"/>
      <c r="N1866" s="220" t="str">
        <f>IFERROR(VLOOKUP(M1866,Data!$C$4:$D$395,2,0),"")</f>
        <v/>
      </c>
      <c r="O1866" s="220"/>
      <c r="P1866" s="229"/>
      <c r="Q1866" s="221"/>
      <c r="R1866" s="222" t="str">
        <f t="shared" si="250"/>
        <v>-</v>
      </c>
      <c r="S1866" s="223"/>
      <c r="T1866" s="224"/>
      <c r="U1866" s="225">
        <f t="shared" si="251"/>
        <v>0</v>
      </c>
      <c r="V1866" s="226">
        <v>0</v>
      </c>
      <c r="W1866" s="227"/>
      <c r="X1866" s="228">
        <f t="shared" si="252"/>
        <v>0</v>
      </c>
      <c r="Y1866" s="229"/>
      <c r="Z1866" s="229"/>
      <c r="AA1866" s="229"/>
      <c r="AB1866" s="222">
        <f t="shared" si="253"/>
        <v>0</v>
      </c>
      <c r="AC1866" s="230">
        <f t="shared" si="254"/>
        <v>0</v>
      </c>
      <c r="AD1866" s="222" t="str">
        <f t="shared" si="255"/>
        <v/>
      </c>
      <c r="AE1866" s="201"/>
      <c r="AF1866" s="231" t="str">
        <f>+IFERROR(VLOOKUP(L1866,Data!$F$4:$G$97,2,0),"")</f>
        <v/>
      </c>
    </row>
    <row r="1867" spans="9:32" ht="15" customHeight="1" x14ac:dyDescent="0.3">
      <c r="I1867" s="201" t="str">
        <f t="shared" si="248"/>
        <v/>
      </c>
      <c r="J1867" s="218">
        <f t="shared" si="249"/>
        <v>1864</v>
      </c>
      <c r="K1867" s="250"/>
      <c r="L1867" s="219"/>
      <c r="M1867" s="218"/>
      <c r="N1867" s="220" t="str">
        <f>IFERROR(VLOOKUP(M1867,Data!$C$4:$D$395,2,0),"")</f>
        <v/>
      </c>
      <c r="O1867" s="220"/>
      <c r="P1867" s="229"/>
      <c r="Q1867" s="221"/>
      <c r="R1867" s="222" t="str">
        <f t="shared" si="250"/>
        <v>-</v>
      </c>
      <c r="S1867" s="223"/>
      <c r="T1867" s="224"/>
      <c r="U1867" s="225">
        <f t="shared" si="251"/>
        <v>0</v>
      </c>
      <c r="V1867" s="226">
        <v>0</v>
      </c>
      <c r="W1867" s="227"/>
      <c r="X1867" s="228">
        <f t="shared" si="252"/>
        <v>0</v>
      </c>
      <c r="Y1867" s="229"/>
      <c r="Z1867" s="229"/>
      <c r="AA1867" s="229"/>
      <c r="AB1867" s="222">
        <f t="shared" si="253"/>
        <v>0</v>
      </c>
      <c r="AC1867" s="230">
        <f t="shared" si="254"/>
        <v>0</v>
      </c>
      <c r="AD1867" s="222" t="str">
        <f t="shared" si="255"/>
        <v/>
      </c>
      <c r="AE1867" s="201"/>
      <c r="AF1867" s="231" t="str">
        <f>+IFERROR(VLOOKUP(L1867,Data!$F$4:$G$97,2,0),"")</f>
        <v/>
      </c>
    </row>
    <row r="1868" spans="9:32" ht="15" customHeight="1" x14ac:dyDescent="0.3">
      <c r="I1868" s="201" t="str">
        <f t="shared" si="248"/>
        <v/>
      </c>
      <c r="J1868" s="218">
        <f t="shared" si="249"/>
        <v>1865</v>
      </c>
      <c r="K1868" s="250"/>
      <c r="L1868" s="219"/>
      <c r="M1868" s="218"/>
      <c r="N1868" s="220" t="str">
        <f>IFERROR(VLOOKUP(M1868,Data!$C$4:$D$395,2,0),"")</f>
        <v/>
      </c>
      <c r="O1868" s="220"/>
      <c r="P1868" s="229"/>
      <c r="Q1868" s="221"/>
      <c r="R1868" s="222" t="str">
        <f t="shared" si="250"/>
        <v>-</v>
      </c>
      <c r="S1868" s="223"/>
      <c r="T1868" s="224"/>
      <c r="U1868" s="225">
        <f t="shared" si="251"/>
        <v>0</v>
      </c>
      <c r="V1868" s="226">
        <v>0</v>
      </c>
      <c r="W1868" s="227"/>
      <c r="X1868" s="228">
        <f t="shared" si="252"/>
        <v>0</v>
      </c>
      <c r="Y1868" s="229"/>
      <c r="Z1868" s="229"/>
      <c r="AA1868" s="229"/>
      <c r="AB1868" s="222">
        <f t="shared" si="253"/>
        <v>0</v>
      </c>
      <c r="AC1868" s="230">
        <f t="shared" si="254"/>
        <v>0</v>
      </c>
      <c r="AD1868" s="222" t="str">
        <f t="shared" si="255"/>
        <v/>
      </c>
      <c r="AE1868" s="201"/>
      <c r="AF1868" s="231" t="str">
        <f>+IFERROR(VLOOKUP(L1868,Data!$F$4:$G$97,2,0),"")</f>
        <v/>
      </c>
    </row>
    <row r="1869" spans="9:32" ht="15" customHeight="1" x14ac:dyDescent="0.3">
      <c r="I1869" s="201" t="str">
        <f t="shared" si="248"/>
        <v/>
      </c>
      <c r="J1869" s="218">
        <f t="shared" si="249"/>
        <v>1866</v>
      </c>
      <c r="K1869" s="250"/>
      <c r="L1869" s="219"/>
      <c r="M1869" s="218"/>
      <c r="N1869" s="220" t="str">
        <f>IFERROR(VLOOKUP(M1869,Data!$C$4:$D$395,2,0),"")</f>
        <v/>
      </c>
      <c r="O1869" s="220"/>
      <c r="P1869" s="229"/>
      <c r="Q1869" s="221"/>
      <c r="R1869" s="222" t="str">
        <f t="shared" si="250"/>
        <v>-</v>
      </c>
      <c r="S1869" s="223"/>
      <c r="T1869" s="224"/>
      <c r="U1869" s="225">
        <f t="shared" si="251"/>
        <v>0</v>
      </c>
      <c r="V1869" s="226">
        <v>0</v>
      </c>
      <c r="W1869" s="227"/>
      <c r="X1869" s="228">
        <f t="shared" si="252"/>
        <v>0</v>
      </c>
      <c r="Y1869" s="229"/>
      <c r="Z1869" s="229"/>
      <c r="AA1869" s="229"/>
      <c r="AB1869" s="222">
        <f t="shared" si="253"/>
        <v>0</v>
      </c>
      <c r="AC1869" s="230">
        <f t="shared" si="254"/>
        <v>0</v>
      </c>
      <c r="AD1869" s="222" t="str">
        <f t="shared" si="255"/>
        <v/>
      </c>
      <c r="AE1869" s="201"/>
      <c r="AF1869" s="231" t="str">
        <f>+IFERROR(VLOOKUP(L1869,Data!$F$4:$G$97,2,0),"")</f>
        <v/>
      </c>
    </row>
    <row r="1870" spans="9:32" ht="15" customHeight="1" x14ac:dyDescent="0.3">
      <c r="I1870" s="201" t="str">
        <f t="shared" si="248"/>
        <v/>
      </c>
      <c r="J1870" s="218">
        <f t="shared" si="249"/>
        <v>1867</v>
      </c>
      <c r="K1870" s="250"/>
      <c r="L1870" s="219"/>
      <c r="M1870" s="218"/>
      <c r="N1870" s="220" t="str">
        <f>IFERROR(VLOOKUP(M1870,Data!$C$4:$D$395,2,0),"")</f>
        <v/>
      </c>
      <c r="O1870" s="220"/>
      <c r="P1870" s="229"/>
      <c r="Q1870" s="221"/>
      <c r="R1870" s="222" t="str">
        <f t="shared" si="250"/>
        <v>-</v>
      </c>
      <c r="S1870" s="223"/>
      <c r="T1870" s="224"/>
      <c r="U1870" s="225">
        <f t="shared" si="251"/>
        <v>0</v>
      </c>
      <c r="V1870" s="226">
        <v>0</v>
      </c>
      <c r="W1870" s="227"/>
      <c r="X1870" s="228">
        <f t="shared" si="252"/>
        <v>0</v>
      </c>
      <c r="Y1870" s="229"/>
      <c r="Z1870" s="229"/>
      <c r="AA1870" s="229"/>
      <c r="AB1870" s="222">
        <f t="shared" si="253"/>
        <v>0</v>
      </c>
      <c r="AC1870" s="230">
        <f t="shared" si="254"/>
        <v>0</v>
      </c>
      <c r="AD1870" s="222" t="str">
        <f t="shared" si="255"/>
        <v/>
      </c>
      <c r="AE1870" s="201"/>
      <c r="AF1870" s="231" t="str">
        <f>+IFERROR(VLOOKUP(L1870,Data!$F$4:$G$97,2,0),"")</f>
        <v/>
      </c>
    </row>
    <row r="1871" spans="9:32" ht="15" customHeight="1" x14ac:dyDescent="0.3">
      <c r="I1871" s="201" t="str">
        <f t="shared" si="248"/>
        <v/>
      </c>
      <c r="J1871" s="218">
        <f t="shared" si="249"/>
        <v>1868</v>
      </c>
      <c r="K1871" s="250"/>
      <c r="L1871" s="219"/>
      <c r="M1871" s="218"/>
      <c r="N1871" s="220" t="str">
        <f>IFERROR(VLOOKUP(M1871,Data!$C$4:$D$395,2,0),"")</f>
        <v/>
      </c>
      <c r="O1871" s="220"/>
      <c r="P1871" s="229"/>
      <c r="Q1871" s="221"/>
      <c r="R1871" s="222" t="str">
        <f t="shared" si="250"/>
        <v>-</v>
      </c>
      <c r="S1871" s="223"/>
      <c r="T1871" s="224"/>
      <c r="U1871" s="225">
        <f t="shared" si="251"/>
        <v>0</v>
      </c>
      <c r="V1871" s="226">
        <v>0</v>
      </c>
      <c r="W1871" s="227"/>
      <c r="X1871" s="228">
        <f t="shared" si="252"/>
        <v>0</v>
      </c>
      <c r="Y1871" s="229"/>
      <c r="Z1871" s="229"/>
      <c r="AA1871" s="229"/>
      <c r="AB1871" s="222">
        <f t="shared" si="253"/>
        <v>0</v>
      </c>
      <c r="AC1871" s="230">
        <f t="shared" si="254"/>
        <v>0</v>
      </c>
      <c r="AD1871" s="222" t="str">
        <f t="shared" si="255"/>
        <v/>
      </c>
      <c r="AE1871" s="201"/>
      <c r="AF1871" s="231" t="str">
        <f>+IFERROR(VLOOKUP(L1871,Data!$F$4:$G$97,2,0),"")</f>
        <v/>
      </c>
    </row>
    <row r="1872" spans="9:32" ht="15" customHeight="1" x14ac:dyDescent="0.3">
      <c r="I1872" s="201" t="str">
        <f t="shared" si="248"/>
        <v/>
      </c>
      <c r="J1872" s="218">
        <f t="shared" si="249"/>
        <v>1869</v>
      </c>
      <c r="K1872" s="250"/>
      <c r="L1872" s="219"/>
      <c r="M1872" s="218"/>
      <c r="N1872" s="220" t="str">
        <f>IFERROR(VLOOKUP(M1872,Data!$C$4:$D$395,2,0),"")</f>
        <v/>
      </c>
      <c r="O1872" s="220"/>
      <c r="P1872" s="229"/>
      <c r="Q1872" s="221"/>
      <c r="R1872" s="222" t="str">
        <f t="shared" si="250"/>
        <v>-</v>
      </c>
      <c r="S1872" s="223"/>
      <c r="T1872" s="224"/>
      <c r="U1872" s="225">
        <f t="shared" si="251"/>
        <v>0</v>
      </c>
      <c r="V1872" s="226">
        <v>0</v>
      </c>
      <c r="W1872" s="227"/>
      <c r="X1872" s="228">
        <f t="shared" si="252"/>
        <v>0</v>
      </c>
      <c r="Y1872" s="229"/>
      <c r="Z1872" s="229"/>
      <c r="AA1872" s="229"/>
      <c r="AB1872" s="222">
        <f t="shared" si="253"/>
        <v>0</v>
      </c>
      <c r="AC1872" s="230">
        <f t="shared" si="254"/>
        <v>0</v>
      </c>
      <c r="AD1872" s="222" t="str">
        <f t="shared" si="255"/>
        <v/>
      </c>
      <c r="AE1872" s="201"/>
      <c r="AF1872" s="231" t="str">
        <f>+IFERROR(VLOOKUP(L1872,Data!$F$4:$G$97,2,0),"")</f>
        <v/>
      </c>
    </row>
    <row r="1873" spans="9:32" ht="15" customHeight="1" x14ac:dyDescent="0.3">
      <c r="I1873" s="201" t="str">
        <f t="shared" si="248"/>
        <v/>
      </c>
      <c r="J1873" s="218">
        <f t="shared" si="249"/>
        <v>1870</v>
      </c>
      <c r="K1873" s="250"/>
      <c r="L1873" s="219"/>
      <c r="M1873" s="218"/>
      <c r="N1873" s="220" t="str">
        <f>IFERROR(VLOOKUP(M1873,Data!$C$4:$D$395,2,0),"")</f>
        <v/>
      </c>
      <c r="O1873" s="220"/>
      <c r="P1873" s="229"/>
      <c r="Q1873" s="221"/>
      <c r="R1873" s="222" t="str">
        <f t="shared" si="250"/>
        <v>-</v>
      </c>
      <c r="S1873" s="223"/>
      <c r="T1873" s="224"/>
      <c r="U1873" s="225">
        <f t="shared" si="251"/>
        <v>0</v>
      </c>
      <c r="V1873" s="226">
        <v>0</v>
      </c>
      <c r="W1873" s="227"/>
      <c r="X1873" s="228">
        <f t="shared" si="252"/>
        <v>0</v>
      </c>
      <c r="Y1873" s="229"/>
      <c r="Z1873" s="229"/>
      <c r="AA1873" s="229"/>
      <c r="AB1873" s="222">
        <f t="shared" si="253"/>
        <v>0</v>
      </c>
      <c r="AC1873" s="230">
        <f t="shared" si="254"/>
        <v>0</v>
      </c>
      <c r="AD1873" s="222" t="str">
        <f t="shared" si="255"/>
        <v/>
      </c>
      <c r="AE1873" s="201"/>
      <c r="AF1873" s="231" t="str">
        <f>+IFERROR(VLOOKUP(L1873,Data!$F$4:$G$97,2,0),"")</f>
        <v/>
      </c>
    </row>
    <row r="1874" spans="9:32" ht="15" customHeight="1" x14ac:dyDescent="0.3">
      <c r="I1874" s="201" t="str">
        <f t="shared" si="248"/>
        <v/>
      </c>
      <c r="J1874" s="218">
        <f t="shared" si="249"/>
        <v>1871</v>
      </c>
      <c r="K1874" s="250"/>
      <c r="L1874" s="219"/>
      <c r="M1874" s="218"/>
      <c r="N1874" s="220" t="str">
        <f>IFERROR(VLOOKUP(M1874,Data!$C$4:$D$395,2,0),"")</f>
        <v/>
      </c>
      <c r="O1874" s="220"/>
      <c r="P1874" s="229"/>
      <c r="Q1874" s="221"/>
      <c r="R1874" s="222" t="str">
        <f t="shared" si="250"/>
        <v>-</v>
      </c>
      <c r="S1874" s="223"/>
      <c r="T1874" s="224"/>
      <c r="U1874" s="225">
        <f t="shared" si="251"/>
        <v>0</v>
      </c>
      <c r="V1874" s="226">
        <v>0</v>
      </c>
      <c r="W1874" s="227"/>
      <c r="X1874" s="228">
        <f t="shared" si="252"/>
        <v>0</v>
      </c>
      <c r="Y1874" s="229"/>
      <c r="Z1874" s="229"/>
      <c r="AA1874" s="229"/>
      <c r="AB1874" s="222">
        <f t="shared" si="253"/>
        <v>0</v>
      </c>
      <c r="AC1874" s="230">
        <f t="shared" si="254"/>
        <v>0</v>
      </c>
      <c r="AD1874" s="222" t="str">
        <f t="shared" si="255"/>
        <v/>
      </c>
      <c r="AE1874" s="201"/>
      <c r="AF1874" s="231" t="str">
        <f>+IFERROR(VLOOKUP(L1874,Data!$F$4:$G$97,2,0),"")</f>
        <v/>
      </c>
    </row>
    <row r="1875" spans="9:32" ht="15" customHeight="1" x14ac:dyDescent="0.3">
      <c r="I1875" s="201" t="str">
        <f t="shared" si="248"/>
        <v/>
      </c>
      <c r="J1875" s="218">
        <f t="shared" si="249"/>
        <v>1872</v>
      </c>
      <c r="K1875" s="250"/>
      <c r="L1875" s="219"/>
      <c r="M1875" s="218"/>
      <c r="N1875" s="220" t="str">
        <f>IFERROR(VLOOKUP(M1875,Data!$C$4:$D$395,2,0),"")</f>
        <v/>
      </c>
      <c r="O1875" s="220"/>
      <c r="P1875" s="229"/>
      <c r="Q1875" s="221"/>
      <c r="R1875" s="222" t="str">
        <f t="shared" si="250"/>
        <v>-</v>
      </c>
      <c r="S1875" s="223"/>
      <c r="T1875" s="224"/>
      <c r="U1875" s="225">
        <f t="shared" si="251"/>
        <v>0</v>
      </c>
      <c r="V1875" s="226">
        <v>0</v>
      </c>
      <c r="W1875" s="227"/>
      <c r="X1875" s="228">
        <f t="shared" si="252"/>
        <v>0</v>
      </c>
      <c r="Y1875" s="229"/>
      <c r="Z1875" s="229"/>
      <c r="AA1875" s="229"/>
      <c r="AB1875" s="222">
        <f t="shared" si="253"/>
        <v>0</v>
      </c>
      <c r="AC1875" s="230">
        <f t="shared" si="254"/>
        <v>0</v>
      </c>
      <c r="AD1875" s="222" t="str">
        <f t="shared" si="255"/>
        <v/>
      </c>
      <c r="AE1875" s="201"/>
      <c r="AF1875" s="231" t="str">
        <f>+IFERROR(VLOOKUP(L1875,Data!$F$4:$G$97,2,0),"")</f>
        <v/>
      </c>
    </row>
    <row r="1876" spans="9:32" ht="15" customHeight="1" x14ac:dyDescent="0.3">
      <c r="I1876" s="201" t="str">
        <f t="shared" si="248"/>
        <v/>
      </c>
      <c r="J1876" s="218">
        <f t="shared" si="249"/>
        <v>1873</v>
      </c>
      <c r="K1876" s="250"/>
      <c r="L1876" s="219"/>
      <c r="M1876" s="218"/>
      <c r="N1876" s="220" t="str">
        <f>IFERROR(VLOOKUP(M1876,Data!$C$4:$D$395,2,0),"")</f>
        <v/>
      </c>
      <c r="O1876" s="220"/>
      <c r="P1876" s="229"/>
      <c r="Q1876" s="221"/>
      <c r="R1876" s="222" t="str">
        <f t="shared" si="250"/>
        <v>-</v>
      </c>
      <c r="S1876" s="223"/>
      <c r="T1876" s="224"/>
      <c r="U1876" s="225">
        <f t="shared" si="251"/>
        <v>0</v>
      </c>
      <c r="V1876" s="226">
        <v>0</v>
      </c>
      <c r="W1876" s="227"/>
      <c r="X1876" s="228">
        <f t="shared" si="252"/>
        <v>0</v>
      </c>
      <c r="Y1876" s="229"/>
      <c r="Z1876" s="229"/>
      <c r="AA1876" s="229"/>
      <c r="AB1876" s="222">
        <f t="shared" si="253"/>
        <v>0</v>
      </c>
      <c r="AC1876" s="230">
        <f t="shared" si="254"/>
        <v>0</v>
      </c>
      <c r="AD1876" s="222" t="str">
        <f t="shared" si="255"/>
        <v/>
      </c>
      <c r="AE1876" s="201"/>
      <c r="AF1876" s="231" t="str">
        <f>+IFERROR(VLOOKUP(L1876,Data!$F$4:$G$97,2,0),"")</f>
        <v/>
      </c>
    </row>
    <row r="1877" spans="9:32" ht="15" customHeight="1" x14ac:dyDescent="0.3">
      <c r="I1877" s="201" t="str">
        <f t="shared" si="248"/>
        <v/>
      </c>
      <c r="J1877" s="218">
        <f t="shared" si="249"/>
        <v>1874</v>
      </c>
      <c r="K1877" s="250"/>
      <c r="L1877" s="219"/>
      <c r="M1877" s="218"/>
      <c r="N1877" s="220" t="str">
        <f>IFERROR(VLOOKUP(M1877,Data!$C$4:$D$395,2,0),"")</f>
        <v/>
      </c>
      <c r="O1877" s="220"/>
      <c r="P1877" s="229"/>
      <c r="Q1877" s="221"/>
      <c r="R1877" s="222" t="str">
        <f t="shared" si="250"/>
        <v>-</v>
      </c>
      <c r="S1877" s="223"/>
      <c r="T1877" s="224"/>
      <c r="U1877" s="225">
        <f t="shared" si="251"/>
        <v>0</v>
      </c>
      <c r="V1877" s="226">
        <v>0</v>
      </c>
      <c r="W1877" s="227"/>
      <c r="X1877" s="228">
        <f t="shared" si="252"/>
        <v>0</v>
      </c>
      <c r="Y1877" s="229"/>
      <c r="Z1877" s="229"/>
      <c r="AA1877" s="229"/>
      <c r="AB1877" s="222">
        <f t="shared" si="253"/>
        <v>0</v>
      </c>
      <c r="AC1877" s="230">
        <f t="shared" si="254"/>
        <v>0</v>
      </c>
      <c r="AD1877" s="222" t="str">
        <f t="shared" si="255"/>
        <v/>
      </c>
      <c r="AE1877" s="201"/>
      <c r="AF1877" s="231" t="str">
        <f>+IFERROR(VLOOKUP(L1877,Data!$F$4:$G$97,2,0),"")</f>
        <v/>
      </c>
    </row>
    <row r="1878" spans="9:32" ht="15" customHeight="1" x14ac:dyDescent="0.3">
      <c r="I1878" s="201" t="str">
        <f t="shared" si="248"/>
        <v/>
      </c>
      <c r="J1878" s="218">
        <f t="shared" si="249"/>
        <v>1875</v>
      </c>
      <c r="K1878" s="250"/>
      <c r="L1878" s="219"/>
      <c r="M1878" s="218"/>
      <c r="N1878" s="220" t="str">
        <f>IFERROR(VLOOKUP(M1878,Data!$C$4:$D$395,2,0),"")</f>
        <v/>
      </c>
      <c r="O1878" s="220"/>
      <c r="P1878" s="229"/>
      <c r="Q1878" s="221"/>
      <c r="R1878" s="222" t="str">
        <f t="shared" si="250"/>
        <v>-</v>
      </c>
      <c r="S1878" s="223"/>
      <c r="T1878" s="224"/>
      <c r="U1878" s="225">
        <f t="shared" si="251"/>
        <v>0</v>
      </c>
      <c r="V1878" s="226">
        <v>0</v>
      </c>
      <c r="W1878" s="227"/>
      <c r="X1878" s="228">
        <f t="shared" si="252"/>
        <v>0</v>
      </c>
      <c r="Y1878" s="229"/>
      <c r="Z1878" s="229"/>
      <c r="AA1878" s="229"/>
      <c r="AB1878" s="222">
        <f t="shared" si="253"/>
        <v>0</v>
      </c>
      <c r="AC1878" s="230">
        <f t="shared" si="254"/>
        <v>0</v>
      </c>
      <c r="AD1878" s="222" t="str">
        <f t="shared" si="255"/>
        <v/>
      </c>
      <c r="AE1878" s="201"/>
      <c r="AF1878" s="231" t="str">
        <f>+IFERROR(VLOOKUP(L1878,Data!$F$4:$G$97,2,0),"")</f>
        <v/>
      </c>
    </row>
    <row r="1879" spans="9:32" ht="15" customHeight="1" x14ac:dyDescent="0.3">
      <c r="I1879" s="201" t="str">
        <f t="shared" si="248"/>
        <v/>
      </c>
      <c r="J1879" s="218">
        <f t="shared" si="249"/>
        <v>1876</v>
      </c>
      <c r="K1879" s="250"/>
      <c r="L1879" s="219"/>
      <c r="M1879" s="218"/>
      <c r="N1879" s="220" t="str">
        <f>IFERROR(VLOOKUP(M1879,Data!$C$4:$D$395,2,0),"")</f>
        <v/>
      </c>
      <c r="O1879" s="220"/>
      <c r="P1879" s="229"/>
      <c r="Q1879" s="221"/>
      <c r="R1879" s="222" t="str">
        <f t="shared" si="250"/>
        <v>-</v>
      </c>
      <c r="S1879" s="223"/>
      <c r="T1879" s="224"/>
      <c r="U1879" s="225">
        <f t="shared" si="251"/>
        <v>0</v>
      </c>
      <c r="V1879" s="226">
        <v>0</v>
      </c>
      <c r="W1879" s="227"/>
      <c r="X1879" s="228">
        <f t="shared" si="252"/>
        <v>0</v>
      </c>
      <c r="Y1879" s="229"/>
      <c r="Z1879" s="229"/>
      <c r="AA1879" s="229"/>
      <c r="AB1879" s="222">
        <f t="shared" si="253"/>
        <v>0</v>
      </c>
      <c r="AC1879" s="230">
        <f t="shared" si="254"/>
        <v>0</v>
      </c>
      <c r="AD1879" s="222" t="str">
        <f t="shared" si="255"/>
        <v/>
      </c>
      <c r="AE1879" s="201"/>
      <c r="AF1879" s="231" t="str">
        <f>+IFERROR(VLOOKUP(L1879,Data!$F$4:$G$97,2,0),"")</f>
        <v/>
      </c>
    </row>
    <row r="1880" spans="9:32" ht="15" customHeight="1" x14ac:dyDescent="0.3">
      <c r="I1880" s="201" t="str">
        <f t="shared" si="248"/>
        <v/>
      </c>
      <c r="J1880" s="218">
        <f t="shared" si="249"/>
        <v>1877</v>
      </c>
      <c r="K1880" s="250"/>
      <c r="L1880" s="219"/>
      <c r="M1880" s="218"/>
      <c r="N1880" s="220" t="str">
        <f>IFERROR(VLOOKUP(M1880,Data!$C$4:$D$395,2,0),"")</f>
        <v/>
      </c>
      <c r="O1880" s="220"/>
      <c r="P1880" s="229"/>
      <c r="Q1880" s="221"/>
      <c r="R1880" s="222" t="str">
        <f t="shared" si="250"/>
        <v>-</v>
      </c>
      <c r="S1880" s="223"/>
      <c r="T1880" s="224"/>
      <c r="U1880" s="225">
        <f t="shared" si="251"/>
        <v>0</v>
      </c>
      <c r="V1880" s="226">
        <v>0</v>
      </c>
      <c r="W1880" s="227"/>
      <c r="X1880" s="228">
        <f t="shared" si="252"/>
        <v>0</v>
      </c>
      <c r="Y1880" s="229"/>
      <c r="Z1880" s="229"/>
      <c r="AA1880" s="229"/>
      <c r="AB1880" s="222">
        <f t="shared" si="253"/>
        <v>0</v>
      </c>
      <c r="AC1880" s="230">
        <f t="shared" si="254"/>
        <v>0</v>
      </c>
      <c r="AD1880" s="222" t="str">
        <f t="shared" si="255"/>
        <v/>
      </c>
      <c r="AE1880" s="201"/>
      <c r="AF1880" s="231" t="str">
        <f>+IFERROR(VLOOKUP(L1880,Data!$F$4:$G$97,2,0),"")</f>
        <v/>
      </c>
    </row>
    <row r="1881" spans="9:32" ht="15" customHeight="1" x14ac:dyDescent="0.3">
      <c r="I1881" s="201" t="str">
        <f t="shared" si="248"/>
        <v/>
      </c>
      <c r="J1881" s="218">
        <f t="shared" si="249"/>
        <v>1878</v>
      </c>
      <c r="K1881" s="250"/>
      <c r="L1881" s="219"/>
      <c r="M1881" s="218"/>
      <c r="N1881" s="220" t="str">
        <f>IFERROR(VLOOKUP(M1881,Data!$C$4:$D$395,2,0),"")</f>
        <v/>
      </c>
      <c r="O1881" s="220"/>
      <c r="P1881" s="229"/>
      <c r="Q1881" s="221"/>
      <c r="R1881" s="222" t="str">
        <f t="shared" si="250"/>
        <v>-</v>
      </c>
      <c r="S1881" s="223"/>
      <c r="T1881" s="224"/>
      <c r="U1881" s="225">
        <f t="shared" si="251"/>
        <v>0</v>
      </c>
      <c r="V1881" s="226">
        <v>0</v>
      </c>
      <c r="W1881" s="227"/>
      <c r="X1881" s="228">
        <f t="shared" si="252"/>
        <v>0</v>
      </c>
      <c r="Y1881" s="229"/>
      <c r="Z1881" s="229"/>
      <c r="AA1881" s="229"/>
      <c r="AB1881" s="222">
        <f t="shared" si="253"/>
        <v>0</v>
      </c>
      <c r="AC1881" s="230">
        <f t="shared" si="254"/>
        <v>0</v>
      </c>
      <c r="AD1881" s="222" t="str">
        <f t="shared" si="255"/>
        <v/>
      </c>
      <c r="AE1881" s="201"/>
      <c r="AF1881" s="231" t="str">
        <f>+IFERROR(VLOOKUP(L1881,Data!$F$4:$G$97,2,0),"")</f>
        <v/>
      </c>
    </row>
    <row r="1882" spans="9:32" ht="15" customHeight="1" x14ac:dyDescent="0.3">
      <c r="I1882" s="201" t="str">
        <f t="shared" si="248"/>
        <v/>
      </c>
      <c r="J1882" s="218">
        <f t="shared" si="249"/>
        <v>1879</v>
      </c>
      <c r="K1882" s="250"/>
      <c r="L1882" s="219"/>
      <c r="M1882" s="218"/>
      <c r="N1882" s="220" t="str">
        <f>IFERROR(VLOOKUP(M1882,Data!$C$4:$D$395,2,0),"")</f>
        <v/>
      </c>
      <c r="O1882" s="220"/>
      <c r="P1882" s="229"/>
      <c r="Q1882" s="221"/>
      <c r="R1882" s="222" t="str">
        <f t="shared" si="250"/>
        <v>-</v>
      </c>
      <c r="S1882" s="223"/>
      <c r="T1882" s="224"/>
      <c r="U1882" s="225">
        <f t="shared" si="251"/>
        <v>0</v>
      </c>
      <c r="V1882" s="226">
        <v>0</v>
      </c>
      <c r="W1882" s="227"/>
      <c r="X1882" s="228">
        <f t="shared" si="252"/>
        <v>0</v>
      </c>
      <c r="Y1882" s="229"/>
      <c r="Z1882" s="229"/>
      <c r="AA1882" s="229"/>
      <c r="AB1882" s="222">
        <f t="shared" si="253"/>
        <v>0</v>
      </c>
      <c r="AC1882" s="230">
        <f t="shared" si="254"/>
        <v>0</v>
      </c>
      <c r="AD1882" s="222" t="str">
        <f t="shared" si="255"/>
        <v/>
      </c>
      <c r="AE1882" s="201"/>
      <c r="AF1882" s="231" t="str">
        <f>+IFERROR(VLOOKUP(L1882,Data!$F$4:$G$97,2,0),"")</f>
        <v/>
      </c>
    </row>
    <row r="1883" spans="9:32" ht="15" customHeight="1" x14ac:dyDescent="0.3">
      <c r="I1883" s="201" t="str">
        <f t="shared" si="248"/>
        <v/>
      </c>
      <c r="J1883" s="218">
        <f t="shared" si="249"/>
        <v>1880</v>
      </c>
      <c r="K1883" s="250"/>
      <c r="L1883" s="219"/>
      <c r="M1883" s="218"/>
      <c r="N1883" s="220" t="str">
        <f>IFERROR(VLOOKUP(M1883,Data!$C$4:$D$395,2,0),"")</f>
        <v/>
      </c>
      <c r="O1883" s="220"/>
      <c r="P1883" s="229"/>
      <c r="Q1883" s="221"/>
      <c r="R1883" s="222" t="str">
        <f t="shared" si="250"/>
        <v>-</v>
      </c>
      <c r="S1883" s="223"/>
      <c r="T1883" s="224"/>
      <c r="U1883" s="225">
        <f t="shared" si="251"/>
        <v>0</v>
      </c>
      <c r="V1883" s="226">
        <v>0</v>
      </c>
      <c r="W1883" s="227"/>
      <c r="X1883" s="228">
        <f t="shared" si="252"/>
        <v>0</v>
      </c>
      <c r="Y1883" s="229"/>
      <c r="Z1883" s="229"/>
      <c r="AA1883" s="229"/>
      <c r="AB1883" s="222">
        <f t="shared" si="253"/>
        <v>0</v>
      </c>
      <c r="AC1883" s="230">
        <f t="shared" si="254"/>
        <v>0</v>
      </c>
      <c r="AD1883" s="222" t="str">
        <f t="shared" si="255"/>
        <v/>
      </c>
      <c r="AE1883" s="201"/>
      <c r="AF1883" s="231" t="str">
        <f>+IFERROR(VLOOKUP(L1883,Data!$F$4:$G$97,2,0),"")</f>
        <v/>
      </c>
    </row>
    <row r="1884" spans="9:32" ht="15" customHeight="1" x14ac:dyDescent="0.3">
      <c r="I1884" s="201" t="str">
        <f t="shared" si="248"/>
        <v/>
      </c>
      <c r="J1884" s="218">
        <f t="shared" si="249"/>
        <v>1881</v>
      </c>
      <c r="K1884" s="250"/>
      <c r="L1884" s="219"/>
      <c r="M1884" s="218"/>
      <c r="N1884" s="220" t="str">
        <f>IFERROR(VLOOKUP(M1884,Data!$C$4:$D$395,2,0),"")</f>
        <v/>
      </c>
      <c r="O1884" s="220"/>
      <c r="P1884" s="229"/>
      <c r="Q1884" s="221"/>
      <c r="R1884" s="222" t="str">
        <f t="shared" si="250"/>
        <v>-</v>
      </c>
      <c r="S1884" s="223"/>
      <c r="T1884" s="224"/>
      <c r="U1884" s="225">
        <f t="shared" si="251"/>
        <v>0</v>
      </c>
      <c r="V1884" s="226">
        <v>0</v>
      </c>
      <c r="W1884" s="227"/>
      <c r="X1884" s="228">
        <f t="shared" si="252"/>
        <v>0</v>
      </c>
      <c r="Y1884" s="229"/>
      <c r="Z1884" s="229"/>
      <c r="AA1884" s="229"/>
      <c r="AB1884" s="222">
        <f t="shared" si="253"/>
        <v>0</v>
      </c>
      <c r="AC1884" s="230">
        <f t="shared" si="254"/>
        <v>0</v>
      </c>
      <c r="AD1884" s="222" t="str">
        <f t="shared" si="255"/>
        <v/>
      </c>
      <c r="AE1884" s="201"/>
      <c r="AF1884" s="231" t="str">
        <f>+IFERROR(VLOOKUP(L1884,Data!$F$4:$G$97,2,0),"")</f>
        <v/>
      </c>
    </row>
    <row r="1885" spans="9:32" ht="15" customHeight="1" x14ac:dyDescent="0.3">
      <c r="I1885" s="201" t="str">
        <f t="shared" si="248"/>
        <v/>
      </c>
      <c r="J1885" s="218">
        <f t="shared" si="249"/>
        <v>1882</v>
      </c>
      <c r="K1885" s="250"/>
      <c r="L1885" s="219"/>
      <c r="M1885" s="218"/>
      <c r="N1885" s="220" t="str">
        <f>IFERROR(VLOOKUP(M1885,Data!$C$4:$D$395,2,0),"")</f>
        <v/>
      </c>
      <c r="O1885" s="220"/>
      <c r="P1885" s="229"/>
      <c r="Q1885" s="221"/>
      <c r="R1885" s="222" t="str">
        <f t="shared" si="250"/>
        <v>-</v>
      </c>
      <c r="S1885" s="223"/>
      <c r="T1885" s="224"/>
      <c r="U1885" s="225">
        <f t="shared" si="251"/>
        <v>0</v>
      </c>
      <c r="V1885" s="226">
        <v>0</v>
      </c>
      <c r="W1885" s="227"/>
      <c r="X1885" s="228">
        <f t="shared" si="252"/>
        <v>0</v>
      </c>
      <c r="Y1885" s="229"/>
      <c r="Z1885" s="229"/>
      <c r="AA1885" s="229"/>
      <c r="AB1885" s="222">
        <f t="shared" si="253"/>
        <v>0</v>
      </c>
      <c r="AC1885" s="230">
        <f t="shared" si="254"/>
        <v>0</v>
      </c>
      <c r="AD1885" s="222" t="str">
        <f t="shared" si="255"/>
        <v/>
      </c>
      <c r="AE1885" s="201"/>
      <c r="AF1885" s="231" t="str">
        <f>+IFERROR(VLOOKUP(L1885,Data!$F$4:$G$97,2,0),"")</f>
        <v/>
      </c>
    </row>
    <row r="1886" spans="9:32" ht="15" customHeight="1" x14ac:dyDescent="0.3">
      <c r="I1886" s="201" t="str">
        <f t="shared" si="248"/>
        <v/>
      </c>
      <c r="J1886" s="218">
        <f t="shared" si="249"/>
        <v>1883</v>
      </c>
      <c r="K1886" s="250"/>
      <c r="L1886" s="219"/>
      <c r="M1886" s="218"/>
      <c r="N1886" s="220" t="str">
        <f>IFERROR(VLOOKUP(M1886,Data!$C$4:$D$395,2,0),"")</f>
        <v/>
      </c>
      <c r="O1886" s="220"/>
      <c r="P1886" s="229"/>
      <c r="Q1886" s="221"/>
      <c r="R1886" s="222" t="str">
        <f t="shared" si="250"/>
        <v>-</v>
      </c>
      <c r="S1886" s="223"/>
      <c r="T1886" s="224"/>
      <c r="U1886" s="225">
        <f t="shared" si="251"/>
        <v>0</v>
      </c>
      <c r="V1886" s="226">
        <v>0</v>
      </c>
      <c r="W1886" s="227"/>
      <c r="X1886" s="228">
        <f t="shared" si="252"/>
        <v>0</v>
      </c>
      <c r="Y1886" s="229"/>
      <c r="Z1886" s="229"/>
      <c r="AA1886" s="229"/>
      <c r="AB1886" s="222">
        <f t="shared" si="253"/>
        <v>0</v>
      </c>
      <c r="AC1886" s="230">
        <f t="shared" si="254"/>
        <v>0</v>
      </c>
      <c r="AD1886" s="222" t="str">
        <f t="shared" si="255"/>
        <v/>
      </c>
      <c r="AE1886" s="201"/>
      <c r="AF1886" s="231" t="str">
        <f>+IFERROR(VLOOKUP(L1886,Data!$F$4:$G$97,2,0),"")</f>
        <v/>
      </c>
    </row>
    <row r="1887" spans="9:32" ht="15" customHeight="1" x14ac:dyDescent="0.3">
      <c r="I1887" s="201" t="str">
        <f t="shared" si="248"/>
        <v/>
      </c>
      <c r="J1887" s="218">
        <f t="shared" si="249"/>
        <v>1884</v>
      </c>
      <c r="K1887" s="250"/>
      <c r="L1887" s="219"/>
      <c r="M1887" s="218"/>
      <c r="N1887" s="220" t="str">
        <f>IFERROR(VLOOKUP(M1887,Data!$C$4:$D$395,2,0),"")</f>
        <v/>
      </c>
      <c r="O1887" s="220"/>
      <c r="P1887" s="229"/>
      <c r="Q1887" s="221"/>
      <c r="R1887" s="222" t="str">
        <f t="shared" si="250"/>
        <v>-</v>
      </c>
      <c r="S1887" s="223"/>
      <c r="T1887" s="224"/>
      <c r="U1887" s="225">
        <f t="shared" si="251"/>
        <v>0</v>
      </c>
      <c r="V1887" s="226">
        <v>0</v>
      </c>
      <c r="W1887" s="227"/>
      <c r="X1887" s="228">
        <f t="shared" si="252"/>
        <v>0</v>
      </c>
      <c r="Y1887" s="229"/>
      <c r="Z1887" s="229"/>
      <c r="AA1887" s="229"/>
      <c r="AB1887" s="222">
        <f t="shared" si="253"/>
        <v>0</v>
      </c>
      <c r="AC1887" s="230">
        <f t="shared" si="254"/>
        <v>0</v>
      </c>
      <c r="AD1887" s="222" t="str">
        <f t="shared" si="255"/>
        <v/>
      </c>
      <c r="AE1887" s="201"/>
      <c r="AF1887" s="231" t="str">
        <f>+IFERROR(VLOOKUP(L1887,Data!$F$4:$G$97,2,0),"")</f>
        <v/>
      </c>
    </row>
    <row r="1888" spans="9:32" ht="15" customHeight="1" x14ac:dyDescent="0.3">
      <c r="I1888" s="201" t="str">
        <f t="shared" si="248"/>
        <v/>
      </c>
      <c r="J1888" s="218">
        <f t="shared" si="249"/>
        <v>1885</v>
      </c>
      <c r="K1888" s="250"/>
      <c r="L1888" s="219"/>
      <c r="M1888" s="218"/>
      <c r="N1888" s="220" t="str">
        <f>IFERROR(VLOOKUP(M1888,Data!$C$4:$D$395,2,0),"")</f>
        <v/>
      </c>
      <c r="O1888" s="220"/>
      <c r="P1888" s="229"/>
      <c r="Q1888" s="221"/>
      <c r="R1888" s="222" t="str">
        <f t="shared" si="250"/>
        <v>-</v>
      </c>
      <c r="S1888" s="223"/>
      <c r="T1888" s="224"/>
      <c r="U1888" s="225">
        <f t="shared" si="251"/>
        <v>0</v>
      </c>
      <c r="V1888" s="226">
        <v>0</v>
      </c>
      <c r="W1888" s="227"/>
      <c r="X1888" s="228">
        <f t="shared" si="252"/>
        <v>0</v>
      </c>
      <c r="Y1888" s="229"/>
      <c r="Z1888" s="229"/>
      <c r="AA1888" s="229"/>
      <c r="AB1888" s="222">
        <f t="shared" si="253"/>
        <v>0</v>
      </c>
      <c r="AC1888" s="230">
        <f t="shared" si="254"/>
        <v>0</v>
      </c>
      <c r="AD1888" s="222" t="str">
        <f t="shared" si="255"/>
        <v/>
      </c>
      <c r="AE1888" s="201"/>
      <c r="AF1888" s="231" t="str">
        <f>+IFERROR(VLOOKUP(L1888,Data!$F$4:$G$97,2,0),"")</f>
        <v/>
      </c>
    </row>
    <row r="1889" spans="9:32" ht="15" customHeight="1" x14ac:dyDescent="0.3">
      <c r="I1889" s="201" t="str">
        <f t="shared" si="248"/>
        <v/>
      </c>
      <c r="J1889" s="218">
        <f t="shared" si="249"/>
        <v>1886</v>
      </c>
      <c r="K1889" s="250"/>
      <c r="L1889" s="219"/>
      <c r="M1889" s="218"/>
      <c r="N1889" s="220" t="str">
        <f>IFERROR(VLOOKUP(M1889,Data!$C$4:$D$395,2,0),"")</f>
        <v/>
      </c>
      <c r="O1889" s="220"/>
      <c r="P1889" s="229"/>
      <c r="Q1889" s="221"/>
      <c r="R1889" s="222" t="str">
        <f t="shared" si="250"/>
        <v>-</v>
      </c>
      <c r="S1889" s="223"/>
      <c r="T1889" s="224"/>
      <c r="U1889" s="225">
        <f t="shared" si="251"/>
        <v>0</v>
      </c>
      <c r="V1889" s="226">
        <v>0</v>
      </c>
      <c r="W1889" s="227"/>
      <c r="X1889" s="228">
        <f t="shared" si="252"/>
        <v>0</v>
      </c>
      <c r="Y1889" s="229"/>
      <c r="Z1889" s="229"/>
      <c r="AA1889" s="229"/>
      <c r="AB1889" s="222">
        <f t="shared" si="253"/>
        <v>0</v>
      </c>
      <c r="AC1889" s="230">
        <f t="shared" si="254"/>
        <v>0</v>
      </c>
      <c r="AD1889" s="222" t="str">
        <f t="shared" si="255"/>
        <v/>
      </c>
      <c r="AE1889" s="201"/>
      <c r="AF1889" s="231" t="str">
        <f>+IFERROR(VLOOKUP(L1889,Data!$F$4:$G$97,2,0),"")</f>
        <v/>
      </c>
    </row>
    <row r="1890" spans="9:32" ht="15" customHeight="1" x14ac:dyDescent="0.3">
      <c r="I1890" s="201" t="str">
        <f t="shared" si="248"/>
        <v/>
      </c>
      <c r="J1890" s="218">
        <f t="shared" si="249"/>
        <v>1887</v>
      </c>
      <c r="K1890" s="250"/>
      <c r="L1890" s="219"/>
      <c r="M1890" s="218"/>
      <c r="N1890" s="220" t="str">
        <f>IFERROR(VLOOKUP(M1890,Data!$C$4:$D$395,2,0),"")</f>
        <v/>
      </c>
      <c r="O1890" s="220"/>
      <c r="P1890" s="229"/>
      <c r="Q1890" s="221"/>
      <c r="R1890" s="222" t="str">
        <f t="shared" si="250"/>
        <v>-</v>
      </c>
      <c r="S1890" s="223"/>
      <c r="T1890" s="224"/>
      <c r="U1890" s="225">
        <f t="shared" si="251"/>
        <v>0</v>
      </c>
      <c r="V1890" s="226">
        <v>0</v>
      </c>
      <c r="W1890" s="227"/>
      <c r="X1890" s="228">
        <f t="shared" si="252"/>
        <v>0</v>
      </c>
      <c r="Y1890" s="229"/>
      <c r="Z1890" s="229"/>
      <c r="AA1890" s="229"/>
      <c r="AB1890" s="222">
        <f t="shared" si="253"/>
        <v>0</v>
      </c>
      <c r="AC1890" s="230">
        <f t="shared" si="254"/>
        <v>0</v>
      </c>
      <c r="AD1890" s="222" t="str">
        <f t="shared" si="255"/>
        <v/>
      </c>
      <c r="AE1890" s="201"/>
      <c r="AF1890" s="231" t="str">
        <f>+IFERROR(VLOOKUP(L1890,Data!$F$4:$G$97,2,0),"")</f>
        <v/>
      </c>
    </row>
    <row r="1891" spans="9:32" ht="15" customHeight="1" x14ac:dyDescent="0.3">
      <c r="I1891" s="201" t="str">
        <f t="shared" si="248"/>
        <v/>
      </c>
      <c r="J1891" s="218">
        <f t="shared" si="249"/>
        <v>1888</v>
      </c>
      <c r="K1891" s="250"/>
      <c r="L1891" s="219"/>
      <c r="M1891" s="218"/>
      <c r="N1891" s="220" t="str">
        <f>IFERROR(VLOOKUP(M1891,Data!$C$4:$D$395,2,0),"")</f>
        <v/>
      </c>
      <c r="O1891" s="220"/>
      <c r="P1891" s="229"/>
      <c r="Q1891" s="221"/>
      <c r="R1891" s="222" t="str">
        <f t="shared" si="250"/>
        <v>-</v>
      </c>
      <c r="S1891" s="223"/>
      <c r="T1891" s="224"/>
      <c r="U1891" s="225">
        <f t="shared" si="251"/>
        <v>0</v>
      </c>
      <c r="V1891" s="226">
        <v>0</v>
      </c>
      <c r="W1891" s="227"/>
      <c r="X1891" s="228">
        <f t="shared" si="252"/>
        <v>0</v>
      </c>
      <c r="Y1891" s="229"/>
      <c r="Z1891" s="229"/>
      <c r="AA1891" s="229"/>
      <c r="AB1891" s="222">
        <f t="shared" si="253"/>
        <v>0</v>
      </c>
      <c r="AC1891" s="230">
        <f t="shared" si="254"/>
        <v>0</v>
      </c>
      <c r="AD1891" s="222" t="str">
        <f t="shared" si="255"/>
        <v/>
      </c>
      <c r="AE1891" s="201"/>
      <c r="AF1891" s="231" t="str">
        <f>+IFERROR(VLOOKUP(L1891,Data!$F$4:$G$97,2,0),"")</f>
        <v/>
      </c>
    </row>
    <row r="1892" spans="9:32" ht="15" customHeight="1" x14ac:dyDescent="0.3">
      <c r="I1892" s="201" t="str">
        <f t="shared" si="248"/>
        <v/>
      </c>
      <c r="J1892" s="218">
        <f t="shared" si="249"/>
        <v>1889</v>
      </c>
      <c r="K1892" s="250"/>
      <c r="L1892" s="219"/>
      <c r="M1892" s="218"/>
      <c r="N1892" s="220" t="str">
        <f>IFERROR(VLOOKUP(M1892,Data!$C$4:$D$395,2,0),"")</f>
        <v/>
      </c>
      <c r="O1892" s="220"/>
      <c r="P1892" s="229"/>
      <c r="Q1892" s="221"/>
      <c r="R1892" s="222" t="str">
        <f t="shared" si="250"/>
        <v>-</v>
      </c>
      <c r="S1892" s="223"/>
      <c r="T1892" s="224"/>
      <c r="U1892" s="225">
        <f t="shared" si="251"/>
        <v>0</v>
      </c>
      <c r="V1892" s="226">
        <v>0</v>
      </c>
      <c r="W1892" s="227"/>
      <c r="X1892" s="228">
        <f t="shared" si="252"/>
        <v>0</v>
      </c>
      <c r="Y1892" s="229"/>
      <c r="Z1892" s="229"/>
      <c r="AA1892" s="229"/>
      <c r="AB1892" s="222">
        <f t="shared" si="253"/>
        <v>0</v>
      </c>
      <c r="AC1892" s="230">
        <f t="shared" si="254"/>
        <v>0</v>
      </c>
      <c r="AD1892" s="222" t="str">
        <f t="shared" si="255"/>
        <v/>
      </c>
      <c r="AE1892" s="201"/>
      <c r="AF1892" s="231" t="str">
        <f>+IFERROR(VLOOKUP(L1892,Data!$F$4:$G$97,2,0),"")</f>
        <v/>
      </c>
    </row>
    <row r="1893" spans="9:32" ht="15" customHeight="1" x14ac:dyDescent="0.3">
      <c r="I1893" s="201" t="str">
        <f t="shared" si="248"/>
        <v/>
      </c>
      <c r="J1893" s="218">
        <f t="shared" si="249"/>
        <v>1890</v>
      </c>
      <c r="K1893" s="250"/>
      <c r="L1893" s="219"/>
      <c r="M1893" s="218"/>
      <c r="N1893" s="220" t="str">
        <f>IFERROR(VLOOKUP(M1893,Data!$C$4:$D$395,2,0),"")</f>
        <v/>
      </c>
      <c r="O1893" s="220"/>
      <c r="P1893" s="229"/>
      <c r="Q1893" s="221"/>
      <c r="R1893" s="222" t="str">
        <f t="shared" si="250"/>
        <v>-</v>
      </c>
      <c r="S1893" s="223"/>
      <c r="T1893" s="224"/>
      <c r="U1893" s="225">
        <f t="shared" si="251"/>
        <v>0</v>
      </c>
      <c r="V1893" s="226">
        <v>0</v>
      </c>
      <c r="W1893" s="227"/>
      <c r="X1893" s="228">
        <f t="shared" si="252"/>
        <v>0</v>
      </c>
      <c r="Y1893" s="229"/>
      <c r="Z1893" s="229"/>
      <c r="AA1893" s="229"/>
      <c r="AB1893" s="222">
        <f t="shared" si="253"/>
        <v>0</v>
      </c>
      <c r="AC1893" s="230">
        <f t="shared" si="254"/>
        <v>0</v>
      </c>
      <c r="AD1893" s="222" t="str">
        <f t="shared" si="255"/>
        <v/>
      </c>
      <c r="AE1893" s="201"/>
      <c r="AF1893" s="231" t="str">
        <f>+IFERROR(VLOOKUP(L1893,Data!$F$4:$G$97,2,0),"")</f>
        <v/>
      </c>
    </row>
    <row r="1894" spans="9:32" ht="15" customHeight="1" x14ac:dyDescent="0.3">
      <c r="I1894" s="201" t="str">
        <f t="shared" si="248"/>
        <v/>
      </c>
      <c r="J1894" s="218">
        <f t="shared" si="249"/>
        <v>1891</v>
      </c>
      <c r="K1894" s="250"/>
      <c r="L1894" s="219"/>
      <c r="M1894" s="218"/>
      <c r="N1894" s="220" t="str">
        <f>IFERROR(VLOOKUP(M1894,Data!$C$4:$D$395,2,0),"")</f>
        <v/>
      </c>
      <c r="O1894" s="220"/>
      <c r="P1894" s="229"/>
      <c r="Q1894" s="221"/>
      <c r="R1894" s="222" t="str">
        <f t="shared" si="250"/>
        <v>-</v>
      </c>
      <c r="S1894" s="223"/>
      <c r="T1894" s="224"/>
      <c r="U1894" s="225">
        <f t="shared" si="251"/>
        <v>0</v>
      </c>
      <c r="V1894" s="226">
        <v>0</v>
      </c>
      <c r="W1894" s="227"/>
      <c r="X1894" s="228">
        <f t="shared" si="252"/>
        <v>0</v>
      </c>
      <c r="Y1894" s="229"/>
      <c r="Z1894" s="229"/>
      <c r="AA1894" s="229"/>
      <c r="AB1894" s="222">
        <f t="shared" si="253"/>
        <v>0</v>
      </c>
      <c r="AC1894" s="230">
        <f t="shared" si="254"/>
        <v>0</v>
      </c>
      <c r="AD1894" s="222" t="str">
        <f t="shared" si="255"/>
        <v/>
      </c>
      <c r="AE1894" s="201"/>
      <c r="AF1894" s="231" t="str">
        <f>+IFERROR(VLOOKUP(L1894,Data!$F$4:$G$97,2,0),"")</f>
        <v/>
      </c>
    </row>
    <row r="1895" spans="9:32" ht="15" customHeight="1" x14ac:dyDescent="0.3">
      <c r="I1895" s="201" t="str">
        <f t="shared" si="248"/>
        <v/>
      </c>
      <c r="J1895" s="218">
        <f t="shared" si="249"/>
        <v>1892</v>
      </c>
      <c r="K1895" s="250"/>
      <c r="L1895" s="219"/>
      <c r="M1895" s="218"/>
      <c r="N1895" s="220" t="str">
        <f>IFERROR(VLOOKUP(M1895,Data!$C$4:$D$395,2,0),"")</f>
        <v/>
      </c>
      <c r="O1895" s="220"/>
      <c r="P1895" s="229"/>
      <c r="Q1895" s="221"/>
      <c r="R1895" s="222" t="str">
        <f t="shared" si="250"/>
        <v>-</v>
      </c>
      <c r="S1895" s="223"/>
      <c r="T1895" s="224"/>
      <c r="U1895" s="225">
        <f t="shared" si="251"/>
        <v>0</v>
      </c>
      <c r="V1895" s="226">
        <v>0</v>
      </c>
      <c r="W1895" s="227"/>
      <c r="X1895" s="228">
        <f t="shared" si="252"/>
        <v>0</v>
      </c>
      <c r="Y1895" s="229"/>
      <c r="Z1895" s="229"/>
      <c r="AA1895" s="229"/>
      <c r="AB1895" s="222">
        <f t="shared" si="253"/>
        <v>0</v>
      </c>
      <c r="AC1895" s="230">
        <f t="shared" si="254"/>
        <v>0</v>
      </c>
      <c r="AD1895" s="222" t="str">
        <f t="shared" si="255"/>
        <v/>
      </c>
      <c r="AE1895" s="201"/>
      <c r="AF1895" s="231" t="str">
        <f>+IFERROR(VLOOKUP(L1895,Data!$F$4:$G$97,2,0),"")</f>
        <v/>
      </c>
    </row>
    <row r="1896" spans="9:32" ht="15" customHeight="1" x14ac:dyDescent="0.3">
      <c r="I1896" s="201" t="str">
        <f t="shared" si="248"/>
        <v/>
      </c>
      <c r="J1896" s="218">
        <f t="shared" si="249"/>
        <v>1893</v>
      </c>
      <c r="K1896" s="250"/>
      <c r="L1896" s="219"/>
      <c r="M1896" s="218"/>
      <c r="N1896" s="220" t="str">
        <f>IFERROR(VLOOKUP(M1896,Data!$C$4:$D$395,2,0),"")</f>
        <v/>
      </c>
      <c r="O1896" s="220"/>
      <c r="P1896" s="229"/>
      <c r="Q1896" s="221"/>
      <c r="R1896" s="222" t="str">
        <f t="shared" si="250"/>
        <v>-</v>
      </c>
      <c r="S1896" s="223"/>
      <c r="T1896" s="224"/>
      <c r="U1896" s="225">
        <f t="shared" si="251"/>
        <v>0</v>
      </c>
      <c r="V1896" s="226">
        <v>0</v>
      </c>
      <c r="W1896" s="227"/>
      <c r="X1896" s="228">
        <f t="shared" si="252"/>
        <v>0</v>
      </c>
      <c r="Y1896" s="229"/>
      <c r="Z1896" s="229"/>
      <c r="AA1896" s="229"/>
      <c r="AB1896" s="222">
        <f t="shared" si="253"/>
        <v>0</v>
      </c>
      <c r="AC1896" s="230">
        <f t="shared" si="254"/>
        <v>0</v>
      </c>
      <c r="AD1896" s="222" t="str">
        <f t="shared" si="255"/>
        <v/>
      </c>
      <c r="AE1896" s="201"/>
      <c r="AF1896" s="231" t="str">
        <f>+IFERROR(VLOOKUP(L1896,Data!$F$4:$G$97,2,0),"")</f>
        <v/>
      </c>
    </row>
    <row r="1897" spans="9:32" ht="15" customHeight="1" x14ac:dyDescent="0.3">
      <c r="I1897" s="201" t="str">
        <f t="shared" si="248"/>
        <v/>
      </c>
      <c r="J1897" s="218">
        <f t="shared" si="249"/>
        <v>1894</v>
      </c>
      <c r="K1897" s="250"/>
      <c r="L1897" s="219"/>
      <c r="M1897" s="218"/>
      <c r="N1897" s="220" t="str">
        <f>IFERROR(VLOOKUP(M1897,Data!$C$4:$D$395,2,0),"")</f>
        <v/>
      </c>
      <c r="O1897" s="220"/>
      <c r="P1897" s="229"/>
      <c r="Q1897" s="221"/>
      <c r="R1897" s="222" t="str">
        <f t="shared" si="250"/>
        <v>-</v>
      </c>
      <c r="S1897" s="223"/>
      <c r="T1897" s="224"/>
      <c r="U1897" s="225">
        <f t="shared" si="251"/>
        <v>0</v>
      </c>
      <c r="V1897" s="226">
        <v>0</v>
      </c>
      <c r="W1897" s="227"/>
      <c r="X1897" s="228">
        <f t="shared" si="252"/>
        <v>0</v>
      </c>
      <c r="Y1897" s="229"/>
      <c r="Z1897" s="229"/>
      <c r="AA1897" s="229"/>
      <c r="AB1897" s="222">
        <f t="shared" si="253"/>
        <v>0</v>
      </c>
      <c r="AC1897" s="230">
        <f t="shared" si="254"/>
        <v>0</v>
      </c>
      <c r="AD1897" s="222" t="str">
        <f t="shared" si="255"/>
        <v/>
      </c>
      <c r="AE1897" s="201"/>
      <c r="AF1897" s="231" t="str">
        <f>+IFERROR(VLOOKUP(L1897,Data!$F$4:$G$97,2,0),"")</f>
        <v/>
      </c>
    </row>
    <row r="1898" spans="9:32" ht="15" customHeight="1" x14ac:dyDescent="0.3">
      <c r="I1898" s="201" t="str">
        <f t="shared" si="248"/>
        <v/>
      </c>
      <c r="J1898" s="218">
        <f t="shared" si="249"/>
        <v>1895</v>
      </c>
      <c r="K1898" s="250"/>
      <c r="L1898" s="219"/>
      <c r="M1898" s="218"/>
      <c r="N1898" s="220" t="str">
        <f>IFERROR(VLOOKUP(M1898,Data!$C$4:$D$395,2,0),"")</f>
        <v/>
      </c>
      <c r="O1898" s="220"/>
      <c r="P1898" s="229"/>
      <c r="Q1898" s="221"/>
      <c r="R1898" s="222" t="str">
        <f t="shared" si="250"/>
        <v>-</v>
      </c>
      <c r="S1898" s="223"/>
      <c r="T1898" s="224"/>
      <c r="U1898" s="225">
        <f t="shared" si="251"/>
        <v>0</v>
      </c>
      <c r="V1898" s="226">
        <v>0</v>
      </c>
      <c r="W1898" s="227"/>
      <c r="X1898" s="228">
        <f t="shared" si="252"/>
        <v>0</v>
      </c>
      <c r="Y1898" s="229"/>
      <c r="Z1898" s="229"/>
      <c r="AA1898" s="229"/>
      <c r="AB1898" s="222">
        <f t="shared" si="253"/>
        <v>0</v>
      </c>
      <c r="AC1898" s="230">
        <f t="shared" si="254"/>
        <v>0</v>
      </c>
      <c r="AD1898" s="222" t="str">
        <f t="shared" si="255"/>
        <v/>
      </c>
      <c r="AE1898" s="201"/>
      <c r="AF1898" s="231" t="str">
        <f>+IFERROR(VLOOKUP(L1898,Data!$F$4:$G$97,2,0),"")</f>
        <v/>
      </c>
    </row>
    <row r="1899" spans="9:32" ht="15" customHeight="1" x14ac:dyDescent="0.3">
      <c r="I1899" s="201" t="str">
        <f t="shared" si="248"/>
        <v/>
      </c>
      <c r="J1899" s="218">
        <f t="shared" si="249"/>
        <v>1896</v>
      </c>
      <c r="K1899" s="250"/>
      <c r="L1899" s="219"/>
      <c r="M1899" s="218"/>
      <c r="N1899" s="220" t="str">
        <f>IFERROR(VLOOKUP(M1899,Data!$C$4:$D$395,2,0),"")</f>
        <v/>
      </c>
      <c r="O1899" s="220"/>
      <c r="P1899" s="229"/>
      <c r="Q1899" s="221"/>
      <c r="R1899" s="222" t="str">
        <f t="shared" si="250"/>
        <v>-</v>
      </c>
      <c r="S1899" s="223"/>
      <c r="T1899" s="224"/>
      <c r="U1899" s="225">
        <f t="shared" si="251"/>
        <v>0</v>
      </c>
      <c r="V1899" s="226">
        <v>0</v>
      </c>
      <c r="W1899" s="227"/>
      <c r="X1899" s="228">
        <f t="shared" si="252"/>
        <v>0</v>
      </c>
      <c r="Y1899" s="229"/>
      <c r="Z1899" s="229"/>
      <c r="AA1899" s="229"/>
      <c r="AB1899" s="222">
        <f t="shared" si="253"/>
        <v>0</v>
      </c>
      <c r="AC1899" s="230">
        <f t="shared" si="254"/>
        <v>0</v>
      </c>
      <c r="AD1899" s="222" t="str">
        <f t="shared" si="255"/>
        <v/>
      </c>
      <c r="AE1899" s="201"/>
      <c r="AF1899" s="231" t="str">
        <f>+IFERROR(VLOOKUP(L1899,Data!$F$4:$G$97,2,0),"")</f>
        <v/>
      </c>
    </row>
    <row r="1900" spans="9:32" ht="15" customHeight="1" x14ac:dyDescent="0.3">
      <c r="I1900" s="201" t="str">
        <f t="shared" si="248"/>
        <v/>
      </c>
      <c r="J1900" s="218">
        <f t="shared" si="249"/>
        <v>1897</v>
      </c>
      <c r="K1900" s="250"/>
      <c r="L1900" s="219"/>
      <c r="M1900" s="218"/>
      <c r="N1900" s="220" t="str">
        <f>IFERROR(VLOOKUP(M1900,Data!$C$4:$D$395,2,0),"")</f>
        <v/>
      </c>
      <c r="O1900" s="220"/>
      <c r="P1900" s="229"/>
      <c r="Q1900" s="221"/>
      <c r="R1900" s="222" t="str">
        <f t="shared" si="250"/>
        <v>-</v>
      </c>
      <c r="S1900" s="223"/>
      <c r="T1900" s="224"/>
      <c r="U1900" s="225">
        <f t="shared" si="251"/>
        <v>0</v>
      </c>
      <c r="V1900" s="226">
        <v>0</v>
      </c>
      <c r="W1900" s="227"/>
      <c r="X1900" s="228">
        <f t="shared" si="252"/>
        <v>0</v>
      </c>
      <c r="Y1900" s="229"/>
      <c r="Z1900" s="229"/>
      <c r="AA1900" s="229"/>
      <c r="AB1900" s="222">
        <f t="shared" si="253"/>
        <v>0</v>
      </c>
      <c r="AC1900" s="230">
        <f t="shared" si="254"/>
        <v>0</v>
      </c>
      <c r="AD1900" s="222" t="str">
        <f t="shared" si="255"/>
        <v/>
      </c>
      <c r="AE1900" s="201"/>
      <c r="AF1900" s="231" t="str">
        <f>+IFERROR(VLOOKUP(L1900,Data!$F$4:$G$97,2,0),"")</f>
        <v/>
      </c>
    </row>
    <row r="1901" spans="9:32" ht="15" customHeight="1" x14ac:dyDescent="0.3">
      <c r="I1901" s="201" t="str">
        <f t="shared" si="248"/>
        <v/>
      </c>
      <c r="J1901" s="218">
        <f t="shared" si="249"/>
        <v>1898</v>
      </c>
      <c r="K1901" s="250"/>
      <c r="L1901" s="219"/>
      <c r="M1901" s="218"/>
      <c r="N1901" s="220" t="str">
        <f>IFERROR(VLOOKUP(M1901,Data!$C$4:$D$395,2,0),"")</f>
        <v/>
      </c>
      <c r="O1901" s="220"/>
      <c r="P1901" s="229"/>
      <c r="Q1901" s="221"/>
      <c r="R1901" s="222" t="str">
        <f t="shared" si="250"/>
        <v>-</v>
      </c>
      <c r="S1901" s="223"/>
      <c r="T1901" s="224"/>
      <c r="U1901" s="225">
        <f t="shared" si="251"/>
        <v>0</v>
      </c>
      <c r="V1901" s="226">
        <v>0</v>
      </c>
      <c r="W1901" s="227"/>
      <c r="X1901" s="228">
        <f t="shared" si="252"/>
        <v>0</v>
      </c>
      <c r="Y1901" s="229"/>
      <c r="Z1901" s="229"/>
      <c r="AA1901" s="229"/>
      <c r="AB1901" s="222">
        <f t="shared" si="253"/>
        <v>0</v>
      </c>
      <c r="AC1901" s="230">
        <f t="shared" si="254"/>
        <v>0</v>
      </c>
      <c r="AD1901" s="222" t="str">
        <f t="shared" si="255"/>
        <v/>
      </c>
      <c r="AE1901" s="201"/>
      <c r="AF1901" s="231" t="str">
        <f>+IFERROR(VLOOKUP(L1901,Data!$F$4:$G$97,2,0),"")</f>
        <v/>
      </c>
    </row>
    <row r="1902" spans="9:32" ht="15" customHeight="1" x14ac:dyDescent="0.3">
      <c r="I1902" s="201" t="str">
        <f t="shared" si="248"/>
        <v/>
      </c>
      <c r="J1902" s="218">
        <f t="shared" si="249"/>
        <v>1899</v>
      </c>
      <c r="K1902" s="250"/>
      <c r="L1902" s="219"/>
      <c r="M1902" s="218"/>
      <c r="N1902" s="220" t="str">
        <f>IFERROR(VLOOKUP(M1902,Data!$C$4:$D$395,2,0),"")</f>
        <v/>
      </c>
      <c r="O1902" s="220"/>
      <c r="P1902" s="229"/>
      <c r="Q1902" s="221"/>
      <c r="R1902" s="222" t="str">
        <f t="shared" si="250"/>
        <v>-</v>
      </c>
      <c r="S1902" s="223"/>
      <c r="T1902" s="224"/>
      <c r="U1902" s="225">
        <f t="shared" si="251"/>
        <v>0</v>
      </c>
      <c r="V1902" s="226">
        <v>0</v>
      </c>
      <c r="W1902" s="227"/>
      <c r="X1902" s="228">
        <f t="shared" si="252"/>
        <v>0</v>
      </c>
      <c r="Y1902" s="229"/>
      <c r="Z1902" s="229"/>
      <c r="AA1902" s="229"/>
      <c r="AB1902" s="222">
        <f t="shared" si="253"/>
        <v>0</v>
      </c>
      <c r="AC1902" s="230">
        <f t="shared" si="254"/>
        <v>0</v>
      </c>
      <c r="AD1902" s="222" t="str">
        <f t="shared" si="255"/>
        <v/>
      </c>
      <c r="AE1902" s="201"/>
      <c r="AF1902" s="231" t="str">
        <f>+IFERROR(VLOOKUP(L1902,Data!$F$4:$G$97,2,0),"")</f>
        <v/>
      </c>
    </row>
    <row r="1903" spans="9:32" ht="15" customHeight="1" x14ac:dyDescent="0.3">
      <c r="I1903" s="201" t="str">
        <f t="shared" si="248"/>
        <v/>
      </c>
      <c r="J1903" s="218">
        <f t="shared" si="249"/>
        <v>1900</v>
      </c>
      <c r="K1903" s="250"/>
      <c r="L1903" s="219"/>
      <c r="M1903" s="218"/>
      <c r="N1903" s="220" t="str">
        <f>IFERROR(VLOOKUP(M1903,Data!$C$4:$D$395,2,0),"")</f>
        <v/>
      </c>
      <c r="O1903" s="220"/>
      <c r="P1903" s="229"/>
      <c r="Q1903" s="221"/>
      <c r="R1903" s="222" t="str">
        <f t="shared" si="250"/>
        <v>-</v>
      </c>
      <c r="S1903" s="223"/>
      <c r="T1903" s="224"/>
      <c r="U1903" s="225">
        <f t="shared" si="251"/>
        <v>0</v>
      </c>
      <c r="V1903" s="226">
        <v>0</v>
      </c>
      <c r="W1903" s="227"/>
      <c r="X1903" s="228">
        <f t="shared" si="252"/>
        <v>0</v>
      </c>
      <c r="Y1903" s="229"/>
      <c r="Z1903" s="229"/>
      <c r="AA1903" s="229"/>
      <c r="AB1903" s="222">
        <f t="shared" si="253"/>
        <v>0</v>
      </c>
      <c r="AC1903" s="230">
        <f t="shared" si="254"/>
        <v>0</v>
      </c>
      <c r="AD1903" s="222" t="str">
        <f t="shared" si="255"/>
        <v/>
      </c>
      <c r="AE1903" s="201"/>
      <c r="AF1903" s="231" t="str">
        <f>+IFERROR(VLOOKUP(L1903,Data!$F$4:$G$97,2,0),"")</f>
        <v/>
      </c>
    </row>
    <row r="1904" spans="9:32" ht="15" customHeight="1" x14ac:dyDescent="0.3">
      <c r="I1904" s="201" t="str">
        <f t="shared" si="248"/>
        <v/>
      </c>
      <c r="J1904" s="218">
        <f t="shared" si="249"/>
        <v>1901</v>
      </c>
      <c r="K1904" s="250"/>
      <c r="L1904" s="219"/>
      <c r="M1904" s="218"/>
      <c r="N1904" s="220" t="str">
        <f>IFERROR(VLOOKUP(M1904,Data!$C$4:$D$395,2,0),"")</f>
        <v/>
      </c>
      <c r="O1904" s="220"/>
      <c r="P1904" s="229"/>
      <c r="Q1904" s="221"/>
      <c r="R1904" s="222" t="str">
        <f t="shared" si="250"/>
        <v>-</v>
      </c>
      <c r="S1904" s="223"/>
      <c r="T1904" s="224"/>
      <c r="U1904" s="225">
        <f t="shared" si="251"/>
        <v>0</v>
      </c>
      <c r="V1904" s="226">
        <v>0</v>
      </c>
      <c r="W1904" s="227"/>
      <c r="X1904" s="228">
        <f t="shared" si="252"/>
        <v>0</v>
      </c>
      <c r="Y1904" s="229"/>
      <c r="Z1904" s="229"/>
      <c r="AA1904" s="229"/>
      <c r="AB1904" s="222">
        <f t="shared" si="253"/>
        <v>0</v>
      </c>
      <c r="AC1904" s="230">
        <f t="shared" si="254"/>
        <v>0</v>
      </c>
      <c r="AD1904" s="222" t="str">
        <f t="shared" si="255"/>
        <v/>
      </c>
      <c r="AE1904" s="201"/>
      <c r="AF1904" s="231" t="str">
        <f>+IFERROR(VLOOKUP(L1904,Data!$F$4:$G$97,2,0),"")</f>
        <v/>
      </c>
    </row>
    <row r="1905" spans="9:32" ht="15" customHeight="1" x14ac:dyDescent="0.3">
      <c r="I1905" s="201" t="str">
        <f t="shared" si="248"/>
        <v/>
      </c>
      <c r="J1905" s="218">
        <f t="shared" si="249"/>
        <v>1902</v>
      </c>
      <c r="K1905" s="250"/>
      <c r="L1905" s="219"/>
      <c r="M1905" s="218"/>
      <c r="N1905" s="220" t="str">
        <f>IFERROR(VLOOKUP(M1905,Data!$C$4:$D$395,2,0),"")</f>
        <v/>
      </c>
      <c r="O1905" s="220"/>
      <c r="P1905" s="229"/>
      <c r="Q1905" s="221"/>
      <c r="R1905" s="222" t="str">
        <f t="shared" si="250"/>
        <v>-</v>
      </c>
      <c r="S1905" s="223"/>
      <c r="T1905" s="224"/>
      <c r="U1905" s="225">
        <f t="shared" si="251"/>
        <v>0</v>
      </c>
      <c r="V1905" s="226">
        <v>0</v>
      </c>
      <c r="W1905" s="227"/>
      <c r="X1905" s="228">
        <f t="shared" si="252"/>
        <v>0</v>
      </c>
      <c r="Y1905" s="229"/>
      <c r="Z1905" s="229"/>
      <c r="AA1905" s="229"/>
      <c r="AB1905" s="222">
        <f t="shared" si="253"/>
        <v>0</v>
      </c>
      <c r="AC1905" s="230">
        <f t="shared" si="254"/>
        <v>0</v>
      </c>
      <c r="AD1905" s="222" t="str">
        <f t="shared" si="255"/>
        <v/>
      </c>
      <c r="AE1905" s="201"/>
      <c r="AF1905" s="231" t="str">
        <f>+IFERROR(VLOOKUP(L1905,Data!$F$4:$G$97,2,0),"")</f>
        <v/>
      </c>
    </row>
    <row r="1906" spans="9:32" ht="15" customHeight="1" x14ac:dyDescent="0.3">
      <c r="I1906" s="201" t="str">
        <f t="shared" si="248"/>
        <v/>
      </c>
      <c r="J1906" s="218">
        <f t="shared" si="249"/>
        <v>1903</v>
      </c>
      <c r="K1906" s="250"/>
      <c r="L1906" s="219"/>
      <c r="M1906" s="218"/>
      <c r="N1906" s="220" t="str">
        <f>IFERROR(VLOOKUP(M1906,Data!$C$4:$D$395,2,0),"")</f>
        <v/>
      </c>
      <c r="O1906" s="220"/>
      <c r="P1906" s="229"/>
      <c r="Q1906" s="221"/>
      <c r="R1906" s="222" t="str">
        <f t="shared" si="250"/>
        <v>-</v>
      </c>
      <c r="S1906" s="223"/>
      <c r="T1906" s="224"/>
      <c r="U1906" s="225">
        <f t="shared" si="251"/>
        <v>0</v>
      </c>
      <c r="V1906" s="226">
        <v>0</v>
      </c>
      <c r="W1906" s="227"/>
      <c r="X1906" s="228">
        <f t="shared" si="252"/>
        <v>0</v>
      </c>
      <c r="Y1906" s="229"/>
      <c r="Z1906" s="229"/>
      <c r="AA1906" s="229"/>
      <c r="AB1906" s="222">
        <f t="shared" si="253"/>
        <v>0</v>
      </c>
      <c r="AC1906" s="230">
        <f t="shared" si="254"/>
        <v>0</v>
      </c>
      <c r="AD1906" s="222" t="str">
        <f t="shared" si="255"/>
        <v/>
      </c>
      <c r="AE1906" s="201"/>
      <c r="AF1906" s="231" t="str">
        <f>+IFERROR(VLOOKUP(L1906,Data!$F$4:$G$97,2,0),"")</f>
        <v/>
      </c>
    </row>
    <row r="1907" spans="9:32" ht="15" customHeight="1" x14ac:dyDescent="0.3">
      <c r="I1907" s="201" t="str">
        <f t="shared" si="248"/>
        <v/>
      </c>
      <c r="J1907" s="218">
        <f t="shared" si="249"/>
        <v>1904</v>
      </c>
      <c r="K1907" s="250"/>
      <c r="L1907" s="219"/>
      <c r="M1907" s="218"/>
      <c r="N1907" s="220" t="str">
        <f>IFERROR(VLOOKUP(M1907,Data!$C$4:$D$395,2,0),"")</f>
        <v/>
      </c>
      <c r="O1907" s="220"/>
      <c r="P1907" s="229"/>
      <c r="Q1907" s="221"/>
      <c r="R1907" s="222" t="str">
        <f t="shared" si="250"/>
        <v>-</v>
      </c>
      <c r="S1907" s="223"/>
      <c r="T1907" s="224"/>
      <c r="U1907" s="225">
        <f t="shared" si="251"/>
        <v>0</v>
      </c>
      <c r="V1907" s="226">
        <v>0</v>
      </c>
      <c r="W1907" s="227"/>
      <c r="X1907" s="228">
        <f t="shared" si="252"/>
        <v>0</v>
      </c>
      <c r="Y1907" s="229"/>
      <c r="Z1907" s="229"/>
      <c r="AA1907" s="229"/>
      <c r="AB1907" s="222">
        <f t="shared" si="253"/>
        <v>0</v>
      </c>
      <c r="AC1907" s="230">
        <f t="shared" si="254"/>
        <v>0</v>
      </c>
      <c r="AD1907" s="222" t="str">
        <f t="shared" si="255"/>
        <v/>
      </c>
      <c r="AE1907" s="201"/>
      <c r="AF1907" s="231" t="str">
        <f>+IFERROR(VLOOKUP(L1907,Data!$F$4:$G$97,2,0),"")</f>
        <v/>
      </c>
    </row>
    <row r="1908" spans="9:32" ht="15" customHeight="1" x14ac:dyDescent="0.3">
      <c r="I1908" s="201" t="str">
        <f t="shared" si="248"/>
        <v/>
      </c>
      <c r="J1908" s="218">
        <f t="shared" si="249"/>
        <v>1905</v>
      </c>
      <c r="K1908" s="250"/>
      <c r="L1908" s="219"/>
      <c r="M1908" s="218"/>
      <c r="N1908" s="220" t="str">
        <f>IFERROR(VLOOKUP(M1908,Data!$C$4:$D$395,2,0),"")</f>
        <v/>
      </c>
      <c r="O1908" s="220"/>
      <c r="P1908" s="229"/>
      <c r="Q1908" s="221"/>
      <c r="R1908" s="222" t="str">
        <f t="shared" si="250"/>
        <v>-</v>
      </c>
      <c r="S1908" s="223"/>
      <c r="T1908" s="224"/>
      <c r="U1908" s="225">
        <f t="shared" si="251"/>
        <v>0</v>
      </c>
      <c r="V1908" s="226">
        <v>0</v>
      </c>
      <c r="W1908" s="227"/>
      <c r="X1908" s="228">
        <f t="shared" si="252"/>
        <v>0</v>
      </c>
      <c r="Y1908" s="229"/>
      <c r="Z1908" s="229"/>
      <c r="AA1908" s="229"/>
      <c r="AB1908" s="222">
        <f t="shared" si="253"/>
        <v>0</v>
      </c>
      <c r="AC1908" s="230">
        <f t="shared" si="254"/>
        <v>0</v>
      </c>
      <c r="AD1908" s="222" t="str">
        <f t="shared" si="255"/>
        <v/>
      </c>
      <c r="AE1908" s="201"/>
      <c r="AF1908" s="231" t="str">
        <f>+IFERROR(VLOOKUP(L1908,Data!$F$4:$G$97,2,0),"")</f>
        <v/>
      </c>
    </row>
    <row r="1909" spans="9:32" ht="15" customHeight="1" x14ac:dyDescent="0.3">
      <c r="I1909" s="201" t="str">
        <f t="shared" si="248"/>
        <v/>
      </c>
      <c r="J1909" s="218">
        <f t="shared" si="249"/>
        <v>1906</v>
      </c>
      <c r="K1909" s="250"/>
      <c r="L1909" s="219"/>
      <c r="M1909" s="218"/>
      <c r="N1909" s="220" t="str">
        <f>IFERROR(VLOOKUP(M1909,Data!$C$4:$D$395,2,0),"")</f>
        <v/>
      </c>
      <c r="O1909" s="220"/>
      <c r="P1909" s="229"/>
      <c r="Q1909" s="221"/>
      <c r="R1909" s="222" t="str">
        <f t="shared" si="250"/>
        <v>-</v>
      </c>
      <c r="S1909" s="223"/>
      <c r="T1909" s="224"/>
      <c r="U1909" s="225">
        <f t="shared" si="251"/>
        <v>0</v>
      </c>
      <c r="V1909" s="226">
        <v>0</v>
      </c>
      <c r="W1909" s="227"/>
      <c r="X1909" s="228">
        <f t="shared" si="252"/>
        <v>0</v>
      </c>
      <c r="Y1909" s="229"/>
      <c r="Z1909" s="229"/>
      <c r="AA1909" s="229"/>
      <c r="AB1909" s="222">
        <f t="shared" si="253"/>
        <v>0</v>
      </c>
      <c r="AC1909" s="230">
        <f t="shared" si="254"/>
        <v>0</v>
      </c>
      <c r="AD1909" s="222" t="str">
        <f t="shared" si="255"/>
        <v/>
      </c>
      <c r="AE1909" s="201"/>
      <c r="AF1909" s="231" t="str">
        <f>+IFERROR(VLOOKUP(L1909,Data!$F$4:$G$97,2,0),"")</f>
        <v/>
      </c>
    </row>
    <row r="1910" spans="9:32" ht="15" customHeight="1" x14ac:dyDescent="0.3">
      <c r="I1910" s="201" t="str">
        <f t="shared" si="248"/>
        <v/>
      </c>
      <c r="J1910" s="218">
        <f t="shared" si="249"/>
        <v>1907</v>
      </c>
      <c r="K1910" s="250"/>
      <c r="L1910" s="219"/>
      <c r="M1910" s="218"/>
      <c r="N1910" s="220" t="str">
        <f>IFERROR(VLOOKUP(M1910,Data!$C$4:$D$395,2,0),"")</f>
        <v/>
      </c>
      <c r="O1910" s="220"/>
      <c r="P1910" s="229"/>
      <c r="Q1910" s="221"/>
      <c r="R1910" s="222" t="str">
        <f t="shared" si="250"/>
        <v>-</v>
      </c>
      <c r="S1910" s="223"/>
      <c r="T1910" s="224"/>
      <c r="U1910" s="225">
        <f t="shared" si="251"/>
        <v>0</v>
      </c>
      <c r="V1910" s="226">
        <v>0</v>
      </c>
      <c r="W1910" s="227"/>
      <c r="X1910" s="228">
        <f t="shared" si="252"/>
        <v>0</v>
      </c>
      <c r="Y1910" s="229"/>
      <c r="Z1910" s="229"/>
      <c r="AA1910" s="229"/>
      <c r="AB1910" s="222">
        <f t="shared" si="253"/>
        <v>0</v>
      </c>
      <c r="AC1910" s="230">
        <f t="shared" si="254"/>
        <v>0</v>
      </c>
      <c r="AD1910" s="222" t="str">
        <f t="shared" si="255"/>
        <v/>
      </c>
      <c r="AE1910" s="201"/>
      <c r="AF1910" s="231" t="str">
        <f>+IFERROR(VLOOKUP(L1910,Data!$F$4:$G$97,2,0),"")</f>
        <v/>
      </c>
    </row>
    <row r="1911" spans="9:32" ht="15" customHeight="1" x14ac:dyDescent="0.3">
      <c r="I1911" s="201" t="str">
        <f t="shared" si="248"/>
        <v/>
      </c>
      <c r="J1911" s="218">
        <f t="shared" si="249"/>
        <v>1908</v>
      </c>
      <c r="K1911" s="250"/>
      <c r="L1911" s="219"/>
      <c r="M1911" s="218"/>
      <c r="N1911" s="220" t="str">
        <f>IFERROR(VLOOKUP(M1911,Data!$C$4:$D$395,2,0),"")</f>
        <v/>
      </c>
      <c r="O1911" s="220"/>
      <c r="P1911" s="229"/>
      <c r="Q1911" s="221"/>
      <c r="R1911" s="222" t="str">
        <f t="shared" si="250"/>
        <v>-</v>
      </c>
      <c r="S1911" s="223"/>
      <c r="T1911" s="224"/>
      <c r="U1911" s="225">
        <f t="shared" si="251"/>
        <v>0</v>
      </c>
      <c r="V1911" s="226">
        <v>0</v>
      </c>
      <c r="W1911" s="227"/>
      <c r="X1911" s="228">
        <f t="shared" si="252"/>
        <v>0</v>
      </c>
      <c r="Y1911" s="229"/>
      <c r="Z1911" s="229"/>
      <c r="AA1911" s="229"/>
      <c r="AB1911" s="222">
        <f t="shared" si="253"/>
        <v>0</v>
      </c>
      <c r="AC1911" s="230">
        <f t="shared" si="254"/>
        <v>0</v>
      </c>
      <c r="AD1911" s="222" t="str">
        <f t="shared" si="255"/>
        <v/>
      </c>
      <c r="AE1911" s="201"/>
      <c r="AF1911" s="231" t="str">
        <f>+IFERROR(VLOOKUP(L1911,Data!$F$4:$G$97,2,0),"")</f>
        <v/>
      </c>
    </row>
    <row r="1912" spans="9:32" ht="15" customHeight="1" x14ac:dyDescent="0.3">
      <c r="I1912" s="201" t="str">
        <f t="shared" si="248"/>
        <v/>
      </c>
      <c r="J1912" s="218">
        <f t="shared" si="249"/>
        <v>1909</v>
      </c>
      <c r="K1912" s="250"/>
      <c r="L1912" s="219"/>
      <c r="M1912" s="218"/>
      <c r="N1912" s="220" t="str">
        <f>IFERROR(VLOOKUP(M1912,Data!$C$4:$D$395,2,0),"")</f>
        <v/>
      </c>
      <c r="O1912" s="220"/>
      <c r="P1912" s="229"/>
      <c r="Q1912" s="221"/>
      <c r="R1912" s="222" t="str">
        <f t="shared" si="250"/>
        <v>-</v>
      </c>
      <c r="S1912" s="223"/>
      <c r="T1912" s="224"/>
      <c r="U1912" s="225">
        <f t="shared" si="251"/>
        <v>0</v>
      </c>
      <c r="V1912" s="226">
        <v>0</v>
      </c>
      <c r="W1912" s="227"/>
      <c r="X1912" s="228">
        <f t="shared" si="252"/>
        <v>0</v>
      </c>
      <c r="Y1912" s="229"/>
      <c r="Z1912" s="229"/>
      <c r="AA1912" s="229"/>
      <c r="AB1912" s="222">
        <f t="shared" si="253"/>
        <v>0</v>
      </c>
      <c r="AC1912" s="230">
        <f t="shared" si="254"/>
        <v>0</v>
      </c>
      <c r="AD1912" s="222" t="str">
        <f t="shared" si="255"/>
        <v/>
      </c>
      <c r="AE1912" s="201"/>
      <c r="AF1912" s="231" t="str">
        <f>+IFERROR(VLOOKUP(L1912,Data!$F$4:$G$97,2,0),"")</f>
        <v/>
      </c>
    </row>
    <row r="1913" spans="9:32" ht="15" customHeight="1" x14ac:dyDescent="0.3">
      <c r="I1913" s="201" t="str">
        <f t="shared" si="248"/>
        <v/>
      </c>
      <c r="J1913" s="218">
        <f t="shared" si="249"/>
        <v>1910</v>
      </c>
      <c r="K1913" s="250"/>
      <c r="L1913" s="219"/>
      <c r="M1913" s="218"/>
      <c r="N1913" s="220" t="str">
        <f>IFERROR(VLOOKUP(M1913,Data!$C$4:$D$395,2,0),"")</f>
        <v/>
      </c>
      <c r="O1913" s="220"/>
      <c r="P1913" s="229"/>
      <c r="Q1913" s="221"/>
      <c r="R1913" s="222" t="str">
        <f t="shared" si="250"/>
        <v>-</v>
      </c>
      <c r="S1913" s="223"/>
      <c r="T1913" s="224"/>
      <c r="U1913" s="225">
        <f t="shared" si="251"/>
        <v>0</v>
      </c>
      <c r="V1913" s="226">
        <v>0</v>
      </c>
      <c r="W1913" s="227"/>
      <c r="X1913" s="228">
        <f t="shared" si="252"/>
        <v>0</v>
      </c>
      <c r="Y1913" s="229"/>
      <c r="Z1913" s="229"/>
      <c r="AA1913" s="229"/>
      <c r="AB1913" s="222">
        <f t="shared" si="253"/>
        <v>0</v>
      </c>
      <c r="AC1913" s="230">
        <f t="shared" si="254"/>
        <v>0</v>
      </c>
      <c r="AD1913" s="222" t="str">
        <f t="shared" si="255"/>
        <v/>
      </c>
      <c r="AE1913" s="201"/>
      <c r="AF1913" s="231" t="str">
        <f>+IFERROR(VLOOKUP(L1913,Data!$F$4:$G$97,2,0),"")</f>
        <v/>
      </c>
    </row>
    <row r="1914" spans="9:32" ht="15" customHeight="1" x14ac:dyDescent="0.3">
      <c r="I1914" s="201" t="str">
        <f t="shared" si="248"/>
        <v/>
      </c>
      <c r="J1914" s="218">
        <f t="shared" si="249"/>
        <v>1911</v>
      </c>
      <c r="K1914" s="250"/>
      <c r="L1914" s="219"/>
      <c r="M1914" s="218"/>
      <c r="N1914" s="220" t="str">
        <f>IFERROR(VLOOKUP(M1914,Data!$C$4:$D$395,2,0),"")</f>
        <v/>
      </c>
      <c r="O1914" s="220"/>
      <c r="P1914" s="229"/>
      <c r="Q1914" s="221"/>
      <c r="R1914" s="222" t="str">
        <f t="shared" si="250"/>
        <v>-</v>
      </c>
      <c r="S1914" s="223"/>
      <c r="T1914" s="224"/>
      <c r="U1914" s="225">
        <f t="shared" si="251"/>
        <v>0</v>
      </c>
      <c r="V1914" s="226">
        <v>0</v>
      </c>
      <c r="W1914" s="227"/>
      <c r="X1914" s="228">
        <f t="shared" si="252"/>
        <v>0</v>
      </c>
      <c r="Y1914" s="229"/>
      <c r="Z1914" s="229"/>
      <c r="AA1914" s="229"/>
      <c r="AB1914" s="222">
        <f t="shared" si="253"/>
        <v>0</v>
      </c>
      <c r="AC1914" s="230">
        <f t="shared" si="254"/>
        <v>0</v>
      </c>
      <c r="AD1914" s="222" t="str">
        <f t="shared" si="255"/>
        <v/>
      </c>
      <c r="AE1914" s="201"/>
      <c r="AF1914" s="231" t="str">
        <f>+IFERROR(VLOOKUP(L1914,Data!$F$4:$G$97,2,0),"")</f>
        <v/>
      </c>
    </row>
    <row r="1915" spans="9:32" ht="15" customHeight="1" x14ac:dyDescent="0.3">
      <c r="I1915" s="201" t="str">
        <f t="shared" si="248"/>
        <v/>
      </c>
      <c r="J1915" s="218">
        <f t="shared" si="249"/>
        <v>1912</v>
      </c>
      <c r="K1915" s="250"/>
      <c r="L1915" s="219"/>
      <c r="M1915" s="218"/>
      <c r="N1915" s="220" t="str">
        <f>IFERROR(VLOOKUP(M1915,Data!$C$4:$D$395,2,0),"")</f>
        <v/>
      </c>
      <c r="O1915" s="220"/>
      <c r="P1915" s="229"/>
      <c r="Q1915" s="221"/>
      <c r="R1915" s="222" t="str">
        <f t="shared" si="250"/>
        <v>-</v>
      </c>
      <c r="S1915" s="223"/>
      <c r="T1915" s="224"/>
      <c r="U1915" s="225">
        <f t="shared" si="251"/>
        <v>0</v>
      </c>
      <c r="V1915" s="226">
        <v>0</v>
      </c>
      <c r="W1915" s="227"/>
      <c r="X1915" s="228">
        <f t="shared" si="252"/>
        <v>0</v>
      </c>
      <c r="Y1915" s="229"/>
      <c r="Z1915" s="229"/>
      <c r="AA1915" s="229"/>
      <c r="AB1915" s="222">
        <f t="shared" si="253"/>
        <v>0</v>
      </c>
      <c r="AC1915" s="230">
        <f t="shared" si="254"/>
        <v>0</v>
      </c>
      <c r="AD1915" s="222" t="str">
        <f t="shared" si="255"/>
        <v/>
      </c>
      <c r="AE1915" s="201"/>
      <c r="AF1915" s="231" t="str">
        <f>+IFERROR(VLOOKUP(L1915,Data!$F$4:$G$97,2,0),"")</f>
        <v/>
      </c>
    </row>
    <row r="1916" spans="9:32" ht="15" customHeight="1" x14ac:dyDescent="0.3">
      <c r="I1916" s="201" t="str">
        <f t="shared" si="248"/>
        <v/>
      </c>
      <c r="J1916" s="218">
        <f t="shared" si="249"/>
        <v>1913</v>
      </c>
      <c r="K1916" s="250"/>
      <c r="L1916" s="219"/>
      <c r="M1916" s="218"/>
      <c r="N1916" s="220" t="str">
        <f>IFERROR(VLOOKUP(M1916,Data!$C$4:$D$395,2,0),"")</f>
        <v/>
      </c>
      <c r="O1916" s="220"/>
      <c r="P1916" s="229"/>
      <c r="Q1916" s="221"/>
      <c r="R1916" s="222" t="str">
        <f t="shared" si="250"/>
        <v>-</v>
      </c>
      <c r="S1916" s="223"/>
      <c r="T1916" s="224"/>
      <c r="U1916" s="225">
        <f t="shared" si="251"/>
        <v>0</v>
      </c>
      <c r="V1916" s="226">
        <v>0</v>
      </c>
      <c r="W1916" s="227"/>
      <c r="X1916" s="228">
        <f t="shared" si="252"/>
        <v>0</v>
      </c>
      <c r="Y1916" s="229"/>
      <c r="Z1916" s="229"/>
      <c r="AA1916" s="229"/>
      <c r="AB1916" s="222">
        <f t="shared" si="253"/>
        <v>0</v>
      </c>
      <c r="AC1916" s="230">
        <f t="shared" si="254"/>
        <v>0</v>
      </c>
      <c r="AD1916" s="222" t="str">
        <f t="shared" si="255"/>
        <v/>
      </c>
      <c r="AE1916" s="201"/>
      <c r="AF1916" s="231" t="str">
        <f>+IFERROR(VLOOKUP(L1916,Data!$F$4:$G$97,2,0),"")</f>
        <v/>
      </c>
    </row>
    <row r="1917" spans="9:32" ht="15" customHeight="1" x14ac:dyDescent="0.3">
      <c r="I1917" s="201" t="str">
        <f t="shared" ref="I1917:I1980" si="256">+AF1917</f>
        <v/>
      </c>
      <c r="J1917" s="218">
        <f t="shared" si="249"/>
        <v>1914</v>
      </c>
      <c r="K1917" s="250"/>
      <c r="L1917" s="219"/>
      <c r="M1917" s="218"/>
      <c r="N1917" s="220" t="str">
        <f>IFERROR(VLOOKUP(M1917,Data!$C$4:$D$395,2,0),"")</f>
        <v/>
      </c>
      <c r="O1917" s="220"/>
      <c r="P1917" s="229"/>
      <c r="Q1917" s="221"/>
      <c r="R1917" s="222" t="str">
        <f t="shared" si="250"/>
        <v>-</v>
      </c>
      <c r="S1917" s="223"/>
      <c r="T1917" s="224"/>
      <c r="U1917" s="225">
        <f t="shared" si="251"/>
        <v>0</v>
      </c>
      <c r="V1917" s="226">
        <v>0</v>
      </c>
      <c r="W1917" s="227"/>
      <c r="X1917" s="228">
        <f t="shared" si="252"/>
        <v>0</v>
      </c>
      <c r="Y1917" s="229"/>
      <c r="Z1917" s="229"/>
      <c r="AA1917" s="229"/>
      <c r="AB1917" s="222">
        <f t="shared" si="253"/>
        <v>0</v>
      </c>
      <c r="AC1917" s="230">
        <f t="shared" si="254"/>
        <v>0</v>
      </c>
      <c r="AD1917" s="222" t="str">
        <f t="shared" si="255"/>
        <v/>
      </c>
      <c r="AE1917" s="201"/>
      <c r="AF1917" s="231" t="str">
        <f>+IFERROR(VLOOKUP(L1917,Data!$F$4:$G$97,2,0),"")</f>
        <v/>
      </c>
    </row>
    <row r="1918" spans="9:32" ht="15" customHeight="1" x14ac:dyDescent="0.3">
      <c r="I1918" s="201" t="str">
        <f t="shared" si="256"/>
        <v/>
      </c>
      <c r="J1918" s="218">
        <f t="shared" ref="J1918:J1981" si="257">J1917+1</f>
        <v>1915</v>
      </c>
      <c r="K1918" s="250"/>
      <c r="L1918" s="219"/>
      <c r="M1918" s="218"/>
      <c r="N1918" s="220" t="str">
        <f>IFERROR(VLOOKUP(M1918,Data!$C$4:$D$395,2,0),"")</f>
        <v/>
      </c>
      <c r="O1918" s="220"/>
      <c r="P1918" s="229"/>
      <c r="Q1918" s="221"/>
      <c r="R1918" s="222" t="str">
        <f t="shared" si="250"/>
        <v>-</v>
      </c>
      <c r="S1918" s="223"/>
      <c r="T1918" s="224"/>
      <c r="U1918" s="225">
        <f t="shared" si="251"/>
        <v>0</v>
      </c>
      <c r="V1918" s="226">
        <v>0</v>
      </c>
      <c r="W1918" s="227"/>
      <c r="X1918" s="228">
        <f t="shared" si="252"/>
        <v>0</v>
      </c>
      <c r="Y1918" s="229"/>
      <c r="Z1918" s="229"/>
      <c r="AA1918" s="229"/>
      <c r="AB1918" s="222">
        <f t="shared" si="253"/>
        <v>0</v>
      </c>
      <c r="AC1918" s="230">
        <f t="shared" si="254"/>
        <v>0</v>
      </c>
      <c r="AD1918" s="222" t="str">
        <f t="shared" si="255"/>
        <v/>
      </c>
      <c r="AE1918" s="201"/>
      <c r="AF1918" s="231" t="str">
        <f>+IFERROR(VLOOKUP(L1918,Data!$F$4:$G$97,2,0),"")</f>
        <v/>
      </c>
    </row>
    <row r="1919" spans="9:32" ht="15" customHeight="1" x14ac:dyDescent="0.3">
      <c r="I1919" s="201" t="str">
        <f t="shared" si="256"/>
        <v/>
      </c>
      <c r="J1919" s="218">
        <f t="shared" si="257"/>
        <v>1916</v>
      </c>
      <c r="K1919" s="250"/>
      <c r="L1919" s="219"/>
      <c r="M1919" s="218"/>
      <c r="N1919" s="220" t="str">
        <f>IFERROR(VLOOKUP(M1919,Data!$C$4:$D$395,2,0),"")</f>
        <v/>
      </c>
      <c r="O1919" s="220"/>
      <c r="P1919" s="229"/>
      <c r="Q1919" s="221"/>
      <c r="R1919" s="222" t="str">
        <f t="shared" si="250"/>
        <v>-</v>
      </c>
      <c r="S1919" s="223"/>
      <c r="T1919" s="224"/>
      <c r="U1919" s="225">
        <f t="shared" si="251"/>
        <v>0</v>
      </c>
      <c r="V1919" s="226">
        <v>0</v>
      </c>
      <c r="W1919" s="227"/>
      <c r="X1919" s="228">
        <f t="shared" si="252"/>
        <v>0</v>
      </c>
      <c r="Y1919" s="229"/>
      <c r="Z1919" s="229"/>
      <c r="AA1919" s="229"/>
      <c r="AB1919" s="222">
        <f t="shared" si="253"/>
        <v>0</v>
      </c>
      <c r="AC1919" s="230">
        <f t="shared" si="254"/>
        <v>0</v>
      </c>
      <c r="AD1919" s="222" t="str">
        <f t="shared" si="255"/>
        <v/>
      </c>
      <c r="AE1919" s="201"/>
      <c r="AF1919" s="231" t="str">
        <f>+IFERROR(VLOOKUP(L1919,Data!$F$4:$G$97,2,0),"")</f>
        <v/>
      </c>
    </row>
    <row r="1920" spans="9:32" ht="15" customHeight="1" x14ac:dyDescent="0.3">
      <c r="I1920" s="201" t="str">
        <f t="shared" si="256"/>
        <v/>
      </c>
      <c r="J1920" s="218">
        <f t="shared" si="257"/>
        <v>1917</v>
      </c>
      <c r="K1920" s="250"/>
      <c r="L1920" s="219"/>
      <c r="M1920" s="218"/>
      <c r="N1920" s="220" t="str">
        <f>IFERROR(VLOOKUP(M1920,Data!$C$4:$D$395,2,0),"")</f>
        <v/>
      </c>
      <c r="O1920" s="220"/>
      <c r="P1920" s="229"/>
      <c r="Q1920" s="221"/>
      <c r="R1920" s="222" t="str">
        <f t="shared" ref="R1920:R1983" si="258">IFERROR(Q1920/P1920, "-")</f>
        <v>-</v>
      </c>
      <c r="S1920" s="223"/>
      <c r="T1920" s="224"/>
      <c r="U1920" s="225">
        <f t="shared" ref="U1920:U1983" si="259">+Q1920*S1920+P1920*T1920</f>
        <v>0</v>
      </c>
      <c r="V1920" s="226">
        <v>0</v>
      </c>
      <c r="W1920" s="227"/>
      <c r="X1920" s="228">
        <f t="shared" ref="X1920:X1983" si="260">+Q1920*V1920+P1920*W1920</f>
        <v>0</v>
      </c>
      <c r="Y1920" s="229"/>
      <c r="Z1920" s="229"/>
      <c r="AA1920" s="229"/>
      <c r="AB1920" s="222">
        <f t="shared" ref="AB1920:AB1983" si="261">+Y1920+Z1920+AA1920</f>
        <v>0</v>
      </c>
      <c r="AC1920" s="230">
        <f t="shared" ref="AC1920:AC1983" si="262">IF((U1920-Y1920-Z1920-AA1920)&lt;0,"",(U1920-Y1920-Z1920-AA1920))</f>
        <v>0</v>
      </c>
      <c r="AD1920" s="222" t="str">
        <f t="shared" ref="AD1920:AD1983" si="263">IF((U1920-Y1920-Z1920-AA1920)&lt;0,(Y1920+Z1920+AA1920-U1920),"")</f>
        <v/>
      </c>
      <c r="AE1920" s="201"/>
      <c r="AF1920" s="231" t="str">
        <f>+IFERROR(VLOOKUP(L1920,Data!$F$4:$G$97,2,0),"")</f>
        <v/>
      </c>
    </row>
    <row r="1921" spans="9:32" ht="15" customHeight="1" x14ac:dyDescent="0.3">
      <c r="I1921" s="201" t="str">
        <f t="shared" si="256"/>
        <v/>
      </c>
      <c r="J1921" s="218">
        <f t="shared" si="257"/>
        <v>1918</v>
      </c>
      <c r="K1921" s="250"/>
      <c r="L1921" s="219"/>
      <c r="M1921" s="218"/>
      <c r="N1921" s="220" t="str">
        <f>IFERROR(VLOOKUP(M1921,Data!$C$4:$D$395,2,0),"")</f>
        <v/>
      </c>
      <c r="O1921" s="220"/>
      <c r="P1921" s="229"/>
      <c r="Q1921" s="221"/>
      <c r="R1921" s="222" t="str">
        <f t="shared" si="258"/>
        <v>-</v>
      </c>
      <c r="S1921" s="223"/>
      <c r="T1921" s="224"/>
      <c r="U1921" s="225">
        <f t="shared" si="259"/>
        <v>0</v>
      </c>
      <c r="V1921" s="226">
        <v>0</v>
      </c>
      <c r="W1921" s="227"/>
      <c r="X1921" s="228">
        <f t="shared" si="260"/>
        <v>0</v>
      </c>
      <c r="Y1921" s="229"/>
      <c r="Z1921" s="229"/>
      <c r="AA1921" s="229"/>
      <c r="AB1921" s="222">
        <f t="shared" si="261"/>
        <v>0</v>
      </c>
      <c r="AC1921" s="230">
        <f t="shared" si="262"/>
        <v>0</v>
      </c>
      <c r="AD1921" s="222" t="str">
        <f t="shared" si="263"/>
        <v/>
      </c>
      <c r="AE1921" s="201"/>
      <c r="AF1921" s="231" t="str">
        <f>+IFERROR(VLOOKUP(L1921,Data!$F$4:$G$97,2,0),"")</f>
        <v/>
      </c>
    </row>
    <row r="1922" spans="9:32" ht="15" customHeight="1" x14ac:dyDescent="0.3">
      <c r="I1922" s="201" t="str">
        <f t="shared" si="256"/>
        <v/>
      </c>
      <c r="J1922" s="218">
        <f t="shared" si="257"/>
        <v>1919</v>
      </c>
      <c r="K1922" s="250"/>
      <c r="L1922" s="219"/>
      <c r="M1922" s="218"/>
      <c r="N1922" s="220" t="str">
        <f>IFERROR(VLOOKUP(M1922,Data!$C$4:$D$395,2,0),"")</f>
        <v/>
      </c>
      <c r="O1922" s="220"/>
      <c r="P1922" s="229"/>
      <c r="Q1922" s="221"/>
      <c r="R1922" s="222" t="str">
        <f t="shared" si="258"/>
        <v>-</v>
      </c>
      <c r="S1922" s="223"/>
      <c r="T1922" s="224"/>
      <c r="U1922" s="225">
        <f t="shared" si="259"/>
        <v>0</v>
      </c>
      <c r="V1922" s="226">
        <v>0</v>
      </c>
      <c r="W1922" s="227"/>
      <c r="X1922" s="228">
        <f t="shared" si="260"/>
        <v>0</v>
      </c>
      <c r="Y1922" s="229"/>
      <c r="Z1922" s="229"/>
      <c r="AA1922" s="229"/>
      <c r="AB1922" s="222">
        <f t="shared" si="261"/>
        <v>0</v>
      </c>
      <c r="AC1922" s="230">
        <f t="shared" si="262"/>
        <v>0</v>
      </c>
      <c r="AD1922" s="222" t="str">
        <f t="shared" si="263"/>
        <v/>
      </c>
      <c r="AE1922" s="201"/>
      <c r="AF1922" s="231" t="str">
        <f>+IFERROR(VLOOKUP(L1922,Data!$F$4:$G$97,2,0),"")</f>
        <v/>
      </c>
    </row>
    <row r="1923" spans="9:32" ht="15" customHeight="1" x14ac:dyDescent="0.3">
      <c r="I1923" s="201" t="str">
        <f t="shared" si="256"/>
        <v/>
      </c>
      <c r="J1923" s="218">
        <f t="shared" si="257"/>
        <v>1920</v>
      </c>
      <c r="K1923" s="250"/>
      <c r="L1923" s="219"/>
      <c r="M1923" s="218"/>
      <c r="N1923" s="220" t="str">
        <f>IFERROR(VLOOKUP(M1923,Data!$C$4:$D$395,2,0),"")</f>
        <v/>
      </c>
      <c r="O1923" s="220"/>
      <c r="P1923" s="229"/>
      <c r="Q1923" s="221"/>
      <c r="R1923" s="222" t="str">
        <f t="shared" si="258"/>
        <v>-</v>
      </c>
      <c r="S1923" s="223"/>
      <c r="T1923" s="224"/>
      <c r="U1923" s="225">
        <f t="shared" si="259"/>
        <v>0</v>
      </c>
      <c r="V1923" s="226">
        <v>0</v>
      </c>
      <c r="W1923" s="227"/>
      <c r="X1923" s="228">
        <f t="shared" si="260"/>
        <v>0</v>
      </c>
      <c r="Y1923" s="229"/>
      <c r="Z1923" s="229"/>
      <c r="AA1923" s="229"/>
      <c r="AB1923" s="222">
        <f t="shared" si="261"/>
        <v>0</v>
      </c>
      <c r="AC1923" s="230">
        <f t="shared" si="262"/>
        <v>0</v>
      </c>
      <c r="AD1923" s="222" t="str">
        <f t="shared" si="263"/>
        <v/>
      </c>
      <c r="AE1923" s="201"/>
      <c r="AF1923" s="231" t="str">
        <f>+IFERROR(VLOOKUP(L1923,Data!$F$4:$G$97,2,0),"")</f>
        <v/>
      </c>
    </row>
    <row r="1924" spans="9:32" ht="15" customHeight="1" x14ac:dyDescent="0.3">
      <c r="I1924" s="201" t="str">
        <f t="shared" si="256"/>
        <v/>
      </c>
      <c r="J1924" s="218">
        <f t="shared" si="257"/>
        <v>1921</v>
      </c>
      <c r="K1924" s="250"/>
      <c r="L1924" s="219"/>
      <c r="M1924" s="218"/>
      <c r="N1924" s="220" t="str">
        <f>IFERROR(VLOOKUP(M1924,Data!$C$4:$D$395,2,0),"")</f>
        <v/>
      </c>
      <c r="O1924" s="220"/>
      <c r="P1924" s="229"/>
      <c r="Q1924" s="221"/>
      <c r="R1924" s="222" t="str">
        <f t="shared" si="258"/>
        <v>-</v>
      </c>
      <c r="S1924" s="223"/>
      <c r="T1924" s="224"/>
      <c r="U1924" s="225">
        <f t="shared" si="259"/>
        <v>0</v>
      </c>
      <c r="V1924" s="226">
        <v>0</v>
      </c>
      <c r="W1924" s="227"/>
      <c r="X1924" s="228">
        <f t="shared" si="260"/>
        <v>0</v>
      </c>
      <c r="Y1924" s="229"/>
      <c r="Z1924" s="229"/>
      <c r="AA1924" s="229"/>
      <c r="AB1924" s="222">
        <f t="shared" si="261"/>
        <v>0</v>
      </c>
      <c r="AC1924" s="230">
        <f t="shared" si="262"/>
        <v>0</v>
      </c>
      <c r="AD1924" s="222" t="str">
        <f t="shared" si="263"/>
        <v/>
      </c>
      <c r="AE1924" s="201"/>
      <c r="AF1924" s="231" t="str">
        <f>+IFERROR(VLOOKUP(L1924,Data!$F$4:$G$97,2,0),"")</f>
        <v/>
      </c>
    </row>
    <row r="1925" spans="9:32" ht="15" customHeight="1" x14ac:dyDescent="0.3">
      <c r="I1925" s="201" t="str">
        <f t="shared" si="256"/>
        <v/>
      </c>
      <c r="J1925" s="218">
        <f t="shared" si="257"/>
        <v>1922</v>
      </c>
      <c r="K1925" s="250"/>
      <c r="L1925" s="219"/>
      <c r="M1925" s="218"/>
      <c r="N1925" s="220" t="str">
        <f>IFERROR(VLOOKUP(M1925,Data!$C$4:$D$395,2,0),"")</f>
        <v/>
      </c>
      <c r="O1925" s="220"/>
      <c r="P1925" s="229"/>
      <c r="Q1925" s="221"/>
      <c r="R1925" s="222" t="str">
        <f t="shared" si="258"/>
        <v>-</v>
      </c>
      <c r="S1925" s="223"/>
      <c r="T1925" s="224"/>
      <c r="U1925" s="225">
        <f t="shared" si="259"/>
        <v>0</v>
      </c>
      <c r="V1925" s="226">
        <v>0</v>
      </c>
      <c r="W1925" s="227"/>
      <c r="X1925" s="228">
        <f t="shared" si="260"/>
        <v>0</v>
      </c>
      <c r="Y1925" s="229"/>
      <c r="Z1925" s="229"/>
      <c r="AA1925" s="229"/>
      <c r="AB1925" s="222">
        <f t="shared" si="261"/>
        <v>0</v>
      </c>
      <c r="AC1925" s="230">
        <f t="shared" si="262"/>
        <v>0</v>
      </c>
      <c r="AD1925" s="222" t="str">
        <f t="shared" si="263"/>
        <v/>
      </c>
      <c r="AE1925" s="201"/>
      <c r="AF1925" s="231" t="str">
        <f>+IFERROR(VLOOKUP(L1925,Data!$F$4:$G$97,2,0),"")</f>
        <v/>
      </c>
    </row>
    <row r="1926" spans="9:32" ht="15" customHeight="1" x14ac:dyDescent="0.3">
      <c r="I1926" s="201" t="str">
        <f t="shared" si="256"/>
        <v/>
      </c>
      <c r="J1926" s="218">
        <f t="shared" si="257"/>
        <v>1923</v>
      </c>
      <c r="K1926" s="250"/>
      <c r="L1926" s="219"/>
      <c r="M1926" s="218"/>
      <c r="N1926" s="220" t="str">
        <f>IFERROR(VLOOKUP(M1926,Data!$C$4:$D$395,2,0),"")</f>
        <v/>
      </c>
      <c r="O1926" s="220"/>
      <c r="P1926" s="229"/>
      <c r="Q1926" s="221"/>
      <c r="R1926" s="222" t="str">
        <f t="shared" si="258"/>
        <v>-</v>
      </c>
      <c r="S1926" s="223"/>
      <c r="T1926" s="224"/>
      <c r="U1926" s="225">
        <f t="shared" si="259"/>
        <v>0</v>
      </c>
      <c r="V1926" s="226">
        <v>0</v>
      </c>
      <c r="W1926" s="227"/>
      <c r="X1926" s="228">
        <f t="shared" si="260"/>
        <v>0</v>
      </c>
      <c r="Y1926" s="229"/>
      <c r="Z1926" s="229"/>
      <c r="AA1926" s="229"/>
      <c r="AB1926" s="222">
        <f t="shared" si="261"/>
        <v>0</v>
      </c>
      <c r="AC1926" s="230">
        <f t="shared" si="262"/>
        <v>0</v>
      </c>
      <c r="AD1926" s="222" t="str">
        <f t="shared" si="263"/>
        <v/>
      </c>
      <c r="AE1926" s="201"/>
      <c r="AF1926" s="231" t="str">
        <f>+IFERROR(VLOOKUP(L1926,Data!$F$4:$G$97,2,0),"")</f>
        <v/>
      </c>
    </row>
    <row r="1927" spans="9:32" ht="15" customHeight="1" x14ac:dyDescent="0.3">
      <c r="I1927" s="201" t="str">
        <f t="shared" si="256"/>
        <v/>
      </c>
      <c r="J1927" s="218">
        <f t="shared" si="257"/>
        <v>1924</v>
      </c>
      <c r="K1927" s="250"/>
      <c r="L1927" s="219"/>
      <c r="M1927" s="218"/>
      <c r="N1927" s="220" t="str">
        <f>IFERROR(VLOOKUP(M1927,Data!$C$4:$D$395,2,0),"")</f>
        <v/>
      </c>
      <c r="O1927" s="220"/>
      <c r="P1927" s="229"/>
      <c r="Q1927" s="221"/>
      <c r="R1927" s="222" t="str">
        <f t="shared" si="258"/>
        <v>-</v>
      </c>
      <c r="S1927" s="223"/>
      <c r="T1927" s="224"/>
      <c r="U1927" s="225">
        <f t="shared" si="259"/>
        <v>0</v>
      </c>
      <c r="V1927" s="226">
        <v>0</v>
      </c>
      <c r="W1927" s="227"/>
      <c r="X1927" s="228">
        <f t="shared" si="260"/>
        <v>0</v>
      </c>
      <c r="Y1927" s="229"/>
      <c r="Z1927" s="229"/>
      <c r="AA1927" s="229"/>
      <c r="AB1927" s="222">
        <f t="shared" si="261"/>
        <v>0</v>
      </c>
      <c r="AC1927" s="230">
        <f t="shared" si="262"/>
        <v>0</v>
      </c>
      <c r="AD1927" s="222" t="str">
        <f t="shared" si="263"/>
        <v/>
      </c>
      <c r="AE1927" s="201"/>
      <c r="AF1927" s="231" t="str">
        <f>+IFERROR(VLOOKUP(L1927,Data!$F$4:$G$97,2,0),"")</f>
        <v/>
      </c>
    </row>
    <row r="1928" spans="9:32" ht="15" customHeight="1" x14ac:dyDescent="0.3">
      <c r="I1928" s="201" t="str">
        <f t="shared" si="256"/>
        <v/>
      </c>
      <c r="J1928" s="218">
        <f t="shared" si="257"/>
        <v>1925</v>
      </c>
      <c r="K1928" s="250"/>
      <c r="L1928" s="219"/>
      <c r="M1928" s="218"/>
      <c r="N1928" s="220" t="str">
        <f>IFERROR(VLOOKUP(M1928,Data!$C$4:$D$395,2,0),"")</f>
        <v/>
      </c>
      <c r="O1928" s="220"/>
      <c r="P1928" s="229"/>
      <c r="Q1928" s="221"/>
      <c r="R1928" s="222" t="str">
        <f t="shared" si="258"/>
        <v>-</v>
      </c>
      <c r="S1928" s="223"/>
      <c r="T1928" s="224"/>
      <c r="U1928" s="225">
        <f t="shared" si="259"/>
        <v>0</v>
      </c>
      <c r="V1928" s="226">
        <v>0</v>
      </c>
      <c r="W1928" s="227"/>
      <c r="X1928" s="228">
        <f t="shared" si="260"/>
        <v>0</v>
      </c>
      <c r="Y1928" s="229"/>
      <c r="Z1928" s="229"/>
      <c r="AA1928" s="229"/>
      <c r="AB1928" s="222">
        <f t="shared" si="261"/>
        <v>0</v>
      </c>
      <c r="AC1928" s="230">
        <f t="shared" si="262"/>
        <v>0</v>
      </c>
      <c r="AD1928" s="222" t="str">
        <f t="shared" si="263"/>
        <v/>
      </c>
      <c r="AE1928" s="201"/>
      <c r="AF1928" s="231" t="str">
        <f>+IFERROR(VLOOKUP(L1928,Data!$F$4:$G$97,2,0),"")</f>
        <v/>
      </c>
    </row>
    <row r="1929" spans="9:32" ht="15" customHeight="1" x14ac:dyDescent="0.3">
      <c r="I1929" s="201" t="str">
        <f t="shared" si="256"/>
        <v/>
      </c>
      <c r="J1929" s="218">
        <f t="shared" si="257"/>
        <v>1926</v>
      </c>
      <c r="K1929" s="250"/>
      <c r="L1929" s="219"/>
      <c r="M1929" s="218"/>
      <c r="N1929" s="220" t="str">
        <f>IFERROR(VLOOKUP(M1929,Data!$C$4:$D$395,2,0),"")</f>
        <v/>
      </c>
      <c r="O1929" s="220"/>
      <c r="P1929" s="229"/>
      <c r="Q1929" s="221"/>
      <c r="R1929" s="222" t="str">
        <f t="shared" si="258"/>
        <v>-</v>
      </c>
      <c r="S1929" s="223"/>
      <c r="T1929" s="224"/>
      <c r="U1929" s="225">
        <f t="shared" si="259"/>
        <v>0</v>
      </c>
      <c r="V1929" s="226">
        <v>0</v>
      </c>
      <c r="W1929" s="227"/>
      <c r="X1929" s="228">
        <f t="shared" si="260"/>
        <v>0</v>
      </c>
      <c r="Y1929" s="229"/>
      <c r="Z1929" s="229"/>
      <c r="AA1929" s="229"/>
      <c r="AB1929" s="222">
        <f t="shared" si="261"/>
        <v>0</v>
      </c>
      <c r="AC1929" s="230">
        <f t="shared" si="262"/>
        <v>0</v>
      </c>
      <c r="AD1929" s="222" t="str">
        <f t="shared" si="263"/>
        <v/>
      </c>
      <c r="AE1929" s="201"/>
      <c r="AF1929" s="231" t="str">
        <f>+IFERROR(VLOOKUP(L1929,Data!$F$4:$G$97,2,0),"")</f>
        <v/>
      </c>
    </row>
    <row r="1930" spans="9:32" ht="15" customHeight="1" x14ac:dyDescent="0.3">
      <c r="I1930" s="201" t="str">
        <f t="shared" si="256"/>
        <v/>
      </c>
      <c r="J1930" s="218">
        <f t="shared" si="257"/>
        <v>1927</v>
      </c>
      <c r="K1930" s="250"/>
      <c r="L1930" s="219"/>
      <c r="M1930" s="218"/>
      <c r="N1930" s="220" t="str">
        <f>IFERROR(VLOOKUP(M1930,Data!$C$4:$D$395,2,0),"")</f>
        <v/>
      </c>
      <c r="O1930" s="220"/>
      <c r="P1930" s="229"/>
      <c r="Q1930" s="221"/>
      <c r="R1930" s="222" t="str">
        <f t="shared" si="258"/>
        <v>-</v>
      </c>
      <c r="S1930" s="223"/>
      <c r="T1930" s="224"/>
      <c r="U1930" s="225">
        <f t="shared" si="259"/>
        <v>0</v>
      </c>
      <c r="V1930" s="226">
        <v>0</v>
      </c>
      <c r="W1930" s="227"/>
      <c r="X1930" s="228">
        <f t="shared" si="260"/>
        <v>0</v>
      </c>
      <c r="Y1930" s="229"/>
      <c r="Z1930" s="229"/>
      <c r="AA1930" s="229"/>
      <c r="AB1930" s="222">
        <f t="shared" si="261"/>
        <v>0</v>
      </c>
      <c r="AC1930" s="230">
        <f t="shared" si="262"/>
        <v>0</v>
      </c>
      <c r="AD1930" s="222" t="str">
        <f t="shared" si="263"/>
        <v/>
      </c>
      <c r="AE1930" s="201"/>
      <c r="AF1930" s="231" t="str">
        <f>+IFERROR(VLOOKUP(L1930,Data!$F$4:$G$97,2,0),"")</f>
        <v/>
      </c>
    </row>
    <row r="1931" spans="9:32" ht="15" customHeight="1" x14ac:dyDescent="0.3">
      <c r="I1931" s="201" t="str">
        <f t="shared" si="256"/>
        <v/>
      </c>
      <c r="J1931" s="218">
        <f t="shared" si="257"/>
        <v>1928</v>
      </c>
      <c r="K1931" s="250"/>
      <c r="L1931" s="219"/>
      <c r="M1931" s="218"/>
      <c r="N1931" s="220" t="str">
        <f>IFERROR(VLOOKUP(M1931,Data!$C$4:$D$395,2,0),"")</f>
        <v/>
      </c>
      <c r="O1931" s="220"/>
      <c r="P1931" s="229"/>
      <c r="Q1931" s="221"/>
      <c r="R1931" s="222" t="str">
        <f t="shared" si="258"/>
        <v>-</v>
      </c>
      <c r="S1931" s="223"/>
      <c r="T1931" s="224"/>
      <c r="U1931" s="225">
        <f t="shared" si="259"/>
        <v>0</v>
      </c>
      <c r="V1931" s="226">
        <v>0</v>
      </c>
      <c r="W1931" s="227"/>
      <c r="X1931" s="228">
        <f t="shared" si="260"/>
        <v>0</v>
      </c>
      <c r="Y1931" s="229"/>
      <c r="Z1931" s="229"/>
      <c r="AA1931" s="229"/>
      <c r="AB1931" s="222">
        <f t="shared" si="261"/>
        <v>0</v>
      </c>
      <c r="AC1931" s="230">
        <f t="shared" si="262"/>
        <v>0</v>
      </c>
      <c r="AD1931" s="222" t="str">
        <f t="shared" si="263"/>
        <v/>
      </c>
      <c r="AE1931" s="201"/>
      <c r="AF1931" s="231" t="str">
        <f>+IFERROR(VLOOKUP(L1931,Data!$F$4:$G$97,2,0),"")</f>
        <v/>
      </c>
    </row>
    <row r="1932" spans="9:32" ht="15" customHeight="1" x14ac:dyDescent="0.3">
      <c r="I1932" s="201" t="str">
        <f t="shared" si="256"/>
        <v/>
      </c>
      <c r="J1932" s="218">
        <f t="shared" si="257"/>
        <v>1929</v>
      </c>
      <c r="K1932" s="250"/>
      <c r="L1932" s="219"/>
      <c r="M1932" s="218"/>
      <c r="N1932" s="220" t="str">
        <f>IFERROR(VLOOKUP(M1932,Data!$C$4:$D$395,2,0),"")</f>
        <v/>
      </c>
      <c r="O1932" s="220"/>
      <c r="P1932" s="229"/>
      <c r="Q1932" s="221"/>
      <c r="R1932" s="222" t="str">
        <f t="shared" si="258"/>
        <v>-</v>
      </c>
      <c r="S1932" s="223"/>
      <c r="T1932" s="224"/>
      <c r="U1932" s="225">
        <f t="shared" si="259"/>
        <v>0</v>
      </c>
      <c r="V1932" s="226">
        <v>0</v>
      </c>
      <c r="W1932" s="227"/>
      <c r="X1932" s="228">
        <f t="shared" si="260"/>
        <v>0</v>
      </c>
      <c r="Y1932" s="229"/>
      <c r="Z1932" s="229"/>
      <c r="AA1932" s="229"/>
      <c r="AB1932" s="222">
        <f t="shared" si="261"/>
        <v>0</v>
      </c>
      <c r="AC1932" s="230">
        <f t="shared" si="262"/>
        <v>0</v>
      </c>
      <c r="AD1932" s="222" t="str">
        <f t="shared" si="263"/>
        <v/>
      </c>
      <c r="AE1932" s="201"/>
      <c r="AF1932" s="231" t="str">
        <f>+IFERROR(VLOOKUP(L1932,Data!$F$4:$G$97,2,0),"")</f>
        <v/>
      </c>
    </row>
    <row r="1933" spans="9:32" ht="15" customHeight="1" x14ac:dyDescent="0.3">
      <c r="I1933" s="201" t="str">
        <f t="shared" si="256"/>
        <v/>
      </c>
      <c r="J1933" s="218">
        <f t="shared" si="257"/>
        <v>1930</v>
      </c>
      <c r="K1933" s="250"/>
      <c r="L1933" s="219"/>
      <c r="M1933" s="218"/>
      <c r="N1933" s="220" t="str">
        <f>IFERROR(VLOOKUP(M1933,Data!$C$4:$D$395,2,0),"")</f>
        <v/>
      </c>
      <c r="O1933" s="220"/>
      <c r="P1933" s="229"/>
      <c r="Q1933" s="221"/>
      <c r="R1933" s="222" t="str">
        <f t="shared" si="258"/>
        <v>-</v>
      </c>
      <c r="S1933" s="223"/>
      <c r="T1933" s="224"/>
      <c r="U1933" s="225">
        <f t="shared" si="259"/>
        <v>0</v>
      </c>
      <c r="V1933" s="226">
        <v>0</v>
      </c>
      <c r="W1933" s="227"/>
      <c r="X1933" s="228">
        <f t="shared" si="260"/>
        <v>0</v>
      </c>
      <c r="Y1933" s="229"/>
      <c r="Z1933" s="229"/>
      <c r="AA1933" s="229"/>
      <c r="AB1933" s="222">
        <f t="shared" si="261"/>
        <v>0</v>
      </c>
      <c r="AC1933" s="230">
        <f t="shared" si="262"/>
        <v>0</v>
      </c>
      <c r="AD1933" s="222" t="str">
        <f t="shared" si="263"/>
        <v/>
      </c>
      <c r="AE1933" s="201"/>
      <c r="AF1933" s="231" t="str">
        <f>+IFERROR(VLOOKUP(L1933,Data!$F$4:$G$97,2,0),"")</f>
        <v/>
      </c>
    </row>
    <row r="1934" spans="9:32" ht="15" customHeight="1" x14ac:dyDescent="0.3">
      <c r="I1934" s="201" t="str">
        <f t="shared" si="256"/>
        <v/>
      </c>
      <c r="J1934" s="218">
        <f t="shared" si="257"/>
        <v>1931</v>
      </c>
      <c r="K1934" s="250"/>
      <c r="L1934" s="219"/>
      <c r="M1934" s="218"/>
      <c r="N1934" s="220" t="str">
        <f>IFERROR(VLOOKUP(M1934,Data!$C$4:$D$395,2,0),"")</f>
        <v/>
      </c>
      <c r="O1934" s="220"/>
      <c r="P1934" s="229"/>
      <c r="Q1934" s="221"/>
      <c r="R1934" s="222" t="str">
        <f t="shared" si="258"/>
        <v>-</v>
      </c>
      <c r="S1934" s="223"/>
      <c r="T1934" s="224"/>
      <c r="U1934" s="225">
        <f t="shared" si="259"/>
        <v>0</v>
      </c>
      <c r="V1934" s="226">
        <v>0</v>
      </c>
      <c r="W1934" s="227"/>
      <c r="X1934" s="228">
        <f t="shared" si="260"/>
        <v>0</v>
      </c>
      <c r="Y1934" s="229"/>
      <c r="Z1934" s="229"/>
      <c r="AA1934" s="229"/>
      <c r="AB1934" s="222">
        <f t="shared" si="261"/>
        <v>0</v>
      </c>
      <c r="AC1934" s="230">
        <f t="shared" si="262"/>
        <v>0</v>
      </c>
      <c r="AD1934" s="222" t="str">
        <f t="shared" si="263"/>
        <v/>
      </c>
      <c r="AE1934" s="201"/>
      <c r="AF1934" s="231" t="str">
        <f>+IFERROR(VLOOKUP(L1934,Data!$F$4:$G$97,2,0),"")</f>
        <v/>
      </c>
    </row>
    <row r="1935" spans="9:32" ht="15" customHeight="1" x14ac:dyDescent="0.3">
      <c r="I1935" s="201" t="str">
        <f t="shared" si="256"/>
        <v/>
      </c>
      <c r="J1935" s="218">
        <f t="shared" si="257"/>
        <v>1932</v>
      </c>
      <c r="K1935" s="250"/>
      <c r="L1935" s="219"/>
      <c r="M1935" s="218"/>
      <c r="N1935" s="220" t="str">
        <f>IFERROR(VLOOKUP(M1935,Data!$C$4:$D$395,2,0),"")</f>
        <v/>
      </c>
      <c r="O1935" s="220"/>
      <c r="P1935" s="229"/>
      <c r="Q1935" s="221"/>
      <c r="R1935" s="222" t="str">
        <f t="shared" si="258"/>
        <v>-</v>
      </c>
      <c r="S1935" s="223"/>
      <c r="T1935" s="224"/>
      <c r="U1935" s="225">
        <f t="shared" si="259"/>
        <v>0</v>
      </c>
      <c r="V1935" s="226">
        <v>0</v>
      </c>
      <c r="W1935" s="227"/>
      <c r="X1935" s="228">
        <f t="shared" si="260"/>
        <v>0</v>
      </c>
      <c r="Y1935" s="229"/>
      <c r="Z1935" s="229"/>
      <c r="AA1935" s="229"/>
      <c r="AB1935" s="222">
        <f t="shared" si="261"/>
        <v>0</v>
      </c>
      <c r="AC1935" s="230">
        <f t="shared" si="262"/>
        <v>0</v>
      </c>
      <c r="AD1935" s="222" t="str">
        <f t="shared" si="263"/>
        <v/>
      </c>
      <c r="AE1935" s="201"/>
      <c r="AF1935" s="231" t="str">
        <f>+IFERROR(VLOOKUP(L1935,Data!$F$4:$G$97,2,0),"")</f>
        <v/>
      </c>
    </row>
    <row r="1936" spans="9:32" ht="15" customHeight="1" x14ac:dyDescent="0.3">
      <c r="I1936" s="201" t="str">
        <f t="shared" si="256"/>
        <v/>
      </c>
      <c r="J1936" s="218">
        <f t="shared" si="257"/>
        <v>1933</v>
      </c>
      <c r="K1936" s="250"/>
      <c r="L1936" s="219"/>
      <c r="M1936" s="218"/>
      <c r="N1936" s="220" t="str">
        <f>IFERROR(VLOOKUP(M1936,Data!$C$4:$D$395,2,0),"")</f>
        <v/>
      </c>
      <c r="O1936" s="220"/>
      <c r="P1936" s="229"/>
      <c r="Q1936" s="221"/>
      <c r="R1936" s="222" t="str">
        <f t="shared" si="258"/>
        <v>-</v>
      </c>
      <c r="S1936" s="223"/>
      <c r="T1936" s="224"/>
      <c r="U1936" s="225">
        <f t="shared" si="259"/>
        <v>0</v>
      </c>
      <c r="V1936" s="226">
        <v>0</v>
      </c>
      <c r="W1936" s="227"/>
      <c r="X1936" s="228">
        <f t="shared" si="260"/>
        <v>0</v>
      </c>
      <c r="Y1936" s="229"/>
      <c r="Z1936" s="229"/>
      <c r="AA1936" s="229"/>
      <c r="AB1936" s="222">
        <f t="shared" si="261"/>
        <v>0</v>
      </c>
      <c r="AC1936" s="230">
        <f t="shared" si="262"/>
        <v>0</v>
      </c>
      <c r="AD1936" s="222" t="str">
        <f t="shared" si="263"/>
        <v/>
      </c>
      <c r="AE1936" s="201"/>
      <c r="AF1936" s="231" t="str">
        <f>+IFERROR(VLOOKUP(L1936,Data!$F$4:$G$97,2,0),"")</f>
        <v/>
      </c>
    </row>
    <row r="1937" spans="9:32" ht="15" customHeight="1" x14ac:dyDescent="0.3">
      <c r="I1937" s="201" t="str">
        <f t="shared" si="256"/>
        <v/>
      </c>
      <c r="J1937" s="218">
        <f t="shared" si="257"/>
        <v>1934</v>
      </c>
      <c r="K1937" s="250"/>
      <c r="L1937" s="219"/>
      <c r="M1937" s="218"/>
      <c r="N1937" s="220" t="str">
        <f>IFERROR(VLOOKUP(M1937,Data!$C$4:$D$395,2,0),"")</f>
        <v/>
      </c>
      <c r="O1937" s="220"/>
      <c r="P1937" s="229"/>
      <c r="Q1937" s="221"/>
      <c r="R1937" s="222" t="str">
        <f t="shared" si="258"/>
        <v>-</v>
      </c>
      <c r="S1937" s="223"/>
      <c r="T1937" s="224"/>
      <c r="U1937" s="225">
        <f t="shared" si="259"/>
        <v>0</v>
      </c>
      <c r="V1937" s="226">
        <v>0</v>
      </c>
      <c r="W1937" s="227"/>
      <c r="X1937" s="228">
        <f t="shared" si="260"/>
        <v>0</v>
      </c>
      <c r="Y1937" s="229"/>
      <c r="Z1937" s="229"/>
      <c r="AA1937" s="229"/>
      <c r="AB1937" s="222">
        <f t="shared" si="261"/>
        <v>0</v>
      </c>
      <c r="AC1937" s="230">
        <f t="shared" si="262"/>
        <v>0</v>
      </c>
      <c r="AD1937" s="222" t="str">
        <f t="shared" si="263"/>
        <v/>
      </c>
      <c r="AE1937" s="201"/>
      <c r="AF1937" s="231" t="str">
        <f>+IFERROR(VLOOKUP(L1937,Data!$F$4:$G$97,2,0),"")</f>
        <v/>
      </c>
    </row>
    <row r="1938" spans="9:32" ht="15" customHeight="1" x14ac:dyDescent="0.3">
      <c r="I1938" s="201" t="str">
        <f t="shared" si="256"/>
        <v/>
      </c>
      <c r="J1938" s="218">
        <f t="shared" si="257"/>
        <v>1935</v>
      </c>
      <c r="K1938" s="250"/>
      <c r="L1938" s="219"/>
      <c r="M1938" s="218"/>
      <c r="N1938" s="220" t="str">
        <f>IFERROR(VLOOKUP(M1938,Data!$C$4:$D$395,2,0),"")</f>
        <v/>
      </c>
      <c r="O1938" s="220"/>
      <c r="P1938" s="229"/>
      <c r="Q1938" s="221"/>
      <c r="R1938" s="222" t="str">
        <f t="shared" si="258"/>
        <v>-</v>
      </c>
      <c r="S1938" s="223"/>
      <c r="T1938" s="224"/>
      <c r="U1938" s="225">
        <f t="shared" si="259"/>
        <v>0</v>
      </c>
      <c r="V1938" s="226">
        <v>0</v>
      </c>
      <c r="W1938" s="227"/>
      <c r="X1938" s="228">
        <f t="shared" si="260"/>
        <v>0</v>
      </c>
      <c r="Y1938" s="229"/>
      <c r="Z1938" s="229"/>
      <c r="AA1938" s="229"/>
      <c r="AB1938" s="222">
        <f t="shared" si="261"/>
        <v>0</v>
      </c>
      <c r="AC1938" s="230">
        <f t="shared" si="262"/>
        <v>0</v>
      </c>
      <c r="AD1938" s="222" t="str">
        <f t="shared" si="263"/>
        <v/>
      </c>
      <c r="AE1938" s="201"/>
      <c r="AF1938" s="231" t="str">
        <f>+IFERROR(VLOOKUP(L1938,Data!$F$4:$G$97,2,0),"")</f>
        <v/>
      </c>
    </row>
    <row r="1939" spans="9:32" ht="15" customHeight="1" x14ac:dyDescent="0.3">
      <c r="I1939" s="201" t="str">
        <f t="shared" si="256"/>
        <v/>
      </c>
      <c r="J1939" s="218">
        <f t="shared" si="257"/>
        <v>1936</v>
      </c>
      <c r="K1939" s="250"/>
      <c r="L1939" s="219"/>
      <c r="M1939" s="218"/>
      <c r="N1939" s="220" t="str">
        <f>IFERROR(VLOOKUP(M1939,Data!$C$4:$D$395,2,0),"")</f>
        <v/>
      </c>
      <c r="O1939" s="220"/>
      <c r="P1939" s="229"/>
      <c r="Q1939" s="221"/>
      <c r="R1939" s="222" t="str">
        <f t="shared" si="258"/>
        <v>-</v>
      </c>
      <c r="S1939" s="223"/>
      <c r="T1939" s="224"/>
      <c r="U1939" s="225">
        <f t="shared" si="259"/>
        <v>0</v>
      </c>
      <c r="V1939" s="226">
        <v>0</v>
      </c>
      <c r="W1939" s="227"/>
      <c r="X1939" s="228">
        <f t="shared" si="260"/>
        <v>0</v>
      </c>
      <c r="Y1939" s="229"/>
      <c r="Z1939" s="229"/>
      <c r="AA1939" s="229"/>
      <c r="AB1939" s="222">
        <f t="shared" si="261"/>
        <v>0</v>
      </c>
      <c r="AC1939" s="230">
        <f t="shared" si="262"/>
        <v>0</v>
      </c>
      <c r="AD1939" s="222" t="str">
        <f t="shared" si="263"/>
        <v/>
      </c>
      <c r="AE1939" s="201"/>
      <c r="AF1939" s="231" t="str">
        <f>+IFERROR(VLOOKUP(L1939,Data!$F$4:$G$97,2,0),"")</f>
        <v/>
      </c>
    </row>
    <row r="1940" spans="9:32" ht="15" customHeight="1" x14ac:dyDescent="0.3">
      <c r="I1940" s="201" t="str">
        <f t="shared" si="256"/>
        <v/>
      </c>
      <c r="J1940" s="218">
        <f t="shared" si="257"/>
        <v>1937</v>
      </c>
      <c r="K1940" s="250"/>
      <c r="L1940" s="219"/>
      <c r="M1940" s="218"/>
      <c r="N1940" s="220" t="str">
        <f>IFERROR(VLOOKUP(M1940,Data!$C$4:$D$395,2,0),"")</f>
        <v/>
      </c>
      <c r="O1940" s="220"/>
      <c r="P1940" s="229"/>
      <c r="Q1940" s="221"/>
      <c r="R1940" s="222" t="str">
        <f t="shared" si="258"/>
        <v>-</v>
      </c>
      <c r="S1940" s="223"/>
      <c r="T1940" s="224"/>
      <c r="U1940" s="225">
        <f t="shared" si="259"/>
        <v>0</v>
      </c>
      <c r="V1940" s="226">
        <v>0</v>
      </c>
      <c r="W1940" s="227"/>
      <c r="X1940" s="228">
        <f t="shared" si="260"/>
        <v>0</v>
      </c>
      <c r="Y1940" s="229"/>
      <c r="Z1940" s="229"/>
      <c r="AA1940" s="229"/>
      <c r="AB1940" s="222">
        <f t="shared" si="261"/>
        <v>0</v>
      </c>
      <c r="AC1940" s="230">
        <f t="shared" si="262"/>
        <v>0</v>
      </c>
      <c r="AD1940" s="222" t="str">
        <f t="shared" si="263"/>
        <v/>
      </c>
      <c r="AE1940" s="201"/>
      <c r="AF1940" s="231" t="str">
        <f>+IFERROR(VLOOKUP(L1940,Data!$F$4:$G$97,2,0),"")</f>
        <v/>
      </c>
    </row>
    <row r="1941" spans="9:32" ht="15" customHeight="1" x14ac:dyDescent="0.3">
      <c r="I1941" s="201" t="str">
        <f t="shared" si="256"/>
        <v/>
      </c>
      <c r="J1941" s="218">
        <f t="shared" si="257"/>
        <v>1938</v>
      </c>
      <c r="K1941" s="250"/>
      <c r="L1941" s="219"/>
      <c r="M1941" s="218"/>
      <c r="N1941" s="220" t="str">
        <f>IFERROR(VLOOKUP(M1941,Data!$C$4:$D$395,2,0),"")</f>
        <v/>
      </c>
      <c r="O1941" s="220"/>
      <c r="P1941" s="229"/>
      <c r="Q1941" s="221"/>
      <c r="R1941" s="222" t="str">
        <f t="shared" si="258"/>
        <v>-</v>
      </c>
      <c r="S1941" s="223"/>
      <c r="T1941" s="224"/>
      <c r="U1941" s="225">
        <f t="shared" si="259"/>
        <v>0</v>
      </c>
      <c r="V1941" s="226">
        <v>0</v>
      </c>
      <c r="W1941" s="227"/>
      <c r="X1941" s="228">
        <f t="shared" si="260"/>
        <v>0</v>
      </c>
      <c r="Y1941" s="229"/>
      <c r="Z1941" s="229"/>
      <c r="AA1941" s="229"/>
      <c r="AB1941" s="222">
        <f t="shared" si="261"/>
        <v>0</v>
      </c>
      <c r="AC1941" s="230">
        <f t="shared" si="262"/>
        <v>0</v>
      </c>
      <c r="AD1941" s="222" t="str">
        <f t="shared" si="263"/>
        <v/>
      </c>
      <c r="AE1941" s="201"/>
      <c r="AF1941" s="231" t="str">
        <f>+IFERROR(VLOOKUP(L1941,Data!$F$4:$G$97,2,0),"")</f>
        <v/>
      </c>
    </row>
    <row r="1942" spans="9:32" ht="15" customHeight="1" x14ac:dyDescent="0.3">
      <c r="I1942" s="201" t="str">
        <f t="shared" si="256"/>
        <v/>
      </c>
      <c r="J1942" s="218">
        <f t="shared" si="257"/>
        <v>1939</v>
      </c>
      <c r="K1942" s="250"/>
      <c r="L1942" s="219"/>
      <c r="M1942" s="218"/>
      <c r="N1942" s="220" t="str">
        <f>IFERROR(VLOOKUP(M1942,Data!$C$4:$D$395,2,0),"")</f>
        <v/>
      </c>
      <c r="O1942" s="220"/>
      <c r="P1942" s="229"/>
      <c r="Q1942" s="221"/>
      <c r="R1942" s="222" t="str">
        <f t="shared" si="258"/>
        <v>-</v>
      </c>
      <c r="S1942" s="223"/>
      <c r="T1942" s="224"/>
      <c r="U1942" s="225">
        <f t="shared" si="259"/>
        <v>0</v>
      </c>
      <c r="V1942" s="226">
        <v>0</v>
      </c>
      <c r="W1942" s="227"/>
      <c r="X1942" s="228">
        <f t="shared" si="260"/>
        <v>0</v>
      </c>
      <c r="Y1942" s="229"/>
      <c r="Z1942" s="229"/>
      <c r="AA1942" s="229"/>
      <c r="AB1942" s="222">
        <f t="shared" si="261"/>
        <v>0</v>
      </c>
      <c r="AC1942" s="230">
        <f t="shared" si="262"/>
        <v>0</v>
      </c>
      <c r="AD1942" s="222" t="str">
        <f t="shared" si="263"/>
        <v/>
      </c>
      <c r="AE1942" s="201"/>
      <c r="AF1942" s="231" t="str">
        <f>+IFERROR(VLOOKUP(L1942,Data!$F$4:$G$97,2,0),"")</f>
        <v/>
      </c>
    </row>
    <row r="1943" spans="9:32" ht="15" customHeight="1" x14ac:dyDescent="0.3">
      <c r="I1943" s="201" t="str">
        <f t="shared" si="256"/>
        <v/>
      </c>
      <c r="J1943" s="218">
        <f t="shared" si="257"/>
        <v>1940</v>
      </c>
      <c r="K1943" s="250"/>
      <c r="L1943" s="219"/>
      <c r="M1943" s="218"/>
      <c r="N1943" s="220" t="str">
        <f>IFERROR(VLOOKUP(M1943,Data!$C$4:$D$395,2,0),"")</f>
        <v/>
      </c>
      <c r="O1943" s="220"/>
      <c r="P1943" s="229"/>
      <c r="Q1943" s="221"/>
      <c r="R1943" s="222" t="str">
        <f t="shared" si="258"/>
        <v>-</v>
      </c>
      <c r="S1943" s="223"/>
      <c r="T1943" s="224"/>
      <c r="U1943" s="225">
        <f t="shared" si="259"/>
        <v>0</v>
      </c>
      <c r="V1943" s="226">
        <v>0</v>
      </c>
      <c r="W1943" s="227"/>
      <c r="X1943" s="228">
        <f t="shared" si="260"/>
        <v>0</v>
      </c>
      <c r="Y1943" s="229"/>
      <c r="Z1943" s="229"/>
      <c r="AA1943" s="229"/>
      <c r="AB1943" s="222">
        <f t="shared" si="261"/>
        <v>0</v>
      </c>
      <c r="AC1943" s="230">
        <f t="shared" si="262"/>
        <v>0</v>
      </c>
      <c r="AD1943" s="222" t="str">
        <f t="shared" si="263"/>
        <v/>
      </c>
      <c r="AE1943" s="201"/>
      <c r="AF1943" s="231" t="str">
        <f>+IFERROR(VLOOKUP(L1943,Data!$F$4:$G$97,2,0),"")</f>
        <v/>
      </c>
    </row>
    <row r="1944" spans="9:32" ht="15" customHeight="1" x14ac:dyDescent="0.3">
      <c r="I1944" s="201" t="str">
        <f t="shared" si="256"/>
        <v/>
      </c>
      <c r="J1944" s="218">
        <f t="shared" si="257"/>
        <v>1941</v>
      </c>
      <c r="K1944" s="250"/>
      <c r="L1944" s="219"/>
      <c r="M1944" s="218"/>
      <c r="N1944" s="220" t="str">
        <f>IFERROR(VLOOKUP(M1944,Data!$C$4:$D$395,2,0),"")</f>
        <v/>
      </c>
      <c r="O1944" s="220"/>
      <c r="P1944" s="229"/>
      <c r="Q1944" s="221"/>
      <c r="R1944" s="222" t="str">
        <f t="shared" si="258"/>
        <v>-</v>
      </c>
      <c r="S1944" s="223"/>
      <c r="T1944" s="224"/>
      <c r="U1944" s="225">
        <f t="shared" si="259"/>
        <v>0</v>
      </c>
      <c r="V1944" s="226">
        <v>0</v>
      </c>
      <c r="W1944" s="227"/>
      <c r="X1944" s="228">
        <f t="shared" si="260"/>
        <v>0</v>
      </c>
      <c r="Y1944" s="229"/>
      <c r="Z1944" s="229"/>
      <c r="AA1944" s="229"/>
      <c r="AB1944" s="222">
        <f t="shared" si="261"/>
        <v>0</v>
      </c>
      <c r="AC1944" s="230">
        <f t="shared" si="262"/>
        <v>0</v>
      </c>
      <c r="AD1944" s="222" t="str">
        <f t="shared" si="263"/>
        <v/>
      </c>
      <c r="AE1944" s="201"/>
      <c r="AF1944" s="231" t="str">
        <f>+IFERROR(VLOOKUP(L1944,Data!$F$4:$G$97,2,0),"")</f>
        <v/>
      </c>
    </row>
    <row r="1945" spans="9:32" ht="15" customHeight="1" x14ac:dyDescent="0.3">
      <c r="I1945" s="201" t="str">
        <f t="shared" si="256"/>
        <v/>
      </c>
      <c r="J1945" s="218">
        <f t="shared" si="257"/>
        <v>1942</v>
      </c>
      <c r="K1945" s="250"/>
      <c r="L1945" s="219"/>
      <c r="M1945" s="218"/>
      <c r="N1945" s="220" t="str">
        <f>IFERROR(VLOOKUP(M1945,Data!$C$4:$D$395,2,0),"")</f>
        <v/>
      </c>
      <c r="O1945" s="220"/>
      <c r="P1945" s="229"/>
      <c r="Q1945" s="221"/>
      <c r="R1945" s="222" t="str">
        <f t="shared" si="258"/>
        <v>-</v>
      </c>
      <c r="S1945" s="223"/>
      <c r="T1945" s="224"/>
      <c r="U1945" s="225">
        <f t="shared" si="259"/>
        <v>0</v>
      </c>
      <c r="V1945" s="226">
        <v>0</v>
      </c>
      <c r="W1945" s="227"/>
      <c r="X1945" s="228">
        <f t="shared" si="260"/>
        <v>0</v>
      </c>
      <c r="Y1945" s="229"/>
      <c r="Z1945" s="229"/>
      <c r="AA1945" s="229"/>
      <c r="AB1945" s="222">
        <f t="shared" si="261"/>
        <v>0</v>
      </c>
      <c r="AC1945" s="230">
        <f t="shared" si="262"/>
        <v>0</v>
      </c>
      <c r="AD1945" s="222" t="str">
        <f t="shared" si="263"/>
        <v/>
      </c>
      <c r="AE1945" s="201"/>
      <c r="AF1945" s="231" t="str">
        <f>+IFERROR(VLOOKUP(L1945,Data!$F$4:$G$97,2,0),"")</f>
        <v/>
      </c>
    </row>
    <row r="1946" spans="9:32" ht="15" customHeight="1" x14ac:dyDescent="0.3">
      <c r="I1946" s="201" t="str">
        <f t="shared" si="256"/>
        <v/>
      </c>
      <c r="J1946" s="218">
        <f t="shared" si="257"/>
        <v>1943</v>
      </c>
      <c r="K1946" s="250"/>
      <c r="L1946" s="219"/>
      <c r="M1946" s="218"/>
      <c r="N1946" s="220" t="str">
        <f>IFERROR(VLOOKUP(M1946,Data!$C$4:$D$395,2,0),"")</f>
        <v/>
      </c>
      <c r="O1946" s="220"/>
      <c r="P1946" s="229"/>
      <c r="Q1946" s="221"/>
      <c r="R1946" s="222" t="str">
        <f t="shared" si="258"/>
        <v>-</v>
      </c>
      <c r="S1946" s="223"/>
      <c r="T1946" s="224"/>
      <c r="U1946" s="225">
        <f t="shared" si="259"/>
        <v>0</v>
      </c>
      <c r="V1946" s="226">
        <v>0</v>
      </c>
      <c r="W1946" s="227"/>
      <c r="X1946" s="228">
        <f t="shared" si="260"/>
        <v>0</v>
      </c>
      <c r="Y1946" s="229"/>
      <c r="Z1946" s="229"/>
      <c r="AA1946" s="229"/>
      <c r="AB1946" s="222">
        <f t="shared" si="261"/>
        <v>0</v>
      </c>
      <c r="AC1946" s="230">
        <f t="shared" si="262"/>
        <v>0</v>
      </c>
      <c r="AD1946" s="222" t="str">
        <f t="shared" si="263"/>
        <v/>
      </c>
      <c r="AE1946" s="201"/>
      <c r="AF1946" s="231" t="str">
        <f>+IFERROR(VLOOKUP(L1946,Data!$F$4:$G$97,2,0),"")</f>
        <v/>
      </c>
    </row>
    <row r="1947" spans="9:32" ht="15" customHeight="1" x14ac:dyDescent="0.3">
      <c r="I1947" s="201" t="str">
        <f t="shared" si="256"/>
        <v/>
      </c>
      <c r="J1947" s="218">
        <f t="shared" si="257"/>
        <v>1944</v>
      </c>
      <c r="K1947" s="250"/>
      <c r="L1947" s="219"/>
      <c r="M1947" s="218"/>
      <c r="N1947" s="220" t="str">
        <f>IFERROR(VLOOKUP(M1947,Data!$C$4:$D$395,2,0),"")</f>
        <v/>
      </c>
      <c r="O1947" s="220"/>
      <c r="P1947" s="229"/>
      <c r="Q1947" s="221"/>
      <c r="R1947" s="222" t="str">
        <f t="shared" si="258"/>
        <v>-</v>
      </c>
      <c r="S1947" s="223"/>
      <c r="T1947" s="224"/>
      <c r="U1947" s="225">
        <f t="shared" si="259"/>
        <v>0</v>
      </c>
      <c r="V1947" s="226">
        <v>0</v>
      </c>
      <c r="W1947" s="227"/>
      <c r="X1947" s="228">
        <f t="shared" si="260"/>
        <v>0</v>
      </c>
      <c r="Y1947" s="229"/>
      <c r="Z1947" s="229"/>
      <c r="AA1947" s="229"/>
      <c r="AB1947" s="222">
        <f t="shared" si="261"/>
        <v>0</v>
      </c>
      <c r="AC1947" s="230">
        <f t="shared" si="262"/>
        <v>0</v>
      </c>
      <c r="AD1947" s="222" t="str">
        <f t="shared" si="263"/>
        <v/>
      </c>
      <c r="AE1947" s="201"/>
      <c r="AF1947" s="231" t="str">
        <f>+IFERROR(VLOOKUP(L1947,Data!$F$4:$G$97,2,0),"")</f>
        <v/>
      </c>
    </row>
    <row r="1948" spans="9:32" ht="15" customHeight="1" x14ac:dyDescent="0.3">
      <c r="I1948" s="201" t="str">
        <f t="shared" si="256"/>
        <v/>
      </c>
      <c r="J1948" s="218">
        <f t="shared" si="257"/>
        <v>1945</v>
      </c>
      <c r="K1948" s="250"/>
      <c r="L1948" s="219"/>
      <c r="M1948" s="218"/>
      <c r="N1948" s="220" t="str">
        <f>IFERROR(VLOOKUP(M1948,Data!$C$4:$D$395,2,0),"")</f>
        <v/>
      </c>
      <c r="O1948" s="220"/>
      <c r="P1948" s="229"/>
      <c r="Q1948" s="221"/>
      <c r="R1948" s="222" t="str">
        <f t="shared" si="258"/>
        <v>-</v>
      </c>
      <c r="S1948" s="223"/>
      <c r="T1948" s="224"/>
      <c r="U1948" s="225">
        <f t="shared" si="259"/>
        <v>0</v>
      </c>
      <c r="V1948" s="226">
        <v>0</v>
      </c>
      <c r="W1948" s="227"/>
      <c r="X1948" s="228">
        <f t="shared" si="260"/>
        <v>0</v>
      </c>
      <c r="Y1948" s="229"/>
      <c r="Z1948" s="229"/>
      <c r="AA1948" s="229"/>
      <c r="AB1948" s="222">
        <f t="shared" si="261"/>
        <v>0</v>
      </c>
      <c r="AC1948" s="230">
        <f t="shared" si="262"/>
        <v>0</v>
      </c>
      <c r="AD1948" s="222" t="str">
        <f t="shared" si="263"/>
        <v/>
      </c>
      <c r="AE1948" s="201"/>
      <c r="AF1948" s="231" t="str">
        <f>+IFERROR(VLOOKUP(L1948,Data!$F$4:$G$97,2,0),"")</f>
        <v/>
      </c>
    </row>
    <row r="1949" spans="9:32" ht="15" customHeight="1" x14ac:dyDescent="0.3">
      <c r="I1949" s="201" t="str">
        <f t="shared" si="256"/>
        <v/>
      </c>
      <c r="J1949" s="218">
        <f t="shared" si="257"/>
        <v>1946</v>
      </c>
      <c r="K1949" s="250"/>
      <c r="L1949" s="219"/>
      <c r="M1949" s="218"/>
      <c r="N1949" s="220" t="str">
        <f>IFERROR(VLOOKUP(M1949,Data!$C$4:$D$395,2,0),"")</f>
        <v/>
      </c>
      <c r="O1949" s="220"/>
      <c r="P1949" s="229"/>
      <c r="Q1949" s="221"/>
      <c r="R1949" s="222" t="str">
        <f t="shared" si="258"/>
        <v>-</v>
      </c>
      <c r="S1949" s="223"/>
      <c r="T1949" s="224"/>
      <c r="U1949" s="225">
        <f t="shared" si="259"/>
        <v>0</v>
      </c>
      <c r="V1949" s="226">
        <v>0</v>
      </c>
      <c r="W1949" s="227"/>
      <c r="X1949" s="228">
        <f t="shared" si="260"/>
        <v>0</v>
      </c>
      <c r="Y1949" s="229"/>
      <c r="Z1949" s="229"/>
      <c r="AA1949" s="229"/>
      <c r="AB1949" s="222">
        <f t="shared" si="261"/>
        <v>0</v>
      </c>
      <c r="AC1949" s="230">
        <f t="shared" si="262"/>
        <v>0</v>
      </c>
      <c r="AD1949" s="222" t="str">
        <f t="shared" si="263"/>
        <v/>
      </c>
      <c r="AE1949" s="201"/>
      <c r="AF1949" s="231" t="str">
        <f>+IFERROR(VLOOKUP(L1949,Data!$F$4:$G$97,2,0),"")</f>
        <v/>
      </c>
    </row>
    <row r="1950" spans="9:32" ht="15" customHeight="1" x14ac:dyDescent="0.3">
      <c r="I1950" s="201" t="str">
        <f t="shared" si="256"/>
        <v/>
      </c>
      <c r="J1950" s="218">
        <f t="shared" si="257"/>
        <v>1947</v>
      </c>
      <c r="K1950" s="250"/>
      <c r="L1950" s="219"/>
      <c r="M1950" s="218"/>
      <c r="N1950" s="220" t="str">
        <f>IFERROR(VLOOKUP(M1950,Data!$C$4:$D$395,2,0),"")</f>
        <v/>
      </c>
      <c r="O1950" s="220"/>
      <c r="P1950" s="229"/>
      <c r="Q1950" s="221"/>
      <c r="R1950" s="222" t="str">
        <f t="shared" si="258"/>
        <v>-</v>
      </c>
      <c r="S1950" s="223"/>
      <c r="T1950" s="224"/>
      <c r="U1950" s="225">
        <f t="shared" si="259"/>
        <v>0</v>
      </c>
      <c r="V1950" s="226">
        <v>0</v>
      </c>
      <c r="W1950" s="227"/>
      <c r="X1950" s="228">
        <f t="shared" si="260"/>
        <v>0</v>
      </c>
      <c r="Y1950" s="229"/>
      <c r="Z1950" s="229"/>
      <c r="AA1950" s="229"/>
      <c r="AB1950" s="222">
        <f t="shared" si="261"/>
        <v>0</v>
      </c>
      <c r="AC1950" s="230">
        <f t="shared" si="262"/>
        <v>0</v>
      </c>
      <c r="AD1950" s="222" t="str">
        <f t="shared" si="263"/>
        <v/>
      </c>
      <c r="AE1950" s="201"/>
      <c r="AF1950" s="231" t="str">
        <f>+IFERROR(VLOOKUP(L1950,Data!$F$4:$G$97,2,0),"")</f>
        <v/>
      </c>
    </row>
    <row r="1951" spans="9:32" ht="15" customHeight="1" x14ac:dyDescent="0.3">
      <c r="I1951" s="201" t="str">
        <f t="shared" si="256"/>
        <v/>
      </c>
      <c r="J1951" s="218">
        <f t="shared" si="257"/>
        <v>1948</v>
      </c>
      <c r="K1951" s="250"/>
      <c r="L1951" s="219"/>
      <c r="M1951" s="218"/>
      <c r="N1951" s="220" t="str">
        <f>IFERROR(VLOOKUP(M1951,Data!$C$4:$D$395,2,0),"")</f>
        <v/>
      </c>
      <c r="O1951" s="220"/>
      <c r="P1951" s="229"/>
      <c r="Q1951" s="221"/>
      <c r="R1951" s="222" t="str">
        <f t="shared" si="258"/>
        <v>-</v>
      </c>
      <c r="S1951" s="223"/>
      <c r="T1951" s="224"/>
      <c r="U1951" s="225">
        <f t="shared" si="259"/>
        <v>0</v>
      </c>
      <c r="V1951" s="226">
        <v>0</v>
      </c>
      <c r="W1951" s="227"/>
      <c r="X1951" s="228">
        <f t="shared" si="260"/>
        <v>0</v>
      </c>
      <c r="Y1951" s="229"/>
      <c r="Z1951" s="229"/>
      <c r="AA1951" s="229"/>
      <c r="AB1951" s="222">
        <f t="shared" si="261"/>
        <v>0</v>
      </c>
      <c r="AC1951" s="230">
        <f t="shared" si="262"/>
        <v>0</v>
      </c>
      <c r="AD1951" s="222" t="str">
        <f t="shared" si="263"/>
        <v/>
      </c>
      <c r="AE1951" s="201"/>
      <c r="AF1951" s="231" t="str">
        <f>+IFERROR(VLOOKUP(L1951,Data!$F$4:$G$97,2,0),"")</f>
        <v/>
      </c>
    </row>
    <row r="1952" spans="9:32" ht="15" customHeight="1" x14ac:dyDescent="0.3">
      <c r="I1952" s="201" t="str">
        <f t="shared" si="256"/>
        <v/>
      </c>
      <c r="J1952" s="218">
        <f t="shared" si="257"/>
        <v>1949</v>
      </c>
      <c r="K1952" s="250"/>
      <c r="L1952" s="219"/>
      <c r="M1952" s="218"/>
      <c r="N1952" s="220" t="str">
        <f>IFERROR(VLOOKUP(M1952,Data!$C$4:$D$395,2,0),"")</f>
        <v/>
      </c>
      <c r="O1952" s="220"/>
      <c r="P1952" s="229"/>
      <c r="Q1952" s="221"/>
      <c r="R1952" s="222" t="str">
        <f t="shared" si="258"/>
        <v>-</v>
      </c>
      <c r="S1952" s="223"/>
      <c r="T1952" s="224"/>
      <c r="U1952" s="225">
        <f t="shared" si="259"/>
        <v>0</v>
      </c>
      <c r="V1952" s="226">
        <v>0</v>
      </c>
      <c r="W1952" s="227"/>
      <c r="X1952" s="228">
        <f t="shared" si="260"/>
        <v>0</v>
      </c>
      <c r="Y1952" s="229"/>
      <c r="Z1952" s="229"/>
      <c r="AA1952" s="229"/>
      <c r="AB1952" s="222">
        <f t="shared" si="261"/>
        <v>0</v>
      </c>
      <c r="AC1952" s="230">
        <f t="shared" si="262"/>
        <v>0</v>
      </c>
      <c r="AD1952" s="222" t="str">
        <f t="shared" si="263"/>
        <v/>
      </c>
      <c r="AE1952" s="201"/>
      <c r="AF1952" s="231" t="str">
        <f>+IFERROR(VLOOKUP(L1952,Data!$F$4:$G$97,2,0),"")</f>
        <v/>
      </c>
    </row>
    <row r="1953" spans="9:32" ht="15" customHeight="1" x14ac:dyDescent="0.3">
      <c r="I1953" s="201" t="str">
        <f t="shared" si="256"/>
        <v/>
      </c>
      <c r="J1953" s="218">
        <f t="shared" si="257"/>
        <v>1950</v>
      </c>
      <c r="K1953" s="250"/>
      <c r="L1953" s="219"/>
      <c r="M1953" s="218"/>
      <c r="N1953" s="220" t="str">
        <f>IFERROR(VLOOKUP(M1953,Data!$C$4:$D$395,2,0),"")</f>
        <v/>
      </c>
      <c r="O1953" s="220"/>
      <c r="P1953" s="229"/>
      <c r="Q1953" s="221"/>
      <c r="R1953" s="222" t="str">
        <f t="shared" si="258"/>
        <v>-</v>
      </c>
      <c r="S1953" s="223"/>
      <c r="T1953" s="224"/>
      <c r="U1953" s="225">
        <f t="shared" si="259"/>
        <v>0</v>
      </c>
      <c r="V1953" s="226">
        <v>0</v>
      </c>
      <c r="W1953" s="227"/>
      <c r="X1953" s="228">
        <f t="shared" si="260"/>
        <v>0</v>
      </c>
      <c r="Y1953" s="229"/>
      <c r="Z1953" s="229"/>
      <c r="AA1953" s="229"/>
      <c r="AB1953" s="222">
        <f t="shared" si="261"/>
        <v>0</v>
      </c>
      <c r="AC1953" s="230">
        <f t="shared" si="262"/>
        <v>0</v>
      </c>
      <c r="AD1953" s="222" t="str">
        <f t="shared" si="263"/>
        <v/>
      </c>
      <c r="AE1953" s="201"/>
      <c r="AF1953" s="231" t="str">
        <f>+IFERROR(VLOOKUP(L1953,Data!$F$4:$G$97,2,0),"")</f>
        <v/>
      </c>
    </row>
    <row r="1954" spans="9:32" ht="15" customHeight="1" x14ac:dyDescent="0.3">
      <c r="I1954" s="201" t="str">
        <f t="shared" si="256"/>
        <v/>
      </c>
      <c r="J1954" s="218">
        <f t="shared" si="257"/>
        <v>1951</v>
      </c>
      <c r="K1954" s="250"/>
      <c r="L1954" s="219"/>
      <c r="M1954" s="218"/>
      <c r="N1954" s="220" t="str">
        <f>IFERROR(VLOOKUP(M1954,Data!$C$4:$D$395,2,0),"")</f>
        <v/>
      </c>
      <c r="O1954" s="220"/>
      <c r="P1954" s="229"/>
      <c r="Q1954" s="221"/>
      <c r="R1954" s="222" t="str">
        <f t="shared" si="258"/>
        <v>-</v>
      </c>
      <c r="S1954" s="223"/>
      <c r="T1954" s="224"/>
      <c r="U1954" s="225">
        <f t="shared" si="259"/>
        <v>0</v>
      </c>
      <c r="V1954" s="226">
        <v>0</v>
      </c>
      <c r="W1954" s="227"/>
      <c r="X1954" s="228">
        <f t="shared" si="260"/>
        <v>0</v>
      </c>
      <c r="Y1954" s="229"/>
      <c r="Z1954" s="229"/>
      <c r="AA1954" s="229"/>
      <c r="AB1954" s="222">
        <f t="shared" si="261"/>
        <v>0</v>
      </c>
      <c r="AC1954" s="230">
        <f t="shared" si="262"/>
        <v>0</v>
      </c>
      <c r="AD1954" s="222" t="str">
        <f t="shared" si="263"/>
        <v/>
      </c>
      <c r="AE1954" s="201"/>
      <c r="AF1954" s="231" t="str">
        <f>+IFERROR(VLOOKUP(L1954,Data!$F$4:$G$97,2,0),"")</f>
        <v/>
      </c>
    </row>
    <row r="1955" spans="9:32" ht="15" customHeight="1" x14ac:dyDescent="0.3">
      <c r="I1955" s="201" t="str">
        <f t="shared" si="256"/>
        <v/>
      </c>
      <c r="J1955" s="218">
        <f t="shared" si="257"/>
        <v>1952</v>
      </c>
      <c r="K1955" s="250"/>
      <c r="L1955" s="219"/>
      <c r="M1955" s="218"/>
      <c r="N1955" s="220" t="str">
        <f>IFERROR(VLOOKUP(M1955,Data!$C$4:$D$395,2,0),"")</f>
        <v/>
      </c>
      <c r="O1955" s="220"/>
      <c r="P1955" s="229"/>
      <c r="Q1955" s="221"/>
      <c r="R1955" s="222" t="str">
        <f t="shared" si="258"/>
        <v>-</v>
      </c>
      <c r="S1955" s="223"/>
      <c r="T1955" s="224"/>
      <c r="U1955" s="225">
        <f t="shared" si="259"/>
        <v>0</v>
      </c>
      <c r="V1955" s="226">
        <v>0</v>
      </c>
      <c r="W1955" s="227"/>
      <c r="X1955" s="228">
        <f t="shared" si="260"/>
        <v>0</v>
      </c>
      <c r="Y1955" s="229"/>
      <c r="Z1955" s="229"/>
      <c r="AA1955" s="229"/>
      <c r="AB1955" s="222">
        <f t="shared" si="261"/>
        <v>0</v>
      </c>
      <c r="AC1955" s="230">
        <f t="shared" si="262"/>
        <v>0</v>
      </c>
      <c r="AD1955" s="222" t="str">
        <f t="shared" si="263"/>
        <v/>
      </c>
      <c r="AE1955" s="201"/>
      <c r="AF1955" s="231" t="str">
        <f>+IFERROR(VLOOKUP(L1955,Data!$F$4:$G$97,2,0),"")</f>
        <v/>
      </c>
    </row>
    <row r="1956" spans="9:32" ht="15" customHeight="1" x14ac:dyDescent="0.3">
      <c r="I1956" s="201" t="str">
        <f t="shared" si="256"/>
        <v/>
      </c>
      <c r="J1956" s="218">
        <f t="shared" si="257"/>
        <v>1953</v>
      </c>
      <c r="K1956" s="250"/>
      <c r="L1956" s="219"/>
      <c r="M1956" s="218"/>
      <c r="N1956" s="220" t="str">
        <f>IFERROR(VLOOKUP(M1956,Data!$C$4:$D$395,2,0),"")</f>
        <v/>
      </c>
      <c r="O1956" s="220"/>
      <c r="P1956" s="229"/>
      <c r="Q1956" s="221"/>
      <c r="R1956" s="222" t="str">
        <f t="shared" si="258"/>
        <v>-</v>
      </c>
      <c r="S1956" s="223"/>
      <c r="T1956" s="224"/>
      <c r="U1956" s="225">
        <f t="shared" si="259"/>
        <v>0</v>
      </c>
      <c r="V1956" s="226">
        <v>0</v>
      </c>
      <c r="W1956" s="227"/>
      <c r="X1956" s="228">
        <f t="shared" si="260"/>
        <v>0</v>
      </c>
      <c r="Y1956" s="229"/>
      <c r="Z1956" s="229"/>
      <c r="AA1956" s="229"/>
      <c r="AB1956" s="222">
        <f t="shared" si="261"/>
        <v>0</v>
      </c>
      <c r="AC1956" s="230">
        <f t="shared" si="262"/>
        <v>0</v>
      </c>
      <c r="AD1956" s="222" t="str">
        <f t="shared" si="263"/>
        <v/>
      </c>
      <c r="AE1956" s="201"/>
      <c r="AF1956" s="231" t="str">
        <f>+IFERROR(VLOOKUP(L1956,Data!$F$4:$G$97,2,0),"")</f>
        <v/>
      </c>
    </row>
    <row r="1957" spans="9:32" ht="15" customHeight="1" x14ac:dyDescent="0.3">
      <c r="I1957" s="201" t="str">
        <f t="shared" si="256"/>
        <v/>
      </c>
      <c r="J1957" s="218">
        <f t="shared" si="257"/>
        <v>1954</v>
      </c>
      <c r="K1957" s="250"/>
      <c r="L1957" s="219"/>
      <c r="M1957" s="218"/>
      <c r="N1957" s="220" t="str">
        <f>IFERROR(VLOOKUP(M1957,Data!$C$4:$D$395,2,0),"")</f>
        <v/>
      </c>
      <c r="O1957" s="220"/>
      <c r="P1957" s="229"/>
      <c r="Q1957" s="221"/>
      <c r="R1957" s="222" t="str">
        <f t="shared" si="258"/>
        <v>-</v>
      </c>
      <c r="S1957" s="223"/>
      <c r="T1957" s="224"/>
      <c r="U1957" s="225">
        <f t="shared" si="259"/>
        <v>0</v>
      </c>
      <c r="V1957" s="226">
        <v>0</v>
      </c>
      <c r="W1957" s="227"/>
      <c r="X1957" s="228">
        <f t="shared" si="260"/>
        <v>0</v>
      </c>
      <c r="Y1957" s="229"/>
      <c r="Z1957" s="229"/>
      <c r="AA1957" s="229"/>
      <c r="AB1957" s="222">
        <f t="shared" si="261"/>
        <v>0</v>
      </c>
      <c r="AC1957" s="230">
        <f t="shared" si="262"/>
        <v>0</v>
      </c>
      <c r="AD1957" s="222" t="str">
        <f t="shared" si="263"/>
        <v/>
      </c>
      <c r="AE1957" s="201"/>
      <c r="AF1957" s="231" t="str">
        <f>+IFERROR(VLOOKUP(L1957,Data!$F$4:$G$97,2,0),"")</f>
        <v/>
      </c>
    </row>
    <row r="1958" spans="9:32" ht="15" customHeight="1" x14ac:dyDescent="0.3">
      <c r="I1958" s="201" t="str">
        <f t="shared" si="256"/>
        <v/>
      </c>
      <c r="J1958" s="218">
        <f t="shared" si="257"/>
        <v>1955</v>
      </c>
      <c r="K1958" s="250"/>
      <c r="L1958" s="219"/>
      <c r="M1958" s="218"/>
      <c r="N1958" s="220" t="str">
        <f>IFERROR(VLOOKUP(M1958,Data!$C$4:$D$395,2,0),"")</f>
        <v/>
      </c>
      <c r="O1958" s="220"/>
      <c r="P1958" s="229"/>
      <c r="Q1958" s="221"/>
      <c r="R1958" s="222" t="str">
        <f t="shared" si="258"/>
        <v>-</v>
      </c>
      <c r="S1958" s="223"/>
      <c r="T1958" s="224"/>
      <c r="U1958" s="225">
        <f t="shared" si="259"/>
        <v>0</v>
      </c>
      <c r="V1958" s="226">
        <v>0</v>
      </c>
      <c r="W1958" s="227"/>
      <c r="X1958" s="228">
        <f t="shared" si="260"/>
        <v>0</v>
      </c>
      <c r="Y1958" s="229"/>
      <c r="Z1958" s="229"/>
      <c r="AA1958" s="229"/>
      <c r="AB1958" s="222">
        <f t="shared" si="261"/>
        <v>0</v>
      </c>
      <c r="AC1958" s="230">
        <f t="shared" si="262"/>
        <v>0</v>
      </c>
      <c r="AD1958" s="222" t="str">
        <f t="shared" si="263"/>
        <v/>
      </c>
      <c r="AE1958" s="201"/>
      <c r="AF1958" s="231" t="str">
        <f>+IFERROR(VLOOKUP(L1958,Data!$F$4:$G$97,2,0),"")</f>
        <v/>
      </c>
    </row>
    <row r="1959" spans="9:32" ht="15" customHeight="1" x14ac:dyDescent="0.3">
      <c r="I1959" s="201" t="str">
        <f t="shared" si="256"/>
        <v/>
      </c>
      <c r="J1959" s="218">
        <f t="shared" si="257"/>
        <v>1956</v>
      </c>
      <c r="K1959" s="250"/>
      <c r="L1959" s="219"/>
      <c r="M1959" s="218"/>
      <c r="N1959" s="220" t="str">
        <f>IFERROR(VLOOKUP(M1959,Data!$C$4:$D$395,2,0),"")</f>
        <v/>
      </c>
      <c r="O1959" s="220"/>
      <c r="P1959" s="229"/>
      <c r="Q1959" s="221"/>
      <c r="R1959" s="222" t="str">
        <f t="shared" si="258"/>
        <v>-</v>
      </c>
      <c r="S1959" s="223"/>
      <c r="T1959" s="224"/>
      <c r="U1959" s="225">
        <f t="shared" si="259"/>
        <v>0</v>
      </c>
      <c r="V1959" s="226">
        <v>0</v>
      </c>
      <c r="W1959" s="227"/>
      <c r="X1959" s="228">
        <f t="shared" si="260"/>
        <v>0</v>
      </c>
      <c r="Y1959" s="229"/>
      <c r="Z1959" s="229"/>
      <c r="AA1959" s="229"/>
      <c r="AB1959" s="222">
        <f t="shared" si="261"/>
        <v>0</v>
      </c>
      <c r="AC1959" s="230">
        <f t="shared" si="262"/>
        <v>0</v>
      </c>
      <c r="AD1959" s="222" t="str">
        <f t="shared" si="263"/>
        <v/>
      </c>
      <c r="AE1959" s="201"/>
      <c r="AF1959" s="231" t="str">
        <f>+IFERROR(VLOOKUP(L1959,Data!$F$4:$G$97,2,0),"")</f>
        <v/>
      </c>
    </row>
    <row r="1960" spans="9:32" ht="15" customHeight="1" x14ac:dyDescent="0.3">
      <c r="I1960" s="201" t="str">
        <f t="shared" si="256"/>
        <v/>
      </c>
      <c r="J1960" s="218">
        <f t="shared" si="257"/>
        <v>1957</v>
      </c>
      <c r="K1960" s="250"/>
      <c r="L1960" s="219"/>
      <c r="M1960" s="218"/>
      <c r="N1960" s="220" t="str">
        <f>IFERROR(VLOOKUP(M1960,Data!$C$4:$D$395,2,0),"")</f>
        <v/>
      </c>
      <c r="O1960" s="220"/>
      <c r="P1960" s="229"/>
      <c r="Q1960" s="221"/>
      <c r="R1960" s="222" t="str">
        <f t="shared" si="258"/>
        <v>-</v>
      </c>
      <c r="S1960" s="223"/>
      <c r="T1960" s="224"/>
      <c r="U1960" s="225">
        <f t="shared" si="259"/>
        <v>0</v>
      </c>
      <c r="V1960" s="226">
        <v>0</v>
      </c>
      <c r="W1960" s="227"/>
      <c r="X1960" s="228">
        <f t="shared" si="260"/>
        <v>0</v>
      </c>
      <c r="Y1960" s="229"/>
      <c r="Z1960" s="229"/>
      <c r="AA1960" s="229"/>
      <c r="AB1960" s="222">
        <f t="shared" si="261"/>
        <v>0</v>
      </c>
      <c r="AC1960" s="230">
        <f t="shared" si="262"/>
        <v>0</v>
      </c>
      <c r="AD1960" s="222" t="str">
        <f t="shared" si="263"/>
        <v/>
      </c>
      <c r="AE1960" s="201"/>
      <c r="AF1960" s="231" t="str">
        <f>+IFERROR(VLOOKUP(L1960,Data!$F$4:$G$97,2,0),"")</f>
        <v/>
      </c>
    </row>
    <row r="1961" spans="9:32" ht="15" customHeight="1" x14ac:dyDescent="0.3">
      <c r="I1961" s="201" t="str">
        <f t="shared" si="256"/>
        <v/>
      </c>
      <c r="J1961" s="218">
        <f t="shared" si="257"/>
        <v>1958</v>
      </c>
      <c r="K1961" s="250"/>
      <c r="L1961" s="219"/>
      <c r="M1961" s="218"/>
      <c r="N1961" s="220" t="str">
        <f>IFERROR(VLOOKUP(M1961,Data!$C$4:$D$395,2,0),"")</f>
        <v/>
      </c>
      <c r="O1961" s="220"/>
      <c r="P1961" s="229"/>
      <c r="Q1961" s="221"/>
      <c r="R1961" s="222" t="str">
        <f t="shared" si="258"/>
        <v>-</v>
      </c>
      <c r="S1961" s="223"/>
      <c r="T1961" s="224"/>
      <c r="U1961" s="225">
        <f t="shared" si="259"/>
        <v>0</v>
      </c>
      <c r="V1961" s="226">
        <v>0</v>
      </c>
      <c r="W1961" s="227"/>
      <c r="X1961" s="228">
        <f t="shared" si="260"/>
        <v>0</v>
      </c>
      <c r="Y1961" s="229"/>
      <c r="Z1961" s="229"/>
      <c r="AA1961" s="229"/>
      <c r="AB1961" s="222">
        <f t="shared" si="261"/>
        <v>0</v>
      </c>
      <c r="AC1961" s="230">
        <f t="shared" si="262"/>
        <v>0</v>
      </c>
      <c r="AD1961" s="222" t="str">
        <f t="shared" si="263"/>
        <v/>
      </c>
      <c r="AE1961" s="201"/>
      <c r="AF1961" s="231" t="str">
        <f>+IFERROR(VLOOKUP(L1961,Data!$F$4:$G$97,2,0),"")</f>
        <v/>
      </c>
    </row>
    <row r="1962" spans="9:32" ht="15" customHeight="1" x14ac:dyDescent="0.3">
      <c r="I1962" s="201" t="str">
        <f t="shared" si="256"/>
        <v/>
      </c>
      <c r="J1962" s="218">
        <f t="shared" si="257"/>
        <v>1959</v>
      </c>
      <c r="K1962" s="250"/>
      <c r="L1962" s="219"/>
      <c r="M1962" s="218"/>
      <c r="N1962" s="220" t="str">
        <f>IFERROR(VLOOKUP(M1962,Data!$C$4:$D$395,2,0),"")</f>
        <v/>
      </c>
      <c r="O1962" s="220"/>
      <c r="P1962" s="229"/>
      <c r="Q1962" s="221"/>
      <c r="R1962" s="222" t="str">
        <f t="shared" si="258"/>
        <v>-</v>
      </c>
      <c r="S1962" s="223"/>
      <c r="T1962" s="224"/>
      <c r="U1962" s="225">
        <f t="shared" si="259"/>
        <v>0</v>
      </c>
      <c r="V1962" s="226">
        <v>0</v>
      </c>
      <c r="W1962" s="227"/>
      <c r="X1962" s="228">
        <f t="shared" si="260"/>
        <v>0</v>
      </c>
      <c r="Y1962" s="229"/>
      <c r="Z1962" s="229"/>
      <c r="AA1962" s="229"/>
      <c r="AB1962" s="222">
        <f t="shared" si="261"/>
        <v>0</v>
      </c>
      <c r="AC1962" s="230">
        <f t="shared" si="262"/>
        <v>0</v>
      </c>
      <c r="AD1962" s="222" t="str">
        <f t="shared" si="263"/>
        <v/>
      </c>
      <c r="AE1962" s="201"/>
      <c r="AF1962" s="231" t="str">
        <f>+IFERROR(VLOOKUP(L1962,Data!$F$4:$G$97,2,0),"")</f>
        <v/>
      </c>
    </row>
    <row r="1963" spans="9:32" ht="15" customHeight="1" x14ac:dyDescent="0.3">
      <c r="I1963" s="201" t="str">
        <f t="shared" si="256"/>
        <v/>
      </c>
      <c r="J1963" s="218">
        <f t="shared" si="257"/>
        <v>1960</v>
      </c>
      <c r="K1963" s="250"/>
      <c r="L1963" s="219"/>
      <c r="M1963" s="218"/>
      <c r="N1963" s="220" t="str">
        <f>IFERROR(VLOOKUP(M1963,Data!$C$4:$D$395,2,0),"")</f>
        <v/>
      </c>
      <c r="O1963" s="220"/>
      <c r="P1963" s="229"/>
      <c r="Q1963" s="221"/>
      <c r="R1963" s="222" t="str">
        <f t="shared" si="258"/>
        <v>-</v>
      </c>
      <c r="S1963" s="223"/>
      <c r="T1963" s="224"/>
      <c r="U1963" s="225">
        <f t="shared" si="259"/>
        <v>0</v>
      </c>
      <c r="V1963" s="226">
        <v>0</v>
      </c>
      <c r="W1963" s="227"/>
      <c r="X1963" s="228">
        <f t="shared" si="260"/>
        <v>0</v>
      </c>
      <c r="Y1963" s="229"/>
      <c r="Z1963" s="229"/>
      <c r="AA1963" s="229"/>
      <c r="AB1963" s="222">
        <f t="shared" si="261"/>
        <v>0</v>
      </c>
      <c r="AC1963" s="230">
        <f t="shared" si="262"/>
        <v>0</v>
      </c>
      <c r="AD1963" s="222" t="str">
        <f t="shared" si="263"/>
        <v/>
      </c>
      <c r="AE1963" s="201"/>
      <c r="AF1963" s="231" t="str">
        <f>+IFERROR(VLOOKUP(L1963,Data!$F$4:$G$97,2,0),"")</f>
        <v/>
      </c>
    </row>
    <row r="1964" spans="9:32" ht="15" customHeight="1" x14ac:dyDescent="0.3">
      <c r="I1964" s="201" t="str">
        <f t="shared" si="256"/>
        <v/>
      </c>
      <c r="J1964" s="218">
        <f t="shared" si="257"/>
        <v>1961</v>
      </c>
      <c r="K1964" s="250"/>
      <c r="L1964" s="219"/>
      <c r="M1964" s="218"/>
      <c r="N1964" s="220" t="str">
        <f>IFERROR(VLOOKUP(M1964,Data!$C$4:$D$395,2,0),"")</f>
        <v/>
      </c>
      <c r="O1964" s="220"/>
      <c r="P1964" s="229"/>
      <c r="Q1964" s="221"/>
      <c r="R1964" s="222" t="str">
        <f t="shared" si="258"/>
        <v>-</v>
      </c>
      <c r="S1964" s="223"/>
      <c r="T1964" s="224"/>
      <c r="U1964" s="225">
        <f t="shared" si="259"/>
        <v>0</v>
      </c>
      <c r="V1964" s="226">
        <v>0</v>
      </c>
      <c r="W1964" s="227"/>
      <c r="X1964" s="228">
        <f t="shared" si="260"/>
        <v>0</v>
      </c>
      <c r="Y1964" s="229"/>
      <c r="Z1964" s="229"/>
      <c r="AA1964" s="229"/>
      <c r="AB1964" s="222">
        <f t="shared" si="261"/>
        <v>0</v>
      </c>
      <c r="AC1964" s="230">
        <f t="shared" si="262"/>
        <v>0</v>
      </c>
      <c r="AD1964" s="222" t="str">
        <f t="shared" si="263"/>
        <v/>
      </c>
      <c r="AE1964" s="201"/>
      <c r="AF1964" s="231" t="str">
        <f>+IFERROR(VLOOKUP(L1964,Data!$F$4:$G$97,2,0),"")</f>
        <v/>
      </c>
    </row>
    <row r="1965" spans="9:32" ht="15" customHeight="1" x14ac:dyDescent="0.3">
      <c r="I1965" s="201" t="str">
        <f t="shared" si="256"/>
        <v/>
      </c>
      <c r="J1965" s="218">
        <f t="shared" si="257"/>
        <v>1962</v>
      </c>
      <c r="K1965" s="250"/>
      <c r="L1965" s="219"/>
      <c r="M1965" s="218"/>
      <c r="N1965" s="220" t="str">
        <f>IFERROR(VLOOKUP(M1965,Data!$C$4:$D$395,2,0),"")</f>
        <v/>
      </c>
      <c r="O1965" s="220"/>
      <c r="P1965" s="229"/>
      <c r="Q1965" s="221"/>
      <c r="R1965" s="222" t="str">
        <f t="shared" si="258"/>
        <v>-</v>
      </c>
      <c r="S1965" s="223"/>
      <c r="T1965" s="224"/>
      <c r="U1965" s="225">
        <f t="shared" si="259"/>
        <v>0</v>
      </c>
      <c r="V1965" s="226">
        <v>0</v>
      </c>
      <c r="W1965" s="227"/>
      <c r="X1965" s="228">
        <f t="shared" si="260"/>
        <v>0</v>
      </c>
      <c r="Y1965" s="229"/>
      <c r="Z1965" s="229"/>
      <c r="AA1965" s="229"/>
      <c r="AB1965" s="222">
        <f t="shared" si="261"/>
        <v>0</v>
      </c>
      <c r="AC1965" s="230">
        <f t="shared" si="262"/>
        <v>0</v>
      </c>
      <c r="AD1965" s="222" t="str">
        <f t="shared" si="263"/>
        <v/>
      </c>
      <c r="AE1965" s="201"/>
      <c r="AF1965" s="231" t="str">
        <f>+IFERROR(VLOOKUP(L1965,Data!$F$4:$G$97,2,0),"")</f>
        <v/>
      </c>
    </row>
    <row r="1966" spans="9:32" ht="15" customHeight="1" x14ac:dyDescent="0.3">
      <c r="I1966" s="201" t="str">
        <f t="shared" si="256"/>
        <v/>
      </c>
      <c r="J1966" s="218">
        <f t="shared" si="257"/>
        <v>1963</v>
      </c>
      <c r="K1966" s="250"/>
      <c r="L1966" s="219"/>
      <c r="M1966" s="218"/>
      <c r="N1966" s="220" t="str">
        <f>IFERROR(VLOOKUP(M1966,Data!$C$4:$D$395,2,0),"")</f>
        <v/>
      </c>
      <c r="O1966" s="220"/>
      <c r="P1966" s="229"/>
      <c r="Q1966" s="221"/>
      <c r="R1966" s="222" t="str">
        <f t="shared" si="258"/>
        <v>-</v>
      </c>
      <c r="S1966" s="223"/>
      <c r="T1966" s="224"/>
      <c r="U1966" s="225">
        <f t="shared" si="259"/>
        <v>0</v>
      </c>
      <c r="V1966" s="226">
        <v>0</v>
      </c>
      <c r="W1966" s="227"/>
      <c r="X1966" s="228">
        <f t="shared" si="260"/>
        <v>0</v>
      </c>
      <c r="Y1966" s="229"/>
      <c r="Z1966" s="229"/>
      <c r="AA1966" s="229"/>
      <c r="AB1966" s="222">
        <f t="shared" si="261"/>
        <v>0</v>
      </c>
      <c r="AC1966" s="230">
        <f t="shared" si="262"/>
        <v>0</v>
      </c>
      <c r="AD1966" s="222" t="str">
        <f t="shared" si="263"/>
        <v/>
      </c>
      <c r="AE1966" s="201"/>
      <c r="AF1966" s="231" t="str">
        <f>+IFERROR(VLOOKUP(L1966,Data!$F$4:$G$97,2,0),"")</f>
        <v/>
      </c>
    </row>
    <row r="1967" spans="9:32" ht="15" customHeight="1" x14ac:dyDescent="0.3">
      <c r="I1967" s="201" t="str">
        <f t="shared" si="256"/>
        <v/>
      </c>
      <c r="J1967" s="218">
        <f t="shared" si="257"/>
        <v>1964</v>
      </c>
      <c r="K1967" s="250"/>
      <c r="L1967" s="219"/>
      <c r="M1967" s="218"/>
      <c r="N1967" s="220" t="str">
        <f>IFERROR(VLOOKUP(M1967,Data!$C$4:$D$395,2,0),"")</f>
        <v/>
      </c>
      <c r="O1967" s="220"/>
      <c r="P1967" s="229"/>
      <c r="Q1967" s="221"/>
      <c r="R1967" s="222" t="str">
        <f t="shared" si="258"/>
        <v>-</v>
      </c>
      <c r="S1967" s="223"/>
      <c r="T1967" s="224"/>
      <c r="U1967" s="225">
        <f t="shared" si="259"/>
        <v>0</v>
      </c>
      <c r="V1967" s="226">
        <v>0</v>
      </c>
      <c r="W1967" s="227"/>
      <c r="X1967" s="228">
        <f t="shared" si="260"/>
        <v>0</v>
      </c>
      <c r="Y1967" s="229"/>
      <c r="Z1967" s="229"/>
      <c r="AA1967" s="229"/>
      <c r="AB1967" s="222">
        <f t="shared" si="261"/>
        <v>0</v>
      </c>
      <c r="AC1967" s="230">
        <f t="shared" si="262"/>
        <v>0</v>
      </c>
      <c r="AD1967" s="222" t="str">
        <f t="shared" si="263"/>
        <v/>
      </c>
      <c r="AE1967" s="201"/>
      <c r="AF1967" s="231" t="str">
        <f>+IFERROR(VLOOKUP(L1967,Data!$F$4:$G$97,2,0),"")</f>
        <v/>
      </c>
    </row>
    <row r="1968" spans="9:32" ht="15" customHeight="1" x14ac:dyDescent="0.3">
      <c r="I1968" s="201" t="str">
        <f t="shared" si="256"/>
        <v/>
      </c>
      <c r="J1968" s="218">
        <f t="shared" si="257"/>
        <v>1965</v>
      </c>
      <c r="K1968" s="250"/>
      <c r="L1968" s="219"/>
      <c r="M1968" s="218"/>
      <c r="N1968" s="220" t="str">
        <f>IFERROR(VLOOKUP(M1968,Data!$C$4:$D$395,2,0),"")</f>
        <v/>
      </c>
      <c r="O1968" s="220"/>
      <c r="P1968" s="229"/>
      <c r="Q1968" s="221"/>
      <c r="R1968" s="222" t="str">
        <f t="shared" si="258"/>
        <v>-</v>
      </c>
      <c r="S1968" s="223"/>
      <c r="T1968" s="224"/>
      <c r="U1968" s="225">
        <f t="shared" si="259"/>
        <v>0</v>
      </c>
      <c r="V1968" s="226">
        <v>0</v>
      </c>
      <c r="W1968" s="227"/>
      <c r="X1968" s="228">
        <f t="shared" si="260"/>
        <v>0</v>
      </c>
      <c r="Y1968" s="229"/>
      <c r="Z1968" s="229"/>
      <c r="AA1968" s="229"/>
      <c r="AB1968" s="222">
        <f t="shared" si="261"/>
        <v>0</v>
      </c>
      <c r="AC1968" s="230">
        <f t="shared" si="262"/>
        <v>0</v>
      </c>
      <c r="AD1968" s="222" t="str">
        <f t="shared" si="263"/>
        <v/>
      </c>
      <c r="AE1968" s="201"/>
      <c r="AF1968" s="231" t="str">
        <f>+IFERROR(VLOOKUP(L1968,Data!$F$4:$G$97,2,0),"")</f>
        <v/>
      </c>
    </row>
    <row r="1969" spans="9:32" ht="15" customHeight="1" x14ac:dyDescent="0.3">
      <c r="I1969" s="201" t="str">
        <f t="shared" si="256"/>
        <v/>
      </c>
      <c r="J1969" s="218">
        <f t="shared" si="257"/>
        <v>1966</v>
      </c>
      <c r="K1969" s="250"/>
      <c r="L1969" s="219"/>
      <c r="M1969" s="218"/>
      <c r="N1969" s="220" t="str">
        <f>IFERROR(VLOOKUP(M1969,Data!$C$4:$D$395,2,0),"")</f>
        <v/>
      </c>
      <c r="O1969" s="220"/>
      <c r="P1969" s="229"/>
      <c r="Q1969" s="221"/>
      <c r="R1969" s="222" t="str">
        <f t="shared" si="258"/>
        <v>-</v>
      </c>
      <c r="S1969" s="223"/>
      <c r="T1969" s="224"/>
      <c r="U1969" s="225">
        <f t="shared" si="259"/>
        <v>0</v>
      </c>
      <c r="V1969" s="226">
        <v>0</v>
      </c>
      <c r="W1969" s="227"/>
      <c r="X1969" s="228">
        <f t="shared" si="260"/>
        <v>0</v>
      </c>
      <c r="Y1969" s="229"/>
      <c r="Z1969" s="229"/>
      <c r="AA1969" s="229"/>
      <c r="AB1969" s="222">
        <f t="shared" si="261"/>
        <v>0</v>
      </c>
      <c r="AC1969" s="230">
        <f t="shared" si="262"/>
        <v>0</v>
      </c>
      <c r="AD1969" s="222" t="str">
        <f t="shared" si="263"/>
        <v/>
      </c>
      <c r="AE1969" s="201"/>
      <c r="AF1969" s="231" t="str">
        <f>+IFERROR(VLOOKUP(L1969,Data!$F$4:$G$97,2,0),"")</f>
        <v/>
      </c>
    </row>
    <row r="1970" spans="9:32" ht="15" customHeight="1" x14ac:dyDescent="0.3">
      <c r="I1970" s="201" t="str">
        <f t="shared" si="256"/>
        <v/>
      </c>
      <c r="J1970" s="218">
        <f t="shared" si="257"/>
        <v>1967</v>
      </c>
      <c r="K1970" s="250"/>
      <c r="L1970" s="219"/>
      <c r="M1970" s="218"/>
      <c r="N1970" s="220" t="str">
        <f>IFERROR(VLOOKUP(M1970,Data!$C$4:$D$395,2,0),"")</f>
        <v/>
      </c>
      <c r="O1970" s="220"/>
      <c r="P1970" s="229"/>
      <c r="Q1970" s="221"/>
      <c r="R1970" s="222" t="str">
        <f t="shared" si="258"/>
        <v>-</v>
      </c>
      <c r="S1970" s="223"/>
      <c r="T1970" s="224"/>
      <c r="U1970" s="225">
        <f t="shared" si="259"/>
        <v>0</v>
      </c>
      <c r="V1970" s="226">
        <v>0</v>
      </c>
      <c r="W1970" s="227"/>
      <c r="X1970" s="228">
        <f t="shared" si="260"/>
        <v>0</v>
      </c>
      <c r="Y1970" s="229"/>
      <c r="Z1970" s="229"/>
      <c r="AA1970" s="229"/>
      <c r="AB1970" s="222">
        <f t="shared" si="261"/>
        <v>0</v>
      </c>
      <c r="AC1970" s="230">
        <f t="shared" si="262"/>
        <v>0</v>
      </c>
      <c r="AD1970" s="222" t="str">
        <f t="shared" si="263"/>
        <v/>
      </c>
      <c r="AE1970" s="201"/>
      <c r="AF1970" s="231" t="str">
        <f>+IFERROR(VLOOKUP(L1970,Data!$F$4:$G$97,2,0),"")</f>
        <v/>
      </c>
    </row>
    <row r="1971" spans="9:32" ht="15" customHeight="1" x14ac:dyDescent="0.3">
      <c r="I1971" s="201" t="str">
        <f t="shared" si="256"/>
        <v/>
      </c>
      <c r="J1971" s="218">
        <f t="shared" si="257"/>
        <v>1968</v>
      </c>
      <c r="K1971" s="250"/>
      <c r="L1971" s="219"/>
      <c r="M1971" s="218"/>
      <c r="N1971" s="220" t="str">
        <f>IFERROR(VLOOKUP(M1971,Data!$C$4:$D$395,2,0),"")</f>
        <v/>
      </c>
      <c r="O1971" s="220"/>
      <c r="P1971" s="229"/>
      <c r="Q1971" s="221"/>
      <c r="R1971" s="222" t="str">
        <f t="shared" si="258"/>
        <v>-</v>
      </c>
      <c r="S1971" s="223"/>
      <c r="T1971" s="224"/>
      <c r="U1971" s="225">
        <f t="shared" si="259"/>
        <v>0</v>
      </c>
      <c r="V1971" s="226">
        <v>0</v>
      </c>
      <c r="W1971" s="227"/>
      <c r="X1971" s="228">
        <f t="shared" si="260"/>
        <v>0</v>
      </c>
      <c r="Y1971" s="229"/>
      <c r="Z1971" s="229"/>
      <c r="AA1971" s="229"/>
      <c r="AB1971" s="222">
        <f t="shared" si="261"/>
        <v>0</v>
      </c>
      <c r="AC1971" s="230">
        <f t="shared" si="262"/>
        <v>0</v>
      </c>
      <c r="AD1971" s="222" t="str">
        <f t="shared" si="263"/>
        <v/>
      </c>
      <c r="AE1971" s="201"/>
      <c r="AF1971" s="231" t="str">
        <f>+IFERROR(VLOOKUP(L1971,Data!$F$4:$G$97,2,0),"")</f>
        <v/>
      </c>
    </row>
    <row r="1972" spans="9:32" ht="15" customHeight="1" x14ac:dyDescent="0.3">
      <c r="I1972" s="201" t="str">
        <f t="shared" si="256"/>
        <v/>
      </c>
      <c r="J1972" s="218">
        <f t="shared" si="257"/>
        <v>1969</v>
      </c>
      <c r="K1972" s="250"/>
      <c r="L1972" s="219"/>
      <c r="M1972" s="218"/>
      <c r="N1972" s="220" t="str">
        <f>IFERROR(VLOOKUP(M1972,Data!$C$4:$D$395,2,0),"")</f>
        <v/>
      </c>
      <c r="O1972" s="220"/>
      <c r="P1972" s="229"/>
      <c r="Q1972" s="221"/>
      <c r="R1972" s="222" t="str">
        <f t="shared" si="258"/>
        <v>-</v>
      </c>
      <c r="S1972" s="223"/>
      <c r="T1972" s="224"/>
      <c r="U1972" s="225">
        <f t="shared" si="259"/>
        <v>0</v>
      </c>
      <c r="V1972" s="226">
        <v>0</v>
      </c>
      <c r="W1972" s="227"/>
      <c r="X1972" s="228">
        <f t="shared" si="260"/>
        <v>0</v>
      </c>
      <c r="Y1972" s="229"/>
      <c r="Z1972" s="229"/>
      <c r="AA1972" s="229"/>
      <c r="AB1972" s="222">
        <f t="shared" si="261"/>
        <v>0</v>
      </c>
      <c r="AC1972" s="230">
        <f t="shared" si="262"/>
        <v>0</v>
      </c>
      <c r="AD1972" s="222" t="str">
        <f t="shared" si="263"/>
        <v/>
      </c>
      <c r="AE1972" s="201"/>
      <c r="AF1972" s="231" t="str">
        <f>+IFERROR(VLOOKUP(L1972,Data!$F$4:$G$97,2,0),"")</f>
        <v/>
      </c>
    </row>
    <row r="1973" spans="9:32" ht="15" customHeight="1" x14ac:dyDescent="0.3">
      <c r="I1973" s="201" t="str">
        <f t="shared" si="256"/>
        <v/>
      </c>
      <c r="J1973" s="218">
        <f t="shared" si="257"/>
        <v>1970</v>
      </c>
      <c r="K1973" s="250"/>
      <c r="L1973" s="219"/>
      <c r="M1973" s="218"/>
      <c r="N1973" s="220" t="str">
        <f>IFERROR(VLOOKUP(M1973,Data!$C$4:$D$395,2,0),"")</f>
        <v/>
      </c>
      <c r="O1973" s="220"/>
      <c r="P1973" s="229"/>
      <c r="Q1973" s="221"/>
      <c r="R1973" s="222" t="str">
        <f t="shared" si="258"/>
        <v>-</v>
      </c>
      <c r="S1973" s="223"/>
      <c r="T1973" s="224"/>
      <c r="U1973" s="225">
        <f t="shared" si="259"/>
        <v>0</v>
      </c>
      <c r="V1973" s="226">
        <v>0</v>
      </c>
      <c r="W1973" s="227"/>
      <c r="X1973" s="228">
        <f t="shared" si="260"/>
        <v>0</v>
      </c>
      <c r="Y1973" s="229"/>
      <c r="Z1973" s="229"/>
      <c r="AA1973" s="229"/>
      <c r="AB1973" s="222">
        <f t="shared" si="261"/>
        <v>0</v>
      </c>
      <c r="AC1973" s="230">
        <f t="shared" si="262"/>
        <v>0</v>
      </c>
      <c r="AD1973" s="222" t="str">
        <f t="shared" si="263"/>
        <v/>
      </c>
      <c r="AE1973" s="201"/>
      <c r="AF1973" s="231" t="str">
        <f>+IFERROR(VLOOKUP(L1973,Data!$F$4:$G$97,2,0),"")</f>
        <v/>
      </c>
    </row>
    <row r="1974" spans="9:32" ht="15" customHeight="1" x14ac:dyDescent="0.3">
      <c r="I1974" s="201" t="str">
        <f t="shared" si="256"/>
        <v/>
      </c>
      <c r="J1974" s="218">
        <f t="shared" si="257"/>
        <v>1971</v>
      </c>
      <c r="K1974" s="250"/>
      <c r="L1974" s="219"/>
      <c r="M1974" s="218"/>
      <c r="N1974" s="220" t="str">
        <f>IFERROR(VLOOKUP(M1974,Data!$C$4:$D$395,2,0),"")</f>
        <v/>
      </c>
      <c r="O1974" s="220"/>
      <c r="P1974" s="229"/>
      <c r="Q1974" s="221"/>
      <c r="R1974" s="222" t="str">
        <f t="shared" si="258"/>
        <v>-</v>
      </c>
      <c r="S1974" s="223"/>
      <c r="T1974" s="224"/>
      <c r="U1974" s="225">
        <f t="shared" si="259"/>
        <v>0</v>
      </c>
      <c r="V1974" s="226">
        <v>0</v>
      </c>
      <c r="W1974" s="227"/>
      <c r="X1974" s="228">
        <f t="shared" si="260"/>
        <v>0</v>
      </c>
      <c r="Y1974" s="229"/>
      <c r="Z1974" s="229"/>
      <c r="AA1974" s="229"/>
      <c r="AB1974" s="222">
        <f t="shared" si="261"/>
        <v>0</v>
      </c>
      <c r="AC1974" s="230">
        <f t="shared" si="262"/>
        <v>0</v>
      </c>
      <c r="AD1974" s="222" t="str">
        <f t="shared" si="263"/>
        <v/>
      </c>
      <c r="AE1974" s="201"/>
      <c r="AF1974" s="231" t="str">
        <f>+IFERROR(VLOOKUP(L1974,Data!$F$4:$G$97,2,0),"")</f>
        <v/>
      </c>
    </row>
    <row r="1975" spans="9:32" ht="15" customHeight="1" x14ac:dyDescent="0.3">
      <c r="I1975" s="201" t="str">
        <f t="shared" si="256"/>
        <v/>
      </c>
      <c r="J1975" s="218">
        <f t="shared" si="257"/>
        <v>1972</v>
      </c>
      <c r="K1975" s="250"/>
      <c r="L1975" s="219"/>
      <c r="M1975" s="218"/>
      <c r="N1975" s="220" t="str">
        <f>IFERROR(VLOOKUP(M1975,Data!$C$4:$D$395,2,0),"")</f>
        <v/>
      </c>
      <c r="O1975" s="220"/>
      <c r="P1975" s="229"/>
      <c r="Q1975" s="221"/>
      <c r="R1975" s="222" t="str">
        <f t="shared" si="258"/>
        <v>-</v>
      </c>
      <c r="S1975" s="223"/>
      <c r="T1975" s="224"/>
      <c r="U1975" s="225">
        <f t="shared" si="259"/>
        <v>0</v>
      </c>
      <c r="V1975" s="226">
        <v>0</v>
      </c>
      <c r="W1975" s="227"/>
      <c r="X1975" s="228">
        <f t="shared" si="260"/>
        <v>0</v>
      </c>
      <c r="Y1975" s="229"/>
      <c r="Z1975" s="229"/>
      <c r="AA1975" s="229"/>
      <c r="AB1975" s="222">
        <f t="shared" si="261"/>
        <v>0</v>
      </c>
      <c r="AC1975" s="230">
        <f t="shared" si="262"/>
        <v>0</v>
      </c>
      <c r="AD1975" s="222" t="str">
        <f t="shared" si="263"/>
        <v/>
      </c>
      <c r="AE1975" s="201"/>
      <c r="AF1975" s="231" t="str">
        <f>+IFERROR(VLOOKUP(L1975,Data!$F$4:$G$97,2,0),"")</f>
        <v/>
      </c>
    </row>
    <row r="1976" spans="9:32" ht="15" customHeight="1" x14ac:dyDescent="0.3">
      <c r="I1976" s="201" t="str">
        <f t="shared" si="256"/>
        <v/>
      </c>
      <c r="J1976" s="218">
        <f t="shared" si="257"/>
        <v>1973</v>
      </c>
      <c r="K1976" s="250"/>
      <c r="L1976" s="219"/>
      <c r="M1976" s="218"/>
      <c r="N1976" s="220" t="str">
        <f>IFERROR(VLOOKUP(M1976,Data!$C$4:$D$395,2,0),"")</f>
        <v/>
      </c>
      <c r="O1976" s="220"/>
      <c r="P1976" s="229"/>
      <c r="Q1976" s="221"/>
      <c r="R1976" s="222" t="str">
        <f t="shared" si="258"/>
        <v>-</v>
      </c>
      <c r="S1976" s="223"/>
      <c r="T1976" s="224"/>
      <c r="U1976" s="225">
        <f t="shared" si="259"/>
        <v>0</v>
      </c>
      <c r="V1976" s="226">
        <v>0</v>
      </c>
      <c r="W1976" s="227"/>
      <c r="X1976" s="228">
        <f t="shared" si="260"/>
        <v>0</v>
      </c>
      <c r="Y1976" s="229"/>
      <c r="Z1976" s="229"/>
      <c r="AA1976" s="229"/>
      <c r="AB1976" s="222">
        <f t="shared" si="261"/>
        <v>0</v>
      </c>
      <c r="AC1976" s="230">
        <f t="shared" si="262"/>
        <v>0</v>
      </c>
      <c r="AD1976" s="222" t="str">
        <f t="shared" si="263"/>
        <v/>
      </c>
      <c r="AE1976" s="201"/>
      <c r="AF1976" s="231" t="str">
        <f>+IFERROR(VLOOKUP(L1976,Data!$F$4:$G$97,2,0),"")</f>
        <v/>
      </c>
    </row>
    <row r="1977" spans="9:32" ht="15" customHeight="1" x14ac:dyDescent="0.3">
      <c r="I1977" s="201" t="str">
        <f t="shared" si="256"/>
        <v/>
      </c>
      <c r="J1977" s="218">
        <f t="shared" si="257"/>
        <v>1974</v>
      </c>
      <c r="K1977" s="250"/>
      <c r="L1977" s="219"/>
      <c r="M1977" s="218"/>
      <c r="N1977" s="220" t="str">
        <f>IFERROR(VLOOKUP(M1977,Data!$C$4:$D$395,2,0),"")</f>
        <v/>
      </c>
      <c r="O1977" s="220"/>
      <c r="P1977" s="229"/>
      <c r="Q1977" s="221"/>
      <c r="R1977" s="222" t="str">
        <f t="shared" si="258"/>
        <v>-</v>
      </c>
      <c r="S1977" s="223"/>
      <c r="T1977" s="224"/>
      <c r="U1977" s="225">
        <f t="shared" si="259"/>
        <v>0</v>
      </c>
      <c r="V1977" s="226">
        <v>0</v>
      </c>
      <c r="W1977" s="227"/>
      <c r="X1977" s="228">
        <f t="shared" si="260"/>
        <v>0</v>
      </c>
      <c r="Y1977" s="229"/>
      <c r="Z1977" s="229"/>
      <c r="AA1977" s="229"/>
      <c r="AB1977" s="222">
        <f t="shared" si="261"/>
        <v>0</v>
      </c>
      <c r="AC1977" s="230">
        <f t="shared" si="262"/>
        <v>0</v>
      </c>
      <c r="AD1977" s="222" t="str">
        <f t="shared" si="263"/>
        <v/>
      </c>
      <c r="AE1977" s="201"/>
      <c r="AF1977" s="231" t="str">
        <f>+IFERROR(VLOOKUP(L1977,Data!$F$4:$G$97,2,0),"")</f>
        <v/>
      </c>
    </row>
    <row r="1978" spans="9:32" ht="15" customHeight="1" x14ac:dyDescent="0.3">
      <c r="I1978" s="201" t="str">
        <f t="shared" si="256"/>
        <v/>
      </c>
      <c r="J1978" s="218">
        <f t="shared" si="257"/>
        <v>1975</v>
      </c>
      <c r="K1978" s="250"/>
      <c r="L1978" s="219"/>
      <c r="M1978" s="218"/>
      <c r="N1978" s="220" t="str">
        <f>IFERROR(VLOOKUP(M1978,Data!$C$4:$D$395,2,0),"")</f>
        <v/>
      </c>
      <c r="O1978" s="220"/>
      <c r="P1978" s="229"/>
      <c r="Q1978" s="221"/>
      <c r="R1978" s="222" t="str">
        <f t="shared" si="258"/>
        <v>-</v>
      </c>
      <c r="S1978" s="223"/>
      <c r="T1978" s="224"/>
      <c r="U1978" s="225">
        <f t="shared" si="259"/>
        <v>0</v>
      </c>
      <c r="V1978" s="226">
        <v>0</v>
      </c>
      <c r="W1978" s="227"/>
      <c r="X1978" s="228">
        <f t="shared" si="260"/>
        <v>0</v>
      </c>
      <c r="Y1978" s="229"/>
      <c r="Z1978" s="229"/>
      <c r="AA1978" s="229"/>
      <c r="AB1978" s="222">
        <f t="shared" si="261"/>
        <v>0</v>
      </c>
      <c r="AC1978" s="230">
        <f t="shared" si="262"/>
        <v>0</v>
      </c>
      <c r="AD1978" s="222" t="str">
        <f t="shared" si="263"/>
        <v/>
      </c>
      <c r="AE1978" s="201"/>
      <c r="AF1978" s="231" t="str">
        <f>+IFERROR(VLOOKUP(L1978,Data!$F$4:$G$97,2,0),"")</f>
        <v/>
      </c>
    </row>
    <row r="1979" spans="9:32" ht="15" customHeight="1" x14ac:dyDescent="0.3">
      <c r="I1979" s="201" t="str">
        <f t="shared" si="256"/>
        <v/>
      </c>
      <c r="J1979" s="218">
        <f t="shared" si="257"/>
        <v>1976</v>
      </c>
      <c r="K1979" s="250"/>
      <c r="L1979" s="219"/>
      <c r="M1979" s="218"/>
      <c r="N1979" s="220" t="str">
        <f>IFERROR(VLOOKUP(M1979,Data!$C$4:$D$395,2,0),"")</f>
        <v/>
      </c>
      <c r="O1979" s="220"/>
      <c r="P1979" s="229"/>
      <c r="Q1979" s="221"/>
      <c r="R1979" s="222" t="str">
        <f t="shared" si="258"/>
        <v>-</v>
      </c>
      <c r="S1979" s="223"/>
      <c r="T1979" s="224"/>
      <c r="U1979" s="225">
        <f t="shared" si="259"/>
        <v>0</v>
      </c>
      <c r="V1979" s="226">
        <v>0</v>
      </c>
      <c r="W1979" s="227"/>
      <c r="X1979" s="228">
        <f t="shared" si="260"/>
        <v>0</v>
      </c>
      <c r="Y1979" s="229"/>
      <c r="Z1979" s="229"/>
      <c r="AA1979" s="229"/>
      <c r="AB1979" s="222">
        <f t="shared" si="261"/>
        <v>0</v>
      </c>
      <c r="AC1979" s="230">
        <f t="shared" si="262"/>
        <v>0</v>
      </c>
      <c r="AD1979" s="222" t="str">
        <f t="shared" si="263"/>
        <v/>
      </c>
      <c r="AE1979" s="201"/>
      <c r="AF1979" s="231" t="str">
        <f>+IFERROR(VLOOKUP(L1979,Data!$F$4:$G$97,2,0),"")</f>
        <v/>
      </c>
    </row>
    <row r="1980" spans="9:32" ht="15" customHeight="1" x14ac:dyDescent="0.3">
      <c r="I1980" s="201" t="str">
        <f t="shared" si="256"/>
        <v/>
      </c>
      <c r="J1980" s="218">
        <f t="shared" si="257"/>
        <v>1977</v>
      </c>
      <c r="K1980" s="250"/>
      <c r="L1980" s="219"/>
      <c r="M1980" s="218"/>
      <c r="N1980" s="220" t="str">
        <f>IFERROR(VLOOKUP(M1980,Data!$C$4:$D$395,2,0),"")</f>
        <v/>
      </c>
      <c r="O1980" s="220"/>
      <c r="P1980" s="229"/>
      <c r="Q1980" s="221"/>
      <c r="R1980" s="222" t="str">
        <f t="shared" si="258"/>
        <v>-</v>
      </c>
      <c r="S1980" s="223"/>
      <c r="T1980" s="224"/>
      <c r="U1980" s="225">
        <f t="shared" si="259"/>
        <v>0</v>
      </c>
      <c r="V1980" s="226">
        <v>0</v>
      </c>
      <c r="W1980" s="227"/>
      <c r="X1980" s="228">
        <f t="shared" si="260"/>
        <v>0</v>
      </c>
      <c r="Y1980" s="229"/>
      <c r="Z1980" s="229"/>
      <c r="AA1980" s="229"/>
      <c r="AB1980" s="222">
        <f t="shared" si="261"/>
        <v>0</v>
      </c>
      <c r="AC1980" s="230">
        <f t="shared" si="262"/>
        <v>0</v>
      </c>
      <c r="AD1980" s="222" t="str">
        <f t="shared" si="263"/>
        <v/>
      </c>
      <c r="AE1980" s="201"/>
      <c r="AF1980" s="231" t="str">
        <f>+IFERROR(VLOOKUP(L1980,Data!$F$4:$G$97,2,0),"")</f>
        <v/>
      </c>
    </row>
    <row r="1981" spans="9:32" ht="15" customHeight="1" x14ac:dyDescent="0.3">
      <c r="I1981" s="201" t="str">
        <f t="shared" ref="I1981:I2042" si="264">+AF1981</f>
        <v/>
      </c>
      <c r="J1981" s="218">
        <f t="shared" si="257"/>
        <v>1978</v>
      </c>
      <c r="K1981" s="250"/>
      <c r="L1981" s="219"/>
      <c r="M1981" s="218"/>
      <c r="N1981" s="220" t="str">
        <f>IFERROR(VLOOKUP(M1981,Data!$C$4:$D$395,2,0),"")</f>
        <v/>
      </c>
      <c r="O1981" s="220"/>
      <c r="P1981" s="229"/>
      <c r="Q1981" s="221"/>
      <c r="R1981" s="222" t="str">
        <f t="shared" si="258"/>
        <v>-</v>
      </c>
      <c r="S1981" s="223"/>
      <c r="T1981" s="224"/>
      <c r="U1981" s="225">
        <f t="shared" si="259"/>
        <v>0</v>
      </c>
      <c r="V1981" s="226">
        <v>0</v>
      </c>
      <c r="W1981" s="227"/>
      <c r="X1981" s="228">
        <f t="shared" si="260"/>
        <v>0</v>
      </c>
      <c r="Y1981" s="229"/>
      <c r="Z1981" s="229"/>
      <c r="AA1981" s="229"/>
      <c r="AB1981" s="222">
        <f t="shared" si="261"/>
        <v>0</v>
      </c>
      <c r="AC1981" s="230">
        <f t="shared" si="262"/>
        <v>0</v>
      </c>
      <c r="AD1981" s="222" t="str">
        <f t="shared" si="263"/>
        <v/>
      </c>
      <c r="AE1981" s="201"/>
      <c r="AF1981" s="231" t="str">
        <f>+IFERROR(VLOOKUP(L1981,Data!$F$4:$G$97,2,0),"")</f>
        <v/>
      </c>
    </row>
    <row r="1982" spans="9:32" ht="15" customHeight="1" x14ac:dyDescent="0.3">
      <c r="I1982" s="201" t="str">
        <f t="shared" si="264"/>
        <v/>
      </c>
      <c r="J1982" s="218">
        <f t="shared" ref="J1982:J2042" si="265">J1981+1</f>
        <v>1979</v>
      </c>
      <c r="K1982" s="250"/>
      <c r="L1982" s="219"/>
      <c r="M1982" s="218"/>
      <c r="N1982" s="220" t="str">
        <f>IFERROR(VLOOKUP(M1982,Data!$C$4:$D$395,2,0),"")</f>
        <v/>
      </c>
      <c r="O1982" s="220"/>
      <c r="P1982" s="229"/>
      <c r="Q1982" s="221"/>
      <c r="R1982" s="222" t="str">
        <f t="shared" si="258"/>
        <v>-</v>
      </c>
      <c r="S1982" s="223"/>
      <c r="T1982" s="224"/>
      <c r="U1982" s="225">
        <f t="shared" si="259"/>
        <v>0</v>
      </c>
      <c r="V1982" s="226">
        <v>0</v>
      </c>
      <c r="W1982" s="227"/>
      <c r="X1982" s="228">
        <f t="shared" si="260"/>
        <v>0</v>
      </c>
      <c r="Y1982" s="229"/>
      <c r="Z1982" s="229"/>
      <c r="AA1982" s="229"/>
      <c r="AB1982" s="222">
        <f t="shared" si="261"/>
        <v>0</v>
      </c>
      <c r="AC1982" s="230">
        <f t="shared" si="262"/>
        <v>0</v>
      </c>
      <c r="AD1982" s="222" t="str">
        <f t="shared" si="263"/>
        <v/>
      </c>
      <c r="AE1982" s="201"/>
      <c r="AF1982" s="231" t="str">
        <f>+IFERROR(VLOOKUP(L1982,Data!$F$4:$G$97,2,0),"")</f>
        <v/>
      </c>
    </row>
    <row r="1983" spans="9:32" ht="15" customHeight="1" x14ac:dyDescent="0.3">
      <c r="I1983" s="201" t="str">
        <f t="shared" si="264"/>
        <v/>
      </c>
      <c r="J1983" s="218">
        <f t="shared" si="265"/>
        <v>1980</v>
      </c>
      <c r="K1983" s="250"/>
      <c r="L1983" s="219"/>
      <c r="M1983" s="218"/>
      <c r="N1983" s="220" t="str">
        <f>IFERROR(VLOOKUP(M1983,Data!$C$4:$D$395,2,0),"")</f>
        <v/>
      </c>
      <c r="O1983" s="220"/>
      <c r="P1983" s="229"/>
      <c r="Q1983" s="221"/>
      <c r="R1983" s="222" t="str">
        <f t="shared" si="258"/>
        <v>-</v>
      </c>
      <c r="S1983" s="223"/>
      <c r="T1983" s="224"/>
      <c r="U1983" s="225">
        <f t="shared" si="259"/>
        <v>0</v>
      </c>
      <c r="V1983" s="226">
        <v>0</v>
      </c>
      <c r="W1983" s="227"/>
      <c r="X1983" s="228">
        <f t="shared" si="260"/>
        <v>0</v>
      </c>
      <c r="Y1983" s="229"/>
      <c r="Z1983" s="229"/>
      <c r="AA1983" s="229"/>
      <c r="AB1983" s="222">
        <f t="shared" si="261"/>
        <v>0</v>
      </c>
      <c r="AC1983" s="230">
        <f t="shared" si="262"/>
        <v>0</v>
      </c>
      <c r="AD1983" s="222" t="str">
        <f t="shared" si="263"/>
        <v/>
      </c>
      <c r="AE1983" s="201"/>
      <c r="AF1983" s="231" t="str">
        <f>+IFERROR(VLOOKUP(L1983,Data!$F$4:$G$97,2,0),"")</f>
        <v/>
      </c>
    </row>
    <row r="1984" spans="9:32" ht="15" customHeight="1" x14ac:dyDescent="0.3">
      <c r="I1984" s="201" t="str">
        <f t="shared" si="264"/>
        <v/>
      </c>
      <c r="J1984" s="218">
        <f t="shared" si="265"/>
        <v>1981</v>
      </c>
      <c r="K1984" s="250"/>
      <c r="L1984" s="219"/>
      <c r="M1984" s="218"/>
      <c r="N1984" s="220" t="str">
        <f>IFERROR(VLOOKUP(M1984,Data!$C$4:$D$395,2,0),"")</f>
        <v/>
      </c>
      <c r="O1984" s="220"/>
      <c r="P1984" s="229"/>
      <c r="Q1984" s="221"/>
      <c r="R1984" s="222" t="str">
        <f t="shared" ref="R1984:R2042" si="266">IFERROR(Q1984/P1984, "-")</f>
        <v>-</v>
      </c>
      <c r="S1984" s="223"/>
      <c r="T1984" s="224"/>
      <c r="U1984" s="225">
        <f t="shared" ref="U1984:U2042" si="267">+Q1984*S1984+P1984*T1984</f>
        <v>0</v>
      </c>
      <c r="V1984" s="226">
        <v>0</v>
      </c>
      <c r="W1984" s="227"/>
      <c r="X1984" s="228">
        <f t="shared" ref="X1984:X2042" si="268">+Q1984*V1984+P1984*W1984</f>
        <v>0</v>
      </c>
      <c r="Y1984" s="229"/>
      <c r="Z1984" s="229"/>
      <c r="AA1984" s="229"/>
      <c r="AB1984" s="222">
        <f t="shared" ref="AB1984:AB2042" si="269">+Y1984+Z1984+AA1984</f>
        <v>0</v>
      </c>
      <c r="AC1984" s="230">
        <f t="shared" ref="AC1984:AC2042" si="270">IF((U1984-Y1984-Z1984-AA1984)&lt;0,"",(U1984-Y1984-Z1984-AA1984))</f>
        <v>0</v>
      </c>
      <c r="AD1984" s="222" t="str">
        <f t="shared" ref="AD1984:AD2042" si="271">IF((U1984-Y1984-Z1984-AA1984)&lt;0,(Y1984+Z1984+AA1984-U1984),"")</f>
        <v/>
      </c>
      <c r="AE1984" s="201"/>
      <c r="AF1984" s="231" t="str">
        <f>+IFERROR(VLOOKUP(L1984,Data!$F$4:$G$97,2,0),"")</f>
        <v/>
      </c>
    </row>
    <row r="1985" spans="9:32" ht="15" customHeight="1" x14ac:dyDescent="0.3">
      <c r="I1985" s="201" t="str">
        <f t="shared" si="264"/>
        <v/>
      </c>
      <c r="J1985" s="218">
        <f t="shared" si="265"/>
        <v>1982</v>
      </c>
      <c r="K1985" s="250"/>
      <c r="L1985" s="219"/>
      <c r="M1985" s="218"/>
      <c r="N1985" s="220" t="str">
        <f>IFERROR(VLOOKUP(M1985,Data!$C$4:$D$395,2,0),"")</f>
        <v/>
      </c>
      <c r="O1985" s="220"/>
      <c r="P1985" s="229"/>
      <c r="Q1985" s="221"/>
      <c r="R1985" s="222" t="str">
        <f t="shared" si="266"/>
        <v>-</v>
      </c>
      <c r="S1985" s="223"/>
      <c r="T1985" s="224"/>
      <c r="U1985" s="225">
        <f t="shared" si="267"/>
        <v>0</v>
      </c>
      <c r="V1985" s="226">
        <v>0</v>
      </c>
      <c r="W1985" s="227"/>
      <c r="X1985" s="228">
        <f t="shared" si="268"/>
        <v>0</v>
      </c>
      <c r="Y1985" s="229"/>
      <c r="Z1985" s="229"/>
      <c r="AA1985" s="229"/>
      <c r="AB1985" s="222">
        <f t="shared" si="269"/>
        <v>0</v>
      </c>
      <c r="AC1985" s="230">
        <f t="shared" si="270"/>
        <v>0</v>
      </c>
      <c r="AD1985" s="222" t="str">
        <f t="shared" si="271"/>
        <v/>
      </c>
      <c r="AE1985" s="201"/>
      <c r="AF1985" s="231" t="str">
        <f>+IFERROR(VLOOKUP(L1985,Data!$F$4:$G$97,2,0),"")</f>
        <v/>
      </c>
    </row>
    <row r="1986" spans="9:32" ht="15" customHeight="1" x14ac:dyDescent="0.3">
      <c r="I1986" s="201" t="str">
        <f t="shared" si="264"/>
        <v/>
      </c>
      <c r="J1986" s="218">
        <f t="shared" si="265"/>
        <v>1983</v>
      </c>
      <c r="K1986" s="250"/>
      <c r="L1986" s="219"/>
      <c r="M1986" s="218"/>
      <c r="N1986" s="220" t="str">
        <f>IFERROR(VLOOKUP(M1986,Data!$C$4:$D$395,2,0),"")</f>
        <v/>
      </c>
      <c r="O1986" s="220"/>
      <c r="P1986" s="229"/>
      <c r="Q1986" s="221"/>
      <c r="R1986" s="222" t="str">
        <f t="shared" si="266"/>
        <v>-</v>
      </c>
      <c r="S1986" s="223"/>
      <c r="T1986" s="224"/>
      <c r="U1986" s="225">
        <f t="shared" si="267"/>
        <v>0</v>
      </c>
      <c r="V1986" s="226">
        <v>0</v>
      </c>
      <c r="W1986" s="227"/>
      <c r="X1986" s="228">
        <f t="shared" si="268"/>
        <v>0</v>
      </c>
      <c r="Y1986" s="229"/>
      <c r="Z1986" s="229"/>
      <c r="AA1986" s="229"/>
      <c r="AB1986" s="222">
        <f t="shared" si="269"/>
        <v>0</v>
      </c>
      <c r="AC1986" s="230">
        <f t="shared" si="270"/>
        <v>0</v>
      </c>
      <c r="AD1986" s="222" t="str">
        <f t="shared" si="271"/>
        <v/>
      </c>
      <c r="AE1986" s="201"/>
      <c r="AF1986" s="231" t="str">
        <f>+IFERROR(VLOOKUP(L1986,Data!$F$4:$G$97,2,0),"")</f>
        <v/>
      </c>
    </row>
    <row r="1987" spans="9:32" ht="15" customHeight="1" x14ac:dyDescent="0.3">
      <c r="I1987" s="201" t="str">
        <f t="shared" si="264"/>
        <v/>
      </c>
      <c r="J1987" s="218">
        <f t="shared" si="265"/>
        <v>1984</v>
      </c>
      <c r="K1987" s="250"/>
      <c r="L1987" s="219"/>
      <c r="M1987" s="218"/>
      <c r="N1987" s="220" t="str">
        <f>IFERROR(VLOOKUP(M1987,Data!$C$4:$D$395,2,0),"")</f>
        <v/>
      </c>
      <c r="O1987" s="220"/>
      <c r="P1987" s="229"/>
      <c r="Q1987" s="221"/>
      <c r="R1987" s="222" t="str">
        <f t="shared" si="266"/>
        <v>-</v>
      </c>
      <c r="S1987" s="223"/>
      <c r="T1987" s="224"/>
      <c r="U1987" s="225">
        <f t="shared" si="267"/>
        <v>0</v>
      </c>
      <c r="V1987" s="226">
        <v>0</v>
      </c>
      <c r="W1987" s="227"/>
      <c r="X1987" s="228">
        <f t="shared" si="268"/>
        <v>0</v>
      </c>
      <c r="Y1987" s="229"/>
      <c r="Z1987" s="229"/>
      <c r="AA1987" s="229"/>
      <c r="AB1987" s="222">
        <f t="shared" si="269"/>
        <v>0</v>
      </c>
      <c r="AC1987" s="230">
        <f t="shared" si="270"/>
        <v>0</v>
      </c>
      <c r="AD1987" s="222" t="str">
        <f t="shared" si="271"/>
        <v/>
      </c>
      <c r="AE1987" s="201"/>
      <c r="AF1987" s="231" t="str">
        <f>+IFERROR(VLOOKUP(L1987,Data!$F$4:$G$97,2,0),"")</f>
        <v/>
      </c>
    </row>
    <row r="1988" spans="9:32" ht="15" customHeight="1" x14ac:dyDescent="0.3">
      <c r="I1988" s="201" t="str">
        <f t="shared" si="264"/>
        <v/>
      </c>
      <c r="J1988" s="218">
        <f t="shared" si="265"/>
        <v>1985</v>
      </c>
      <c r="K1988" s="250"/>
      <c r="L1988" s="219"/>
      <c r="M1988" s="218"/>
      <c r="N1988" s="220" t="str">
        <f>IFERROR(VLOOKUP(M1988,Data!$C$4:$D$395,2,0),"")</f>
        <v/>
      </c>
      <c r="O1988" s="220"/>
      <c r="P1988" s="229"/>
      <c r="Q1988" s="221"/>
      <c r="R1988" s="222" t="str">
        <f t="shared" si="266"/>
        <v>-</v>
      </c>
      <c r="S1988" s="223"/>
      <c r="T1988" s="224"/>
      <c r="U1988" s="225">
        <f t="shared" si="267"/>
        <v>0</v>
      </c>
      <c r="V1988" s="226">
        <v>0</v>
      </c>
      <c r="W1988" s="227"/>
      <c r="X1988" s="228">
        <f t="shared" si="268"/>
        <v>0</v>
      </c>
      <c r="Y1988" s="229"/>
      <c r="Z1988" s="229"/>
      <c r="AA1988" s="229"/>
      <c r="AB1988" s="222">
        <f t="shared" si="269"/>
        <v>0</v>
      </c>
      <c r="AC1988" s="230">
        <f t="shared" si="270"/>
        <v>0</v>
      </c>
      <c r="AD1988" s="222" t="str">
        <f t="shared" si="271"/>
        <v/>
      </c>
      <c r="AE1988" s="201"/>
      <c r="AF1988" s="231" t="str">
        <f>+IFERROR(VLOOKUP(L1988,Data!$F$4:$G$97,2,0),"")</f>
        <v/>
      </c>
    </row>
    <row r="1989" spans="9:32" ht="15" customHeight="1" x14ac:dyDescent="0.3">
      <c r="I1989" s="201" t="str">
        <f t="shared" si="264"/>
        <v/>
      </c>
      <c r="J1989" s="218">
        <f t="shared" si="265"/>
        <v>1986</v>
      </c>
      <c r="K1989" s="250"/>
      <c r="L1989" s="219"/>
      <c r="M1989" s="218"/>
      <c r="N1989" s="220" t="str">
        <f>IFERROR(VLOOKUP(M1989,Data!$C$4:$D$395,2,0),"")</f>
        <v/>
      </c>
      <c r="O1989" s="220"/>
      <c r="P1989" s="229"/>
      <c r="Q1989" s="221"/>
      <c r="R1989" s="222" t="str">
        <f t="shared" si="266"/>
        <v>-</v>
      </c>
      <c r="S1989" s="223"/>
      <c r="T1989" s="224"/>
      <c r="U1989" s="225">
        <f t="shared" si="267"/>
        <v>0</v>
      </c>
      <c r="V1989" s="226">
        <v>0</v>
      </c>
      <c r="W1989" s="227"/>
      <c r="X1989" s="228">
        <f t="shared" si="268"/>
        <v>0</v>
      </c>
      <c r="Y1989" s="229"/>
      <c r="Z1989" s="229"/>
      <c r="AA1989" s="229"/>
      <c r="AB1989" s="222">
        <f t="shared" si="269"/>
        <v>0</v>
      </c>
      <c r="AC1989" s="230">
        <f t="shared" si="270"/>
        <v>0</v>
      </c>
      <c r="AD1989" s="222" t="str">
        <f t="shared" si="271"/>
        <v/>
      </c>
      <c r="AE1989" s="201"/>
      <c r="AF1989" s="231" t="str">
        <f>+IFERROR(VLOOKUP(L1989,Data!$F$4:$G$97,2,0),"")</f>
        <v/>
      </c>
    </row>
    <row r="1990" spans="9:32" ht="15" customHeight="1" x14ac:dyDescent="0.3">
      <c r="I1990" s="201" t="str">
        <f t="shared" si="264"/>
        <v/>
      </c>
      <c r="J1990" s="218">
        <f t="shared" si="265"/>
        <v>1987</v>
      </c>
      <c r="K1990" s="250"/>
      <c r="L1990" s="219"/>
      <c r="M1990" s="218"/>
      <c r="N1990" s="220" t="str">
        <f>IFERROR(VLOOKUP(M1990,Data!$C$4:$D$395,2,0),"")</f>
        <v/>
      </c>
      <c r="O1990" s="220"/>
      <c r="P1990" s="229"/>
      <c r="Q1990" s="221"/>
      <c r="R1990" s="222" t="str">
        <f t="shared" si="266"/>
        <v>-</v>
      </c>
      <c r="S1990" s="223"/>
      <c r="T1990" s="224"/>
      <c r="U1990" s="225">
        <f t="shared" si="267"/>
        <v>0</v>
      </c>
      <c r="V1990" s="226">
        <v>0</v>
      </c>
      <c r="W1990" s="227"/>
      <c r="X1990" s="228">
        <f t="shared" si="268"/>
        <v>0</v>
      </c>
      <c r="Y1990" s="229"/>
      <c r="Z1990" s="229"/>
      <c r="AA1990" s="229"/>
      <c r="AB1990" s="222">
        <f t="shared" si="269"/>
        <v>0</v>
      </c>
      <c r="AC1990" s="230">
        <f t="shared" si="270"/>
        <v>0</v>
      </c>
      <c r="AD1990" s="222" t="str">
        <f t="shared" si="271"/>
        <v/>
      </c>
      <c r="AE1990" s="201"/>
      <c r="AF1990" s="231" t="str">
        <f>+IFERROR(VLOOKUP(L1990,Data!$F$4:$G$97,2,0),"")</f>
        <v/>
      </c>
    </row>
    <row r="1991" spans="9:32" ht="15" customHeight="1" x14ac:dyDescent="0.3">
      <c r="I1991" s="201" t="str">
        <f t="shared" si="264"/>
        <v/>
      </c>
      <c r="J1991" s="218">
        <f t="shared" si="265"/>
        <v>1988</v>
      </c>
      <c r="K1991" s="250"/>
      <c r="L1991" s="219"/>
      <c r="M1991" s="218"/>
      <c r="N1991" s="220" t="str">
        <f>IFERROR(VLOOKUP(M1991,Data!$C$4:$D$395,2,0),"")</f>
        <v/>
      </c>
      <c r="O1991" s="220"/>
      <c r="P1991" s="229"/>
      <c r="Q1991" s="221"/>
      <c r="R1991" s="222" t="str">
        <f t="shared" si="266"/>
        <v>-</v>
      </c>
      <c r="S1991" s="223"/>
      <c r="T1991" s="224"/>
      <c r="U1991" s="225">
        <f t="shared" si="267"/>
        <v>0</v>
      </c>
      <c r="V1991" s="226">
        <v>0</v>
      </c>
      <c r="W1991" s="227"/>
      <c r="X1991" s="228">
        <f t="shared" si="268"/>
        <v>0</v>
      </c>
      <c r="Y1991" s="229"/>
      <c r="Z1991" s="229"/>
      <c r="AA1991" s="229"/>
      <c r="AB1991" s="222">
        <f t="shared" si="269"/>
        <v>0</v>
      </c>
      <c r="AC1991" s="230">
        <f t="shared" si="270"/>
        <v>0</v>
      </c>
      <c r="AD1991" s="222" t="str">
        <f t="shared" si="271"/>
        <v/>
      </c>
      <c r="AE1991" s="201"/>
      <c r="AF1991" s="231" t="str">
        <f>+IFERROR(VLOOKUP(L1991,Data!$F$4:$G$97,2,0),"")</f>
        <v/>
      </c>
    </row>
    <row r="1992" spans="9:32" ht="15" customHeight="1" x14ac:dyDescent="0.3">
      <c r="I1992" s="201" t="str">
        <f t="shared" si="264"/>
        <v/>
      </c>
      <c r="J1992" s="218">
        <f t="shared" si="265"/>
        <v>1989</v>
      </c>
      <c r="K1992" s="250"/>
      <c r="L1992" s="219"/>
      <c r="M1992" s="218"/>
      <c r="N1992" s="220" t="str">
        <f>IFERROR(VLOOKUP(M1992,Data!$C$4:$D$395,2,0),"")</f>
        <v/>
      </c>
      <c r="O1992" s="220"/>
      <c r="P1992" s="229"/>
      <c r="Q1992" s="221"/>
      <c r="R1992" s="222" t="str">
        <f t="shared" si="266"/>
        <v>-</v>
      </c>
      <c r="S1992" s="223"/>
      <c r="T1992" s="224"/>
      <c r="U1992" s="225">
        <f t="shared" si="267"/>
        <v>0</v>
      </c>
      <c r="V1992" s="226">
        <v>0</v>
      </c>
      <c r="W1992" s="227"/>
      <c r="X1992" s="228">
        <f t="shared" si="268"/>
        <v>0</v>
      </c>
      <c r="Y1992" s="229"/>
      <c r="Z1992" s="229"/>
      <c r="AA1992" s="229"/>
      <c r="AB1992" s="222">
        <f t="shared" si="269"/>
        <v>0</v>
      </c>
      <c r="AC1992" s="230">
        <f t="shared" si="270"/>
        <v>0</v>
      </c>
      <c r="AD1992" s="222" t="str">
        <f t="shared" si="271"/>
        <v/>
      </c>
      <c r="AE1992" s="201"/>
      <c r="AF1992" s="231" t="str">
        <f>+IFERROR(VLOOKUP(L1992,Data!$F$4:$G$97,2,0),"")</f>
        <v/>
      </c>
    </row>
    <row r="1993" spans="9:32" ht="15" customHeight="1" x14ac:dyDescent="0.3">
      <c r="I1993" s="201" t="str">
        <f t="shared" si="264"/>
        <v/>
      </c>
      <c r="J1993" s="218">
        <f t="shared" si="265"/>
        <v>1990</v>
      </c>
      <c r="K1993" s="250"/>
      <c r="L1993" s="219"/>
      <c r="M1993" s="218"/>
      <c r="N1993" s="220" t="str">
        <f>IFERROR(VLOOKUP(M1993,Data!$C$4:$D$395,2,0),"")</f>
        <v/>
      </c>
      <c r="O1993" s="220"/>
      <c r="P1993" s="229"/>
      <c r="Q1993" s="221"/>
      <c r="R1993" s="222" t="str">
        <f t="shared" si="266"/>
        <v>-</v>
      </c>
      <c r="S1993" s="223"/>
      <c r="T1993" s="224"/>
      <c r="U1993" s="225">
        <f t="shared" si="267"/>
        <v>0</v>
      </c>
      <c r="V1993" s="226">
        <v>0</v>
      </c>
      <c r="W1993" s="227"/>
      <c r="X1993" s="228">
        <f t="shared" si="268"/>
        <v>0</v>
      </c>
      <c r="Y1993" s="229"/>
      <c r="Z1993" s="229"/>
      <c r="AA1993" s="229"/>
      <c r="AB1993" s="222">
        <f t="shared" si="269"/>
        <v>0</v>
      </c>
      <c r="AC1993" s="230">
        <f t="shared" si="270"/>
        <v>0</v>
      </c>
      <c r="AD1993" s="222" t="str">
        <f t="shared" si="271"/>
        <v/>
      </c>
      <c r="AE1993" s="201"/>
      <c r="AF1993" s="231" t="str">
        <f>+IFERROR(VLOOKUP(L1993,Data!$F$4:$G$97,2,0),"")</f>
        <v/>
      </c>
    </row>
    <row r="1994" spans="9:32" ht="15" customHeight="1" x14ac:dyDescent="0.3">
      <c r="I1994" s="201" t="str">
        <f t="shared" si="264"/>
        <v/>
      </c>
      <c r="J1994" s="218">
        <f t="shared" si="265"/>
        <v>1991</v>
      </c>
      <c r="K1994" s="250"/>
      <c r="L1994" s="219"/>
      <c r="M1994" s="218"/>
      <c r="N1994" s="220" t="str">
        <f>IFERROR(VLOOKUP(M1994,Data!$C$4:$D$395,2,0),"")</f>
        <v/>
      </c>
      <c r="O1994" s="220"/>
      <c r="P1994" s="229"/>
      <c r="Q1994" s="221"/>
      <c r="R1994" s="222" t="str">
        <f t="shared" si="266"/>
        <v>-</v>
      </c>
      <c r="S1994" s="223"/>
      <c r="T1994" s="224"/>
      <c r="U1994" s="225">
        <f t="shared" si="267"/>
        <v>0</v>
      </c>
      <c r="V1994" s="226">
        <v>0</v>
      </c>
      <c r="W1994" s="227"/>
      <c r="X1994" s="228">
        <f t="shared" si="268"/>
        <v>0</v>
      </c>
      <c r="Y1994" s="229"/>
      <c r="Z1994" s="229"/>
      <c r="AA1994" s="229"/>
      <c r="AB1994" s="222">
        <f t="shared" si="269"/>
        <v>0</v>
      </c>
      <c r="AC1994" s="230">
        <f t="shared" si="270"/>
        <v>0</v>
      </c>
      <c r="AD1994" s="222" t="str">
        <f t="shared" si="271"/>
        <v/>
      </c>
      <c r="AE1994" s="201"/>
      <c r="AF1994" s="231" t="str">
        <f>+IFERROR(VLOOKUP(L1994,Data!$F$4:$G$97,2,0),"")</f>
        <v/>
      </c>
    </row>
    <row r="1995" spans="9:32" ht="15" customHeight="1" x14ac:dyDescent="0.3">
      <c r="I1995" s="201" t="str">
        <f t="shared" si="264"/>
        <v/>
      </c>
      <c r="J1995" s="218">
        <f t="shared" si="265"/>
        <v>1992</v>
      </c>
      <c r="K1995" s="250"/>
      <c r="L1995" s="219"/>
      <c r="M1995" s="218"/>
      <c r="N1995" s="220" t="str">
        <f>IFERROR(VLOOKUP(M1995,Data!$C$4:$D$395,2,0),"")</f>
        <v/>
      </c>
      <c r="O1995" s="220"/>
      <c r="P1995" s="229"/>
      <c r="Q1995" s="221"/>
      <c r="R1995" s="222" t="str">
        <f t="shared" si="266"/>
        <v>-</v>
      </c>
      <c r="S1995" s="223"/>
      <c r="T1995" s="224"/>
      <c r="U1995" s="225">
        <f t="shared" si="267"/>
        <v>0</v>
      </c>
      <c r="V1995" s="226">
        <v>0</v>
      </c>
      <c r="W1995" s="227"/>
      <c r="X1995" s="228">
        <f t="shared" si="268"/>
        <v>0</v>
      </c>
      <c r="Y1995" s="229"/>
      <c r="Z1995" s="229"/>
      <c r="AA1995" s="229"/>
      <c r="AB1995" s="222">
        <f t="shared" si="269"/>
        <v>0</v>
      </c>
      <c r="AC1995" s="230">
        <f t="shared" si="270"/>
        <v>0</v>
      </c>
      <c r="AD1995" s="222" t="str">
        <f t="shared" si="271"/>
        <v/>
      </c>
      <c r="AE1995" s="201"/>
      <c r="AF1995" s="231" t="str">
        <f>+IFERROR(VLOOKUP(L1995,Data!$F$4:$G$97,2,0),"")</f>
        <v/>
      </c>
    </row>
    <row r="1996" spans="9:32" ht="15" customHeight="1" x14ac:dyDescent="0.3">
      <c r="I1996" s="201" t="str">
        <f t="shared" si="264"/>
        <v/>
      </c>
      <c r="J1996" s="218">
        <f t="shared" si="265"/>
        <v>1993</v>
      </c>
      <c r="K1996" s="250"/>
      <c r="L1996" s="219"/>
      <c r="M1996" s="218"/>
      <c r="N1996" s="220" t="str">
        <f>IFERROR(VLOOKUP(M1996,Data!$C$4:$D$395,2,0),"")</f>
        <v/>
      </c>
      <c r="O1996" s="220"/>
      <c r="P1996" s="229"/>
      <c r="Q1996" s="221"/>
      <c r="R1996" s="222" t="str">
        <f t="shared" si="266"/>
        <v>-</v>
      </c>
      <c r="S1996" s="223"/>
      <c r="T1996" s="224"/>
      <c r="U1996" s="225">
        <f t="shared" si="267"/>
        <v>0</v>
      </c>
      <c r="V1996" s="226">
        <v>0</v>
      </c>
      <c r="W1996" s="227"/>
      <c r="X1996" s="228">
        <f t="shared" si="268"/>
        <v>0</v>
      </c>
      <c r="Y1996" s="229"/>
      <c r="Z1996" s="229"/>
      <c r="AA1996" s="229"/>
      <c r="AB1996" s="222">
        <f t="shared" si="269"/>
        <v>0</v>
      </c>
      <c r="AC1996" s="230">
        <f t="shared" si="270"/>
        <v>0</v>
      </c>
      <c r="AD1996" s="222" t="str">
        <f t="shared" si="271"/>
        <v/>
      </c>
      <c r="AE1996" s="201"/>
      <c r="AF1996" s="231" t="str">
        <f>+IFERROR(VLOOKUP(L1996,Data!$F$4:$G$97,2,0),"")</f>
        <v/>
      </c>
    </row>
    <row r="1997" spans="9:32" ht="15" customHeight="1" x14ac:dyDescent="0.3">
      <c r="I1997" s="201" t="str">
        <f t="shared" si="264"/>
        <v/>
      </c>
      <c r="J1997" s="218">
        <f t="shared" si="265"/>
        <v>1994</v>
      </c>
      <c r="K1997" s="250"/>
      <c r="L1997" s="219"/>
      <c r="M1997" s="218"/>
      <c r="N1997" s="220" t="str">
        <f>IFERROR(VLOOKUP(M1997,Data!$C$4:$D$395,2,0),"")</f>
        <v/>
      </c>
      <c r="O1997" s="220"/>
      <c r="P1997" s="229"/>
      <c r="Q1997" s="221"/>
      <c r="R1997" s="222" t="str">
        <f t="shared" si="266"/>
        <v>-</v>
      </c>
      <c r="S1997" s="223"/>
      <c r="T1997" s="224"/>
      <c r="U1997" s="225">
        <f t="shared" si="267"/>
        <v>0</v>
      </c>
      <c r="V1997" s="226">
        <v>0</v>
      </c>
      <c r="W1997" s="227"/>
      <c r="X1997" s="228">
        <f t="shared" si="268"/>
        <v>0</v>
      </c>
      <c r="Y1997" s="229"/>
      <c r="Z1997" s="229"/>
      <c r="AA1997" s="229"/>
      <c r="AB1997" s="222">
        <f t="shared" si="269"/>
        <v>0</v>
      </c>
      <c r="AC1997" s="230">
        <f t="shared" si="270"/>
        <v>0</v>
      </c>
      <c r="AD1997" s="222" t="str">
        <f t="shared" si="271"/>
        <v/>
      </c>
      <c r="AE1997" s="201"/>
      <c r="AF1997" s="231" t="str">
        <f>+IFERROR(VLOOKUP(L1997,Data!$F$4:$G$97,2,0),"")</f>
        <v/>
      </c>
    </row>
    <row r="1998" spans="9:32" ht="15" customHeight="1" x14ac:dyDescent="0.3">
      <c r="I1998" s="201" t="str">
        <f t="shared" si="264"/>
        <v/>
      </c>
      <c r="J1998" s="218">
        <f t="shared" si="265"/>
        <v>1995</v>
      </c>
      <c r="K1998" s="250"/>
      <c r="L1998" s="219"/>
      <c r="M1998" s="218"/>
      <c r="N1998" s="220" t="str">
        <f>IFERROR(VLOOKUP(M1998,Data!$C$4:$D$395,2,0),"")</f>
        <v/>
      </c>
      <c r="O1998" s="220"/>
      <c r="P1998" s="229"/>
      <c r="Q1998" s="221"/>
      <c r="R1998" s="222" t="str">
        <f t="shared" si="266"/>
        <v>-</v>
      </c>
      <c r="S1998" s="223"/>
      <c r="T1998" s="224"/>
      <c r="U1998" s="225">
        <f t="shared" si="267"/>
        <v>0</v>
      </c>
      <c r="V1998" s="226">
        <v>0</v>
      </c>
      <c r="W1998" s="227"/>
      <c r="X1998" s="228">
        <f t="shared" si="268"/>
        <v>0</v>
      </c>
      <c r="Y1998" s="229"/>
      <c r="Z1998" s="229"/>
      <c r="AA1998" s="229"/>
      <c r="AB1998" s="222">
        <f t="shared" si="269"/>
        <v>0</v>
      </c>
      <c r="AC1998" s="230">
        <f t="shared" si="270"/>
        <v>0</v>
      </c>
      <c r="AD1998" s="222" t="str">
        <f t="shared" si="271"/>
        <v/>
      </c>
      <c r="AE1998" s="201"/>
      <c r="AF1998" s="231" t="str">
        <f>+IFERROR(VLOOKUP(L1998,Data!$F$4:$G$97,2,0),"")</f>
        <v/>
      </c>
    </row>
    <row r="1999" spans="9:32" ht="15" customHeight="1" x14ac:dyDescent="0.3">
      <c r="I1999" s="201" t="str">
        <f t="shared" si="264"/>
        <v/>
      </c>
      <c r="J1999" s="218">
        <f t="shared" si="265"/>
        <v>1996</v>
      </c>
      <c r="K1999" s="250"/>
      <c r="L1999" s="219"/>
      <c r="M1999" s="218"/>
      <c r="N1999" s="220" t="str">
        <f>IFERROR(VLOOKUP(M1999,Data!$C$4:$D$395,2,0),"")</f>
        <v/>
      </c>
      <c r="O1999" s="220"/>
      <c r="P1999" s="229"/>
      <c r="Q1999" s="221"/>
      <c r="R1999" s="222" t="str">
        <f t="shared" si="266"/>
        <v>-</v>
      </c>
      <c r="S1999" s="223"/>
      <c r="T1999" s="224"/>
      <c r="U1999" s="225">
        <f t="shared" si="267"/>
        <v>0</v>
      </c>
      <c r="V1999" s="226">
        <v>0</v>
      </c>
      <c r="W1999" s="227"/>
      <c r="X1999" s="228">
        <f t="shared" si="268"/>
        <v>0</v>
      </c>
      <c r="Y1999" s="229"/>
      <c r="Z1999" s="229"/>
      <c r="AA1999" s="229"/>
      <c r="AB1999" s="222">
        <f t="shared" si="269"/>
        <v>0</v>
      </c>
      <c r="AC1999" s="230">
        <f t="shared" si="270"/>
        <v>0</v>
      </c>
      <c r="AD1999" s="222" t="str">
        <f t="shared" si="271"/>
        <v/>
      </c>
      <c r="AE1999" s="201"/>
      <c r="AF1999" s="231" t="str">
        <f>+IFERROR(VLOOKUP(L1999,Data!$F$4:$G$97,2,0),"")</f>
        <v/>
      </c>
    </row>
    <row r="2000" spans="9:32" ht="15" customHeight="1" x14ac:dyDescent="0.3">
      <c r="I2000" s="201" t="str">
        <f t="shared" si="264"/>
        <v/>
      </c>
      <c r="J2000" s="218">
        <f t="shared" si="265"/>
        <v>1997</v>
      </c>
      <c r="K2000" s="250"/>
      <c r="L2000" s="219"/>
      <c r="M2000" s="218"/>
      <c r="N2000" s="220" t="str">
        <f>IFERROR(VLOOKUP(M2000,Data!$C$4:$D$395,2,0),"")</f>
        <v/>
      </c>
      <c r="O2000" s="220"/>
      <c r="P2000" s="229"/>
      <c r="Q2000" s="221"/>
      <c r="R2000" s="222" t="str">
        <f t="shared" si="266"/>
        <v>-</v>
      </c>
      <c r="S2000" s="223"/>
      <c r="T2000" s="224"/>
      <c r="U2000" s="225">
        <f t="shared" si="267"/>
        <v>0</v>
      </c>
      <c r="V2000" s="226">
        <v>0</v>
      </c>
      <c r="W2000" s="227"/>
      <c r="X2000" s="228">
        <f t="shared" si="268"/>
        <v>0</v>
      </c>
      <c r="Y2000" s="229"/>
      <c r="Z2000" s="229"/>
      <c r="AA2000" s="229"/>
      <c r="AB2000" s="222">
        <f t="shared" si="269"/>
        <v>0</v>
      </c>
      <c r="AC2000" s="230">
        <f t="shared" si="270"/>
        <v>0</v>
      </c>
      <c r="AD2000" s="222" t="str">
        <f t="shared" si="271"/>
        <v/>
      </c>
      <c r="AE2000" s="201"/>
      <c r="AF2000" s="231" t="str">
        <f>+IFERROR(VLOOKUP(L2000,Data!$F$4:$G$97,2,0),"")</f>
        <v/>
      </c>
    </row>
    <row r="2001" spans="9:32" ht="15" customHeight="1" x14ac:dyDescent="0.3">
      <c r="I2001" s="201" t="str">
        <f t="shared" si="264"/>
        <v/>
      </c>
      <c r="J2001" s="218">
        <f t="shared" si="265"/>
        <v>1998</v>
      </c>
      <c r="K2001" s="250"/>
      <c r="L2001" s="219"/>
      <c r="M2001" s="218"/>
      <c r="N2001" s="220" t="str">
        <f>IFERROR(VLOOKUP(M2001,Data!$C$4:$D$395,2,0),"")</f>
        <v/>
      </c>
      <c r="O2001" s="220"/>
      <c r="P2001" s="229"/>
      <c r="Q2001" s="221"/>
      <c r="R2001" s="222" t="str">
        <f t="shared" si="266"/>
        <v>-</v>
      </c>
      <c r="S2001" s="223"/>
      <c r="T2001" s="224"/>
      <c r="U2001" s="225">
        <f t="shared" si="267"/>
        <v>0</v>
      </c>
      <c r="V2001" s="226">
        <v>0</v>
      </c>
      <c r="W2001" s="227"/>
      <c r="X2001" s="228">
        <f t="shared" si="268"/>
        <v>0</v>
      </c>
      <c r="Y2001" s="229"/>
      <c r="Z2001" s="229"/>
      <c r="AA2001" s="229"/>
      <c r="AB2001" s="222">
        <f t="shared" si="269"/>
        <v>0</v>
      </c>
      <c r="AC2001" s="230">
        <f t="shared" si="270"/>
        <v>0</v>
      </c>
      <c r="AD2001" s="222" t="str">
        <f t="shared" si="271"/>
        <v/>
      </c>
      <c r="AE2001" s="201"/>
      <c r="AF2001" s="231" t="str">
        <f>+IFERROR(VLOOKUP(L2001,Data!$F$4:$G$97,2,0),"")</f>
        <v/>
      </c>
    </row>
    <row r="2002" spans="9:32" ht="15" customHeight="1" x14ac:dyDescent="0.3">
      <c r="I2002" s="201" t="str">
        <f t="shared" si="264"/>
        <v/>
      </c>
      <c r="J2002" s="218">
        <f t="shared" si="265"/>
        <v>1999</v>
      </c>
      <c r="K2002" s="250"/>
      <c r="L2002" s="219"/>
      <c r="M2002" s="218"/>
      <c r="N2002" s="220" t="str">
        <f>IFERROR(VLOOKUP(M2002,Data!$C$4:$D$395,2,0),"")</f>
        <v/>
      </c>
      <c r="O2002" s="220"/>
      <c r="P2002" s="229"/>
      <c r="Q2002" s="221"/>
      <c r="R2002" s="222" t="str">
        <f t="shared" si="266"/>
        <v>-</v>
      </c>
      <c r="S2002" s="223"/>
      <c r="T2002" s="224"/>
      <c r="U2002" s="225">
        <f t="shared" si="267"/>
        <v>0</v>
      </c>
      <c r="V2002" s="226">
        <v>0</v>
      </c>
      <c r="W2002" s="227"/>
      <c r="X2002" s="228">
        <f t="shared" si="268"/>
        <v>0</v>
      </c>
      <c r="Y2002" s="229"/>
      <c r="Z2002" s="229"/>
      <c r="AA2002" s="229"/>
      <c r="AB2002" s="222">
        <f t="shared" si="269"/>
        <v>0</v>
      </c>
      <c r="AC2002" s="230">
        <f t="shared" si="270"/>
        <v>0</v>
      </c>
      <c r="AD2002" s="222" t="str">
        <f t="shared" si="271"/>
        <v/>
      </c>
      <c r="AE2002" s="201"/>
      <c r="AF2002" s="231" t="str">
        <f>+IFERROR(VLOOKUP(L2002,Data!$F$4:$G$97,2,0),"")</f>
        <v/>
      </c>
    </row>
    <row r="2003" spans="9:32" ht="15" customHeight="1" x14ac:dyDescent="0.3">
      <c r="I2003" s="201" t="str">
        <f t="shared" si="264"/>
        <v/>
      </c>
      <c r="J2003" s="218">
        <f t="shared" si="265"/>
        <v>2000</v>
      </c>
      <c r="K2003" s="250"/>
      <c r="L2003" s="219"/>
      <c r="M2003" s="218"/>
      <c r="N2003" s="220" t="str">
        <f>IFERROR(VLOOKUP(M2003,Data!$C$4:$D$395,2,0),"")</f>
        <v/>
      </c>
      <c r="O2003" s="220"/>
      <c r="P2003" s="229"/>
      <c r="Q2003" s="221"/>
      <c r="R2003" s="222" t="str">
        <f t="shared" si="266"/>
        <v>-</v>
      </c>
      <c r="S2003" s="223"/>
      <c r="T2003" s="224"/>
      <c r="U2003" s="225">
        <f t="shared" si="267"/>
        <v>0</v>
      </c>
      <c r="V2003" s="226">
        <v>0</v>
      </c>
      <c r="W2003" s="227"/>
      <c r="X2003" s="228">
        <f t="shared" si="268"/>
        <v>0</v>
      </c>
      <c r="Y2003" s="229"/>
      <c r="Z2003" s="229"/>
      <c r="AA2003" s="229"/>
      <c r="AB2003" s="222">
        <f t="shared" si="269"/>
        <v>0</v>
      </c>
      <c r="AC2003" s="230">
        <f t="shared" si="270"/>
        <v>0</v>
      </c>
      <c r="AD2003" s="222" t="str">
        <f t="shared" si="271"/>
        <v/>
      </c>
      <c r="AE2003" s="201"/>
      <c r="AF2003" s="231" t="str">
        <f>+IFERROR(VLOOKUP(L2003,Data!$F$4:$G$97,2,0),"")</f>
        <v/>
      </c>
    </row>
    <row r="2004" spans="9:32" ht="15" customHeight="1" x14ac:dyDescent="0.3">
      <c r="I2004" s="201" t="str">
        <f t="shared" si="264"/>
        <v/>
      </c>
      <c r="J2004" s="218">
        <f t="shared" si="265"/>
        <v>2001</v>
      </c>
      <c r="K2004" s="250"/>
      <c r="L2004" s="219"/>
      <c r="M2004" s="218"/>
      <c r="N2004" s="220" t="str">
        <f>IFERROR(VLOOKUP(M2004,Data!$C$4:$D$395,2,0),"")</f>
        <v/>
      </c>
      <c r="O2004" s="220"/>
      <c r="P2004" s="229"/>
      <c r="Q2004" s="221"/>
      <c r="R2004" s="222" t="str">
        <f t="shared" si="266"/>
        <v>-</v>
      </c>
      <c r="S2004" s="223"/>
      <c r="T2004" s="224"/>
      <c r="U2004" s="225">
        <f t="shared" si="267"/>
        <v>0</v>
      </c>
      <c r="V2004" s="226">
        <v>0</v>
      </c>
      <c r="W2004" s="227"/>
      <c r="X2004" s="228">
        <f t="shared" si="268"/>
        <v>0</v>
      </c>
      <c r="Y2004" s="229"/>
      <c r="Z2004" s="229"/>
      <c r="AA2004" s="229"/>
      <c r="AB2004" s="222">
        <f t="shared" si="269"/>
        <v>0</v>
      </c>
      <c r="AC2004" s="230">
        <f t="shared" si="270"/>
        <v>0</v>
      </c>
      <c r="AD2004" s="222" t="str">
        <f t="shared" si="271"/>
        <v/>
      </c>
      <c r="AE2004" s="201"/>
      <c r="AF2004" s="231" t="str">
        <f>+IFERROR(VLOOKUP(L2004,Data!$F$4:$G$97,2,0),"")</f>
        <v/>
      </c>
    </row>
    <row r="2005" spans="9:32" ht="15" customHeight="1" x14ac:dyDescent="0.3">
      <c r="I2005" s="201" t="str">
        <f t="shared" si="264"/>
        <v/>
      </c>
      <c r="J2005" s="218">
        <f t="shared" si="265"/>
        <v>2002</v>
      </c>
      <c r="K2005" s="250"/>
      <c r="L2005" s="219"/>
      <c r="M2005" s="218"/>
      <c r="N2005" s="220" t="str">
        <f>IFERROR(VLOOKUP(M2005,Data!$C$4:$D$395,2,0),"")</f>
        <v/>
      </c>
      <c r="O2005" s="220"/>
      <c r="P2005" s="229"/>
      <c r="Q2005" s="221"/>
      <c r="R2005" s="222" t="str">
        <f t="shared" si="266"/>
        <v>-</v>
      </c>
      <c r="S2005" s="223"/>
      <c r="T2005" s="224"/>
      <c r="U2005" s="225">
        <f t="shared" si="267"/>
        <v>0</v>
      </c>
      <c r="V2005" s="226">
        <v>0</v>
      </c>
      <c r="W2005" s="227"/>
      <c r="X2005" s="228">
        <f t="shared" si="268"/>
        <v>0</v>
      </c>
      <c r="Y2005" s="229"/>
      <c r="Z2005" s="229"/>
      <c r="AA2005" s="229"/>
      <c r="AB2005" s="222">
        <f t="shared" si="269"/>
        <v>0</v>
      </c>
      <c r="AC2005" s="230">
        <f t="shared" si="270"/>
        <v>0</v>
      </c>
      <c r="AD2005" s="222" t="str">
        <f t="shared" si="271"/>
        <v/>
      </c>
      <c r="AE2005" s="201"/>
      <c r="AF2005" s="231" t="str">
        <f>+IFERROR(VLOOKUP(L2005,Data!$F$4:$G$97,2,0),"")</f>
        <v/>
      </c>
    </row>
    <row r="2006" spans="9:32" ht="15" customHeight="1" x14ac:dyDescent="0.3">
      <c r="I2006" s="201" t="str">
        <f t="shared" si="264"/>
        <v/>
      </c>
      <c r="J2006" s="218">
        <f t="shared" si="265"/>
        <v>2003</v>
      </c>
      <c r="K2006" s="250"/>
      <c r="L2006" s="219"/>
      <c r="M2006" s="218"/>
      <c r="N2006" s="220" t="str">
        <f>IFERROR(VLOOKUP(M2006,Data!$C$4:$D$395,2,0),"")</f>
        <v/>
      </c>
      <c r="O2006" s="220"/>
      <c r="P2006" s="229"/>
      <c r="Q2006" s="221"/>
      <c r="R2006" s="222" t="str">
        <f t="shared" si="266"/>
        <v>-</v>
      </c>
      <c r="S2006" s="223"/>
      <c r="T2006" s="224"/>
      <c r="U2006" s="225">
        <f t="shared" si="267"/>
        <v>0</v>
      </c>
      <c r="V2006" s="226">
        <v>0</v>
      </c>
      <c r="W2006" s="227"/>
      <c r="X2006" s="228">
        <f t="shared" si="268"/>
        <v>0</v>
      </c>
      <c r="Y2006" s="229"/>
      <c r="Z2006" s="229"/>
      <c r="AA2006" s="229"/>
      <c r="AB2006" s="222">
        <f t="shared" si="269"/>
        <v>0</v>
      </c>
      <c r="AC2006" s="230">
        <f t="shared" si="270"/>
        <v>0</v>
      </c>
      <c r="AD2006" s="222" t="str">
        <f t="shared" si="271"/>
        <v/>
      </c>
      <c r="AE2006" s="201"/>
      <c r="AF2006" s="231" t="str">
        <f>+IFERROR(VLOOKUP(L2006,Data!$F$4:$G$97,2,0),"")</f>
        <v/>
      </c>
    </row>
    <row r="2007" spans="9:32" ht="15" customHeight="1" x14ac:dyDescent="0.3">
      <c r="I2007" s="201" t="str">
        <f t="shared" si="264"/>
        <v/>
      </c>
      <c r="J2007" s="218">
        <f t="shared" si="265"/>
        <v>2004</v>
      </c>
      <c r="K2007" s="250"/>
      <c r="L2007" s="219"/>
      <c r="M2007" s="218"/>
      <c r="N2007" s="220" t="str">
        <f>IFERROR(VLOOKUP(M2007,Data!$C$4:$D$395,2,0),"")</f>
        <v/>
      </c>
      <c r="O2007" s="220"/>
      <c r="P2007" s="229"/>
      <c r="Q2007" s="221"/>
      <c r="R2007" s="222" t="str">
        <f t="shared" si="266"/>
        <v>-</v>
      </c>
      <c r="S2007" s="223"/>
      <c r="T2007" s="224"/>
      <c r="U2007" s="225">
        <f t="shared" si="267"/>
        <v>0</v>
      </c>
      <c r="V2007" s="226">
        <v>0</v>
      </c>
      <c r="W2007" s="227"/>
      <c r="X2007" s="228">
        <f t="shared" si="268"/>
        <v>0</v>
      </c>
      <c r="Y2007" s="229"/>
      <c r="Z2007" s="229"/>
      <c r="AA2007" s="229"/>
      <c r="AB2007" s="222">
        <f t="shared" si="269"/>
        <v>0</v>
      </c>
      <c r="AC2007" s="230">
        <f t="shared" si="270"/>
        <v>0</v>
      </c>
      <c r="AD2007" s="222" t="str">
        <f t="shared" si="271"/>
        <v/>
      </c>
      <c r="AE2007" s="201"/>
      <c r="AF2007" s="231" t="str">
        <f>+IFERROR(VLOOKUP(L2007,Data!$F$4:$G$97,2,0),"")</f>
        <v/>
      </c>
    </row>
    <row r="2008" spans="9:32" ht="15" customHeight="1" x14ac:dyDescent="0.3">
      <c r="I2008" s="201" t="str">
        <f t="shared" si="264"/>
        <v/>
      </c>
      <c r="J2008" s="218">
        <f t="shared" si="265"/>
        <v>2005</v>
      </c>
      <c r="K2008" s="250"/>
      <c r="L2008" s="219"/>
      <c r="M2008" s="218"/>
      <c r="N2008" s="220" t="str">
        <f>IFERROR(VLOOKUP(M2008,Data!$C$4:$D$395,2,0),"")</f>
        <v/>
      </c>
      <c r="O2008" s="220"/>
      <c r="P2008" s="229"/>
      <c r="Q2008" s="221"/>
      <c r="R2008" s="222" t="str">
        <f t="shared" si="266"/>
        <v>-</v>
      </c>
      <c r="S2008" s="223"/>
      <c r="T2008" s="224"/>
      <c r="U2008" s="225">
        <f t="shared" si="267"/>
        <v>0</v>
      </c>
      <c r="V2008" s="226">
        <v>0</v>
      </c>
      <c r="W2008" s="227"/>
      <c r="X2008" s="228">
        <f t="shared" si="268"/>
        <v>0</v>
      </c>
      <c r="Y2008" s="229"/>
      <c r="Z2008" s="229"/>
      <c r="AA2008" s="229"/>
      <c r="AB2008" s="222">
        <f t="shared" si="269"/>
        <v>0</v>
      </c>
      <c r="AC2008" s="230">
        <f t="shared" si="270"/>
        <v>0</v>
      </c>
      <c r="AD2008" s="222" t="str">
        <f t="shared" si="271"/>
        <v/>
      </c>
      <c r="AE2008" s="201"/>
      <c r="AF2008" s="231" t="str">
        <f>+IFERROR(VLOOKUP(L2008,Data!$F$4:$G$97,2,0),"")</f>
        <v/>
      </c>
    </row>
    <row r="2009" spans="9:32" ht="15" customHeight="1" x14ac:dyDescent="0.3">
      <c r="I2009" s="201" t="str">
        <f t="shared" si="264"/>
        <v/>
      </c>
      <c r="J2009" s="218">
        <f t="shared" si="265"/>
        <v>2006</v>
      </c>
      <c r="K2009" s="250"/>
      <c r="L2009" s="219"/>
      <c r="M2009" s="218"/>
      <c r="N2009" s="220" t="str">
        <f>IFERROR(VLOOKUP(M2009,Data!$C$4:$D$395,2,0),"")</f>
        <v/>
      </c>
      <c r="O2009" s="220"/>
      <c r="P2009" s="229"/>
      <c r="Q2009" s="221"/>
      <c r="R2009" s="222" t="str">
        <f t="shared" si="266"/>
        <v>-</v>
      </c>
      <c r="S2009" s="223"/>
      <c r="T2009" s="224"/>
      <c r="U2009" s="225">
        <f t="shared" si="267"/>
        <v>0</v>
      </c>
      <c r="V2009" s="226">
        <v>0</v>
      </c>
      <c r="W2009" s="227"/>
      <c r="X2009" s="228">
        <f t="shared" si="268"/>
        <v>0</v>
      </c>
      <c r="Y2009" s="229"/>
      <c r="Z2009" s="229"/>
      <c r="AA2009" s="229"/>
      <c r="AB2009" s="222">
        <f t="shared" si="269"/>
        <v>0</v>
      </c>
      <c r="AC2009" s="230">
        <f t="shared" si="270"/>
        <v>0</v>
      </c>
      <c r="AD2009" s="222" t="str">
        <f t="shared" si="271"/>
        <v/>
      </c>
      <c r="AE2009" s="201"/>
      <c r="AF2009" s="231" t="str">
        <f>+IFERROR(VLOOKUP(L2009,Data!$F$4:$G$97,2,0),"")</f>
        <v/>
      </c>
    </row>
    <row r="2010" spans="9:32" ht="15" customHeight="1" x14ac:dyDescent="0.3">
      <c r="I2010" s="201" t="str">
        <f t="shared" si="264"/>
        <v/>
      </c>
      <c r="J2010" s="218">
        <f t="shared" si="265"/>
        <v>2007</v>
      </c>
      <c r="K2010" s="250"/>
      <c r="L2010" s="219"/>
      <c r="M2010" s="218"/>
      <c r="N2010" s="220" t="str">
        <f>IFERROR(VLOOKUP(M2010,Data!$C$4:$D$395,2,0),"")</f>
        <v/>
      </c>
      <c r="O2010" s="220"/>
      <c r="P2010" s="229"/>
      <c r="Q2010" s="221"/>
      <c r="R2010" s="222" t="str">
        <f t="shared" si="266"/>
        <v>-</v>
      </c>
      <c r="S2010" s="223"/>
      <c r="T2010" s="224"/>
      <c r="U2010" s="225">
        <f t="shared" si="267"/>
        <v>0</v>
      </c>
      <c r="V2010" s="226">
        <v>0</v>
      </c>
      <c r="W2010" s="227"/>
      <c r="X2010" s="228">
        <f t="shared" si="268"/>
        <v>0</v>
      </c>
      <c r="Y2010" s="229"/>
      <c r="Z2010" s="229"/>
      <c r="AA2010" s="229"/>
      <c r="AB2010" s="222">
        <f t="shared" si="269"/>
        <v>0</v>
      </c>
      <c r="AC2010" s="230">
        <f t="shared" si="270"/>
        <v>0</v>
      </c>
      <c r="AD2010" s="222" t="str">
        <f t="shared" si="271"/>
        <v/>
      </c>
      <c r="AE2010" s="201"/>
      <c r="AF2010" s="231" t="str">
        <f>+IFERROR(VLOOKUP(L2010,Data!$F$4:$G$97,2,0),"")</f>
        <v/>
      </c>
    </row>
    <row r="2011" spans="9:32" ht="15" customHeight="1" x14ac:dyDescent="0.3">
      <c r="I2011" s="201" t="str">
        <f t="shared" si="264"/>
        <v/>
      </c>
      <c r="J2011" s="218">
        <f t="shared" si="265"/>
        <v>2008</v>
      </c>
      <c r="K2011" s="250"/>
      <c r="L2011" s="219"/>
      <c r="M2011" s="218"/>
      <c r="N2011" s="220" t="str">
        <f>IFERROR(VLOOKUP(M2011,Data!$C$4:$D$395,2,0),"")</f>
        <v/>
      </c>
      <c r="O2011" s="220"/>
      <c r="P2011" s="229"/>
      <c r="Q2011" s="221"/>
      <c r="R2011" s="222" t="str">
        <f t="shared" si="266"/>
        <v>-</v>
      </c>
      <c r="S2011" s="223"/>
      <c r="T2011" s="224"/>
      <c r="U2011" s="225">
        <f t="shared" si="267"/>
        <v>0</v>
      </c>
      <c r="V2011" s="226">
        <v>0</v>
      </c>
      <c r="W2011" s="227"/>
      <c r="X2011" s="228">
        <f t="shared" si="268"/>
        <v>0</v>
      </c>
      <c r="Y2011" s="229"/>
      <c r="Z2011" s="229"/>
      <c r="AA2011" s="229"/>
      <c r="AB2011" s="222">
        <f t="shared" si="269"/>
        <v>0</v>
      </c>
      <c r="AC2011" s="230">
        <f t="shared" si="270"/>
        <v>0</v>
      </c>
      <c r="AD2011" s="222" t="str">
        <f t="shared" si="271"/>
        <v/>
      </c>
      <c r="AE2011" s="201"/>
      <c r="AF2011" s="231" t="str">
        <f>+IFERROR(VLOOKUP(L2011,Data!$F$4:$G$97,2,0),"")</f>
        <v/>
      </c>
    </row>
    <row r="2012" spans="9:32" ht="15" customHeight="1" x14ac:dyDescent="0.3">
      <c r="I2012" s="201" t="str">
        <f t="shared" si="264"/>
        <v/>
      </c>
      <c r="J2012" s="218">
        <f t="shared" si="265"/>
        <v>2009</v>
      </c>
      <c r="K2012" s="250"/>
      <c r="L2012" s="219"/>
      <c r="M2012" s="218"/>
      <c r="N2012" s="220" t="str">
        <f>IFERROR(VLOOKUP(M2012,Data!$C$4:$D$395,2,0),"")</f>
        <v/>
      </c>
      <c r="O2012" s="220"/>
      <c r="P2012" s="229"/>
      <c r="Q2012" s="221"/>
      <c r="R2012" s="222" t="str">
        <f t="shared" si="266"/>
        <v>-</v>
      </c>
      <c r="S2012" s="223"/>
      <c r="T2012" s="224"/>
      <c r="U2012" s="225">
        <f t="shared" si="267"/>
        <v>0</v>
      </c>
      <c r="V2012" s="226">
        <v>0</v>
      </c>
      <c r="W2012" s="227"/>
      <c r="X2012" s="228">
        <f t="shared" si="268"/>
        <v>0</v>
      </c>
      <c r="Y2012" s="229"/>
      <c r="Z2012" s="229"/>
      <c r="AA2012" s="229"/>
      <c r="AB2012" s="222">
        <f t="shared" si="269"/>
        <v>0</v>
      </c>
      <c r="AC2012" s="230">
        <f t="shared" si="270"/>
        <v>0</v>
      </c>
      <c r="AD2012" s="222" t="str">
        <f t="shared" si="271"/>
        <v/>
      </c>
      <c r="AE2012" s="201"/>
      <c r="AF2012" s="231" t="str">
        <f>+IFERROR(VLOOKUP(L2012,Data!$F$4:$G$97,2,0),"")</f>
        <v/>
      </c>
    </row>
    <row r="2013" spans="9:32" ht="15" customHeight="1" x14ac:dyDescent="0.3">
      <c r="I2013" s="201" t="str">
        <f t="shared" si="264"/>
        <v/>
      </c>
      <c r="J2013" s="218">
        <f t="shared" si="265"/>
        <v>2010</v>
      </c>
      <c r="K2013" s="250"/>
      <c r="L2013" s="219"/>
      <c r="M2013" s="218"/>
      <c r="N2013" s="220" t="str">
        <f>IFERROR(VLOOKUP(M2013,Data!$C$4:$D$395,2,0),"")</f>
        <v/>
      </c>
      <c r="O2013" s="220"/>
      <c r="P2013" s="229"/>
      <c r="Q2013" s="221"/>
      <c r="R2013" s="222" t="str">
        <f t="shared" si="266"/>
        <v>-</v>
      </c>
      <c r="S2013" s="223"/>
      <c r="T2013" s="224"/>
      <c r="U2013" s="225">
        <f t="shared" si="267"/>
        <v>0</v>
      </c>
      <c r="V2013" s="226">
        <v>0</v>
      </c>
      <c r="W2013" s="227"/>
      <c r="X2013" s="228">
        <f t="shared" si="268"/>
        <v>0</v>
      </c>
      <c r="Y2013" s="229"/>
      <c r="Z2013" s="229"/>
      <c r="AA2013" s="229"/>
      <c r="AB2013" s="222">
        <f t="shared" si="269"/>
        <v>0</v>
      </c>
      <c r="AC2013" s="230">
        <f t="shared" si="270"/>
        <v>0</v>
      </c>
      <c r="AD2013" s="222" t="str">
        <f t="shared" si="271"/>
        <v/>
      </c>
      <c r="AE2013" s="201"/>
      <c r="AF2013" s="231" t="str">
        <f>+IFERROR(VLOOKUP(L2013,Data!$F$4:$G$97,2,0),"")</f>
        <v/>
      </c>
    </row>
    <row r="2014" spans="9:32" ht="15" customHeight="1" x14ac:dyDescent="0.3">
      <c r="I2014" s="201" t="str">
        <f t="shared" si="264"/>
        <v/>
      </c>
      <c r="J2014" s="218">
        <f t="shared" si="265"/>
        <v>2011</v>
      </c>
      <c r="K2014" s="250"/>
      <c r="L2014" s="219"/>
      <c r="M2014" s="218"/>
      <c r="N2014" s="220" t="str">
        <f>IFERROR(VLOOKUP(M2014,Data!$C$4:$D$395,2,0),"")</f>
        <v/>
      </c>
      <c r="O2014" s="220"/>
      <c r="P2014" s="229"/>
      <c r="Q2014" s="221"/>
      <c r="R2014" s="222" t="str">
        <f t="shared" si="266"/>
        <v>-</v>
      </c>
      <c r="S2014" s="223"/>
      <c r="T2014" s="224"/>
      <c r="U2014" s="225">
        <f t="shared" si="267"/>
        <v>0</v>
      </c>
      <c r="V2014" s="226">
        <v>0</v>
      </c>
      <c r="W2014" s="227"/>
      <c r="X2014" s="228">
        <f t="shared" si="268"/>
        <v>0</v>
      </c>
      <c r="Y2014" s="229"/>
      <c r="Z2014" s="229"/>
      <c r="AA2014" s="229"/>
      <c r="AB2014" s="222">
        <f t="shared" si="269"/>
        <v>0</v>
      </c>
      <c r="AC2014" s="230">
        <f t="shared" si="270"/>
        <v>0</v>
      </c>
      <c r="AD2014" s="222" t="str">
        <f t="shared" si="271"/>
        <v/>
      </c>
      <c r="AE2014" s="201"/>
      <c r="AF2014" s="231" t="str">
        <f>+IFERROR(VLOOKUP(L2014,Data!$F$4:$G$97,2,0),"")</f>
        <v/>
      </c>
    </row>
    <row r="2015" spans="9:32" ht="15" customHeight="1" x14ac:dyDescent="0.3">
      <c r="I2015" s="201" t="str">
        <f t="shared" si="264"/>
        <v/>
      </c>
      <c r="J2015" s="218">
        <f t="shared" si="265"/>
        <v>2012</v>
      </c>
      <c r="K2015" s="250"/>
      <c r="L2015" s="219"/>
      <c r="M2015" s="218"/>
      <c r="N2015" s="220" t="str">
        <f>IFERROR(VLOOKUP(M2015,Data!$C$4:$D$395,2,0),"")</f>
        <v/>
      </c>
      <c r="O2015" s="220"/>
      <c r="P2015" s="229"/>
      <c r="Q2015" s="221"/>
      <c r="R2015" s="222" t="str">
        <f t="shared" si="266"/>
        <v>-</v>
      </c>
      <c r="S2015" s="223"/>
      <c r="T2015" s="224"/>
      <c r="U2015" s="225">
        <f t="shared" si="267"/>
        <v>0</v>
      </c>
      <c r="V2015" s="226">
        <v>0</v>
      </c>
      <c r="W2015" s="227"/>
      <c r="X2015" s="228">
        <f t="shared" si="268"/>
        <v>0</v>
      </c>
      <c r="Y2015" s="229"/>
      <c r="Z2015" s="229"/>
      <c r="AA2015" s="229"/>
      <c r="AB2015" s="222">
        <f t="shared" si="269"/>
        <v>0</v>
      </c>
      <c r="AC2015" s="230">
        <f t="shared" si="270"/>
        <v>0</v>
      </c>
      <c r="AD2015" s="222" t="str">
        <f t="shared" si="271"/>
        <v/>
      </c>
      <c r="AE2015" s="201"/>
      <c r="AF2015" s="231" t="str">
        <f>+IFERROR(VLOOKUP(L2015,Data!$F$4:$G$97,2,0),"")</f>
        <v/>
      </c>
    </row>
    <row r="2016" spans="9:32" ht="15" customHeight="1" x14ac:dyDescent="0.3">
      <c r="I2016" s="201" t="str">
        <f t="shared" si="264"/>
        <v/>
      </c>
      <c r="J2016" s="218">
        <f t="shared" si="265"/>
        <v>2013</v>
      </c>
      <c r="K2016" s="250"/>
      <c r="L2016" s="219"/>
      <c r="M2016" s="218"/>
      <c r="N2016" s="220" t="str">
        <f>IFERROR(VLOOKUP(M2016,Data!$C$4:$D$395,2,0),"")</f>
        <v/>
      </c>
      <c r="O2016" s="220"/>
      <c r="P2016" s="229"/>
      <c r="Q2016" s="221"/>
      <c r="R2016" s="222" t="str">
        <f t="shared" si="266"/>
        <v>-</v>
      </c>
      <c r="S2016" s="223"/>
      <c r="T2016" s="224"/>
      <c r="U2016" s="225">
        <f t="shared" si="267"/>
        <v>0</v>
      </c>
      <c r="V2016" s="226">
        <v>0</v>
      </c>
      <c r="W2016" s="227"/>
      <c r="X2016" s="228">
        <f t="shared" si="268"/>
        <v>0</v>
      </c>
      <c r="Y2016" s="229"/>
      <c r="Z2016" s="229"/>
      <c r="AA2016" s="229"/>
      <c r="AB2016" s="222">
        <f t="shared" si="269"/>
        <v>0</v>
      </c>
      <c r="AC2016" s="230">
        <f t="shared" si="270"/>
        <v>0</v>
      </c>
      <c r="AD2016" s="222" t="str">
        <f t="shared" si="271"/>
        <v/>
      </c>
      <c r="AE2016" s="201"/>
      <c r="AF2016" s="231" t="str">
        <f>+IFERROR(VLOOKUP(L2016,Data!$F$4:$G$97,2,0),"")</f>
        <v/>
      </c>
    </row>
    <row r="2017" spans="9:32" ht="15" customHeight="1" x14ac:dyDescent="0.3">
      <c r="I2017" s="201" t="str">
        <f t="shared" si="264"/>
        <v/>
      </c>
      <c r="J2017" s="218">
        <f t="shared" si="265"/>
        <v>2014</v>
      </c>
      <c r="K2017" s="250"/>
      <c r="L2017" s="219"/>
      <c r="M2017" s="218"/>
      <c r="N2017" s="220" t="str">
        <f>IFERROR(VLOOKUP(M2017,Data!$C$4:$D$395,2,0),"")</f>
        <v/>
      </c>
      <c r="O2017" s="220"/>
      <c r="P2017" s="229"/>
      <c r="Q2017" s="221"/>
      <c r="R2017" s="222" t="str">
        <f t="shared" si="266"/>
        <v>-</v>
      </c>
      <c r="S2017" s="223"/>
      <c r="T2017" s="224"/>
      <c r="U2017" s="225">
        <f t="shared" si="267"/>
        <v>0</v>
      </c>
      <c r="V2017" s="226">
        <v>0</v>
      </c>
      <c r="W2017" s="227"/>
      <c r="X2017" s="228">
        <f t="shared" si="268"/>
        <v>0</v>
      </c>
      <c r="Y2017" s="229"/>
      <c r="Z2017" s="229"/>
      <c r="AA2017" s="229"/>
      <c r="AB2017" s="222">
        <f t="shared" si="269"/>
        <v>0</v>
      </c>
      <c r="AC2017" s="230">
        <f t="shared" si="270"/>
        <v>0</v>
      </c>
      <c r="AD2017" s="222" t="str">
        <f t="shared" si="271"/>
        <v/>
      </c>
      <c r="AE2017" s="201"/>
      <c r="AF2017" s="231" t="str">
        <f>+IFERROR(VLOOKUP(L2017,Data!$F$4:$G$97,2,0),"")</f>
        <v/>
      </c>
    </row>
    <row r="2018" spans="9:32" ht="15" customHeight="1" x14ac:dyDescent="0.3">
      <c r="I2018" s="201" t="str">
        <f t="shared" si="264"/>
        <v/>
      </c>
      <c r="J2018" s="218">
        <f t="shared" si="265"/>
        <v>2015</v>
      </c>
      <c r="K2018" s="250"/>
      <c r="L2018" s="219"/>
      <c r="M2018" s="218"/>
      <c r="N2018" s="220" t="str">
        <f>IFERROR(VLOOKUP(M2018,Data!$C$4:$D$395,2,0),"")</f>
        <v/>
      </c>
      <c r="O2018" s="220"/>
      <c r="P2018" s="229"/>
      <c r="Q2018" s="221"/>
      <c r="R2018" s="222" t="str">
        <f t="shared" si="266"/>
        <v>-</v>
      </c>
      <c r="S2018" s="223"/>
      <c r="T2018" s="224"/>
      <c r="U2018" s="225">
        <f t="shared" si="267"/>
        <v>0</v>
      </c>
      <c r="V2018" s="226">
        <v>0</v>
      </c>
      <c r="W2018" s="227"/>
      <c r="X2018" s="228">
        <f t="shared" si="268"/>
        <v>0</v>
      </c>
      <c r="Y2018" s="229"/>
      <c r="Z2018" s="229"/>
      <c r="AA2018" s="229"/>
      <c r="AB2018" s="222">
        <f t="shared" si="269"/>
        <v>0</v>
      </c>
      <c r="AC2018" s="230">
        <f t="shared" si="270"/>
        <v>0</v>
      </c>
      <c r="AD2018" s="222" t="str">
        <f t="shared" si="271"/>
        <v/>
      </c>
      <c r="AE2018" s="201"/>
      <c r="AF2018" s="231" t="str">
        <f>+IFERROR(VLOOKUP(L2018,Data!$F$4:$G$97,2,0),"")</f>
        <v/>
      </c>
    </row>
    <row r="2019" spans="9:32" ht="15" customHeight="1" x14ac:dyDescent="0.3">
      <c r="I2019" s="201" t="str">
        <f t="shared" si="264"/>
        <v/>
      </c>
      <c r="J2019" s="218">
        <f t="shared" si="265"/>
        <v>2016</v>
      </c>
      <c r="K2019" s="250"/>
      <c r="L2019" s="219"/>
      <c r="M2019" s="218"/>
      <c r="N2019" s="220" t="str">
        <f>IFERROR(VLOOKUP(M2019,Data!$C$4:$D$395,2,0),"")</f>
        <v/>
      </c>
      <c r="O2019" s="220"/>
      <c r="P2019" s="229"/>
      <c r="Q2019" s="221"/>
      <c r="R2019" s="222" t="str">
        <f t="shared" si="266"/>
        <v>-</v>
      </c>
      <c r="S2019" s="223"/>
      <c r="T2019" s="224"/>
      <c r="U2019" s="225">
        <f t="shared" si="267"/>
        <v>0</v>
      </c>
      <c r="V2019" s="226">
        <v>0</v>
      </c>
      <c r="W2019" s="227"/>
      <c r="X2019" s="228">
        <f t="shared" si="268"/>
        <v>0</v>
      </c>
      <c r="Y2019" s="229"/>
      <c r="Z2019" s="229"/>
      <c r="AA2019" s="229"/>
      <c r="AB2019" s="222">
        <f t="shared" si="269"/>
        <v>0</v>
      </c>
      <c r="AC2019" s="230">
        <f t="shared" si="270"/>
        <v>0</v>
      </c>
      <c r="AD2019" s="222" t="str">
        <f t="shared" si="271"/>
        <v/>
      </c>
      <c r="AE2019" s="201"/>
      <c r="AF2019" s="231" t="str">
        <f>+IFERROR(VLOOKUP(L2019,Data!$F$4:$G$97,2,0),"")</f>
        <v/>
      </c>
    </row>
    <row r="2020" spans="9:32" ht="15" customHeight="1" x14ac:dyDescent="0.3">
      <c r="I2020" s="201" t="str">
        <f t="shared" si="264"/>
        <v/>
      </c>
      <c r="J2020" s="218">
        <f t="shared" si="265"/>
        <v>2017</v>
      </c>
      <c r="K2020" s="250"/>
      <c r="L2020" s="219"/>
      <c r="M2020" s="218"/>
      <c r="N2020" s="220" t="str">
        <f>IFERROR(VLOOKUP(M2020,Data!$C$4:$D$395,2,0),"")</f>
        <v/>
      </c>
      <c r="O2020" s="220"/>
      <c r="P2020" s="229"/>
      <c r="Q2020" s="221"/>
      <c r="R2020" s="222" t="str">
        <f t="shared" si="266"/>
        <v>-</v>
      </c>
      <c r="S2020" s="223"/>
      <c r="T2020" s="224"/>
      <c r="U2020" s="225">
        <f t="shared" si="267"/>
        <v>0</v>
      </c>
      <c r="V2020" s="226">
        <v>0</v>
      </c>
      <c r="W2020" s="227"/>
      <c r="X2020" s="228">
        <f t="shared" si="268"/>
        <v>0</v>
      </c>
      <c r="Y2020" s="229"/>
      <c r="Z2020" s="229"/>
      <c r="AA2020" s="229"/>
      <c r="AB2020" s="222">
        <f t="shared" si="269"/>
        <v>0</v>
      </c>
      <c r="AC2020" s="230">
        <f t="shared" si="270"/>
        <v>0</v>
      </c>
      <c r="AD2020" s="222" t="str">
        <f t="shared" si="271"/>
        <v/>
      </c>
      <c r="AE2020" s="201"/>
      <c r="AF2020" s="231" t="str">
        <f>+IFERROR(VLOOKUP(L2020,Data!$F$4:$G$97,2,0),"")</f>
        <v/>
      </c>
    </row>
    <row r="2021" spans="9:32" ht="15" customHeight="1" x14ac:dyDescent="0.3">
      <c r="I2021" s="201" t="str">
        <f t="shared" si="264"/>
        <v/>
      </c>
      <c r="J2021" s="218">
        <f t="shared" si="265"/>
        <v>2018</v>
      </c>
      <c r="K2021" s="250"/>
      <c r="L2021" s="219"/>
      <c r="M2021" s="218"/>
      <c r="N2021" s="220" t="str">
        <f>IFERROR(VLOOKUP(M2021,Data!$C$4:$D$395,2,0),"")</f>
        <v/>
      </c>
      <c r="O2021" s="220"/>
      <c r="P2021" s="229"/>
      <c r="Q2021" s="221"/>
      <c r="R2021" s="222" t="str">
        <f t="shared" si="266"/>
        <v>-</v>
      </c>
      <c r="S2021" s="223"/>
      <c r="T2021" s="224"/>
      <c r="U2021" s="225">
        <f t="shared" si="267"/>
        <v>0</v>
      </c>
      <c r="V2021" s="226">
        <v>0</v>
      </c>
      <c r="W2021" s="227"/>
      <c r="X2021" s="228">
        <f t="shared" si="268"/>
        <v>0</v>
      </c>
      <c r="Y2021" s="229"/>
      <c r="Z2021" s="229"/>
      <c r="AA2021" s="229"/>
      <c r="AB2021" s="222">
        <f t="shared" si="269"/>
        <v>0</v>
      </c>
      <c r="AC2021" s="230">
        <f t="shared" si="270"/>
        <v>0</v>
      </c>
      <c r="AD2021" s="222" t="str">
        <f t="shared" si="271"/>
        <v/>
      </c>
      <c r="AE2021" s="201"/>
      <c r="AF2021" s="231" t="str">
        <f>+IFERROR(VLOOKUP(L2021,Data!$F$4:$G$97,2,0),"")</f>
        <v/>
      </c>
    </row>
    <row r="2022" spans="9:32" ht="15" customHeight="1" x14ac:dyDescent="0.3">
      <c r="I2022" s="201" t="str">
        <f t="shared" si="264"/>
        <v/>
      </c>
      <c r="J2022" s="218">
        <f t="shared" si="265"/>
        <v>2019</v>
      </c>
      <c r="K2022" s="250"/>
      <c r="L2022" s="219"/>
      <c r="M2022" s="218"/>
      <c r="N2022" s="220" t="str">
        <f>IFERROR(VLOOKUP(M2022,Data!$C$4:$D$395,2,0),"")</f>
        <v/>
      </c>
      <c r="O2022" s="220"/>
      <c r="P2022" s="229"/>
      <c r="Q2022" s="221"/>
      <c r="R2022" s="222" t="str">
        <f t="shared" si="266"/>
        <v>-</v>
      </c>
      <c r="S2022" s="223"/>
      <c r="T2022" s="224"/>
      <c r="U2022" s="225">
        <f t="shared" si="267"/>
        <v>0</v>
      </c>
      <c r="V2022" s="226">
        <v>0</v>
      </c>
      <c r="W2022" s="227"/>
      <c r="X2022" s="228">
        <f t="shared" si="268"/>
        <v>0</v>
      </c>
      <c r="Y2022" s="229"/>
      <c r="Z2022" s="229"/>
      <c r="AA2022" s="229"/>
      <c r="AB2022" s="222">
        <f t="shared" si="269"/>
        <v>0</v>
      </c>
      <c r="AC2022" s="230">
        <f t="shared" si="270"/>
        <v>0</v>
      </c>
      <c r="AD2022" s="222" t="str">
        <f t="shared" si="271"/>
        <v/>
      </c>
      <c r="AE2022" s="201"/>
      <c r="AF2022" s="231" t="str">
        <f>+IFERROR(VLOOKUP(L2022,Data!$F$4:$G$97,2,0),"")</f>
        <v/>
      </c>
    </row>
    <row r="2023" spans="9:32" ht="15" customHeight="1" x14ac:dyDescent="0.3">
      <c r="I2023" s="201" t="str">
        <f t="shared" si="264"/>
        <v/>
      </c>
      <c r="J2023" s="218">
        <f t="shared" si="265"/>
        <v>2020</v>
      </c>
      <c r="K2023" s="250"/>
      <c r="L2023" s="219"/>
      <c r="M2023" s="218"/>
      <c r="N2023" s="220" t="str">
        <f>IFERROR(VLOOKUP(M2023,Data!$C$4:$D$395,2,0),"")</f>
        <v/>
      </c>
      <c r="O2023" s="220"/>
      <c r="P2023" s="229"/>
      <c r="Q2023" s="221"/>
      <c r="R2023" s="222" t="str">
        <f t="shared" si="266"/>
        <v>-</v>
      </c>
      <c r="S2023" s="223"/>
      <c r="T2023" s="224"/>
      <c r="U2023" s="225">
        <f t="shared" si="267"/>
        <v>0</v>
      </c>
      <c r="V2023" s="226">
        <v>0</v>
      </c>
      <c r="W2023" s="227"/>
      <c r="X2023" s="228">
        <f t="shared" si="268"/>
        <v>0</v>
      </c>
      <c r="Y2023" s="229"/>
      <c r="Z2023" s="229"/>
      <c r="AA2023" s="229"/>
      <c r="AB2023" s="222">
        <f t="shared" si="269"/>
        <v>0</v>
      </c>
      <c r="AC2023" s="230">
        <f t="shared" si="270"/>
        <v>0</v>
      </c>
      <c r="AD2023" s="222" t="str">
        <f t="shared" si="271"/>
        <v/>
      </c>
      <c r="AE2023" s="201"/>
      <c r="AF2023" s="231" t="str">
        <f>+IFERROR(VLOOKUP(L2023,Data!$F$4:$G$97,2,0),"")</f>
        <v/>
      </c>
    </row>
    <row r="2024" spans="9:32" ht="15" customHeight="1" x14ac:dyDescent="0.3">
      <c r="I2024" s="201" t="str">
        <f t="shared" si="264"/>
        <v/>
      </c>
      <c r="J2024" s="218">
        <f t="shared" si="265"/>
        <v>2021</v>
      </c>
      <c r="K2024" s="250"/>
      <c r="L2024" s="219"/>
      <c r="M2024" s="218"/>
      <c r="N2024" s="220" t="str">
        <f>IFERROR(VLOOKUP(M2024,Data!$C$4:$D$395,2,0),"")</f>
        <v/>
      </c>
      <c r="O2024" s="220"/>
      <c r="P2024" s="229"/>
      <c r="Q2024" s="221"/>
      <c r="R2024" s="222" t="str">
        <f t="shared" si="266"/>
        <v>-</v>
      </c>
      <c r="S2024" s="223"/>
      <c r="T2024" s="224"/>
      <c r="U2024" s="225">
        <f t="shared" si="267"/>
        <v>0</v>
      </c>
      <c r="V2024" s="226">
        <v>0</v>
      </c>
      <c r="W2024" s="227"/>
      <c r="X2024" s="228">
        <f t="shared" si="268"/>
        <v>0</v>
      </c>
      <c r="Y2024" s="229"/>
      <c r="Z2024" s="229"/>
      <c r="AA2024" s="229"/>
      <c r="AB2024" s="222">
        <f t="shared" si="269"/>
        <v>0</v>
      </c>
      <c r="AC2024" s="230">
        <f t="shared" si="270"/>
        <v>0</v>
      </c>
      <c r="AD2024" s="222" t="str">
        <f t="shared" si="271"/>
        <v/>
      </c>
      <c r="AE2024" s="201"/>
      <c r="AF2024" s="231" t="str">
        <f>+IFERROR(VLOOKUP(L2024,Data!$F$4:$G$97,2,0),"")</f>
        <v/>
      </c>
    </row>
    <row r="2025" spans="9:32" ht="15" customHeight="1" x14ac:dyDescent="0.3">
      <c r="I2025" s="201" t="str">
        <f t="shared" si="264"/>
        <v/>
      </c>
      <c r="J2025" s="218">
        <f t="shared" si="265"/>
        <v>2022</v>
      </c>
      <c r="K2025" s="250"/>
      <c r="L2025" s="219"/>
      <c r="M2025" s="218"/>
      <c r="N2025" s="220" t="str">
        <f>IFERROR(VLOOKUP(M2025,Data!$C$4:$D$395,2,0),"")</f>
        <v/>
      </c>
      <c r="O2025" s="220"/>
      <c r="P2025" s="229"/>
      <c r="Q2025" s="221"/>
      <c r="R2025" s="222" t="str">
        <f t="shared" si="266"/>
        <v>-</v>
      </c>
      <c r="S2025" s="223"/>
      <c r="T2025" s="224"/>
      <c r="U2025" s="225">
        <f t="shared" si="267"/>
        <v>0</v>
      </c>
      <c r="V2025" s="226">
        <v>0</v>
      </c>
      <c r="W2025" s="227"/>
      <c r="X2025" s="228">
        <f t="shared" si="268"/>
        <v>0</v>
      </c>
      <c r="Y2025" s="229"/>
      <c r="Z2025" s="229"/>
      <c r="AA2025" s="229"/>
      <c r="AB2025" s="222">
        <f t="shared" si="269"/>
        <v>0</v>
      </c>
      <c r="AC2025" s="230">
        <f t="shared" si="270"/>
        <v>0</v>
      </c>
      <c r="AD2025" s="222" t="str">
        <f t="shared" si="271"/>
        <v/>
      </c>
      <c r="AE2025" s="201"/>
      <c r="AF2025" s="231" t="str">
        <f>+IFERROR(VLOOKUP(L2025,Data!$F$4:$G$97,2,0),"")</f>
        <v/>
      </c>
    </row>
    <row r="2026" spans="9:32" ht="15" customHeight="1" x14ac:dyDescent="0.3">
      <c r="I2026" s="201" t="str">
        <f t="shared" si="264"/>
        <v/>
      </c>
      <c r="J2026" s="218">
        <f t="shared" si="265"/>
        <v>2023</v>
      </c>
      <c r="K2026" s="250"/>
      <c r="L2026" s="219"/>
      <c r="M2026" s="218"/>
      <c r="N2026" s="220" t="str">
        <f>IFERROR(VLOOKUP(M2026,Data!$C$4:$D$395,2,0),"")</f>
        <v/>
      </c>
      <c r="O2026" s="220"/>
      <c r="P2026" s="229"/>
      <c r="Q2026" s="221"/>
      <c r="R2026" s="222" t="str">
        <f t="shared" si="266"/>
        <v>-</v>
      </c>
      <c r="S2026" s="223"/>
      <c r="T2026" s="224"/>
      <c r="U2026" s="225">
        <f t="shared" si="267"/>
        <v>0</v>
      </c>
      <c r="V2026" s="226">
        <v>0</v>
      </c>
      <c r="W2026" s="227"/>
      <c r="X2026" s="228">
        <f t="shared" si="268"/>
        <v>0</v>
      </c>
      <c r="Y2026" s="229"/>
      <c r="Z2026" s="229"/>
      <c r="AA2026" s="229"/>
      <c r="AB2026" s="222">
        <f t="shared" si="269"/>
        <v>0</v>
      </c>
      <c r="AC2026" s="230">
        <f t="shared" si="270"/>
        <v>0</v>
      </c>
      <c r="AD2026" s="222" t="str">
        <f t="shared" si="271"/>
        <v/>
      </c>
      <c r="AE2026" s="201"/>
      <c r="AF2026" s="231" t="str">
        <f>+IFERROR(VLOOKUP(L2026,Data!$F$4:$G$97,2,0),"")</f>
        <v/>
      </c>
    </row>
    <row r="2027" spans="9:32" ht="15" customHeight="1" x14ac:dyDescent="0.3">
      <c r="I2027" s="201" t="str">
        <f t="shared" si="264"/>
        <v/>
      </c>
      <c r="J2027" s="218">
        <f t="shared" si="265"/>
        <v>2024</v>
      </c>
      <c r="K2027" s="250"/>
      <c r="L2027" s="219"/>
      <c r="M2027" s="218"/>
      <c r="N2027" s="220" t="str">
        <f>IFERROR(VLOOKUP(M2027,Data!$C$4:$D$395,2,0),"")</f>
        <v/>
      </c>
      <c r="O2027" s="220"/>
      <c r="P2027" s="229"/>
      <c r="Q2027" s="221"/>
      <c r="R2027" s="222" t="str">
        <f t="shared" si="266"/>
        <v>-</v>
      </c>
      <c r="S2027" s="223"/>
      <c r="T2027" s="224"/>
      <c r="U2027" s="225">
        <f t="shared" si="267"/>
        <v>0</v>
      </c>
      <c r="V2027" s="226">
        <v>0</v>
      </c>
      <c r="W2027" s="227"/>
      <c r="X2027" s="228">
        <f t="shared" si="268"/>
        <v>0</v>
      </c>
      <c r="Y2027" s="229"/>
      <c r="Z2027" s="229"/>
      <c r="AA2027" s="229"/>
      <c r="AB2027" s="222">
        <f t="shared" si="269"/>
        <v>0</v>
      </c>
      <c r="AC2027" s="230">
        <f t="shared" si="270"/>
        <v>0</v>
      </c>
      <c r="AD2027" s="222" t="str">
        <f t="shared" si="271"/>
        <v/>
      </c>
      <c r="AE2027" s="201"/>
      <c r="AF2027" s="231" t="str">
        <f>+IFERROR(VLOOKUP(L2027,Data!$F$4:$G$97,2,0),"")</f>
        <v/>
      </c>
    </row>
    <row r="2028" spans="9:32" ht="15" customHeight="1" x14ac:dyDescent="0.3">
      <c r="I2028" s="201" t="str">
        <f t="shared" si="264"/>
        <v/>
      </c>
      <c r="J2028" s="218">
        <f t="shared" si="265"/>
        <v>2025</v>
      </c>
      <c r="K2028" s="250"/>
      <c r="L2028" s="219"/>
      <c r="M2028" s="218"/>
      <c r="N2028" s="220" t="str">
        <f>IFERROR(VLOOKUP(M2028,Data!$C$4:$D$395,2,0),"")</f>
        <v/>
      </c>
      <c r="O2028" s="220"/>
      <c r="P2028" s="229"/>
      <c r="Q2028" s="221"/>
      <c r="R2028" s="222" t="str">
        <f t="shared" si="266"/>
        <v>-</v>
      </c>
      <c r="S2028" s="223"/>
      <c r="T2028" s="224"/>
      <c r="U2028" s="225">
        <f t="shared" si="267"/>
        <v>0</v>
      </c>
      <c r="V2028" s="226">
        <v>0</v>
      </c>
      <c r="W2028" s="227"/>
      <c r="X2028" s="228">
        <f t="shared" si="268"/>
        <v>0</v>
      </c>
      <c r="Y2028" s="229"/>
      <c r="Z2028" s="229"/>
      <c r="AA2028" s="229"/>
      <c r="AB2028" s="222">
        <f t="shared" si="269"/>
        <v>0</v>
      </c>
      <c r="AC2028" s="230">
        <f t="shared" si="270"/>
        <v>0</v>
      </c>
      <c r="AD2028" s="222" t="str">
        <f t="shared" si="271"/>
        <v/>
      </c>
      <c r="AE2028" s="201"/>
      <c r="AF2028" s="231" t="str">
        <f>+IFERROR(VLOOKUP(L2028,Data!$F$4:$G$97,2,0),"")</f>
        <v/>
      </c>
    </row>
    <row r="2029" spans="9:32" ht="15" customHeight="1" x14ac:dyDescent="0.3">
      <c r="I2029" s="201" t="str">
        <f t="shared" si="264"/>
        <v/>
      </c>
      <c r="J2029" s="218">
        <f t="shared" si="265"/>
        <v>2026</v>
      </c>
      <c r="K2029" s="250"/>
      <c r="L2029" s="219"/>
      <c r="M2029" s="218"/>
      <c r="N2029" s="220" t="str">
        <f>IFERROR(VLOOKUP(M2029,Data!$C$4:$D$395,2,0),"")</f>
        <v/>
      </c>
      <c r="O2029" s="220"/>
      <c r="P2029" s="229"/>
      <c r="Q2029" s="221"/>
      <c r="R2029" s="222" t="str">
        <f t="shared" si="266"/>
        <v>-</v>
      </c>
      <c r="S2029" s="223"/>
      <c r="T2029" s="224"/>
      <c r="U2029" s="225">
        <f t="shared" si="267"/>
        <v>0</v>
      </c>
      <c r="V2029" s="226">
        <v>0</v>
      </c>
      <c r="W2029" s="227"/>
      <c r="X2029" s="228">
        <f t="shared" si="268"/>
        <v>0</v>
      </c>
      <c r="Y2029" s="229"/>
      <c r="Z2029" s="229"/>
      <c r="AA2029" s="229"/>
      <c r="AB2029" s="222">
        <f t="shared" si="269"/>
        <v>0</v>
      </c>
      <c r="AC2029" s="230">
        <f t="shared" si="270"/>
        <v>0</v>
      </c>
      <c r="AD2029" s="222" t="str">
        <f t="shared" si="271"/>
        <v/>
      </c>
      <c r="AE2029" s="201"/>
      <c r="AF2029" s="231" t="str">
        <f>+IFERROR(VLOOKUP(L2029,Data!$F$4:$G$97,2,0),"")</f>
        <v/>
      </c>
    </row>
    <row r="2030" spans="9:32" ht="15" customHeight="1" x14ac:dyDescent="0.3">
      <c r="I2030" s="201" t="str">
        <f t="shared" si="264"/>
        <v/>
      </c>
      <c r="J2030" s="218">
        <f t="shared" si="265"/>
        <v>2027</v>
      </c>
      <c r="K2030" s="250"/>
      <c r="L2030" s="219"/>
      <c r="M2030" s="218"/>
      <c r="N2030" s="220" t="str">
        <f>IFERROR(VLOOKUP(M2030,Data!$C$4:$D$395,2,0),"")</f>
        <v/>
      </c>
      <c r="O2030" s="220"/>
      <c r="P2030" s="229"/>
      <c r="Q2030" s="221"/>
      <c r="R2030" s="222" t="str">
        <f t="shared" si="266"/>
        <v>-</v>
      </c>
      <c r="S2030" s="223"/>
      <c r="T2030" s="224"/>
      <c r="U2030" s="225">
        <f t="shared" si="267"/>
        <v>0</v>
      </c>
      <c r="V2030" s="226">
        <v>0</v>
      </c>
      <c r="W2030" s="227"/>
      <c r="X2030" s="228">
        <f t="shared" si="268"/>
        <v>0</v>
      </c>
      <c r="Y2030" s="229"/>
      <c r="Z2030" s="229"/>
      <c r="AA2030" s="229"/>
      <c r="AB2030" s="222">
        <f t="shared" si="269"/>
        <v>0</v>
      </c>
      <c r="AC2030" s="230">
        <f t="shared" si="270"/>
        <v>0</v>
      </c>
      <c r="AD2030" s="222" t="str">
        <f t="shared" si="271"/>
        <v/>
      </c>
      <c r="AE2030" s="201"/>
      <c r="AF2030" s="231" t="str">
        <f>+IFERROR(VLOOKUP(L2030,Data!$F$4:$G$97,2,0),"")</f>
        <v/>
      </c>
    </row>
    <row r="2031" spans="9:32" ht="15" customHeight="1" x14ac:dyDescent="0.3">
      <c r="I2031" s="201" t="str">
        <f t="shared" si="264"/>
        <v/>
      </c>
      <c r="J2031" s="218">
        <f t="shared" si="265"/>
        <v>2028</v>
      </c>
      <c r="K2031" s="250"/>
      <c r="L2031" s="219"/>
      <c r="M2031" s="218"/>
      <c r="N2031" s="220" t="str">
        <f>IFERROR(VLOOKUP(M2031,Data!$C$4:$D$395,2,0),"")</f>
        <v/>
      </c>
      <c r="O2031" s="220"/>
      <c r="P2031" s="229"/>
      <c r="Q2031" s="221"/>
      <c r="R2031" s="222" t="str">
        <f t="shared" si="266"/>
        <v>-</v>
      </c>
      <c r="S2031" s="223"/>
      <c r="T2031" s="224"/>
      <c r="U2031" s="225">
        <f t="shared" si="267"/>
        <v>0</v>
      </c>
      <c r="V2031" s="226">
        <v>0</v>
      </c>
      <c r="W2031" s="227"/>
      <c r="X2031" s="228">
        <f t="shared" si="268"/>
        <v>0</v>
      </c>
      <c r="Y2031" s="229"/>
      <c r="Z2031" s="229"/>
      <c r="AA2031" s="229"/>
      <c r="AB2031" s="222">
        <f t="shared" si="269"/>
        <v>0</v>
      </c>
      <c r="AC2031" s="230">
        <f t="shared" si="270"/>
        <v>0</v>
      </c>
      <c r="AD2031" s="222" t="str">
        <f t="shared" si="271"/>
        <v/>
      </c>
      <c r="AE2031" s="201"/>
      <c r="AF2031" s="231" t="str">
        <f>+IFERROR(VLOOKUP(L2031,Data!$F$4:$G$97,2,0),"")</f>
        <v/>
      </c>
    </row>
    <row r="2032" spans="9:32" ht="15" customHeight="1" x14ac:dyDescent="0.3">
      <c r="I2032" s="201" t="str">
        <f t="shared" si="264"/>
        <v/>
      </c>
      <c r="J2032" s="218">
        <f t="shared" si="265"/>
        <v>2029</v>
      </c>
      <c r="K2032" s="250"/>
      <c r="L2032" s="219"/>
      <c r="M2032" s="218"/>
      <c r="N2032" s="220" t="str">
        <f>IFERROR(VLOOKUP(M2032,Data!$C$4:$D$395,2,0),"")</f>
        <v/>
      </c>
      <c r="O2032" s="220"/>
      <c r="P2032" s="229"/>
      <c r="Q2032" s="221"/>
      <c r="R2032" s="222" t="str">
        <f t="shared" si="266"/>
        <v>-</v>
      </c>
      <c r="S2032" s="223"/>
      <c r="T2032" s="224"/>
      <c r="U2032" s="225">
        <f t="shared" si="267"/>
        <v>0</v>
      </c>
      <c r="V2032" s="226">
        <v>0</v>
      </c>
      <c r="W2032" s="227"/>
      <c r="X2032" s="228">
        <f t="shared" si="268"/>
        <v>0</v>
      </c>
      <c r="Y2032" s="229"/>
      <c r="Z2032" s="229"/>
      <c r="AA2032" s="229"/>
      <c r="AB2032" s="222">
        <f t="shared" si="269"/>
        <v>0</v>
      </c>
      <c r="AC2032" s="230">
        <f t="shared" si="270"/>
        <v>0</v>
      </c>
      <c r="AD2032" s="222" t="str">
        <f t="shared" si="271"/>
        <v/>
      </c>
      <c r="AE2032" s="201"/>
      <c r="AF2032" s="231" t="str">
        <f>+IFERROR(VLOOKUP(L2032,Data!$F$4:$G$97,2,0),"")</f>
        <v/>
      </c>
    </row>
    <row r="2033" spans="9:32" ht="15" customHeight="1" x14ac:dyDescent="0.3">
      <c r="I2033" s="201" t="str">
        <f t="shared" si="264"/>
        <v/>
      </c>
      <c r="J2033" s="218">
        <f t="shared" si="265"/>
        <v>2030</v>
      </c>
      <c r="K2033" s="250"/>
      <c r="L2033" s="219"/>
      <c r="M2033" s="218"/>
      <c r="N2033" s="220" t="str">
        <f>IFERROR(VLOOKUP(M2033,Data!$C$4:$D$395,2,0),"")</f>
        <v/>
      </c>
      <c r="O2033" s="220"/>
      <c r="P2033" s="229"/>
      <c r="Q2033" s="221"/>
      <c r="R2033" s="222" t="str">
        <f t="shared" si="266"/>
        <v>-</v>
      </c>
      <c r="S2033" s="223"/>
      <c r="T2033" s="224"/>
      <c r="U2033" s="225">
        <f t="shared" si="267"/>
        <v>0</v>
      </c>
      <c r="V2033" s="226">
        <v>0</v>
      </c>
      <c r="W2033" s="227"/>
      <c r="X2033" s="228">
        <f t="shared" si="268"/>
        <v>0</v>
      </c>
      <c r="Y2033" s="229"/>
      <c r="Z2033" s="229"/>
      <c r="AA2033" s="229"/>
      <c r="AB2033" s="222">
        <f t="shared" si="269"/>
        <v>0</v>
      </c>
      <c r="AC2033" s="230">
        <f t="shared" si="270"/>
        <v>0</v>
      </c>
      <c r="AD2033" s="222" t="str">
        <f t="shared" si="271"/>
        <v/>
      </c>
      <c r="AE2033" s="201"/>
      <c r="AF2033" s="231" t="str">
        <f>+IFERROR(VLOOKUP(L2033,Data!$F$4:$G$97,2,0),"")</f>
        <v/>
      </c>
    </row>
    <row r="2034" spans="9:32" ht="15" customHeight="1" x14ac:dyDescent="0.3">
      <c r="I2034" s="201" t="str">
        <f t="shared" si="264"/>
        <v/>
      </c>
      <c r="J2034" s="218">
        <f t="shared" si="265"/>
        <v>2031</v>
      </c>
      <c r="K2034" s="250"/>
      <c r="L2034" s="219"/>
      <c r="M2034" s="218"/>
      <c r="N2034" s="220" t="str">
        <f>IFERROR(VLOOKUP(M2034,Data!$C$4:$D$395,2,0),"")</f>
        <v/>
      </c>
      <c r="O2034" s="220"/>
      <c r="P2034" s="229"/>
      <c r="Q2034" s="221"/>
      <c r="R2034" s="222" t="str">
        <f t="shared" si="266"/>
        <v>-</v>
      </c>
      <c r="S2034" s="223"/>
      <c r="T2034" s="224"/>
      <c r="U2034" s="225">
        <f t="shared" si="267"/>
        <v>0</v>
      </c>
      <c r="V2034" s="226">
        <v>0</v>
      </c>
      <c r="W2034" s="227"/>
      <c r="X2034" s="228">
        <f t="shared" si="268"/>
        <v>0</v>
      </c>
      <c r="Y2034" s="229"/>
      <c r="Z2034" s="229"/>
      <c r="AA2034" s="229"/>
      <c r="AB2034" s="222">
        <f t="shared" si="269"/>
        <v>0</v>
      </c>
      <c r="AC2034" s="230">
        <f t="shared" si="270"/>
        <v>0</v>
      </c>
      <c r="AD2034" s="222" t="str">
        <f t="shared" si="271"/>
        <v/>
      </c>
      <c r="AE2034" s="201"/>
      <c r="AF2034" s="231" t="str">
        <f>+IFERROR(VLOOKUP(L2034,Data!$F$4:$G$97,2,0),"")</f>
        <v/>
      </c>
    </row>
    <row r="2035" spans="9:32" ht="15" customHeight="1" x14ac:dyDescent="0.3">
      <c r="I2035" s="201" t="str">
        <f t="shared" si="264"/>
        <v/>
      </c>
      <c r="J2035" s="218">
        <f t="shared" si="265"/>
        <v>2032</v>
      </c>
      <c r="K2035" s="250"/>
      <c r="L2035" s="219"/>
      <c r="M2035" s="218"/>
      <c r="N2035" s="220" t="str">
        <f>IFERROR(VLOOKUP(M2035,Data!$C$4:$D$395,2,0),"")</f>
        <v/>
      </c>
      <c r="O2035" s="220"/>
      <c r="P2035" s="229"/>
      <c r="Q2035" s="221"/>
      <c r="R2035" s="222" t="str">
        <f t="shared" si="266"/>
        <v>-</v>
      </c>
      <c r="S2035" s="223"/>
      <c r="T2035" s="224"/>
      <c r="U2035" s="225">
        <f t="shared" si="267"/>
        <v>0</v>
      </c>
      <c r="V2035" s="226">
        <v>0</v>
      </c>
      <c r="W2035" s="227"/>
      <c r="X2035" s="228">
        <f t="shared" si="268"/>
        <v>0</v>
      </c>
      <c r="Y2035" s="229"/>
      <c r="Z2035" s="229"/>
      <c r="AA2035" s="229"/>
      <c r="AB2035" s="222">
        <f t="shared" si="269"/>
        <v>0</v>
      </c>
      <c r="AC2035" s="230">
        <f t="shared" si="270"/>
        <v>0</v>
      </c>
      <c r="AD2035" s="222" t="str">
        <f t="shared" si="271"/>
        <v/>
      </c>
      <c r="AE2035" s="201"/>
      <c r="AF2035" s="231" t="str">
        <f>+IFERROR(VLOOKUP(L2035,Data!$F$4:$G$97,2,0),"")</f>
        <v/>
      </c>
    </row>
    <row r="2036" spans="9:32" ht="15" customHeight="1" x14ac:dyDescent="0.3">
      <c r="I2036" s="201" t="str">
        <f t="shared" si="264"/>
        <v/>
      </c>
      <c r="J2036" s="218">
        <f t="shared" si="265"/>
        <v>2033</v>
      </c>
      <c r="K2036" s="250"/>
      <c r="L2036" s="219"/>
      <c r="M2036" s="218"/>
      <c r="N2036" s="220" t="str">
        <f>IFERROR(VLOOKUP(M2036,Data!$C$4:$D$395,2,0),"")</f>
        <v/>
      </c>
      <c r="O2036" s="220"/>
      <c r="P2036" s="229"/>
      <c r="Q2036" s="221"/>
      <c r="R2036" s="222" t="str">
        <f t="shared" si="266"/>
        <v>-</v>
      </c>
      <c r="S2036" s="223"/>
      <c r="T2036" s="224"/>
      <c r="U2036" s="225">
        <f t="shared" si="267"/>
        <v>0</v>
      </c>
      <c r="V2036" s="226">
        <v>0</v>
      </c>
      <c r="W2036" s="227"/>
      <c r="X2036" s="228">
        <f t="shared" si="268"/>
        <v>0</v>
      </c>
      <c r="Y2036" s="229"/>
      <c r="Z2036" s="229"/>
      <c r="AA2036" s="229"/>
      <c r="AB2036" s="222">
        <f t="shared" si="269"/>
        <v>0</v>
      </c>
      <c r="AC2036" s="230">
        <f t="shared" si="270"/>
        <v>0</v>
      </c>
      <c r="AD2036" s="222" t="str">
        <f t="shared" si="271"/>
        <v/>
      </c>
      <c r="AE2036" s="201"/>
      <c r="AF2036" s="231" t="str">
        <f>+IFERROR(VLOOKUP(L2036,Data!$F$4:$G$97,2,0),"")</f>
        <v/>
      </c>
    </row>
    <row r="2037" spans="9:32" ht="15" customHeight="1" x14ac:dyDescent="0.3">
      <c r="I2037" s="201" t="str">
        <f t="shared" si="264"/>
        <v/>
      </c>
      <c r="J2037" s="218">
        <f t="shared" si="265"/>
        <v>2034</v>
      </c>
      <c r="K2037" s="250"/>
      <c r="L2037" s="219"/>
      <c r="M2037" s="218"/>
      <c r="N2037" s="220" t="str">
        <f>IFERROR(VLOOKUP(M2037,Data!$C$4:$D$395,2,0),"")</f>
        <v/>
      </c>
      <c r="O2037" s="220"/>
      <c r="P2037" s="229"/>
      <c r="Q2037" s="221"/>
      <c r="R2037" s="222" t="str">
        <f t="shared" si="266"/>
        <v>-</v>
      </c>
      <c r="S2037" s="223"/>
      <c r="T2037" s="224"/>
      <c r="U2037" s="225">
        <f t="shared" si="267"/>
        <v>0</v>
      </c>
      <c r="V2037" s="226">
        <v>0</v>
      </c>
      <c r="W2037" s="227"/>
      <c r="X2037" s="228">
        <f t="shared" si="268"/>
        <v>0</v>
      </c>
      <c r="Y2037" s="229"/>
      <c r="Z2037" s="229"/>
      <c r="AA2037" s="229"/>
      <c r="AB2037" s="222">
        <f t="shared" si="269"/>
        <v>0</v>
      </c>
      <c r="AC2037" s="230">
        <f t="shared" si="270"/>
        <v>0</v>
      </c>
      <c r="AD2037" s="222" t="str">
        <f t="shared" si="271"/>
        <v/>
      </c>
      <c r="AE2037" s="201"/>
      <c r="AF2037" s="231" t="str">
        <f>+IFERROR(VLOOKUP(L2037,Data!$F$4:$G$97,2,0),"")</f>
        <v/>
      </c>
    </row>
    <row r="2038" spans="9:32" ht="15" customHeight="1" x14ac:dyDescent="0.3">
      <c r="I2038" s="201" t="str">
        <f t="shared" si="264"/>
        <v/>
      </c>
      <c r="J2038" s="218">
        <f t="shared" si="265"/>
        <v>2035</v>
      </c>
      <c r="K2038" s="250"/>
      <c r="L2038" s="219"/>
      <c r="M2038" s="218"/>
      <c r="N2038" s="220" t="str">
        <f>IFERROR(VLOOKUP(M2038,Data!$C$4:$D$395,2,0),"")</f>
        <v/>
      </c>
      <c r="O2038" s="220"/>
      <c r="P2038" s="229"/>
      <c r="Q2038" s="221"/>
      <c r="R2038" s="222" t="str">
        <f t="shared" si="266"/>
        <v>-</v>
      </c>
      <c r="S2038" s="223"/>
      <c r="T2038" s="224"/>
      <c r="U2038" s="225">
        <f t="shared" si="267"/>
        <v>0</v>
      </c>
      <c r="V2038" s="226">
        <v>0</v>
      </c>
      <c r="W2038" s="227"/>
      <c r="X2038" s="228">
        <f t="shared" si="268"/>
        <v>0</v>
      </c>
      <c r="Y2038" s="229"/>
      <c r="Z2038" s="229"/>
      <c r="AA2038" s="229"/>
      <c r="AB2038" s="222">
        <f t="shared" si="269"/>
        <v>0</v>
      </c>
      <c r="AC2038" s="230">
        <f t="shared" si="270"/>
        <v>0</v>
      </c>
      <c r="AD2038" s="222" t="str">
        <f t="shared" si="271"/>
        <v/>
      </c>
      <c r="AE2038" s="201"/>
      <c r="AF2038" s="231" t="str">
        <f>+IFERROR(VLOOKUP(L2038,Data!$F$4:$G$97,2,0),"")</f>
        <v/>
      </c>
    </row>
    <row r="2039" spans="9:32" ht="15" customHeight="1" x14ac:dyDescent="0.3">
      <c r="I2039" s="201" t="str">
        <f t="shared" si="264"/>
        <v/>
      </c>
      <c r="J2039" s="218">
        <f t="shared" si="265"/>
        <v>2036</v>
      </c>
      <c r="K2039" s="250"/>
      <c r="L2039" s="219"/>
      <c r="M2039" s="218"/>
      <c r="N2039" s="220" t="str">
        <f>IFERROR(VLOOKUP(M2039,Data!$C$4:$D$395,2,0),"")</f>
        <v/>
      </c>
      <c r="O2039" s="220"/>
      <c r="P2039" s="229"/>
      <c r="Q2039" s="221"/>
      <c r="R2039" s="222" t="str">
        <f t="shared" si="266"/>
        <v>-</v>
      </c>
      <c r="S2039" s="223"/>
      <c r="T2039" s="224"/>
      <c r="U2039" s="225">
        <f t="shared" si="267"/>
        <v>0</v>
      </c>
      <c r="V2039" s="226">
        <v>0</v>
      </c>
      <c r="W2039" s="227"/>
      <c r="X2039" s="228">
        <f t="shared" si="268"/>
        <v>0</v>
      </c>
      <c r="Y2039" s="229"/>
      <c r="Z2039" s="229"/>
      <c r="AA2039" s="229"/>
      <c r="AB2039" s="222">
        <f t="shared" si="269"/>
        <v>0</v>
      </c>
      <c r="AC2039" s="230">
        <f t="shared" si="270"/>
        <v>0</v>
      </c>
      <c r="AD2039" s="222" t="str">
        <f t="shared" si="271"/>
        <v/>
      </c>
      <c r="AE2039" s="201"/>
      <c r="AF2039" s="231" t="str">
        <f>+IFERROR(VLOOKUP(L2039,Data!$F$4:$G$97,2,0),"")</f>
        <v/>
      </c>
    </row>
    <row r="2040" spans="9:32" ht="15" customHeight="1" x14ac:dyDescent="0.3">
      <c r="I2040" s="201" t="str">
        <f t="shared" si="264"/>
        <v/>
      </c>
      <c r="J2040" s="218">
        <f t="shared" si="265"/>
        <v>2037</v>
      </c>
      <c r="K2040" s="250"/>
      <c r="L2040" s="219"/>
      <c r="M2040" s="218"/>
      <c r="N2040" s="220" t="str">
        <f>IFERROR(VLOOKUP(M2040,Data!$C$4:$D$395,2,0),"")</f>
        <v/>
      </c>
      <c r="O2040" s="220"/>
      <c r="P2040" s="229"/>
      <c r="Q2040" s="221"/>
      <c r="R2040" s="222" t="str">
        <f t="shared" si="266"/>
        <v>-</v>
      </c>
      <c r="S2040" s="223"/>
      <c r="T2040" s="224"/>
      <c r="U2040" s="225">
        <f t="shared" si="267"/>
        <v>0</v>
      </c>
      <c r="V2040" s="226">
        <v>0</v>
      </c>
      <c r="W2040" s="227"/>
      <c r="X2040" s="228">
        <f t="shared" si="268"/>
        <v>0</v>
      </c>
      <c r="Y2040" s="229"/>
      <c r="Z2040" s="229"/>
      <c r="AA2040" s="229"/>
      <c r="AB2040" s="222">
        <f t="shared" si="269"/>
        <v>0</v>
      </c>
      <c r="AC2040" s="230">
        <f t="shared" si="270"/>
        <v>0</v>
      </c>
      <c r="AD2040" s="222" t="str">
        <f t="shared" si="271"/>
        <v/>
      </c>
      <c r="AE2040" s="201"/>
      <c r="AF2040" s="231" t="str">
        <f>+IFERROR(VLOOKUP(L2040,Data!$F$4:$G$97,2,0),"")</f>
        <v/>
      </c>
    </row>
    <row r="2041" spans="9:32" ht="15" customHeight="1" x14ac:dyDescent="0.3">
      <c r="I2041" s="201" t="str">
        <f t="shared" si="264"/>
        <v/>
      </c>
      <c r="J2041" s="218">
        <f t="shared" si="265"/>
        <v>2038</v>
      </c>
      <c r="K2041" s="250"/>
      <c r="L2041" s="219"/>
      <c r="M2041" s="218"/>
      <c r="N2041" s="220" t="str">
        <f>IFERROR(VLOOKUP(M2041,Data!$C$4:$D$395,2,0),"")</f>
        <v/>
      </c>
      <c r="O2041" s="220"/>
      <c r="P2041" s="229"/>
      <c r="Q2041" s="221"/>
      <c r="R2041" s="222" t="str">
        <f t="shared" si="266"/>
        <v>-</v>
      </c>
      <c r="S2041" s="223"/>
      <c r="T2041" s="224"/>
      <c r="U2041" s="225">
        <f t="shared" si="267"/>
        <v>0</v>
      </c>
      <c r="V2041" s="226">
        <v>0</v>
      </c>
      <c r="W2041" s="227"/>
      <c r="X2041" s="228">
        <f t="shared" si="268"/>
        <v>0</v>
      </c>
      <c r="Y2041" s="229"/>
      <c r="Z2041" s="229"/>
      <c r="AA2041" s="229"/>
      <c r="AB2041" s="222">
        <f t="shared" si="269"/>
        <v>0</v>
      </c>
      <c r="AC2041" s="230">
        <f t="shared" si="270"/>
        <v>0</v>
      </c>
      <c r="AD2041" s="222" t="str">
        <f t="shared" si="271"/>
        <v/>
      </c>
      <c r="AE2041" s="201"/>
      <c r="AF2041" s="231" t="str">
        <f>+IFERROR(VLOOKUP(L2041,Data!$F$4:$G$97,2,0),"")</f>
        <v/>
      </c>
    </row>
    <row r="2042" spans="9:32" ht="15" customHeight="1" x14ac:dyDescent="0.3">
      <c r="I2042" s="201" t="str">
        <f t="shared" si="264"/>
        <v/>
      </c>
      <c r="J2042" s="218">
        <f t="shared" si="265"/>
        <v>2039</v>
      </c>
      <c r="K2042" s="250"/>
      <c r="L2042" s="219"/>
      <c r="M2042" s="218"/>
      <c r="N2042" s="220" t="str">
        <f>IFERROR(VLOOKUP(M2042,Data!$C$4:$D$395,2,0),"")</f>
        <v/>
      </c>
      <c r="O2042" s="220"/>
      <c r="P2042" s="229"/>
      <c r="Q2042" s="221"/>
      <c r="R2042" s="222" t="str">
        <f t="shared" si="266"/>
        <v>-</v>
      </c>
      <c r="S2042" s="223"/>
      <c r="T2042" s="224"/>
      <c r="U2042" s="225">
        <f t="shared" si="267"/>
        <v>0</v>
      </c>
      <c r="V2042" s="226">
        <v>0</v>
      </c>
      <c r="W2042" s="227"/>
      <c r="X2042" s="228">
        <f t="shared" si="268"/>
        <v>0</v>
      </c>
      <c r="Y2042" s="229"/>
      <c r="Z2042" s="229"/>
      <c r="AA2042" s="229"/>
      <c r="AB2042" s="222">
        <f t="shared" si="269"/>
        <v>0</v>
      </c>
      <c r="AC2042" s="230">
        <f t="shared" si="270"/>
        <v>0</v>
      </c>
      <c r="AD2042" s="222" t="str">
        <f t="shared" si="271"/>
        <v/>
      </c>
      <c r="AE2042" s="201"/>
      <c r="AF2042" s="231" t="str">
        <f>+IFERROR(VLOOKUP(L2042,Data!$F$4:$G$97,2,0),"")</f>
        <v/>
      </c>
    </row>
    <row r="2043" spans="9:32" x14ac:dyDescent="0.3">
      <c r="T2043" s="56"/>
    </row>
    <row r="2044" spans="9:32" x14ac:dyDescent="0.3">
      <c r="T2044" s="56"/>
    </row>
    <row r="2045" spans="9:32" x14ac:dyDescent="0.3">
      <c r="T2045" s="56"/>
    </row>
    <row r="2046" spans="9:32" x14ac:dyDescent="0.3">
      <c r="T2046" s="56"/>
    </row>
    <row r="2047" spans="9:32" x14ac:dyDescent="0.3">
      <c r="T2047" s="56"/>
      <c r="Y2047" s="14" t="s">
        <v>95</v>
      </c>
    </row>
    <row r="2048" spans="9:32" x14ac:dyDescent="0.3">
      <c r="N2048" s="11"/>
      <c r="T2048" s="56"/>
      <c r="U2048" s="59"/>
    </row>
    <row r="2049" spans="20:26" x14ac:dyDescent="0.3">
      <c r="T2049" s="56"/>
    </row>
    <row r="2059" spans="20:26" x14ac:dyDescent="0.3">
      <c r="Z2059" s="14" t="s">
        <v>154</v>
      </c>
    </row>
  </sheetData>
  <autoFilter ref="B3:AF2042" xr:uid="{00000000-0009-0000-0000-000003000000}">
    <filterColumn colId="0" showButton="0"/>
  </autoFilter>
  <mergeCells count="1">
    <mergeCell ref="B3:C3"/>
  </mergeCells>
  <phoneticPr fontId="25" type="noConversion"/>
  <conditionalFormatting sqref="I3">
    <cfRule type="containsText" dxfId="63" priority="2443" operator="containsText" text="tiger thanh hóa">
      <formula>NOT(ISERROR(SEARCH("tiger thanh hóa",I3)))</formula>
    </cfRule>
    <cfRule type="containsText" dxfId="62" priority="2444" operator="containsText" text="lục ngạn">
      <formula>NOT(ISERROR(SEARCH("lục ngạn",I3)))</formula>
    </cfRule>
    <cfRule type="containsText" dxfId="61" priority="2445" operator="containsText" text="phú thọ 2">
      <formula>NOT(ISERROR(SEARCH("phú thọ 2",I3)))</formula>
    </cfRule>
    <cfRule type="containsText" dxfId="60" priority="2446" operator="containsText" text="phú thọ">
      <formula>NOT(ISERROR(SEARCH("phú thọ",I3)))</formula>
    </cfRule>
    <cfRule type="containsText" dxfId="59" priority="2447" operator="containsText" text="thái nguyên">
      <formula>NOT(ISERROR(SEARCH("thái nguyên",I3)))</formula>
    </cfRule>
    <cfRule type="containsText" dxfId="58" priority="2448" operator="containsText" text="bắc giang nái">
      <formula>NOT(ISERROR(SEARCH("bắc giang nái",I3)))</formula>
    </cfRule>
    <cfRule type="containsText" dxfId="57" priority="2449" operator="containsText" text="bắc giang thịt">
      <formula>NOT(ISERROR(SEARCH("bắc giang thịt",I3)))</formula>
    </cfRule>
    <cfRule type="containsText" dxfId="56" priority="2450" operator="containsText" text="Vĩnh phúc nái">
      <formula>NOT(ISERROR(SEARCH("Vĩnh phúc nái",I3)))</formula>
    </cfRule>
    <cfRule type="containsText" dxfId="55" priority="2451" operator="containsText" text="Vĩnh phúc thịt">
      <formula>NOT(ISERROR(SEARCH("Vĩnh phúc thịt",I3)))</formula>
    </cfRule>
  </conditionalFormatting>
  <conditionalFormatting sqref="K2043:L1048576 M2044:R1048576">
    <cfRule type="containsText" dxfId="54" priority="4155" operator="containsText" text="Vĩnh phúc nái">
      <formula>NOT(ISERROR(SEARCH("Vĩnh phúc nái",K2043)))</formula>
    </cfRule>
    <cfRule type="containsText" dxfId="53" priority="4156" operator="containsText" text="Vĩnh phúc thịt">
      <formula>NOT(ISERROR(SEARCH("Vĩnh phúc thịt",K2043)))</formula>
    </cfRule>
  </conditionalFormatting>
  <conditionalFormatting sqref="N2043:R2043 K1:R8 K10:R2042 K9:L9 N9:R9">
    <cfRule type="containsText" dxfId="52" priority="12" operator="containsText" text="Vĩnh phúc nái">
      <formula>NOT(ISERROR(SEARCH("Vĩnh phúc nái",K1)))</formula>
    </cfRule>
  </conditionalFormatting>
  <conditionalFormatting sqref="K1:R8 K10:R2042 K9:L9 N9:R9">
    <cfRule type="containsText" dxfId="51" priority="731" operator="containsText" text="Vĩnh phúc thịt">
      <formula>NOT(ISERROR(SEARCH("Vĩnh phúc thịt",K1)))</formula>
    </cfRule>
  </conditionalFormatting>
  <conditionalFormatting sqref="L1:L1048576">
    <cfRule type="containsText" dxfId="50" priority="5" operator="containsText" text="tiger thanh hóa">
      <formula>NOT(ISERROR(SEARCH("tiger thanh hóa",L1)))</formula>
    </cfRule>
    <cfRule type="containsText" dxfId="49" priority="6" operator="containsText" text="lục ngạn">
      <formula>NOT(ISERROR(SEARCH("lục ngạn",L1)))</formula>
    </cfRule>
    <cfRule type="containsText" dxfId="48" priority="7" operator="containsText" text="phú thọ 2">
      <formula>NOT(ISERROR(SEARCH("phú thọ 2",L1)))</formula>
    </cfRule>
    <cfRule type="containsText" dxfId="47" priority="8" operator="containsText" text="phú thọ">
      <formula>NOT(ISERROR(SEARCH("phú thọ",L1)))</formula>
    </cfRule>
    <cfRule type="containsText" dxfId="46" priority="9" operator="containsText" text="thái nguyên">
      <formula>NOT(ISERROR(SEARCH("thái nguyên",L1)))</formula>
    </cfRule>
    <cfRule type="containsText" dxfId="45" priority="10" operator="containsText" text="bắc giang nái">
      <formula>NOT(ISERROR(SEARCH("bắc giang nái",L1)))</formula>
    </cfRule>
    <cfRule type="containsText" dxfId="44" priority="11" operator="containsText" text="bắc giang thịt">
      <formula>NOT(ISERROR(SEARCH("bắc giang thịt",L1)))</formula>
    </cfRule>
  </conditionalFormatting>
  <conditionalFormatting sqref="L4:L1048576">
    <cfRule type="containsText" dxfId="43" priority="3" operator="containsText" text="Yên Bái">
      <formula>NOT(ISERROR(SEARCH("Yên Bái",L4)))</formula>
    </cfRule>
    <cfRule type="containsText" dxfId="42" priority="4" operator="containsText" text="Phú Xuyên">
      <formula>NOT(ISERROR(SEARCH("Phú Xuyên",L4)))</formula>
    </cfRule>
  </conditionalFormatting>
  <conditionalFormatting sqref="N2043:R2043">
    <cfRule type="containsText" dxfId="41" priority="1" operator="containsText" text="Vĩnh phúc thịt">
      <formula>NOT(ISERROR(SEARCH("Vĩnh phúc thịt",N2043)))</formula>
    </cfRule>
  </conditionalFormatting>
  <conditionalFormatting sqref="AC4:AD1048576">
    <cfRule type="cellIs" dxfId="40" priority="2" operator="lessThan">
      <formula>0</formula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Data!$C$4:$C$100</xm:f>
          </x14:formula1>
          <xm:sqref>N2048 M2044:M1048576</xm:sqref>
        </x14:dataValidation>
        <x14:dataValidation type="list" allowBlank="1" showInputMessage="1" showErrorMessage="1" xr:uid="{00000000-0002-0000-0300-000001000000}">
          <x14:formula1>
            <xm:f>Data!$C$4:$C$200</xm:f>
          </x14:formula1>
          <xm:sqref>M4:M8 M10:M2042</xm:sqref>
        </x14:dataValidation>
        <x14:dataValidation type="list" allowBlank="1" showInputMessage="1" showErrorMessage="1" xr:uid="{00000000-0002-0000-0300-000002000000}">
          <x14:formula1>
            <xm:f>Data!$F$4:$F$24</xm:f>
          </x14:formula1>
          <xm:sqref>L4:L1048576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Y156"/>
  <sheetViews>
    <sheetView topLeftCell="F1" zoomScale="98" zoomScaleNormal="98" workbookViewId="0">
      <selection activeCell="J9" sqref="J9"/>
    </sheetView>
  </sheetViews>
  <sheetFormatPr defaultRowHeight="14.4" x14ac:dyDescent="0.3"/>
  <cols>
    <col min="2" max="2" width="6.44140625" customWidth="1"/>
    <col min="3" max="3" width="25" customWidth="1"/>
    <col min="4" max="4" width="31.88671875" bestFit="1" customWidth="1"/>
    <col min="6" max="6" width="26.109375" bestFit="1" customWidth="1"/>
    <col min="7" max="7" width="27.109375" customWidth="1"/>
    <col min="9" max="9" width="6.44140625" customWidth="1"/>
    <col min="10" max="10" width="34.44140625" customWidth="1"/>
    <col min="11" max="11" width="31.88671875" bestFit="1" customWidth="1"/>
    <col min="13" max="13" width="21" bestFit="1" customWidth="1"/>
    <col min="15" max="15" width="18.5546875" customWidth="1"/>
    <col min="16" max="16" width="3.44140625" customWidth="1"/>
    <col min="17" max="17" width="12.5546875" customWidth="1"/>
    <col min="18" max="18" width="16.88671875" bestFit="1" customWidth="1"/>
    <col min="19" max="19" width="17.109375" bestFit="1" customWidth="1"/>
    <col min="20" max="20" width="19.109375" customWidth="1"/>
    <col min="21" max="21" width="14.88671875" customWidth="1"/>
    <col min="22" max="22" width="14.33203125" customWidth="1"/>
    <col min="23" max="23" width="15.33203125" bestFit="1" customWidth="1"/>
    <col min="24" max="24" width="16.5546875" bestFit="1" customWidth="1"/>
    <col min="25" max="25" width="16.5546875" customWidth="1"/>
    <col min="26" max="27" width="14.33203125" bestFit="1" customWidth="1"/>
    <col min="28" max="28" width="18.44140625" bestFit="1" customWidth="1"/>
  </cols>
  <sheetData>
    <row r="1" spans="2:25" x14ac:dyDescent="0.3">
      <c r="B1" s="302" t="s">
        <v>65</v>
      </c>
      <c r="C1" s="302"/>
      <c r="D1" s="302"/>
      <c r="I1" s="303" t="s">
        <v>66</v>
      </c>
      <c r="J1" s="303"/>
      <c r="K1" s="303"/>
    </row>
    <row r="2" spans="2:25" x14ac:dyDescent="0.3">
      <c r="O2" s="110">
        <f ca="1">+TODAY()</f>
        <v>45941</v>
      </c>
      <c r="P2" s="110"/>
      <c r="Q2" s="115">
        <f ca="1">+DAY(O2)</f>
        <v>11</v>
      </c>
      <c r="R2" s="115">
        <f ca="1">+MONTH(O2)</f>
        <v>10</v>
      </c>
    </row>
    <row r="3" spans="2:25" ht="15.6" x14ac:dyDescent="0.3">
      <c r="B3" s="2" t="s">
        <v>2</v>
      </c>
      <c r="C3" s="3" t="s">
        <v>0</v>
      </c>
      <c r="D3" s="3" t="s">
        <v>1</v>
      </c>
      <c r="F3" s="65" t="s">
        <v>27</v>
      </c>
      <c r="G3" s="65" t="s">
        <v>127</v>
      </c>
      <c r="I3" s="2" t="s">
        <v>2</v>
      </c>
      <c r="J3" s="64" t="s">
        <v>0</v>
      </c>
      <c r="K3" s="64" t="s">
        <v>1</v>
      </c>
      <c r="M3" s="65" t="s">
        <v>27</v>
      </c>
      <c r="O3" t="s">
        <v>91</v>
      </c>
      <c r="Q3" s="114" t="s">
        <v>3</v>
      </c>
      <c r="R3" s="114" t="s">
        <v>13</v>
      </c>
      <c r="S3" s="114" t="s">
        <v>92</v>
      </c>
      <c r="T3" s="114" t="s">
        <v>10</v>
      </c>
    </row>
    <row r="4" spans="2:25" ht="15" customHeight="1" x14ac:dyDescent="0.3">
      <c r="B4" s="1">
        <v>1</v>
      </c>
      <c r="C4" s="2"/>
      <c r="D4" s="10"/>
      <c r="F4" s="1" t="s">
        <v>28</v>
      </c>
      <c r="G4" s="1" t="s">
        <v>116</v>
      </c>
      <c r="I4" s="1">
        <v>1</v>
      </c>
      <c r="J4" s="2"/>
      <c r="K4" s="10"/>
      <c r="M4" s="1" t="s">
        <v>31</v>
      </c>
      <c r="O4" s="3" t="s">
        <v>168</v>
      </c>
      <c r="Q4" s="111">
        <v>45930</v>
      </c>
      <c r="R4" s="112">
        <f>+SUMIFS('Heo thịt_Nhập dữ liệu hàng ngày'!$U:$U,'Heo thịt_Nhập dữ liệu hàng ngày'!$M:$M,Data!$O$4,'Heo thịt_Nhập dữ liệu hàng ngày'!$K:$K,Data!$Q4)</f>
        <v>0</v>
      </c>
      <c r="S4" s="116">
        <f>+SUMIFS('Heo thịt_Nhập dữ liệu hàng ngày'!$AB:$AB,'Heo thịt_Nhập dữ liệu hàng ngày'!$M:$M,Data!$O$4,'Heo thịt_Nhập dữ liệu hàng ngày'!$K:$K,Data!$Q4)</f>
        <v>0</v>
      </c>
      <c r="T4" s="304" t="str">
        <f ca="1">+O4&amp;" chốt ngày "&amp;Q2&amp;"/"&amp;R2</f>
        <v>Nguyễn văn tuy chốt ngày 11/10</v>
      </c>
      <c r="U4" s="246"/>
      <c r="V4" s="59"/>
      <c r="W4" s="59"/>
      <c r="X4" s="59"/>
    </row>
    <row r="5" spans="2:25" x14ac:dyDescent="0.3">
      <c r="B5" s="1">
        <v>2</v>
      </c>
      <c r="C5" s="2" t="s">
        <v>153</v>
      </c>
      <c r="D5" s="10" t="s">
        <v>171</v>
      </c>
      <c r="F5" s="1" t="s">
        <v>29</v>
      </c>
      <c r="G5" s="1" t="s">
        <v>116</v>
      </c>
      <c r="I5" s="1">
        <v>2</v>
      </c>
      <c r="J5" s="2" t="s">
        <v>175</v>
      </c>
      <c r="K5" s="10" t="s">
        <v>174</v>
      </c>
      <c r="M5" s="1" t="s">
        <v>32</v>
      </c>
      <c r="Q5" s="111">
        <f>Q4+1</f>
        <v>45931</v>
      </c>
      <c r="R5" s="112">
        <f>+SUMIFS('Heo thịt_Nhập dữ liệu hàng ngày'!$U:$U,'Heo thịt_Nhập dữ liệu hàng ngày'!$M:$M,Data!$O$4,'Heo thịt_Nhập dữ liệu hàng ngày'!$K:$K,Data!$Q5)</f>
        <v>0</v>
      </c>
      <c r="S5" s="112">
        <f>+SUMIFS('Heo thịt_Nhập dữ liệu hàng ngày'!$AB:$AB,'Heo thịt_Nhập dữ liệu hàng ngày'!$M:$M,Data!$O$4,'Heo thịt_Nhập dữ liệu hàng ngày'!$K:$K,Data!$Q5)</f>
        <v>0</v>
      </c>
      <c r="T5" s="305"/>
      <c r="V5" s="59"/>
      <c r="W5" s="59"/>
      <c r="X5" s="59"/>
    </row>
    <row r="6" spans="2:25" ht="15" customHeight="1" x14ac:dyDescent="0.3">
      <c r="B6" s="1">
        <v>3</v>
      </c>
      <c r="C6" s="2"/>
      <c r="D6" s="10"/>
      <c r="F6" s="1" t="s">
        <v>26</v>
      </c>
      <c r="G6" s="1" t="s">
        <v>116</v>
      </c>
      <c r="I6" s="1">
        <v>3</v>
      </c>
      <c r="J6" s="2"/>
      <c r="K6" s="10"/>
      <c r="M6" s="1" t="s">
        <v>98</v>
      </c>
      <c r="Q6" s="111">
        <f t="shared" ref="Q6:Q35" si="0">Q5+1</f>
        <v>45932</v>
      </c>
      <c r="R6" s="112">
        <f>+SUMIFS('Heo thịt_Nhập dữ liệu hàng ngày'!$U:$U,'Heo thịt_Nhập dữ liệu hàng ngày'!$M:$M,Data!$O$4,'Heo thịt_Nhập dữ liệu hàng ngày'!$K:$K,Data!$Q6)</f>
        <v>0</v>
      </c>
      <c r="S6" s="112">
        <f>+SUMIFS('Heo thịt_Nhập dữ liệu hàng ngày'!$AB:$AB,'Heo thịt_Nhập dữ liệu hàng ngày'!$M:$M,Data!$O$4,'Heo thịt_Nhập dữ liệu hàng ngày'!$K:$K,Data!$Q6)</f>
        <v>0</v>
      </c>
      <c r="T6" s="305"/>
      <c r="V6" s="59"/>
      <c r="W6" s="59"/>
      <c r="X6" s="59"/>
    </row>
    <row r="7" spans="2:25" x14ac:dyDescent="0.3">
      <c r="B7" s="1">
        <v>4</v>
      </c>
      <c r="C7" s="2" t="s">
        <v>62</v>
      </c>
      <c r="D7" s="10" t="s">
        <v>174</v>
      </c>
      <c r="F7" s="1" t="s">
        <v>30</v>
      </c>
      <c r="G7" s="1" t="s">
        <v>116</v>
      </c>
      <c r="I7" s="1">
        <v>4</v>
      </c>
      <c r="J7" s="2"/>
      <c r="K7" s="10"/>
      <c r="M7" s="1" t="s">
        <v>104</v>
      </c>
      <c r="Q7" s="111">
        <f t="shared" si="0"/>
        <v>45933</v>
      </c>
      <c r="R7" s="112">
        <f>+SUMIFS('Heo thịt_Nhập dữ liệu hàng ngày'!$U:$U,'Heo thịt_Nhập dữ liệu hàng ngày'!$M:$M,Data!$O$4,'Heo thịt_Nhập dữ liệu hàng ngày'!$K:$K,Data!$Q7)</f>
        <v>0</v>
      </c>
      <c r="S7" s="112">
        <f>+SUMIFS('Heo thịt_Nhập dữ liệu hàng ngày'!$AB:$AB,'Heo thịt_Nhập dữ liệu hàng ngày'!$M:$M,Data!$O$4,'Heo thịt_Nhập dữ liệu hàng ngày'!$K:$K,Data!$Q7)</f>
        <v>0</v>
      </c>
      <c r="T7" s="305"/>
      <c r="U7" s="246"/>
      <c r="V7" s="59"/>
      <c r="W7" s="59"/>
      <c r="X7" s="59"/>
    </row>
    <row r="8" spans="2:25" x14ac:dyDescent="0.3">
      <c r="B8" s="1">
        <v>5</v>
      </c>
      <c r="C8" s="2"/>
      <c r="D8" s="10"/>
      <c r="F8" s="1" t="s">
        <v>31</v>
      </c>
      <c r="G8" s="1" t="s">
        <v>116</v>
      </c>
      <c r="I8" s="1">
        <v>5</v>
      </c>
      <c r="J8" s="2"/>
      <c r="K8" s="10"/>
      <c r="M8" s="1" t="s">
        <v>33</v>
      </c>
      <c r="Q8" s="111">
        <f t="shared" si="0"/>
        <v>45934</v>
      </c>
      <c r="R8" s="112">
        <f>+SUMIFS('Heo thịt_Nhập dữ liệu hàng ngày'!$U:$U,'Heo thịt_Nhập dữ liệu hàng ngày'!$M:$M,Data!$O$4,'Heo thịt_Nhập dữ liệu hàng ngày'!$K:$K,Data!$Q8)</f>
        <v>0</v>
      </c>
      <c r="S8" s="112">
        <f>+SUMIFS('Heo thịt_Nhập dữ liệu hàng ngày'!$AB:$AB,'Heo thịt_Nhập dữ liệu hàng ngày'!$M:$M,Data!$O$4,'Heo thịt_Nhập dữ liệu hàng ngày'!$K:$K,Data!$Q8)</f>
        <v>0</v>
      </c>
      <c r="T8" s="305"/>
      <c r="U8" s="246"/>
      <c r="V8" s="59"/>
      <c r="W8" s="59"/>
      <c r="X8" s="59"/>
    </row>
    <row r="9" spans="2:25" x14ac:dyDescent="0.3">
      <c r="B9" s="1">
        <v>6</v>
      </c>
      <c r="C9" s="2"/>
      <c r="D9" s="10"/>
      <c r="F9" s="1" t="s">
        <v>32</v>
      </c>
      <c r="G9" s="1" t="s">
        <v>122</v>
      </c>
      <c r="I9" s="1">
        <v>6</v>
      </c>
      <c r="J9" s="2"/>
      <c r="K9" s="10"/>
      <c r="M9" s="1" t="s">
        <v>103</v>
      </c>
      <c r="Q9" s="111">
        <f t="shared" si="0"/>
        <v>45935</v>
      </c>
      <c r="R9" s="112">
        <f>+SUMIFS('Heo thịt_Nhập dữ liệu hàng ngày'!$U:$U,'Heo thịt_Nhập dữ liệu hàng ngày'!$M:$M,Data!$O$4,'Heo thịt_Nhập dữ liệu hàng ngày'!$K:$K,Data!$Q9)</f>
        <v>0</v>
      </c>
      <c r="S9" s="112">
        <f>+SUMIFS('Heo thịt_Nhập dữ liệu hàng ngày'!$AB:$AB,'Heo thịt_Nhập dữ liệu hàng ngày'!$M:$M,Data!$O$4,'Heo thịt_Nhập dữ liệu hàng ngày'!$K:$K,Data!$Q9)</f>
        <v>0</v>
      </c>
      <c r="T9" s="305"/>
      <c r="V9" s="59"/>
      <c r="W9" s="59"/>
      <c r="X9" s="59"/>
    </row>
    <row r="10" spans="2:25" ht="15.6" x14ac:dyDescent="0.3">
      <c r="B10" s="1">
        <v>7</v>
      </c>
      <c r="C10" s="2"/>
      <c r="D10" s="10"/>
      <c r="F10" s="1" t="s">
        <v>39</v>
      </c>
      <c r="G10" s="1" t="s">
        <v>116</v>
      </c>
      <c r="I10" s="1">
        <v>7</v>
      </c>
      <c r="J10" s="2"/>
      <c r="K10" s="10"/>
      <c r="M10" s="1"/>
      <c r="Q10" s="111">
        <f t="shared" si="0"/>
        <v>45936</v>
      </c>
      <c r="R10" s="112">
        <f>+SUMIFS('Heo thịt_Nhập dữ liệu hàng ngày'!$U:$U,'Heo thịt_Nhập dữ liệu hàng ngày'!$M:$M,Data!$O$4,'Heo thịt_Nhập dữ liệu hàng ngày'!$K:$K,Data!$Q10)</f>
        <v>0</v>
      </c>
      <c r="S10" s="112">
        <f>+SUMIFS('Heo thịt_Nhập dữ liệu hàng ngày'!$AB:$AB,'Heo thịt_Nhập dữ liệu hàng ngày'!$M:$M,Data!$O$4,'Heo thịt_Nhập dữ liệu hàng ngày'!$K:$K,Data!$Q10)</f>
        <v>0</v>
      </c>
      <c r="T10" s="305"/>
      <c r="V10" s="114" t="s">
        <v>3</v>
      </c>
      <c r="W10" s="114" t="s">
        <v>13</v>
      </c>
      <c r="X10" s="114" t="s">
        <v>92</v>
      </c>
      <c r="Y10" s="114" t="s">
        <v>150</v>
      </c>
    </row>
    <row r="11" spans="2:25" x14ac:dyDescent="0.3">
      <c r="B11" s="1">
        <v>8</v>
      </c>
      <c r="C11" s="2"/>
      <c r="D11" s="10"/>
      <c r="F11" s="1" t="s">
        <v>64</v>
      </c>
      <c r="G11" s="1" t="s">
        <v>122</v>
      </c>
      <c r="I11" s="1">
        <v>8</v>
      </c>
      <c r="J11" s="2"/>
      <c r="K11" s="10"/>
      <c r="M11" s="1"/>
      <c r="O11" s="59"/>
      <c r="Q11" s="111">
        <f t="shared" si="0"/>
        <v>45937</v>
      </c>
      <c r="R11" s="112">
        <f>+SUMIFS('Heo thịt_Nhập dữ liệu hàng ngày'!$U:$U,'Heo thịt_Nhập dữ liệu hàng ngày'!$M:$M,Data!$O$4,'Heo thịt_Nhập dữ liệu hàng ngày'!$K:$K,Data!$Q11)</f>
        <v>0</v>
      </c>
      <c r="S11" s="112">
        <f>+SUMIFS('Heo thịt_Nhập dữ liệu hàng ngày'!$AB:$AB,'Heo thịt_Nhập dữ liệu hàng ngày'!$M:$M,Data!$O$4,'Heo thịt_Nhập dữ liệu hàng ngày'!$K:$K,Data!$Q11)</f>
        <v>0</v>
      </c>
      <c r="T11" s="305"/>
      <c r="V11" s="253" t="s">
        <v>34</v>
      </c>
      <c r="W11" s="254"/>
      <c r="X11" s="254"/>
      <c r="Y11" s="255"/>
    </row>
    <row r="12" spans="2:25" x14ac:dyDescent="0.3">
      <c r="B12" s="1">
        <v>9</v>
      </c>
      <c r="C12" s="2"/>
      <c r="D12" s="10"/>
      <c r="F12" s="1" t="s">
        <v>104</v>
      </c>
      <c r="G12" s="1" t="s">
        <v>122</v>
      </c>
      <c r="I12" s="1">
        <v>9</v>
      </c>
      <c r="J12" s="2"/>
      <c r="K12" s="10"/>
      <c r="M12" s="1"/>
      <c r="Q12" s="111">
        <f t="shared" si="0"/>
        <v>45938</v>
      </c>
      <c r="R12" s="112">
        <f>+SUMIFS('Heo thịt_Nhập dữ liệu hàng ngày'!$U:$U,'Heo thịt_Nhập dữ liệu hàng ngày'!$M:$M,Data!$O$4,'Heo thịt_Nhập dữ liệu hàng ngày'!$K:$K,Data!$Q12)</f>
        <v>0</v>
      </c>
      <c r="S12" s="112">
        <f>+SUMIFS('Heo thịt_Nhập dữ liệu hàng ngày'!$AB:$AB,'Heo thịt_Nhập dữ liệu hàng ngày'!$M:$M,Data!$O$4,'Heo thịt_Nhập dữ liệu hàng ngày'!$K:$K,Data!$Q12)</f>
        <v>0</v>
      </c>
      <c r="T12" s="305"/>
      <c r="V12" s="111">
        <v>45380</v>
      </c>
      <c r="W12" s="112"/>
      <c r="X12" s="112"/>
      <c r="Y12" s="252"/>
    </row>
    <row r="13" spans="2:25" x14ac:dyDescent="0.3">
      <c r="B13" s="1">
        <v>10</v>
      </c>
      <c r="C13" s="2"/>
      <c r="D13" s="10"/>
      <c r="F13" s="1" t="s">
        <v>33</v>
      </c>
      <c r="G13" s="1" t="s">
        <v>116</v>
      </c>
      <c r="I13" s="1">
        <v>10</v>
      </c>
      <c r="J13" s="2"/>
      <c r="K13" s="10"/>
      <c r="M13" s="1"/>
      <c r="O13" s="59"/>
      <c r="Q13" s="111">
        <f t="shared" si="0"/>
        <v>45939</v>
      </c>
      <c r="R13" s="112">
        <f>+SUMIFS('Heo thịt_Nhập dữ liệu hàng ngày'!$U:$U,'Heo thịt_Nhập dữ liệu hàng ngày'!$M:$M,Data!$O$4,'Heo thịt_Nhập dữ liệu hàng ngày'!$K:$K,Data!$Q13)</f>
        <v>0</v>
      </c>
      <c r="S13" s="112">
        <f>+SUMIFS('Heo thịt_Nhập dữ liệu hàng ngày'!$AB:$AB,'Heo thịt_Nhập dữ liệu hàng ngày'!$M:$M,Data!$O$4,'Heo thịt_Nhập dữ liệu hàng ngày'!$K:$K,Data!$Q13)</f>
        <v>0</v>
      </c>
      <c r="T13" s="305"/>
      <c r="V13" s="111">
        <v>45381</v>
      </c>
      <c r="W13" s="112"/>
      <c r="X13" s="112"/>
      <c r="Y13" s="252"/>
    </row>
    <row r="14" spans="2:25" x14ac:dyDescent="0.3">
      <c r="B14" s="1">
        <v>11</v>
      </c>
      <c r="C14" s="2"/>
      <c r="D14" s="10"/>
      <c r="F14" s="1" t="s">
        <v>101</v>
      </c>
      <c r="G14" s="1" t="s">
        <v>122</v>
      </c>
      <c r="I14" s="1">
        <v>11</v>
      </c>
      <c r="J14" s="2"/>
      <c r="K14" s="10"/>
      <c r="M14" s="1"/>
      <c r="O14" s="59"/>
      <c r="Q14" s="111">
        <f t="shared" si="0"/>
        <v>45940</v>
      </c>
      <c r="R14" s="112">
        <f>+SUMIFS('Heo thịt_Nhập dữ liệu hàng ngày'!$U:$U,'Heo thịt_Nhập dữ liệu hàng ngày'!$M:$M,Data!$O$4,'Heo thịt_Nhập dữ liệu hàng ngày'!$K:$K,Data!$Q14)</f>
        <v>0</v>
      </c>
      <c r="S14" s="112">
        <f>+SUMIFS('Heo thịt_Nhập dữ liệu hàng ngày'!$AB:$AB,'Heo thịt_Nhập dữ liệu hàng ngày'!$M:$M,Data!$O$4,'Heo thịt_Nhập dữ liệu hàng ngày'!$K:$K,Data!$Q14)</f>
        <v>0</v>
      </c>
      <c r="T14" s="305"/>
      <c r="V14" s="111">
        <v>45382</v>
      </c>
      <c r="W14" s="112"/>
      <c r="X14" s="112"/>
      <c r="Y14" s="252"/>
    </row>
    <row r="15" spans="2:25" x14ac:dyDescent="0.3">
      <c r="B15" s="1">
        <v>12</v>
      </c>
      <c r="C15" s="2"/>
      <c r="D15" s="10"/>
      <c r="F15" s="1" t="s">
        <v>102</v>
      </c>
      <c r="G15" s="1" t="s">
        <v>122</v>
      </c>
      <c r="I15" s="1">
        <v>12</v>
      </c>
      <c r="J15" s="2"/>
      <c r="K15" s="10"/>
      <c r="M15" s="1"/>
      <c r="Q15" s="111">
        <f t="shared" si="0"/>
        <v>45941</v>
      </c>
      <c r="R15" s="271">
        <f>+SUMIFS('Heo thịt_Nhập dữ liệu hàng ngày'!$U:$U,'Heo thịt_Nhập dữ liệu hàng ngày'!$M:$M,Data!$O$4,'Heo thịt_Nhập dữ liệu hàng ngày'!$K:$K,Data!$Q15)</f>
        <v>0</v>
      </c>
      <c r="S15" s="112">
        <f>+SUMIFS('Heo thịt_Nhập dữ liệu hàng ngày'!$AB:$AB,'Heo thịt_Nhập dữ liệu hàng ngày'!$M:$M,Data!$O$4,'Heo thịt_Nhập dữ liệu hàng ngày'!$K:$K,Data!$Q15)</f>
        <v>0</v>
      </c>
      <c r="T15" s="305"/>
      <c r="V15" s="111">
        <v>45383</v>
      </c>
      <c r="W15" s="112">
        <v>1032937000</v>
      </c>
      <c r="X15" s="112">
        <v>976870000</v>
      </c>
      <c r="Y15" s="252">
        <f t="shared" ref="Y15:Y16" si="1">+W15-X15</f>
        <v>56067000</v>
      </c>
    </row>
    <row r="16" spans="2:25" x14ac:dyDescent="0.3">
      <c r="B16" s="1">
        <v>13</v>
      </c>
      <c r="C16" s="2"/>
      <c r="D16" s="10"/>
      <c r="F16" s="1" t="s">
        <v>100</v>
      </c>
      <c r="G16" s="1" t="s">
        <v>122</v>
      </c>
      <c r="I16" s="1">
        <v>13</v>
      </c>
      <c r="J16" s="2"/>
      <c r="K16" s="10"/>
      <c r="M16" s="1"/>
      <c r="O16" s="59"/>
      <c r="Q16" s="111">
        <f t="shared" si="0"/>
        <v>45942</v>
      </c>
      <c r="R16" s="112">
        <f>+SUMIFS('Heo thịt_Nhập dữ liệu hàng ngày'!$U:$U,'Heo thịt_Nhập dữ liệu hàng ngày'!$M:$M,Data!$O$4,'Heo thịt_Nhập dữ liệu hàng ngày'!$K:$K,Data!$Q16)</f>
        <v>0</v>
      </c>
      <c r="S16" s="112">
        <f>+SUMIFS('Heo thịt_Nhập dữ liệu hàng ngày'!$AB:$AB,'Heo thịt_Nhập dữ liệu hàng ngày'!$M:$M,Data!$O$4,'Heo thịt_Nhập dữ liệu hàng ngày'!$K:$K,Data!$Q16)</f>
        <v>0</v>
      </c>
      <c r="T16" s="305"/>
      <c r="V16" s="111">
        <v>45384</v>
      </c>
      <c r="W16" s="252">
        <v>595659000</v>
      </c>
      <c r="X16" s="252">
        <v>698695000</v>
      </c>
      <c r="Y16" s="252">
        <f t="shared" si="1"/>
        <v>-103036000</v>
      </c>
    </row>
    <row r="17" spans="2:24" x14ac:dyDescent="0.3">
      <c r="B17" s="1">
        <v>14</v>
      </c>
      <c r="C17" s="2"/>
      <c r="D17" s="10"/>
      <c r="F17" s="1" t="s">
        <v>103</v>
      </c>
      <c r="G17" s="1" t="s">
        <v>122</v>
      </c>
      <c r="I17" s="1">
        <v>14</v>
      </c>
      <c r="J17" s="2"/>
      <c r="K17" s="10"/>
      <c r="M17" s="1"/>
      <c r="O17" s="59"/>
      <c r="Q17" s="111">
        <f t="shared" si="0"/>
        <v>45943</v>
      </c>
      <c r="R17" s="271">
        <f>+SUMIFS('Heo thịt_Nhập dữ liệu hàng ngày'!$U:$U,'Heo thịt_Nhập dữ liệu hàng ngày'!$M:$M,Data!$O$4,'Heo thịt_Nhập dữ liệu hàng ngày'!$K:$K,Data!$Q17)</f>
        <v>0</v>
      </c>
      <c r="S17" s="112">
        <f>+SUMIFS('Heo thịt_Nhập dữ liệu hàng ngày'!$AB:$AB,'Heo thịt_Nhập dữ liệu hàng ngày'!$M:$M,Data!$O$4,'Heo thịt_Nhập dữ liệu hàng ngày'!$K:$K,Data!$Q17)</f>
        <v>0</v>
      </c>
      <c r="T17" s="305"/>
      <c r="W17" s="59"/>
      <c r="X17" s="59"/>
    </row>
    <row r="18" spans="2:24" x14ac:dyDescent="0.3">
      <c r="B18" s="1">
        <v>15</v>
      </c>
      <c r="C18" s="2"/>
      <c r="D18" s="10"/>
      <c r="F18" s="1" t="s">
        <v>128</v>
      </c>
      <c r="G18" s="1" t="s">
        <v>133</v>
      </c>
      <c r="I18" s="1">
        <v>15</v>
      </c>
      <c r="J18" s="2"/>
      <c r="K18" s="10"/>
      <c r="M18" s="1"/>
      <c r="Q18" s="111">
        <f t="shared" si="0"/>
        <v>45944</v>
      </c>
      <c r="R18" s="112">
        <f>+SUMIFS('Heo thịt_Nhập dữ liệu hàng ngày'!$U:$U,'Heo thịt_Nhập dữ liệu hàng ngày'!$M:$M,Data!$O$4,'Heo thịt_Nhập dữ liệu hàng ngày'!$K:$K,Data!$Q18)</f>
        <v>0</v>
      </c>
      <c r="S18" s="112">
        <f>+SUMIFS('Heo thịt_Nhập dữ liệu hàng ngày'!$AB:$AB,'Heo thịt_Nhập dữ liệu hàng ngày'!$M:$M,Data!$O$4,'Heo thịt_Nhập dữ liệu hàng ngày'!$K:$K,Data!$Q18)</f>
        <v>0</v>
      </c>
      <c r="T18" s="305"/>
      <c r="W18" s="59"/>
      <c r="X18" s="59"/>
    </row>
    <row r="19" spans="2:24" x14ac:dyDescent="0.3">
      <c r="B19" s="1">
        <v>16</v>
      </c>
      <c r="C19" s="2"/>
      <c r="D19" s="10"/>
      <c r="F19" s="1" t="s">
        <v>129</v>
      </c>
      <c r="G19" s="1" t="s">
        <v>133</v>
      </c>
      <c r="I19" s="1">
        <v>16</v>
      </c>
      <c r="J19" s="2"/>
      <c r="K19" s="10"/>
      <c r="Q19" s="111">
        <f t="shared" si="0"/>
        <v>45945</v>
      </c>
      <c r="R19" s="112">
        <f>+SUMIFS('Heo thịt_Nhập dữ liệu hàng ngày'!$U:$U,'Heo thịt_Nhập dữ liệu hàng ngày'!$M:$M,Data!$O$4,'Heo thịt_Nhập dữ liệu hàng ngày'!$K:$K,Data!$Q19)</f>
        <v>0</v>
      </c>
      <c r="S19" s="112">
        <f>+SUMIFS('Heo thịt_Nhập dữ liệu hàng ngày'!$AB:$AB,'Heo thịt_Nhập dữ liệu hàng ngày'!$M:$M,Data!$O$4,'Heo thịt_Nhập dữ liệu hàng ngày'!$K:$K,Data!$Q19)</f>
        <v>0</v>
      </c>
      <c r="T19" s="305"/>
      <c r="W19" s="59"/>
      <c r="X19" s="59"/>
    </row>
    <row r="20" spans="2:24" ht="19.5" customHeight="1" x14ac:dyDescent="0.3">
      <c r="B20" s="1">
        <v>17</v>
      </c>
      <c r="C20" s="2"/>
      <c r="D20" s="10"/>
      <c r="F20" s="1" t="s">
        <v>130</v>
      </c>
      <c r="G20" s="1" t="s">
        <v>126</v>
      </c>
      <c r="I20" s="1">
        <v>17</v>
      </c>
      <c r="J20" s="2"/>
      <c r="K20" s="10"/>
      <c r="O20" s="59"/>
      <c r="Q20" s="111">
        <f t="shared" si="0"/>
        <v>45946</v>
      </c>
      <c r="R20" s="112">
        <f>+SUMIFS('Heo thịt_Nhập dữ liệu hàng ngày'!$U:$U,'Heo thịt_Nhập dữ liệu hàng ngày'!$M:$M,Data!$O$4,'Heo thịt_Nhập dữ liệu hàng ngày'!$K:$K,Data!$Q20)</f>
        <v>0</v>
      </c>
      <c r="S20" s="112">
        <f>+SUMIFS('Heo thịt_Nhập dữ liệu hàng ngày'!$AB:$AB,'Heo thịt_Nhập dữ liệu hàng ngày'!$M:$M,Data!$O$4,'Heo thịt_Nhập dữ liệu hàng ngày'!$K:$K,Data!$Q20)</f>
        <v>0</v>
      </c>
      <c r="T20" s="305"/>
      <c r="W20" s="59"/>
      <c r="X20" s="59"/>
    </row>
    <row r="21" spans="2:24" x14ac:dyDescent="0.3">
      <c r="B21" s="1">
        <v>18</v>
      </c>
      <c r="C21" s="2"/>
      <c r="D21" s="10"/>
      <c r="F21" s="1" t="s">
        <v>131</v>
      </c>
      <c r="G21" s="1" t="s">
        <v>134</v>
      </c>
      <c r="I21" s="1">
        <v>18</v>
      </c>
      <c r="J21" s="2"/>
      <c r="K21" s="10"/>
      <c r="O21" s="59"/>
      <c r="Q21" s="111">
        <f t="shared" si="0"/>
        <v>45947</v>
      </c>
      <c r="R21" s="269">
        <f>+SUMIFS('Heo thịt_Nhập dữ liệu hàng ngày'!$U:$U,'Heo thịt_Nhập dữ liệu hàng ngày'!$M:$M,Data!$O$4,'Heo thịt_Nhập dữ liệu hàng ngày'!$K:$K,Data!$Q21)</f>
        <v>0</v>
      </c>
      <c r="S21" s="112">
        <f>+SUMIFS('Heo thịt_Nhập dữ liệu hàng ngày'!$AB:$AB,'Heo thịt_Nhập dữ liệu hàng ngày'!$M:$M,Data!$O$4,'Heo thịt_Nhập dữ liệu hàng ngày'!$K:$K,Data!$Q21)</f>
        <v>0</v>
      </c>
      <c r="T21" s="305"/>
      <c r="W21" s="59"/>
      <c r="X21" s="59"/>
    </row>
    <row r="22" spans="2:24" x14ac:dyDescent="0.3">
      <c r="B22" s="1">
        <v>19</v>
      </c>
      <c r="C22" s="2"/>
      <c r="D22" s="10"/>
      <c r="F22" s="1" t="s">
        <v>132</v>
      </c>
      <c r="G22" s="1" t="s">
        <v>134</v>
      </c>
      <c r="I22" s="1">
        <v>19</v>
      </c>
      <c r="J22" s="2"/>
      <c r="K22" s="10"/>
      <c r="Q22" s="111">
        <f t="shared" si="0"/>
        <v>45948</v>
      </c>
      <c r="R22" s="112">
        <f>+SUMIFS('Heo thịt_Nhập dữ liệu hàng ngày'!$U:$U,'Heo thịt_Nhập dữ liệu hàng ngày'!$M:$M,Data!$O$4,'Heo thịt_Nhập dữ liệu hàng ngày'!$K:$K,Data!$Q22)</f>
        <v>0</v>
      </c>
      <c r="S22" s="112">
        <f>+SUMIFS('Heo thịt_Nhập dữ liệu hàng ngày'!$AB:$AB,'Heo thịt_Nhập dữ liệu hàng ngày'!$M:$M,Data!$O$4,'Heo thịt_Nhập dữ liệu hàng ngày'!$K:$K,Data!$Q22)</f>
        <v>0</v>
      </c>
      <c r="T22" s="305"/>
      <c r="W22" s="59"/>
      <c r="X22" s="59"/>
    </row>
    <row r="23" spans="2:24" x14ac:dyDescent="0.3">
      <c r="B23" s="1">
        <v>20</v>
      </c>
      <c r="C23" s="13"/>
      <c r="D23" s="10"/>
      <c r="F23" s="1" t="s">
        <v>120</v>
      </c>
      <c r="G23" s="1" t="s">
        <v>134</v>
      </c>
      <c r="I23" s="1">
        <v>20</v>
      </c>
      <c r="J23" s="2"/>
      <c r="K23" s="10"/>
      <c r="Q23" s="111">
        <f t="shared" si="0"/>
        <v>45949</v>
      </c>
      <c r="R23" s="112">
        <f>+SUMIFS('Heo thịt_Nhập dữ liệu hàng ngày'!$U:$U,'Heo thịt_Nhập dữ liệu hàng ngày'!$M:$M,Data!$O$4,'Heo thịt_Nhập dữ liệu hàng ngày'!$K:$K,Data!$Q23)</f>
        <v>0</v>
      </c>
      <c r="S23" s="112">
        <f>+SUMIFS('Heo thịt_Nhập dữ liệu hàng ngày'!$AB:$AB,'Heo thịt_Nhập dữ liệu hàng ngày'!$M:$M,Data!$O$4,'Heo thịt_Nhập dữ liệu hàng ngày'!$K:$K,Data!$Q23)</f>
        <v>0</v>
      </c>
      <c r="T23" s="305"/>
      <c r="W23" s="59"/>
      <c r="X23" s="59"/>
    </row>
    <row r="24" spans="2:24" x14ac:dyDescent="0.3">
      <c r="B24" s="1">
        <v>21</v>
      </c>
      <c r="C24" s="13"/>
      <c r="D24" s="10"/>
      <c r="F24" s="1" t="s">
        <v>137</v>
      </c>
      <c r="G24" s="1"/>
      <c r="I24" s="1">
        <v>21</v>
      </c>
      <c r="J24" s="2"/>
      <c r="K24" s="10"/>
      <c r="Q24" s="111">
        <f t="shared" si="0"/>
        <v>45950</v>
      </c>
      <c r="R24" s="112">
        <f>+SUMIFS('Heo thịt_Nhập dữ liệu hàng ngày'!$U:$U,'Heo thịt_Nhập dữ liệu hàng ngày'!$M:$M,Data!$O$4,'Heo thịt_Nhập dữ liệu hàng ngày'!$K:$K,Data!$Q24)</f>
        <v>0</v>
      </c>
      <c r="S24" s="112">
        <f>+SUMIFS('Heo thịt_Nhập dữ liệu hàng ngày'!$AB:$AB,'Heo thịt_Nhập dữ liệu hàng ngày'!$M:$M,Data!$O$4,'Heo thịt_Nhập dữ liệu hàng ngày'!$K:$K,Data!$Q24)</f>
        <v>0</v>
      </c>
      <c r="T24" s="305"/>
      <c r="W24" s="59"/>
      <c r="X24" s="59"/>
    </row>
    <row r="25" spans="2:24" x14ac:dyDescent="0.3">
      <c r="B25" s="1">
        <v>22</v>
      </c>
      <c r="C25" s="13"/>
      <c r="D25" s="10"/>
      <c r="I25" s="1">
        <v>22</v>
      </c>
      <c r="J25" s="2"/>
      <c r="K25" s="10"/>
      <c r="O25" s="59"/>
      <c r="Q25" s="111">
        <f t="shared" si="0"/>
        <v>45951</v>
      </c>
      <c r="R25" s="112">
        <f>+SUMIFS('Heo thịt_Nhập dữ liệu hàng ngày'!$U:$U,'Heo thịt_Nhập dữ liệu hàng ngày'!$M:$M,Data!$O$4,'Heo thịt_Nhập dữ liệu hàng ngày'!$K:$K,Data!$Q25)</f>
        <v>0</v>
      </c>
      <c r="S25" s="112">
        <f>+SUMIFS('Heo thịt_Nhập dữ liệu hàng ngày'!$AB:$AB,'Heo thịt_Nhập dữ liệu hàng ngày'!$M:$M,Data!$O$4,'Heo thịt_Nhập dữ liệu hàng ngày'!$K:$K,Data!$Q25)</f>
        <v>0</v>
      </c>
      <c r="T25" s="305"/>
      <c r="W25" s="59"/>
      <c r="X25" s="59"/>
    </row>
    <row r="26" spans="2:24" x14ac:dyDescent="0.3">
      <c r="B26" s="1">
        <v>23</v>
      </c>
      <c r="C26" s="2"/>
      <c r="D26" s="10"/>
      <c r="I26" s="1">
        <v>23</v>
      </c>
      <c r="J26" s="2"/>
      <c r="K26" s="10"/>
      <c r="Q26" s="111">
        <f t="shared" si="0"/>
        <v>45952</v>
      </c>
      <c r="R26" s="112">
        <f>+SUMIFS('Heo thịt_Nhập dữ liệu hàng ngày'!$U:$U,'Heo thịt_Nhập dữ liệu hàng ngày'!$M:$M,Data!$O$4,'Heo thịt_Nhập dữ liệu hàng ngày'!$K:$K,Data!$Q26)</f>
        <v>0</v>
      </c>
      <c r="S26" s="112">
        <f>+SUMIFS('Heo thịt_Nhập dữ liệu hàng ngày'!$AB:$AB,'Heo thịt_Nhập dữ liệu hàng ngày'!$M:$M,Data!$O$4,'Heo thịt_Nhập dữ liệu hàng ngày'!$K:$K,Data!$Q26)</f>
        <v>0</v>
      </c>
      <c r="T26" s="305"/>
      <c r="W26" s="59"/>
      <c r="X26" s="59"/>
    </row>
    <row r="27" spans="2:24" x14ac:dyDescent="0.3">
      <c r="B27" s="1">
        <v>24</v>
      </c>
      <c r="C27" s="2"/>
      <c r="D27" s="10"/>
      <c r="I27" s="1">
        <v>24</v>
      </c>
      <c r="J27" s="2"/>
      <c r="K27" s="10"/>
      <c r="Q27" s="111">
        <f t="shared" si="0"/>
        <v>45953</v>
      </c>
      <c r="R27" s="112">
        <f>+SUMIFS('Heo thịt_Nhập dữ liệu hàng ngày'!$U:$U,'Heo thịt_Nhập dữ liệu hàng ngày'!$M:$M,Data!$O$4,'Heo thịt_Nhập dữ liệu hàng ngày'!$K:$K,Data!$Q27)</f>
        <v>0</v>
      </c>
      <c r="S27" s="112">
        <f>+SUMIFS('Heo thịt_Nhập dữ liệu hàng ngày'!$AB:$AB,'Heo thịt_Nhập dữ liệu hàng ngày'!$M:$M,Data!$O$4,'Heo thịt_Nhập dữ liệu hàng ngày'!$K:$K,Data!$Q27)</f>
        <v>0</v>
      </c>
      <c r="T27" s="305"/>
      <c r="U27" s="59"/>
      <c r="W27" s="59"/>
      <c r="X27" s="59"/>
    </row>
    <row r="28" spans="2:24" x14ac:dyDescent="0.3">
      <c r="B28" s="1">
        <v>25</v>
      </c>
      <c r="C28" s="2"/>
      <c r="D28" s="10"/>
      <c r="I28" s="1">
        <v>25</v>
      </c>
      <c r="J28" s="2"/>
      <c r="K28" s="10"/>
      <c r="Q28" s="111">
        <f t="shared" si="0"/>
        <v>45954</v>
      </c>
      <c r="R28" s="112">
        <f>+SUMIFS('Heo thịt_Nhập dữ liệu hàng ngày'!$U:$U,'Heo thịt_Nhập dữ liệu hàng ngày'!$M:$M,Data!$O$4,'Heo thịt_Nhập dữ liệu hàng ngày'!$K:$K,Data!$Q28)</f>
        <v>0</v>
      </c>
      <c r="S28" s="112">
        <f>+SUMIFS('Heo thịt_Nhập dữ liệu hàng ngày'!$AB:$AB,'Heo thịt_Nhập dữ liệu hàng ngày'!$M:$M,Data!$O$4,'Heo thịt_Nhập dữ liệu hàng ngày'!$K:$K,Data!$Q28)</f>
        <v>0</v>
      </c>
      <c r="T28" s="305"/>
      <c r="W28" s="59"/>
      <c r="X28" s="59"/>
    </row>
    <row r="29" spans="2:24" x14ac:dyDescent="0.3">
      <c r="B29" s="1">
        <v>26</v>
      </c>
      <c r="C29" s="2"/>
      <c r="D29" s="10"/>
      <c r="I29" s="1">
        <v>26</v>
      </c>
      <c r="J29" s="244"/>
      <c r="K29" s="10"/>
      <c r="Q29" s="111">
        <f t="shared" si="0"/>
        <v>45955</v>
      </c>
      <c r="R29" s="112">
        <f>+SUMIFS('Heo thịt_Nhập dữ liệu hàng ngày'!$U:$U,'Heo thịt_Nhập dữ liệu hàng ngày'!$M:$M,Data!$O$4,'Heo thịt_Nhập dữ liệu hàng ngày'!$K:$K,Data!$Q29)</f>
        <v>0</v>
      </c>
      <c r="S29" s="112">
        <f>+SUMIFS('Heo thịt_Nhập dữ liệu hàng ngày'!$AB:$AB,'Heo thịt_Nhập dữ liệu hàng ngày'!$M:$M,Data!$O$4,'Heo thịt_Nhập dữ liệu hàng ngày'!$K:$K,Data!$Q29)</f>
        <v>0</v>
      </c>
      <c r="T29" s="305"/>
      <c r="W29" s="59"/>
      <c r="X29" s="59"/>
    </row>
    <row r="30" spans="2:24" x14ac:dyDescent="0.3">
      <c r="B30" s="1">
        <v>27</v>
      </c>
      <c r="C30" s="2"/>
      <c r="D30" s="10"/>
      <c r="I30" s="1">
        <v>27</v>
      </c>
      <c r="J30" s="2"/>
      <c r="K30" s="10"/>
      <c r="Q30" s="111">
        <f t="shared" si="0"/>
        <v>45956</v>
      </c>
      <c r="R30" s="112">
        <f>+SUMIFS('Heo thịt_Nhập dữ liệu hàng ngày'!$U:$U,'Heo thịt_Nhập dữ liệu hàng ngày'!$M:$M,Data!$O$4,'Heo thịt_Nhập dữ liệu hàng ngày'!$K:$K,Data!$Q30)</f>
        <v>0</v>
      </c>
      <c r="S30" s="112">
        <f>+SUMIFS('Heo thịt_Nhập dữ liệu hàng ngày'!$AB:$AB,'Heo thịt_Nhập dữ liệu hàng ngày'!$M:$M,Data!$O$4,'Heo thịt_Nhập dữ liệu hàng ngày'!$K:$K,Data!$Q30)</f>
        <v>0</v>
      </c>
      <c r="T30" s="305"/>
      <c r="W30" s="59"/>
      <c r="X30" s="59"/>
    </row>
    <row r="31" spans="2:24" x14ac:dyDescent="0.3">
      <c r="B31" s="1">
        <v>28</v>
      </c>
      <c r="C31" s="2"/>
      <c r="D31" s="10"/>
      <c r="I31" s="1">
        <v>28</v>
      </c>
      <c r="J31" s="2"/>
      <c r="K31" s="10"/>
      <c r="Q31" s="111">
        <f t="shared" si="0"/>
        <v>45957</v>
      </c>
      <c r="R31" s="112">
        <f>+SUMIFS('Heo thịt_Nhập dữ liệu hàng ngày'!$U:$U,'Heo thịt_Nhập dữ liệu hàng ngày'!$M:$M,Data!$O$4,'Heo thịt_Nhập dữ liệu hàng ngày'!$K:$K,Data!$Q31)</f>
        <v>0</v>
      </c>
      <c r="S31" s="112">
        <f>+SUMIFS('Heo thịt_Nhập dữ liệu hàng ngày'!$AB:$AB,'Heo thịt_Nhập dữ liệu hàng ngày'!$M:$M,Data!$O$4,'Heo thịt_Nhập dữ liệu hàng ngày'!$K:$K,Data!$Q31)</f>
        <v>0</v>
      </c>
      <c r="T31" s="305"/>
      <c r="W31" s="59"/>
      <c r="X31" s="59"/>
    </row>
    <row r="32" spans="2:24" x14ac:dyDescent="0.3">
      <c r="B32" s="1">
        <v>29</v>
      </c>
      <c r="C32" s="2"/>
      <c r="D32" s="10"/>
      <c r="I32" s="1">
        <v>29</v>
      </c>
      <c r="J32" s="2"/>
      <c r="K32" s="10"/>
      <c r="Q32" s="111">
        <f t="shared" si="0"/>
        <v>45958</v>
      </c>
      <c r="R32" s="112">
        <f>+SUMIFS('Heo thịt_Nhập dữ liệu hàng ngày'!$U:$U,'Heo thịt_Nhập dữ liệu hàng ngày'!$M:$M,Data!$O$4,'Heo thịt_Nhập dữ liệu hàng ngày'!$K:$K,Data!$Q32)</f>
        <v>0</v>
      </c>
      <c r="S32" s="112">
        <f>+SUMIFS('Heo thịt_Nhập dữ liệu hàng ngày'!$AB:$AB,'Heo thịt_Nhập dữ liệu hàng ngày'!$M:$M,Data!$O$4,'Heo thịt_Nhập dữ liệu hàng ngày'!$K:$K,Data!$Q32)</f>
        <v>0</v>
      </c>
      <c r="T32" s="305"/>
      <c r="W32" s="59"/>
      <c r="X32" s="59"/>
    </row>
    <row r="33" spans="2:24" x14ac:dyDescent="0.3">
      <c r="B33" s="1">
        <v>30</v>
      </c>
      <c r="C33" s="2"/>
      <c r="D33" s="10"/>
      <c r="I33" s="1">
        <v>30</v>
      </c>
      <c r="J33" s="2"/>
      <c r="K33" s="10"/>
      <c r="Q33" s="111">
        <f t="shared" si="0"/>
        <v>45959</v>
      </c>
      <c r="R33" s="112">
        <f>+SUMIFS('Heo thịt_Nhập dữ liệu hàng ngày'!$U:$U,'Heo thịt_Nhập dữ liệu hàng ngày'!$M:$M,Data!$O$4,'Heo thịt_Nhập dữ liệu hàng ngày'!$K:$K,Data!$Q33)</f>
        <v>0</v>
      </c>
      <c r="S33" s="112">
        <f>+SUMIFS('Heo thịt_Nhập dữ liệu hàng ngày'!$AB:$AB,'Heo thịt_Nhập dữ liệu hàng ngày'!$M:$M,Data!$O$4,'Heo thịt_Nhập dữ liệu hàng ngày'!$K:$K,Data!$Q33)</f>
        <v>0</v>
      </c>
      <c r="T33" s="305"/>
      <c r="W33" s="59"/>
      <c r="X33" s="59"/>
    </row>
    <row r="34" spans="2:24" x14ac:dyDescent="0.3">
      <c r="B34" s="1">
        <v>31</v>
      </c>
      <c r="C34" s="2"/>
      <c r="D34" s="10"/>
      <c r="I34" s="1">
        <v>31</v>
      </c>
      <c r="J34" s="2"/>
      <c r="K34" s="10"/>
      <c r="Q34" s="111">
        <f t="shared" si="0"/>
        <v>45960</v>
      </c>
      <c r="R34" s="112">
        <f>+SUMIFS('Heo thịt_Nhập dữ liệu hàng ngày'!$U:$U,'Heo thịt_Nhập dữ liệu hàng ngày'!$M:$M,Data!$O$4,'Heo thịt_Nhập dữ liệu hàng ngày'!$K:$K,Data!$Q34)</f>
        <v>0</v>
      </c>
      <c r="S34" s="112">
        <f>+SUMIFS('Heo thịt_Nhập dữ liệu hàng ngày'!$AB:$AB,'Heo thịt_Nhập dữ liệu hàng ngày'!$M:$M,Data!$O$4,'Heo thịt_Nhập dữ liệu hàng ngày'!$K:$K,Data!$Q34)</f>
        <v>0</v>
      </c>
      <c r="T34" s="305"/>
    </row>
    <row r="35" spans="2:24" x14ac:dyDescent="0.3">
      <c r="B35" s="1">
        <v>32</v>
      </c>
      <c r="C35" s="2"/>
      <c r="D35" s="10"/>
      <c r="I35" s="1">
        <v>32</v>
      </c>
      <c r="J35" s="2"/>
      <c r="K35" s="10"/>
      <c r="Q35" s="111">
        <f t="shared" si="0"/>
        <v>45961</v>
      </c>
      <c r="R35" s="112">
        <f>+SUMIFS('Heo thịt_Nhập dữ liệu hàng ngày'!$U:$U,'Heo thịt_Nhập dữ liệu hàng ngày'!$M:$M,Data!$O$4,'Heo thịt_Nhập dữ liệu hàng ngày'!$K:$K,Data!$Q35)</f>
        <v>0</v>
      </c>
      <c r="S35" s="112">
        <f>+SUMIFS('Heo thịt_Nhập dữ liệu hàng ngày'!$AB:$AB,'Heo thịt_Nhập dữ liệu hàng ngày'!$M:$M,Data!$O$4,'Heo thịt_Nhập dữ liệu hàng ngày'!$K:$K,Data!$Q35)</f>
        <v>0</v>
      </c>
      <c r="T35" s="306"/>
    </row>
    <row r="36" spans="2:24" ht="15.6" x14ac:dyDescent="0.3">
      <c r="B36" s="1">
        <v>33</v>
      </c>
      <c r="C36" s="2"/>
      <c r="D36" s="10"/>
      <c r="I36" s="1">
        <v>33</v>
      </c>
      <c r="J36" s="2"/>
      <c r="K36" s="10"/>
      <c r="Q36" s="111"/>
      <c r="R36" s="113">
        <f>SUM(R4:R35)</f>
        <v>0</v>
      </c>
      <c r="S36" s="113">
        <f>SUM(S4:S35)</f>
        <v>0</v>
      </c>
      <c r="T36" s="113">
        <f>+S36-R36</f>
        <v>0</v>
      </c>
    </row>
    <row r="37" spans="2:24" x14ac:dyDescent="0.3">
      <c r="B37" s="1">
        <v>34</v>
      </c>
      <c r="C37" s="2"/>
      <c r="D37" s="10"/>
      <c r="I37" s="1">
        <v>34</v>
      </c>
      <c r="J37" s="2"/>
      <c r="K37" s="10"/>
      <c r="R37" s="59"/>
      <c r="S37" s="59"/>
      <c r="T37" s="59"/>
    </row>
    <row r="38" spans="2:24" x14ac:dyDescent="0.3">
      <c r="B38" s="1">
        <v>35</v>
      </c>
      <c r="C38" s="2"/>
      <c r="D38" s="10"/>
      <c r="I38" s="1">
        <v>35</v>
      </c>
      <c r="J38" s="2"/>
      <c r="K38" s="10"/>
    </row>
    <row r="39" spans="2:24" x14ac:dyDescent="0.3">
      <c r="B39" s="1">
        <v>36</v>
      </c>
      <c r="C39" s="2"/>
      <c r="D39" s="10"/>
      <c r="I39" s="1">
        <v>36</v>
      </c>
      <c r="J39" s="2"/>
      <c r="K39" s="10"/>
    </row>
    <row r="40" spans="2:24" x14ac:dyDescent="0.3">
      <c r="B40" s="1">
        <v>37</v>
      </c>
      <c r="C40" s="2"/>
      <c r="D40" s="10"/>
      <c r="I40" s="1">
        <v>37</v>
      </c>
      <c r="J40" s="2"/>
      <c r="K40" s="10"/>
    </row>
    <row r="41" spans="2:24" x14ac:dyDescent="0.3">
      <c r="B41" s="1">
        <v>38</v>
      </c>
      <c r="C41" s="2"/>
      <c r="D41" s="10"/>
      <c r="I41" s="1">
        <v>38</v>
      </c>
      <c r="J41" s="2"/>
      <c r="K41" s="10"/>
    </row>
    <row r="42" spans="2:24" x14ac:dyDescent="0.3">
      <c r="B42" s="1">
        <v>39</v>
      </c>
      <c r="C42" s="13"/>
      <c r="D42" s="10"/>
      <c r="I42" s="1">
        <v>39</v>
      </c>
      <c r="J42" s="2"/>
      <c r="K42" s="10"/>
    </row>
    <row r="43" spans="2:24" x14ac:dyDescent="0.3">
      <c r="B43" s="1">
        <v>40</v>
      </c>
      <c r="C43" s="2"/>
      <c r="D43" s="10"/>
      <c r="I43" s="1">
        <v>40</v>
      </c>
      <c r="J43" s="2"/>
      <c r="K43" s="10"/>
    </row>
    <row r="44" spans="2:24" x14ac:dyDescent="0.3">
      <c r="B44" s="1">
        <v>41</v>
      </c>
      <c r="C44" s="2"/>
      <c r="D44" s="10"/>
      <c r="I44" s="1">
        <v>41</v>
      </c>
      <c r="J44" s="2"/>
      <c r="K44" s="10"/>
    </row>
    <row r="45" spans="2:24" x14ac:dyDescent="0.3">
      <c r="B45" s="1">
        <v>42</v>
      </c>
      <c r="C45" s="2"/>
      <c r="D45" s="10"/>
      <c r="I45" s="1">
        <v>42</v>
      </c>
      <c r="J45" s="2"/>
      <c r="K45" s="10"/>
    </row>
    <row r="46" spans="2:24" x14ac:dyDescent="0.3">
      <c r="B46" s="1">
        <v>43</v>
      </c>
      <c r="C46" s="2"/>
      <c r="D46" s="10"/>
      <c r="I46" s="1">
        <v>43</v>
      </c>
      <c r="J46" s="2"/>
      <c r="K46" s="10"/>
    </row>
    <row r="47" spans="2:24" x14ac:dyDescent="0.3">
      <c r="B47" s="1">
        <v>44</v>
      </c>
      <c r="C47" s="2"/>
      <c r="D47" s="10"/>
      <c r="I47" s="1">
        <v>44</v>
      </c>
      <c r="J47" s="79"/>
      <c r="K47" s="10"/>
    </row>
    <row r="48" spans="2:24" x14ac:dyDescent="0.3">
      <c r="B48" s="1">
        <v>45</v>
      </c>
      <c r="C48" s="2"/>
      <c r="D48" s="10"/>
      <c r="I48" s="1">
        <v>45</v>
      </c>
      <c r="J48" s="244"/>
      <c r="K48" s="10"/>
    </row>
    <row r="49" spans="2:11" x14ac:dyDescent="0.3">
      <c r="B49" s="1">
        <v>46</v>
      </c>
      <c r="C49" s="2"/>
      <c r="D49" s="10"/>
      <c r="I49" s="1">
        <v>46</v>
      </c>
      <c r="J49" s="2"/>
      <c r="K49" s="2"/>
    </row>
    <row r="50" spans="2:11" x14ac:dyDescent="0.3">
      <c r="B50" s="1">
        <v>47</v>
      </c>
      <c r="C50" s="2"/>
      <c r="D50" s="10"/>
      <c r="I50" s="1">
        <v>47</v>
      </c>
      <c r="J50" s="2"/>
      <c r="K50" s="10"/>
    </row>
    <row r="51" spans="2:11" x14ac:dyDescent="0.3">
      <c r="B51" s="1">
        <v>48</v>
      </c>
      <c r="C51" s="2"/>
      <c r="D51" s="10"/>
      <c r="F51" t="s">
        <v>151</v>
      </c>
      <c r="I51" s="1">
        <v>48</v>
      </c>
      <c r="J51" s="2"/>
      <c r="K51" s="10"/>
    </row>
    <row r="52" spans="2:11" x14ac:dyDescent="0.3">
      <c r="B52" s="1">
        <v>49</v>
      </c>
      <c r="C52" s="2"/>
      <c r="D52" s="10"/>
      <c r="I52" s="1">
        <v>49</v>
      </c>
      <c r="J52" s="2"/>
      <c r="K52" s="10"/>
    </row>
    <row r="53" spans="2:11" x14ac:dyDescent="0.3">
      <c r="B53" s="1">
        <v>50</v>
      </c>
      <c r="C53" s="2"/>
      <c r="D53" s="10"/>
      <c r="I53" s="1">
        <v>50</v>
      </c>
      <c r="J53" s="2"/>
      <c r="K53" s="10"/>
    </row>
    <row r="54" spans="2:11" x14ac:dyDescent="0.3">
      <c r="B54" s="1">
        <v>51</v>
      </c>
      <c r="C54" s="2"/>
      <c r="D54" s="10"/>
      <c r="I54" s="1">
        <v>51</v>
      </c>
      <c r="J54" s="2"/>
      <c r="K54" s="10"/>
    </row>
    <row r="55" spans="2:11" x14ac:dyDescent="0.3">
      <c r="B55" s="1">
        <v>52</v>
      </c>
      <c r="C55" s="2"/>
      <c r="D55" s="10"/>
      <c r="I55" s="1">
        <v>52</v>
      </c>
      <c r="J55" s="2"/>
      <c r="K55" s="10"/>
    </row>
    <row r="56" spans="2:11" x14ac:dyDescent="0.3">
      <c r="B56" s="1">
        <v>53</v>
      </c>
      <c r="C56" s="2"/>
      <c r="D56" s="10"/>
      <c r="I56" s="1">
        <v>53</v>
      </c>
      <c r="J56" s="2"/>
      <c r="K56" s="10"/>
    </row>
    <row r="57" spans="2:11" x14ac:dyDescent="0.3">
      <c r="B57" s="1">
        <v>54</v>
      </c>
      <c r="C57" s="2"/>
      <c r="D57" s="10"/>
      <c r="I57" s="1">
        <v>54</v>
      </c>
      <c r="J57" s="2"/>
      <c r="K57" s="10"/>
    </row>
    <row r="58" spans="2:11" x14ac:dyDescent="0.3">
      <c r="B58" s="1">
        <v>55</v>
      </c>
      <c r="C58" s="2"/>
      <c r="D58" s="10"/>
      <c r="I58" s="1">
        <v>55</v>
      </c>
      <c r="J58" s="2"/>
      <c r="K58" s="10"/>
    </row>
    <row r="59" spans="2:11" x14ac:dyDescent="0.3">
      <c r="B59" s="1">
        <v>56</v>
      </c>
      <c r="C59" s="13"/>
      <c r="D59" s="10"/>
      <c r="I59" s="1">
        <v>56</v>
      </c>
      <c r="J59" s="2"/>
      <c r="K59" s="10"/>
    </row>
    <row r="60" spans="2:11" x14ac:dyDescent="0.3">
      <c r="B60" s="1">
        <v>57</v>
      </c>
      <c r="C60" s="2"/>
      <c r="D60" s="10"/>
      <c r="I60" s="1">
        <v>57</v>
      </c>
      <c r="J60" s="2"/>
      <c r="K60" s="10"/>
    </row>
    <row r="61" spans="2:11" x14ac:dyDescent="0.3">
      <c r="B61" s="1">
        <v>58</v>
      </c>
      <c r="C61" s="2"/>
      <c r="D61" s="10"/>
      <c r="I61" s="1">
        <v>58</v>
      </c>
      <c r="J61" s="2"/>
      <c r="K61" s="10"/>
    </row>
    <row r="62" spans="2:11" x14ac:dyDescent="0.3">
      <c r="B62" s="1">
        <v>59</v>
      </c>
      <c r="C62" s="2"/>
      <c r="D62" s="243"/>
      <c r="I62" s="1">
        <v>59</v>
      </c>
      <c r="J62" s="2"/>
      <c r="K62" s="10"/>
    </row>
    <row r="63" spans="2:11" x14ac:dyDescent="0.3">
      <c r="B63" s="1">
        <v>60</v>
      </c>
      <c r="C63" s="2"/>
      <c r="D63" s="243"/>
      <c r="I63" s="1">
        <v>60</v>
      </c>
      <c r="J63" s="2"/>
      <c r="K63" s="10"/>
    </row>
    <row r="64" spans="2:11" x14ac:dyDescent="0.3">
      <c r="B64" s="1">
        <v>61</v>
      </c>
      <c r="C64" s="2"/>
      <c r="D64" s="10"/>
      <c r="I64" s="1">
        <v>61</v>
      </c>
      <c r="J64" s="2"/>
      <c r="K64" s="10"/>
    </row>
    <row r="65" spans="2:11" x14ac:dyDescent="0.3">
      <c r="B65" s="1">
        <v>62</v>
      </c>
      <c r="C65" s="2"/>
      <c r="D65" s="10"/>
      <c r="I65" s="1">
        <v>62</v>
      </c>
      <c r="J65" s="2"/>
      <c r="K65" s="10"/>
    </row>
    <row r="66" spans="2:11" x14ac:dyDescent="0.3">
      <c r="B66" s="1">
        <v>63</v>
      </c>
      <c r="C66" s="2"/>
      <c r="D66" s="10"/>
      <c r="I66" s="1">
        <v>63</v>
      </c>
      <c r="J66" s="2"/>
      <c r="K66" s="10"/>
    </row>
    <row r="67" spans="2:11" x14ac:dyDescent="0.3">
      <c r="B67" s="1">
        <v>64</v>
      </c>
      <c r="C67" s="2"/>
      <c r="D67" s="10"/>
      <c r="I67" s="1">
        <v>64</v>
      </c>
      <c r="J67" s="2"/>
      <c r="K67" s="10"/>
    </row>
    <row r="68" spans="2:11" x14ac:dyDescent="0.3">
      <c r="B68" s="1">
        <v>65</v>
      </c>
      <c r="C68" s="2"/>
      <c r="D68" s="10"/>
      <c r="I68" s="1">
        <v>65</v>
      </c>
      <c r="J68" s="2"/>
      <c r="K68" s="10"/>
    </row>
    <row r="69" spans="2:11" x14ac:dyDescent="0.3">
      <c r="B69" s="1">
        <v>66</v>
      </c>
      <c r="C69" s="2"/>
      <c r="D69" s="10"/>
      <c r="I69" s="1">
        <v>66</v>
      </c>
      <c r="J69" s="2"/>
      <c r="K69" s="10"/>
    </row>
    <row r="70" spans="2:11" x14ac:dyDescent="0.3">
      <c r="B70" s="1">
        <v>67</v>
      </c>
      <c r="C70" s="2"/>
      <c r="D70" s="10"/>
      <c r="I70" s="1">
        <v>67</v>
      </c>
      <c r="J70" s="2"/>
      <c r="K70" s="10"/>
    </row>
    <row r="71" spans="2:11" x14ac:dyDescent="0.3">
      <c r="B71" s="1">
        <v>68</v>
      </c>
      <c r="C71" s="2"/>
      <c r="D71" s="10"/>
      <c r="I71" s="1">
        <v>68</v>
      </c>
      <c r="J71" s="2"/>
      <c r="K71" s="10"/>
    </row>
    <row r="72" spans="2:11" x14ac:dyDescent="0.3">
      <c r="B72" s="1">
        <v>69</v>
      </c>
      <c r="C72" s="2"/>
      <c r="D72" s="10"/>
      <c r="I72" s="1">
        <v>69</v>
      </c>
      <c r="J72" s="2"/>
      <c r="K72" s="10"/>
    </row>
    <row r="73" spans="2:11" x14ac:dyDescent="0.3">
      <c r="B73" s="1">
        <v>70</v>
      </c>
      <c r="C73" s="2"/>
      <c r="D73" s="10"/>
      <c r="I73" s="1">
        <v>70</v>
      </c>
      <c r="J73" s="2"/>
      <c r="K73" s="10"/>
    </row>
    <row r="74" spans="2:11" x14ac:dyDescent="0.3">
      <c r="B74" s="1">
        <v>71</v>
      </c>
      <c r="C74" s="2"/>
      <c r="D74" s="10"/>
      <c r="I74" s="1">
        <v>71</v>
      </c>
      <c r="J74" s="2"/>
      <c r="K74" s="10"/>
    </row>
    <row r="75" spans="2:11" x14ac:dyDescent="0.3">
      <c r="B75" s="1">
        <v>72</v>
      </c>
      <c r="C75" s="2"/>
      <c r="D75" s="10"/>
      <c r="I75" s="1">
        <v>72</v>
      </c>
      <c r="J75" s="2"/>
      <c r="K75" s="10"/>
    </row>
    <row r="76" spans="2:11" x14ac:dyDescent="0.3">
      <c r="B76" s="1">
        <v>73</v>
      </c>
      <c r="C76" s="2"/>
      <c r="D76" s="10"/>
      <c r="I76" s="1">
        <v>73</v>
      </c>
      <c r="J76" s="2"/>
      <c r="K76" s="10"/>
    </row>
    <row r="77" spans="2:11" x14ac:dyDescent="0.3">
      <c r="B77" s="1">
        <v>74</v>
      </c>
      <c r="C77" s="2"/>
      <c r="D77" s="10"/>
      <c r="I77" s="1">
        <v>74</v>
      </c>
      <c r="J77" s="2"/>
      <c r="K77" s="10"/>
    </row>
    <row r="78" spans="2:11" x14ac:dyDescent="0.3">
      <c r="B78" s="1">
        <v>75</v>
      </c>
      <c r="C78" s="2"/>
      <c r="D78" s="10"/>
      <c r="I78" s="1">
        <v>75</v>
      </c>
      <c r="J78" s="2"/>
      <c r="K78" s="10"/>
    </row>
    <row r="79" spans="2:11" x14ac:dyDescent="0.3">
      <c r="B79" s="1">
        <v>76</v>
      </c>
      <c r="C79" s="2"/>
      <c r="D79" s="10"/>
      <c r="I79" s="1">
        <v>76</v>
      </c>
      <c r="J79" s="2"/>
      <c r="K79" s="10"/>
    </row>
    <row r="80" spans="2:11" x14ac:dyDescent="0.3">
      <c r="B80" s="1">
        <v>77</v>
      </c>
      <c r="C80" s="2"/>
      <c r="D80" s="10"/>
      <c r="I80" s="1">
        <v>77</v>
      </c>
      <c r="J80" s="2"/>
      <c r="K80" s="10"/>
    </row>
    <row r="81" spans="2:11" x14ac:dyDescent="0.3">
      <c r="B81" s="1">
        <v>78</v>
      </c>
      <c r="C81" s="2"/>
      <c r="D81" s="10"/>
      <c r="I81" s="1">
        <v>78</v>
      </c>
      <c r="J81" s="2"/>
      <c r="K81" s="10"/>
    </row>
    <row r="82" spans="2:11" x14ac:dyDescent="0.3">
      <c r="B82" s="1">
        <v>79</v>
      </c>
      <c r="C82" s="2"/>
      <c r="D82" s="10"/>
      <c r="I82" s="1">
        <v>79</v>
      </c>
      <c r="J82" s="2"/>
      <c r="K82" s="10"/>
    </row>
    <row r="83" spans="2:11" x14ac:dyDescent="0.3">
      <c r="B83" s="1">
        <v>80</v>
      </c>
      <c r="C83" s="2"/>
      <c r="D83" s="10"/>
      <c r="I83" s="1">
        <v>80</v>
      </c>
      <c r="J83" s="2"/>
      <c r="K83" s="10"/>
    </row>
    <row r="84" spans="2:11" x14ac:dyDescent="0.3">
      <c r="B84" s="1">
        <v>81</v>
      </c>
      <c r="C84" s="2"/>
      <c r="D84" s="10"/>
      <c r="I84" s="1">
        <v>81</v>
      </c>
      <c r="J84" s="2"/>
      <c r="K84" s="10"/>
    </row>
    <row r="85" spans="2:11" x14ac:dyDescent="0.3">
      <c r="B85" s="1">
        <v>82</v>
      </c>
      <c r="C85" s="2"/>
      <c r="D85" s="10"/>
      <c r="I85" s="1">
        <v>82</v>
      </c>
      <c r="J85" s="2"/>
      <c r="K85" s="10"/>
    </row>
    <row r="86" spans="2:11" x14ac:dyDescent="0.3">
      <c r="B86" s="1">
        <v>83</v>
      </c>
      <c r="C86" s="2"/>
      <c r="D86" s="10"/>
      <c r="I86" s="1">
        <v>83</v>
      </c>
      <c r="J86" s="2"/>
      <c r="K86" s="10"/>
    </row>
    <row r="87" spans="2:11" x14ac:dyDescent="0.3">
      <c r="B87" s="1">
        <v>84</v>
      </c>
      <c r="C87" s="2"/>
      <c r="D87" s="10"/>
      <c r="I87" s="1">
        <v>84</v>
      </c>
      <c r="J87" s="2"/>
      <c r="K87" s="10"/>
    </row>
    <row r="88" spans="2:11" x14ac:dyDescent="0.3">
      <c r="B88" s="1">
        <v>85</v>
      </c>
      <c r="C88" s="2"/>
      <c r="D88" s="10"/>
      <c r="I88" s="1">
        <v>85</v>
      </c>
      <c r="J88" s="2"/>
      <c r="K88" s="10"/>
    </row>
    <row r="89" spans="2:11" x14ac:dyDescent="0.3">
      <c r="B89" s="1">
        <v>86</v>
      </c>
      <c r="C89" s="2"/>
      <c r="D89" s="10"/>
      <c r="I89" s="1">
        <v>86</v>
      </c>
      <c r="J89" s="2"/>
      <c r="K89" s="10"/>
    </row>
    <row r="90" spans="2:11" x14ac:dyDescent="0.3">
      <c r="B90" s="1">
        <v>87</v>
      </c>
      <c r="C90" s="2"/>
      <c r="D90" s="10"/>
      <c r="I90" s="1">
        <v>87</v>
      </c>
      <c r="J90" s="2"/>
      <c r="K90" s="10"/>
    </row>
    <row r="91" spans="2:11" x14ac:dyDescent="0.3">
      <c r="B91" s="1">
        <v>88</v>
      </c>
      <c r="C91" s="2"/>
      <c r="D91" s="10"/>
      <c r="I91" s="1">
        <v>88</v>
      </c>
      <c r="J91" s="2"/>
      <c r="K91" s="10"/>
    </row>
    <row r="92" spans="2:11" x14ac:dyDescent="0.3">
      <c r="B92" s="1">
        <v>89</v>
      </c>
      <c r="C92" s="2"/>
      <c r="D92" s="10"/>
      <c r="I92" s="1">
        <v>89</v>
      </c>
      <c r="J92" s="2"/>
      <c r="K92" s="10"/>
    </row>
    <row r="93" spans="2:11" x14ac:dyDescent="0.3">
      <c r="B93" s="1">
        <v>90</v>
      </c>
      <c r="C93" s="2"/>
      <c r="D93" s="10"/>
      <c r="I93" s="1">
        <v>90</v>
      </c>
      <c r="J93" s="2"/>
      <c r="K93" s="10"/>
    </row>
    <row r="94" spans="2:11" x14ac:dyDescent="0.3">
      <c r="B94" s="1">
        <v>91</v>
      </c>
      <c r="C94" s="2"/>
      <c r="D94" s="10"/>
      <c r="I94" s="1">
        <v>91</v>
      </c>
      <c r="J94" s="2"/>
      <c r="K94" s="10"/>
    </row>
    <row r="95" spans="2:11" x14ac:dyDescent="0.3">
      <c r="B95" s="1">
        <v>92</v>
      </c>
      <c r="C95" s="2"/>
      <c r="D95" s="10"/>
      <c r="I95" s="1">
        <v>92</v>
      </c>
      <c r="J95" s="2"/>
      <c r="K95" s="10"/>
    </row>
    <row r="96" spans="2:11" x14ac:dyDescent="0.3">
      <c r="B96" s="1">
        <v>93</v>
      </c>
      <c r="C96" s="2"/>
      <c r="D96" s="10"/>
      <c r="I96" s="1">
        <v>93</v>
      </c>
      <c r="J96" s="2"/>
      <c r="K96" s="10"/>
    </row>
    <row r="97" spans="2:11" x14ac:dyDescent="0.3">
      <c r="B97" s="1">
        <v>94</v>
      </c>
      <c r="C97" s="2"/>
      <c r="D97" s="10"/>
      <c r="I97" s="1">
        <v>94</v>
      </c>
      <c r="J97" s="2"/>
      <c r="K97" s="10"/>
    </row>
    <row r="98" spans="2:11" x14ac:dyDescent="0.3">
      <c r="B98" s="1">
        <v>95</v>
      </c>
      <c r="C98" s="2"/>
      <c r="D98" s="10"/>
      <c r="I98" s="1">
        <v>95</v>
      </c>
      <c r="J98" s="2"/>
      <c r="K98" s="10"/>
    </row>
    <row r="99" spans="2:11" x14ac:dyDescent="0.3">
      <c r="B99" s="1">
        <v>96</v>
      </c>
      <c r="C99" s="2"/>
      <c r="D99" s="10"/>
      <c r="I99" s="1">
        <v>96</v>
      </c>
      <c r="J99" s="2"/>
      <c r="K99" s="10"/>
    </row>
    <row r="100" spans="2:11" x14ac:dyDescent="0.3">
      <c r="B100" s="1">
        <v>97</v>
      </c>
      <c r="C100" s="2"/>
      <c r="D100" s="10"/>
      <c r="I100" s="1">
        <v>97</v>
      </c>
      <c r="J100" s="2"/>
      <c r="K100" s="10"/>
    </row>
    <row r="101" spans="2:11" x14ac:dyDescent="0.3">
      <c r="B101" s="1">
        <v>98</v>
      </c>
      <c r="C101" s="2"/>
      <c r="D101" s="10"/>
      <c r="I101" s="1">
        <v>98</v>
      </c>
      <c r="J101" s="2"/>
      <c r="K101" s="10"/>
    </row>
    <row r="102" spans="2:11" x14ac:dyDescent="0.3">
      <c r="B102" s="1">
        <v>99</v>
      </c>
      <c r="C102" s="2"/>
      <c r="D102" s="10"/>
      <c r="I102" s="1">
        <v>99</v>
      </c>
      <c r="J102" s="2"/>
      <c r="K102" s="10"/>
    </row>
    <row r="103" spans="2:11" x14ac:dyDescent="0.3">
      <c r="B103" s="1">
        <v>100</v>
      </c>
      <c r="C103" s="2"/>
      <c r="D103" s="10"/>
      <c r="I103" s="1">
        <v>100</v>
      </c>
      <c r="J103" s="2"/>
      <c r="K103" s="10"/>
    </row>
    <row r="104" spans="2:11" x14ac:dyDescent="0.3">
      <c r="B104" s="1">
        <v>101</v>
      </c>
      <c r="C104" s="2"/>
      <c r="D104" s="10"/>
      <c r="I104" s="1">
        <v>101</v>
      </c>
      <c r="J104" s="2"/>
      <c r="K104" s="10"/>
    </row>
    <row r="105" spans="2:11" x14ac:dyDescent="0.3">
      <c r="B105" s="1">
        <v>102</v>
      </c>
      <c r="C105" s="2"/>
      <c r="D105" s="10"/>
      <c r="I105" s="1">
        <v>102</v>
      </c>
      <c r="J105" s="2"/>
      <c r="K105" s="10"/>
    </row>
    <row r="106" spans="2:11" x14ac:dyDescent="0.3">
      <c r="B106" s="1">
        <v>103</v>
      </c>
      <c r="C106" s="2"/>
      <c r="D106" s="10"/>
      <c r="I106" s="1">
        <v>103</v>
      </c>
      <c r="J106" s="2"/>
      <c r="K106" s="10"/>
    </row>
    <row r="107" spans="2:11" x14ac:dyDescent="0.3">
      <c r="B107" s="1">
        <v>104</v>
      </c>
      <c r="C107" s="2"/>
      <c r="D107" s="10"/>
      <c r="I107" s="1">
        <v>104</v>
      </c>
      <c r="J107" s="2"/>
      <c r="K107" s="10"/>
    </row>
    <row r="108" spans="2:11" x14ac:dyDescent="0.3">
      <c r="B108" s="1">
        <v>105</v>
      </c>
      <c r="C108" s="2"/>
      <c r="D108" s="10"/>
      <c r="I108" s="1">
        <v>105</v>
      </c>
      <c r="J108" s="2"/>
      <c r="K108" s="10"/>
    </row>
    <row r="109" spans="2:11" x14ac:dyDescent="0.3">
      <c r="B109" s="1">
        <v>106</v>
      </c>
      <c r="C109" s="2"/>
      <c r="D109" s="10"/>
      <c r="I109" s="1">
        <v>106</v>
      </c>
      <c r="J109" s="2"/>
      <c r="K109" s="10"/>
    </row>
    <row r="110" spans="2:11" x14ac:dyDescent="0.3">
      <c r="B110" s="1">
        <v>107</v>
      </c>
      <c r="C110" s="2"/>
      <c r="D110" s="10"/>
    </row>
    <row r="111" spans="2:11" x14ac:dyDescent="0.3">
      <c r="B111" s="1">
        <v>108</v>
      </c>
      <c r="C111" s="2"/>
      <c r="D111" s="10"/>
    </row>
    <row r="112" spans="2:11" x14ac:dyDescent="0.3">
      <c r="B112" s="1">
        <v>109</v>
      </c>
      <c r="C112" s="2"/>
      <c r="D112" s="10"/>
    </row>
    <row r="113" spans="2:4" x14ac:dyDescent="0.3">
      <c r="B113" s="1">
        <v>110</v>
      </c>
      <c r="C113" s="2"/>
      <c r="D113" s="10"/>
    </row>
    <row r="114" spans="2:4" x14ac:dyDescent="0.3">
      <c r="B114" s="1">
        <v>111</v>
      </c>
      <c r="C114" s="2"/>
      <c r="D114" s="10"/>
    </row>
    <row r="115" spans="2:4" x14ac:dyDescent="0.3">
      <c r="B115" s="1">
        <v>112</v>
      </c>
      <c r="C115" s="2"/>
      <c r="D115" s="10"/>
    </row>
    <row r="116" spans="2:4" x14ac:dyDescent="0.3">
      <c r="B116" s="1">
        <v>113</v>
      </c>
      <c r="C116" s="2"/>
      <c r="D116" s="10"/>
    </row>
    <row r="117" spans="2:4" x14ac:dyDescent="0.3">
      <c r="B117" s="1">
        <v>114</v>
      </c>
      <c r="C117" s="2"/>
      <c r="D117" s="10"/>
    </row>
    <row r="118" spans="2:4" x14ac:dyDescent="0.3">
      <c r="B118" s="1">
        <v>115</v>
      </c>
      <c r="C118" s="2"/>
      <c r="D118" s="10"/>
    </row>
    <row r="119" spans="2:4" x14ac:dyDescent="0.3">
      <c r="B119" s="1">
        <v>116</v>
      </c>
      <c r="C119" s="218"/>
      <c r="D119" s="10"/>
    </row>
    <row r="120" spans="2:4" x14ac:dyDescent="0.3">
      <c r="B120" s="1">
        <v>117</v>
      </c>
      <c r="C120" s="256"/>
      <c r="D120" s="10"/>
    </row>
    <row r="121" spans="2:4" x14ac:dyDescent="0.3">
      <c r="B121" s="1">
        <v>118</v>
      </c>
      <c r="C121" s="2"/>
      <c r="D121" s="10"/>
    </row>
    <row r="122" spans="2:4" x14ac:dyDescent="0.3">
      <c r="B122" s="1">
        <v>119</v>
      </c>
      <c r="C122" s="2"/>
      <c r="D122" s="10"/>
    </row>
    <row r="123" spans="2:4" x14ac:dyDescent="0.3">
      <c r="B123" s="1">
        <v>120</v>
      </c>
      <c r="C123" s="2"/>
      <c r="D123" s="10"/>
    </row>
    <row r="124" spans="2:4" x14ac:dyDescent="0.3">
      <c r="B124" s="1">
        <v>121</v>
      </c>
      <c r="C124" s="2"/>
      <c r="D124" s="10"/>
    </row>
    <row r="125" spans="2:4" x14ac:dyDescent="0.3">
      <c r="B125" s="1">
        <v>122</v>
      </c>
      <c r="C125" s="2"/>
      <c r="D125" s="10"/>
    </row>
    <row r="126" spans="2:4" x14ac:dyDescent="0.3">
      <c r="B126" s="1">
        <v>123</v>
      </c>
      <c r="C126" s="2"/>
      <c r="D126" s="10"/>
    </row>
    <row r="127" spans="2:4" x14ac:dyDescent="0.3">
      <c r="B127" s="1">
        <v>124</v>
      </c>
      <c r="C127" s="2"/>
      <c r="D127" s="10"/>
    </row>
    <row r="128" spans="2:4" x14ac:dyDescent="0.3">
      <c r="B128" s="1">
        <v>125</v>
      </c>
      <c r="C128" s="2"/>
      <c r="D128" s="10"/>
    </row>
    <row r="129" spans="2:4" x14ac:dyDescent="0.3">
      <c r="B129" s="1">
        <v>126</v>
      </c>
      <c r="C129" s="2"/>
      <c r="D129" s="10"/>
    </row>
    <row r="130" spans="2:4" x14ac:dyDescent="0.3">
      <c r="B130" s="1">
        <v>127</v>
      </c>
      <c r="C130" s="2"/>
      <c r="D130" s="10"/>
    </row>
    <row r="131" spans="2:4" x14ac:dyDescent="0.3">
      <c r="B131" s="1">
        <f>B130+1</f>
        <v>128</v>
      </c>
      <c r="C131" s="2"/>
      <c r="D131" s="10"/>
    </row>
    <row r="132" spans="2:4" x14ac:dyDescent="0.3">
      <c r="B132" s="1">
        <f t="shared" ref="B132:B156" si="2">B131+1</f>
        <v>129</v>
      </c>
      <c r="C132" s="2"/>
      <c r="D132" s="10"/>
    </row>
    <row r="133" spans="2:4" x14ac:dyDescent="0.3">
      <c r="B133" s="1">
        <f t="shared" si="2"/>
        <v>130</v>
      </c>
      <c r="C133" s="2"/>
      <c r="D133" s="10"/>
    </row>
    <row r="134" spans="2:4" x14ac:dyDescent="0.3">
      <c r="B134" s="1">
        <f t="shared" si="2"/>
        <v>131</v>
      </c>
      <c r="C134" s="2"/>
      <c r="D134" s="10"/>
    </row>
    <row r="135" spans="2:4" x14ac:dyDescent="0.3">
      <c r="B135" s="1">
        <f t="shared" si="2"/>
        <v>132</v>
      </c>
      <c r="C135" s="2"/>
      <c r="D135" s="10"/>
    </row>
    <row r="136" spans="2:4" x14ac:dyDescent="0.3">
      <c r="B136" s="1">
        <f t="shared" si="2"/>
        <v>133</v>
      </c>
      <c r="C136" s="2"/>
      <c r="D136" s="10"/>
    </row>
    <row r="137" spans="2:4" x14ac:dyDescent="0.3">
      <c r="B137" s="1">
        <f t="shared" si="2"/>
        <v>134</v>
      </c>
      <c r="C137" s="2"/>
      <c r="D137" s="10"/>
    </row>
    <row r="138" spans="2:4" x14ac:dyDescent="0.3">
      <c r="B138" s="1">
        <f t="shared" si="2"/>
        <v>135</v>
      </c>
      <c r="C138" s="2"/>
      <c r="D138" s="10"/>
    </row>
    <row r="139" spans="2:4" x14ac:dyDescent="0.3">
      <c r="B139" s="1">
        <f t="shared" si="2"/>
        <v>136</v>
      </c>
      <c r="C139" s="244"/>
      <c r="D139" s="258"/>
    </row>
    <row r="140" spans="2:4" x14ac:dyDescent="0.3">
      <c r="B140" s="1">
        <f t="shared" si="2"/>
        <v>137</v>
      </c>
      <c r="C140" s="244"/>
      <c r="D140" s="258"/>
    </row>
    <row r="141" spans="2:4" x14ac:dyDescent="0.3">
      <c r="B141" s="1">
        <f t="shared" si="2"/>
        <v>138</v>
      </c>
      <c r="C141" s="244"/>
      <c r="D141" s="258"/>
    </row>
    <row r="142" spans="2:4" x14ac:dyDescent="0.3">
      <c r="B142" s="1">
        <f t="shared" si="2"/>
        <v>139</v>
      </c>
      <c r="C142" s="244"/>
      <c r="D142" s="258"/>
    </row>
    <row r="143" spans="2:4" x14ac:dyDescent="0.3">
      <c r="B143" s="1">
        <f t="shared" si="2"/>
        <v>140</v>
      </c>
      <c r="C143" s="244"/>
      <c r="D143" s="258"/>
    </row>
    <row r="144" spans="2:4" x14ac:dyDescent="0.3">
      <c r="B144" s="1">
        <f t="shared" si="2"/>
        <v>141</v>
      </c>
      <c r="C144" s="244"/>
      <c r="D144" s="258"/>
    </row>
    <row r="145" spans="2:4" x14ac:dyDescent="0.3">
      <c r="B145" s="1">
        <f t="shared" si="2"/>
        <v>142</v>
      </c>
      <c r="C145" s="244"/>
      <c r="D145" s="258"/>
    </row>
    <row r="146" spans="2:4" x14ac:dyDescent="0.3">
      <c r="B146" s="1">
        <f t="shared" si="2"/>
        <v>143</v>
      </c>
      <c r="C146" s="244"/>
      <c r="D146" s="258"/>
    </row>
    <row r="147" spans="2:4" x14ac:dyDescent="0.3">
      <c r="B147" s="1">
        <f t="shared" si="2"/>
        <v>144</v>
      </c>
      <c r="C147" s="244"/>
      <c r="D147" s="258"/>
    </row>
    <row r="148" spans="2:4" x14ac:dyDescent="0.3">
      <c r="B148" s="1">
        <f t="shared" si="2"/>
        <v>145</v>
      </c>
      <c r="C148" s="244"/>
      <c r="D148" s="258"/>
    </row>
    <row r="149" spans="2:4" x14ac:dyDescent="0.3">
      <c r="B149" s="1">
        <f t="shared" si="2"/>
        <v>146</v>
      </c>
      <c r="C149" s="244"/>
      <c r="D149" s="258"/>
    </row>
    <row r="150" spans="2:4" x14ac:dyDescent="0.3">
      <c r="B150" s="1">
        <f t="shared" si="2"/>
        <v>147</v>
      </c>
    </row>
    <row r="151" spans="2:4" x14ac:dyDescent="0.3">
      <c r="B151" s="1">
        <f t="shared" si="2"/>
        <v>148</v>
      </c>
    </row>
    <row r="152" spans="2:4" x14ac:dyDescent="0.3">
      <c r="B152" s="1">
        <f t="shared" si="2"/>
        <v>149</v>
      </c>
    </row>
    <row r="153" spans="2:4" x14ac:dyDescent="0.3">
      <c r="B153" s="1">
        <f t="shared" si="2"/>
        <v>150</v>
      </c>
    </row>
    <row r="154" spans="2:4" x14ac:dyDescent="0.3">
      <c r="B154" s="1">
        <f t="shared" si="2"/>
        <v>151</v>
      </c>
    </row>
    <row r="155" spans="2:4" x14ac:dyDescent="0.3">
      <c r="B155" s="1">
        <f t="shared" si="2"/>
        <v>152</v>
      </c>
    </row>
    <row r="156" spans="2:4" x14ac:dyDescent="0.3">
      <c r="B156" s="1">
        <f t="shared" si="2"/>
        <v>153</v>
      </c>
    </row>
  </sheetData>
  <autoFilter ref="B3:Y3" xr:uid="{00000000-0009-0000-0000-000004000000}"/>
  <customSheetViews>
    <customSheetView guid="{0A0B97FA-E3A6-40D6-976A-E2B9E8D894E7}">
      <selection activeCell="D12" sqref="D12"/>
      <pageMargins left="0.7" right="0.7" top="0.75" bottom="0.75" header="0.3" footer="0.3"/>
      <pageSetup orientation="portrait" r:id="rId1"/>
    </customSheetView>
  </customSheetViews>
  <mergeCells count="3">
    <mergeCell ref="B1:D1"/>
    <mergeCell ref="I1:K1"/>
    <mergeCell ref="T4:T35"/>
  </mergeCells>
  <phoneticPr fontId="25" type="noConversion"/>
  <conditionalFormatting sqref="C23">
    <cfRule type="containsText" dxfId="39" priority="24" operator="containsText" text="Vĩnh phúc nái">
      <formula>NOT(ISERROR(SEARCH("Vĩnh phúc nái",C23)))</formula>
    </cfRule>
    <cfRule type="containsText" dxfId="38" priority="25" operator="containsText" text="Vĩnh phúc thịt">
      <formula>NOT(ISERROR(SEARCH("Vĩnh phúc thịt",C23)))</formula>
    </cfRule>
  </conditionalFormatting>
  <conditionalFormatting sqref="C23:C26">
    <cfRule type="containsText" dxfId="37" priority="20" operator="containsText" text="Vĩnh phúc nái">
      <formula>NOT(ISERROR(SEARCH("Vĩnh phúc nái",C23)))</formula>
    </cfRule>
    <cfRule type="containsText" dxfId="36" priority="21" operator="containsText" text="Vĩnh phúc thịt">
      <formula>NOT(ISERROR(SEARCH("Vĩnh phúc thịt",C23)))</formula>
    </cfRule>
  </conditionalFormatting>
  <conditionalFormatting sqref="C24:C27">
    <cfRule type="containsText" dxfId="35" priority="16" operator="containsText" text="Vĩnh phúc nái">
      <formula>NOT(ISERROR(SEARCH("Vĩnh phúc nái",C24)))</formula>
    </cfRule>
    <cfRule type="containsText" dxfId="34" priority="17" operator="containsText" text="Vĩnh phúc thịt">
      <formula>NOT(ISERROR(SEARCH("Vĩnh phúc thịt",C24)))</formula>
    </cfRule>
  </conditionalFormatting>
  <conditionalFormatting sqref="C25">
    <cfRule type="containsText" dxfId="33" priority="14" operator="containsText" text="Vĩnh phúc nái">
      <formula>NOT(ISERROR(SEARCH("Vĩnh phúc nái",C25)))</formula>
    </cfRule>
    <cfRule type="containsText" dxfId="32" priority="15" operator="containsText" text="Vĩnh phúc thịt">
      <formula>NOT(ISERROR(SEARCH("Vĩnh phúc thịt",C25)))</formula>
    </cfRule>
    <cfRule type="containsText" dxfId="31" priority="40" operator="containsText" text="Vĩnh phúc nái">
      <formula>NOT(ISERROR(SEARCH("Vĩnh phúc nái",C25)))</formula>
    </cfRule>
    <cfRule type="containsText" dxfId="30" priority="41" operator="containsText" text="Vĩnh phúc thịt">
      <formula>NOT(ISERROR(SEARCH("Vĩnh phúc thịt",C25)))</formula>
    </cfRule>
  </conditionalFormatting>
  <conditionalFormatting sqref="C27:C44">
    <cfRule type="containsText" dxfId="29" priority="12" operator="containsText" text="Vĩnh phúc nái">
      <formula>NOT(ISERROR(SEARCH("Vĩnh phúc nái",C27)))</formula>
    </cfRule>
    <cfRule type="containsText" dxfId="28" priority="13" operator="containsText" text="Vĩnh phúc thịt">
      <formula>NOT(ISERROR(SEARCH("Vĩnh phúc thịt",C27)))</formula>
    </cfRule>
  </conditionalFormatting>
  <conditionalFormatting sqref="C42">
    <cfRule type="containsText" dxfId="27" priority="10" operator="containsText" text="Vĩnh phúc nái">
      <formula>NOT(ISERROR(SEARCH("Vĩnh phúc nái",C42)))</formula>
    </cfRule>
    <cfRule type="containsText" dxfId="26" priority="11" operator="containsText" text="Vĩnh phúc thịt">
      <formula>NOT(ISERROR(SEARCH("Vĩnh phúc thịt",C42)))</formula>
    </cfRule>
  </conditionalFormatting>
  <conditionalFormatting sqref="C44">
    <cfRule type="containsText" dxfId="25" priority="26" operator="containsText" text="Vĩnh phúc nái">
      <formula>NOT(ISERROR(SEARCH("Vĩnh phúc nái",C44)))</formula>
    </cfRule>
    <cfRule type="containsText" dxfId="24" priority="27" operator="containsText" text="Vĩnh phúc thịt">
      <formula>NOT(ISERROR(SEARCH("Vĩnh phúc thịt",C44)))</formula>
    </cfRule>
  </conditionalFormatting>
  <conditionalFormatting sqref="C46:C47">
    <cfRule type="containsText" dxfId="23" priority="28" operator="containsText" text="Vĩnh phúc nái">
      <formula>NOT(ISERROR(SEARCH("Vĩnh phúc nái",C46)))</formula>
    </cfRule>
    <cfRule type="containsText" dxfId="22" priority="29" operator="containsText" text="Vĩnh phúc thịt">
      <formula>NOT(ISERROR(SEARCH("Vĩnh phúc thịt",C46)))</formula>
    </cfRule>
  </conditionalFormatting>
  <conditionalFormatting sqref="C59">
    <cfRule type="containsText" dxfId="21" priority="48" operator="containsText" text="Vĩnh phúc nái">
      <formula>NOT(ISERROR(SEARCH("Vĩnh phúc nái",C59)))</formula>
    </cfRule>
    <cfRule type="containsText" dxfId="20" priority="49" operator="containsText" text="Vĩnh phúc thịt">
      <formula>NOT(ISERROR(SEARCH("Vĩnh phúc thịt",C59)))</formula>
    </cfRule>
  </conditionalFormatting>
  <conditionalFormatting sqref="C117">
    <cfRule type="containsText" dxfId="19" priority="3" operator="containsText" text="Vĩnh phúc thịt">
      <formula>NOT(ISERROR(SEARCH("Vĩnh phúc thịt",C117)))</formula>
    </cfRule>
    <cfRule type="containsText" dxfId="18" priority="4" operator="containsText" text="Vĩnh phúc nái">
      <formula>NOT(ISERROR(SEARCH("Vĩnh phúc nái",C117)))</formula>
    </cfRule>
  </conditionalFormatting>
  <conditionalFormatting sqref="C119">
    <cfRule type="containsText" dxfId="17" priority="1" operator="containsText" text="Vĩnh phúc thịt">
      <formula>NOT(ISERROR(SEARCH("Vĩnh phúc thịt",C119)))</formula>
    </cfRule>
    <cfRule type="containsText" dxfId="16" priority="2" operator="containsText" text="Vĩnh phúc nái">
      <formula>NOT(ISERROR(SEARCH("Vĩnh phúc nái",C119)))</formula>
    </cfRule>
  </conditionalFormatting>
  <conditionalFormatting sqref="S4:S35">
    <cfRule type="cellIs" dxfId="15" priority="51" operator="greaterThan">
      <formula>0</formula>
    </cfRule>
  </conditionalFormatting>
  <conditionalFormatting sqref="T36">
    <cfRule type="cellIs" dxfId="14" priority="52" operator="greaterThan">
      <formula>0</formula>
    </cfRule>
    <cfRule type="cellIs" dxfId="13" priority="53" operator="lessThan">
      <formula>0</formula>
    </cfRule>
  </conditionalFormatting>
  <conditionalFormatting sqref="X12:X15">
    <cfRule type="cellIs" dxfId="12" priority="9" operator="greaterThan">
      <formula>0</formula>
    </cfRule>
  </conditionalFormatting>
  <dataValidations count="2">
    <dataValidation type="list" allowBlank="1" showInputMessage="1" showErrorMessage="1" sqref="C119 C59 C23:C25 C42 C104 C108 C110" xr:uid="{00000000-0002-0000-0400-000000000000}">
      <formula1>$C$4:$C$100</formula1>
    </dataValidation>
    <dataValidation type="list" allowBlank="1" showInputMessage="1" showErrorMessage="1" sqref="O4" xr:uid="{00000000-0002-0000-0400-000001000000}">
      <formula1>$C$4:$C$200</formula1>
    </dataValidation>
  </dataValidation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0070C0"/>
  </sheetPr>
  <dimension ref="B2:J115"/>
  <sheetViews>
    <sheetView zoomScale="80" zoomScaleNormal="80" workbookViewId="0">
      <pane xSplit="3" ySplit="5" topLeftCell="D6" activePane="bottomRight" state="frozen"/>
      <selection pane="topRight" activeCell="D1" sqref="D1"/>
      <selection pane="bottomLeft" activeCell="A3" sqref="A3"/>
      <selection pane="bottomRight" activeCell="G128" sqref="G128"/>
    </sheetView>
  </sheetViews>
  <sheetFormatPr defaultRowHeight="14.4" x14ac:dyDescent="0.3"/>
  <cols>
    <col min="1" max="1" width="4.5546875" customWidth="1"/>
    <col min="2" max="2" width="5.88671875" bestFit="1" customWidth="1"/>
    <col min="3" max="3" width="32.33203125" customWidth="1"/>
    <col min="4" max="4" width="37.109375" customWidth="1"/>
    <col min="5" max="6" width="22" customWidth="1"/>
    <col min="7" max="9" width="29.88671875" customWidth="1"/>
    <col min="10" max="10" width="11.5546875" bestFit="1" customWidth="1"/>
  </cols>
  <sheetData>
    <row r="2" spans="2:10" ht="30" customHeight="1" x14ac:dyDescent="0.3">
      <c r="B2" s="307" t="s">
        <v>80</v>
      </c>
      <c r="C2" s="308"/>
      <c r="D2" s="309"/>
      <c r="E2" s="105" t="s">
        <v>81</v>
      </c>
      <c r="F2" s="106" t="s">
        <v>84</v>
      </c>
      <c r="G2" s="108" t="s">
        <v>85</v>
      </c>
      <c r="H2" s="95" t="s">
        <v>82</v>
      </c>
      <c r="I2" s="109" t="s">
        <v>83</v>
      </c>
    </row>
    <row r="3" spans="2:10" ht="30" customHeight="1" x14ac:dyDescent="0.3">
      <c r="B3" s="310"/>
      <c r="C3" s="311"/>
      <c r="D3" s="312"/>
      <c r="E3" s="96">
        <f>+SUM('Heo con_Nhập dữ liệu'!O7:O10003)</f>
        <v>0</v>
      </c>
      <c r="F3" s="96">
        <f>+SUM('Heo con_Nhập dữ liệu'!S:S)</f>
        <v>500000</v>
      </c>
      <c r="G3" s="96">
        <f>+SUM('Heo con_Nhập dữ liệu'!P:P)+SUM('Heo con_Nhập dữ liệu'!Q:Q)</f>
        <v>500000</v>
      </c>
      <c r="H3" s="97">
        <f>+SUM('Heo con_Nhập dữ liệu'!R:R)</f>
        <v>0</v>
      </c>
      <c r="I3" s="96">
        <f>+F3-E3</f>
        <v>500000</v>
      </c>
    </row>
    <row r="5" spans="2:10" ht="34.5" customHeight="1" x14ac:dyDescent="0.3">
      <c r="B5" s="83" t="s">
        <v>2</v>
      </c>
      <c r="C5" s="83" t="s">
        <v>0</v>
      </c>
      <c r="D5" s="84" t="s">
        <v>1</v>
      </c>
      <c r="E5" s="85" t="s">
        <v>77</v>
      </c>
      <c r="F5" s="86" t="s">
        <v>14</v>
      </c>
      <c r="G5" s="87" t="s">
        <v>78</v>
      </c>
      <c r="H5" s="88" t="s">
        <v>79</v>
      </c>
      <c r="I5" s="85" t="s">
        <v>18</v>
      </c>
    </row>
    <row r="6" spans="2:10" ht="20.25" hidden="1" customHeight="1" x14ac:dyDescent="0.3">
      <c r="B6" s="89">
        <v>1</v>
      </c>
      <c r="C6" s="89">
        <f>IFERROR(+Data!J4,"")</f>
        <v>0</v>
      </c>
      <c r="D6" s="89" t="str">
        <f>IFERROR(+VLOOKUP(C6,Data!J4:K103,2,0),"-")</f>
        <v>-</v>
      </c>
      <c r="E6" s="90">
        <f>IFERROR(+SUMIFS('Heo con_Nhập dữ liệu'!$O:$O,'Heo con_Nhập dữ liệu'!$E:$E,'Heo con_Theo dõi khách hàng'!C6),"")</f>
        <v>0</v>
      </c>
      <c r="F6" s="90">
        <f>IFERROR(+SUMIFS('Heo con_Nhập dữ liệu'!$P:$P,'Heo con_Nhập dữ liệu'!$E:$E,'Heo con_Theo dõi khách hàng'!C6)+SUMIFS('Heo con_Nhập dữ liệu'!$Q:$Q,'Heo con_Nhập dữ liệu'!$E:$E,'Heo con_Theo dõi khách hàng'!C6)+SUMIFS('Heo con_Nhập dữ liệu'!$R:$R,'Heo con_Nhập dữ liệu'!$E:$E,'Heo con_Theo dõi khách hàng'!C6),"")</f>
        <v>0</v>
      </c>
      <c r="G6" s="90">
        <f>+SUMIFS('Heo con_Nhập dữ liệu'!$T:$T,'Heo con_Nhập dữ liệu'!$E:$E,'Heo con_Theo dõi khách hàng'!C6)</f>
        <v>0</v>
      </c>
      <c r="H6" s="90">
        <f>+SUMIFS('Heo con_Nhập dữ liệu'!$U:$U,'Heo con_Nhập dữ liệu'!$E:$E,'Heo con_Theo dõi khách hàng'!C6)</f>
        <v>0</v>
      </c>
      <c r="I6" s="91">
        <f>+H6-G6</f>
        <v>0</v>
      </c>
      <c r="J6" t="str">
        <f>+IF(ABS(I6)&gt;500000,"Check","-")</f>
        <v>-</v>
      </c>
    </row>
    <row r="7" spans="2:10" ht="20.25" hidden="1" customHeight="1" x14ac:dyDescent="0.3">
      <c r="B7" s="89">
        <v>2</v>
      </c>
      <c r="C7" s="89" t="str">
        <f>IFERROR(+Data!J5,"")</f>
        <v>nguyễn văn tuy</v>
      </c>
      <c r="D7" s="89" t="str">
        <f>IFERROR(+VLOOKUP(C7,Data!J5:K104,2,0),"-")</f>
        <v>bắc giang</v>
      </c>
      <c r="E7" s="90">
        <f>IFERROR(+SUMIFS('Heo con_Nhập dữ liệu'!$O:$O,'Heo con_Nhập dữ liệu'!$E:$E,'Heo con_Theo dõi khách hàng'!C7),"")</f>
        <v>1374000000</v>
      </c>
      <c r="F7" s="90">
        <f>IFERROR(+SUMIFS('Heo con_Nhập dữ liệu'!$P:$P,'Heo con_Nhập dữ liệu'!$E:$E,'Heo con_Theo dõi khách hàng'!C7)+SUMIFS('Heo con_Nhập dữ liệu'!$Q:$Q,'Heo con_Nhập dữ liệu'!$E:$E,'Heo con_Theo dõi khách hàng'!C7)+SUMIFS('Heo con_Nhập dữ liệu'!$R:$R,'Heo con_Nhập dữ liệu'!$E:$E,'Heo con_Theo dõi khách hàng'!C7),"")</f>
        <v>500000</v>
      </c>
      <c r="G7" s="90">
        <f>+SUMIFS('Heo con_Nhập dữ liệu'!$T:$T,'Heo con_Nhập dữ liệu'!$E:$E,'Heo con_Theo dõi khách hàng'!C7)</f>
        <v>1373500000</v>
      </c>
      <c r="H7" s="90">
        <f>+SUMIFS('Heo con_Nhập dữ liệu'!$U:$U,'Heo con_Nhập dữ liệu'!$E:$E,'Heo con_Theo dõi khách hàng'!C7)</f>
        <v>0</v>
      </c>
      <c r="I7" s="91">
        <f t="shared" ref="I7:I25" si="0">+H7-G7</f>
        <v>-1373500000</v>
      </c>
      <c r="J7" t="str">
        <f t="shared" ref="J7:J70" si="1">+IF(ABS(I7)&gt;500000,"Check","-")</f>
        <v>Check</v>
      </c>
    </row>
    <row r="8" spans="2:10" ht="20.25" hidden="1" customHeight="1" x14ac:dyDescent="0.3">
      <c r="B8" s="89">
        <v>3</v>
      </c>
      <c r="C8" s="89">
        <f>IFERROR(+Data!J6,"")</f>
        <v>0</v>
      </c>
      <c r="D8" s="89" t="str">
        <f>IFERROR(+VLOOKUP(C8,Data!J6:K105,2,0),"-")</f>
        <v>-</v>
      </c>
      <c r="E8" s="90">
        <f>IFERROR(+SUMIFS('Heo con_Nhập dữ liệu'!$O:$O,'Heo con_Nhập dữ liệu'!$E:$E,'Heo con_Theo dõi khách hàng'!C8),"")</f>
        <v>0</v>
      </c>
      <c r="F8" s="90">
        <f>IFERROR(+SUMIFS('Heo con_Nhập dữ liệu'!$P:$P,'Heo con_Nhập dữ liệu'!$E:$E,'Heo con_Theo dõi khách hàng'!C8)+SUMIFS('Heo con_Nhập dữ liệu'!$Q:$Q,'Heo con_Nhập dữ liệu'!$E:$E,'Heo con_Theo dõi khách hàng'!C8)+SUMIFS('Heo con_Nhập dữ liệu'!$R:$R,'Heo con_Nhập dữ liệu'!$E:$E,'Heo con_Theo dõi khách hàng'!C8),"")</f>
        <v>0</v>
      </c>
      <c r="G8" s="90">
        <f>+SUMIFS('Heo con_Nhập dữ liệu'!$T:$T,'Heo con_Nhập dữ liệu'!$E:$E,'Heo con_Theo dõi khách hàng'!C8)</f>
        <v>0</v>
      </c>
      <c r="H8" s="90">
        <f>+SUMIFS('Heo con_Nhập dữ liệu'!$U:$U,'Heo con_Nhập dữ liệu'!$E:$E,'Heo con_Theo dõi khách hàng'!C8)</f>
        <v>0</v>
      </c>
      <c r="I8" s="91">
        <f t="shared" si="0"/>
        <v>0</v>
      </c>
      <c r="J8" t="str">
        <f t="shared" si="1"/>
        <v>-</v>
      </c>
    </row>
    <row r="9" spans="2:10" ht="20.25" hidden="1" customHeight="1" x14ac:dyDescent="0.3">
      <c r="B9" s="89">
        <v>4</v>
      </c>
      <c r="C9" s="89">
        <f>IFERROR(+Data!J7,"")</f>
        <v>0</v>
      </c>
      <c r="D9" s="89" t="str">
        <f>IFERROR(+VLOOKUP(C9,Data!J7:K106,2,0),"-")</f>
        <v>-</v>
      </c>
      <c r="E9" s="90">
        <f>IFERROR(+SUMIFS('Heo con_Nhập dữ liệu'!$O:$O,'Heo con_Nhập dữ liệu'!$E:$E,'Heo con_Theo dõi khách hàng'!C9),"")</f>
        <v>0</v>
      </c>
      <c r="F9" s="90">
        <f>IFERROR(+SUMIFS('Heo con_Nhập dữ liệu'!$P:$P,'Heo con_Nhập dữ liệu'!$E:$E,'Heo con_Theo dõi khách hàng'!C9)+SUMIFS('Heo con_Nhập dữ liệu'!$Q:$Q,'Heo con_Nhập dữ liệu'!$E:$E,'Heo con_Theo dõi khách hàng'!C9)+SUMIFS('Heo con_Nhập dữ liệu'!$R:$R,'Heo con_Nhập dữ liệu'!$E:$E,'Heo con_Theo dõi khách hàng'!C9),"")</f>
        <v>0</v>
      </c>
      <c r="G9" s="90">
        <f>+SUMIFS('Heo con_Nhập dữ liệu'!$T:$T,'Heo con_Nhập dữ liệu'!$E:$E,'Heo con_Theo dõi khách hàng'!C9)</f>
        <v>0</v>
      </c>
      <c r="H9" s="90">
        <f>+SUMIFS('Heo con_Nhập dữ liệu'!$U:$U,'Heo con_Nhập dữ liệu'!$E:$E,'Heo con_Theo dõi khách hàng'!C9)</f>
        <v>0</v>
      </c>
      <c r="I9" s="91">
        <f t="shared" si="0"/>
        <v>0</v>
      </c>
      <c r="J9" t="str">
        <f t="shared" si="1"/>
        <v>-</v>
      </c>
    </row>
    <row r="10" spans="2:10" ht="20.25" hidden="1" customHeight="1" x14ac:dyDescent="0.3">
      <c r="B10" s="89">
        <v>5</v>
      </c>
      <c r="C10" s="89">
        <f>IFERROR(+Data!J8,"")</f>
        <v>0</v>
      </c>
      <c r="D10" s="89" t="str">
        <f>IFERROR(+VLOOKUP(C10,Data!J8:K107,2,0),"-")</f>
        <v>-</v>
      </c>
      <c r="E10" s="90">
        <f>IFERROR(+SUMIFS('Heo con_Nhập dữ liệu'!$O:$O,'Heo con_Nhập dữ liệu'!$E:$E,'Heo con_Theo dõi khách hàng'!C10),"")</f>
        <v>0</v>
      </c>
      <c r="F10" s="90">
        <f>IFERROR(+SUMIFS('Heo con_Nhập dữ liệu'!$P:$P,'Heo con_Nhập dữ liệu'!$E:$E,'Heo con_Theo dõi khách hàng'!C10)+SUMIFS('Heo con_Nhập dữ liệu'!$Q:$Q,'Heo con_Nhập dữ liệu'!$E:$E,'Heo con_Theo dõi khách hàng'!C10)+SUMIFS('Heo con_Nhập dữ liệu'!$R:$R,'Heo con_Nhập dữ liệu'!$E:$E,'Heo con_Theo dõi khách hàng'!C10),"")</f>
        <v>0</v>
      </c>
      <c r="G10" s="90">
        <f>+SUMIFS('Heo con_Nhập dữ liệu'!$T:$T,'Heo con_Nhập dữ liệu'!$E:$E,'Heo con_Theo dõi khách hàng'!C10)</f>
        <v>0</v>
      </c>
      <c r="H10" s="90">
        <f>+SUMIFS('Heo con_Nhập dữ liệu'!$U:$U,'Heo con_Nhập dữ liệu'!$E:$E,'Heo con_Theo dõi khách hàng'!C10)</f>
        <v>0</v>
      </c>
      <c r="I10" s="91">
        <f t="shared" si="0"/>
        <v>0</v>
      </c>
      <c r="J10" t="str">
        <f t="shared" si="1"/>
        <v>-</v>
      </c>
    </row>
    <row r="11" spans="2:10" ht="20.25" hidden="1" customHeight="1" x14ac:dyDescent="0.3">
      <c r="B11" s="89">
        <v>6</v>
      </c>
      <c r="C11" s="89">
        <f>IFERROR(+Data!J9,"")</f>
        <v>0</v>
      </c>
      <c r="D11" s="89" t="str">
        <f>IFERROR(+VLOOKUP(C11,Data!J9:K108,2,0),"-")</f>
        <v>-</v>
      </c>
      <c r="E11" s="90">
        <f>IFERROR(+SUMIFS('Heo con_Nhập dữ liệu'!$O:$O,'Heo con_Nhập dữ liệu'!$E:$E,'Heo con_Theo dõi khách hàng'!C11),"")</f>
        <v>0</v>
      </c>
      <c r="F11" s="90">
        <f>IFERROR(+SUMIFS('Heo con_Nhập dữ liệu'!$P:$P,'Heo con_Nhập dữ liệu'!$E:$E,'Heo con_Theo dõi khách hàng'!C11)+SUMIFS('Heo con_Nhập dữ liệu'!$Q:$Q,'Heo con_Nhập dữ liệu'!$E:$E,'Heo con_Theo dõi khách hàng'!C11)+SUMIFS('Heo con_Nhập dữ liệu'!$R:$R,'Heo con_Nhập dữ liệu'!$E:$E,'Heo con_Theo dõi khách hàng'!C11),"")</f>
        <v>0</v>
      </c>
      <c r="G11" s="90">
        <f>+SUMIFS('Heo con_Nhập dữ liệu'!$T:$T,'Heo con_Nhập dữ liệu'!$E:$E,'Heo con_Theo dõi khách hàng'!C11)</f>
        <v>0</v>
      </c>
      <c r="H11" s="90">
        <f>+SUMIFS('Heo con_Nhập dữ liệu'!$U:$U,'Heo con_Nhập dữ liệu'!$E:$E,'Heo con_Theo dõi khách hàng'!C11)</f>
        <v>0</v>
      </c>
      <c r="I11" s="91">
        <f t="shared" si="0"/>
        <v>0</v>
      </c>
      <c r="J11" t="str">
        <f t="shared" si="1"/>
        <v>-</v>
      </c>
    </row>
    <row r="12" spans="2:10" ht="20.25" hidden="1" customHeight="1" x14ac:dyDescent="0.3">
      <c r="B12" s="89">
        <v>7</v>
      </c>
      <c r="C12" s="89">
        <f>IFERROR(+Data!J10,"")</f>
        <v>0</v>
      </c>
      <c r="D12" s="89" t="str">
        <f>IFERROR(+VLOOKUP(C12,Data!J10:K109,2,0),"-")</f>
        <v>-</v>
      </c>
      <c r="E12" s="90">
        <f>IFERROR(+SUMIFS('Heo con_Nhập dữ liệu'!$O:$O,'Heo con_Nhập dữ liệu'!$E:$E,'Heo con_Theo dõi khách hàng'!C12),"")</f>
        <v>0</v>
      </c>
      <c r="F12" s="90">
        <f>IFERROR(+SUMIFS('Heo con_Nhập dữ liệu'!$P:$P,'Heo con_Nhập dữ liệu'!$E:$E,'Heo con_Theo dõi khách hàng'!C12)+SUMIFS('Heo con_Nhập dữ liệu'!$Q:$Q,'Heo con_Nhập dữ liệu'!$E:$E,'Heo con_Theo dõi khách hàng'!C12)+SUMIFS('Heo con_Nhập dữ liệu'!$R:$R,'Heo con_Nhập dữ liệu'!$E:$E,'Heo con_Theo dõi khách hàng'!C12),"")</f>
        <v>0</v>
      </c>
      <c r="G12" s="90">
        <f>+SUMIFS('Heo con_Nhập dữ liệu'!$T:$T,'Heo con_Nhập dữ liệu'!$E:$E,'Heo con_Theo dõi khách hàng'!C12)</f>
        <v>0</v>
      </c>
      <c r="H12" s="90">
        <f>+SUMIFS('Heo con_Nhập dữ liệu'!$U:$U,'Heo con_Nhập dữ liệu'!$E:$E,'Heo con_Theo dõi khách hàng'!C12)</f>
        <v>0</v>
      </c>
      <c r="I12" s="91">
        <f t="shared" si="0"/>
        <v>0</v>
      </c>
      <c r="J12" t="str">
        <f t="shared" si="1"/>
        <v>-</v>
      </c>
    </row>
    <row r="13" spans="2:10" ht="20.25" hidden="1" customHeight="1" x14ac:dyDescent="0.3">
      <c r="B13" s="89">
        <v>8</v>
      </c>
      <c r="C13" s="89">
        <f>IFERROR(+Data!J11,"")</f>
        <v>0</v>
      </c>
      <c r="D13" s="89" t="str">
        <f>IFERROR(+VLOOKUP(C13,Data!J11:K110,2,0),"-")</f>
        <v>-</v>
      </c>
      <c r="E13" s="90">
        <f>IFERROR(+SUMIFS('Heo con_Nhập dữ liệu'!$O:$O,'Heo con_Nhập dữ liệu'!$E:$E,'Heo con_Theo dõi khách hàng'!C13),"")</f>
        <v>0</v>
      </c>
      <c r="F13" s="90">
        <f>IFERROR(+SUMIFS('Heo con_Nhập dữ liệu'!$P:$P,'Heo con_Nhập dữ liệu'!$E:$E,'Heo con_Theo dõi khách hàng'!C13)+SUMIFS('Heo con_Nhập dữ liệu'!$Q:$Q,'Heo con_Nhập dữ liệu'!$E:$E,'Heo con_Theo dõi khách hàng'!C13)+SUMIFS('Heo con_Nhập dữ liệu'!$R:$R,'Heo con_Nhập dữ liệu'!$E:$E,'Heo con_Theo dõi khách hàng'!C13),"")</f>
        <v>0</v>
      </c>
      <c r="G13" s="90">
        <f>+SUMIFS('Heo con_Nhập dữ liệu'!$T:$T,'Heo con_Nhập dữ liệu'!$E:$E,'Heo con_Theo dõi khách hàng'!C13)</f>
        <v>0</v>
      </c>
      <c r="H13" s="90">
        <f>+SUMIFS('Heo con_Nhập dữ liệu'!$U:$U,'Heo con_Nhập dữ liệu'!$E:$E,'Heo con_Theo dõi khách hàng'!C13)</f>
        <v>0</v>
      </c>
      <c r="I13" s="91">
        <f t="shared" si="0"/>
        <v>0</v>
      </c>
      <c r="J13" t="str">
        <f t="shared" si="1"/>
        <v>-</v>
      </c>
    </row>
    <row r="14" spans="2:10" ht="20.25" hidden="1" customHeight="1" x14ac:dyDescent="0.3">
      <c r="B14" s="89">
        <v>9</v>
      </c>
      <c r="C14" s="89">
        <f>IFERROR(+Data!J12,"")</f>
        <v>0</v>
      </c>
      <c r="D14" s="89" t="str">
        <f>IFERROR(+VLOOKUP(C14,Data!J12:K111,2,0),"-")</f>
        <v>-</v>
      </c>
      <c r="E14" s="90">
        <f>IFERROR(+SUMIFS('Heo con_Nhập dữ liệu'!$O:$O,'Heo con_Nhập dữ liệu'!$E:$E,'Heo con_Theo dõi khách hàng'!C14),"")</f>
        <v>0</v>
      </c>
      <c r="F14" s="90">
        <f>IFERROR(+SUMIFS('Heo con_Nhập dữ liệu'!$P:$P,'Heo con_Nhập dữ liệu'!$E:$E,'Heo con_Theo dõi khách hàng'!C14)+SUMIFS('Heo con_Nhập dữ liệu'!$Q:$Q,'Heo con_Nhập dữ liệu'!$E:$E,'Heo con_Theo dõi khách hàng'!C14)+SUMIFS('Heo con_Nhập dữ liệu'!$R:$R,'Heo con_Nhập dữ liệu'!$E:$E,'Heo con_Theo dõi khách hàng'!C14),"")</f>
        <v>0</v>
      </c>
      <c r="G14" s="90">
        <f>+SUMIFS('Heo con_Nhập dữ liệu'!$T:$T,'Heo con_Nhập dữ liệu'!$E:$E,'Heo con_Theo dõi khách hàng'!C14)</f>
        <v>0</v>
      </c>
      <c r="H14" s="90">
        <f>+SUMIFS('Heo con_Nhập dữ liệu'!$U:$U,'Heo con_Nhập dữ liệu'!$E:$E,'Heo con_Theo dõi khách hàng'!C14)</f>
        <v>0</v>
      </c>
      <c r="I14" s="91">
        <f t="shared" si="0"/>
        <v>0</v>
      </c>
      <c r="J14" t="str">
        <f t="shared" si="1"/>
        <v>-</v>
      </c>
    </row>
    <row r="15" spans="2:10" ht="20.25" hidden="1" customHeight="1" x14ac:dyDescent="0.3">
      <c r="B15" s="89">
        <v>10</v>
      </c>
      <c r="C15" s="89">
        <f>IFERROR(+Data!J13,"")</f>
        <v>0</v>
      </c>
      <c r="D15" s="89" t="str">
        <f>IFERROR(+VLOOKUP(C15,Data!J13:K112,2,0),"-")</f>
        <v>-</v>
      </c>
      <c r="E15" s="90">
        <f>IFERROR(+SUMIFS('Heo con_Nhập dữ liệu'!$O:$O,'Heo con_Nhập dữ liệu'!$E:$E,'Heo con_Theo dõi khách hàng'!C15),"")</f>
        <v>0</v>
      </c>
      <c r="F15" s="90">
        <f>IFERROR(+SUMIFS('Heo con_Nhập dữ liệu'!$P:$P,'Heo con_Nhập dữ liệu'!$E:$E,'Heo con_Theo dõi khách hàng'!C15)+SUMIFS('Heo con_Nhập dữ liệu'!$Q:$Q,'Heo con_Nhập dữ liệu'!$E:$E,'Heo con_Theo dõi khách hàng'!C15)+SUMIFS('Heo con_Nhập dữ liệu'!$R:$R,'Heo con_Nhập dữ liệu'!$E:$E,'Heo con_Theo dõi khách hàng'!C15),"")</f>
        <v>0</v>
      </c>
      <c r="G15" s="90">
        <f>+SUMIFS('Heo con_Nhập dữ liệu'!$T:$T,'Heo con_Nhập dữ liệu'!$E:$E,'Heo con_Theo dõi khách hàng'!C15)</f>
        <v>0</v>
      </c>
      <c r="H15" s="90">
        <f>+SUMIFS('Heo con_Nhập dữ liệu'!$U:$U,'Heo con_Nhập dữ liệu'!$E:$E,'Heo con_Theo dõi khách hàng'!C15)</f>
        <v>0</v>
      </c>
      <c r="I15" s="91">
        <f t="shared" si="0"/>
        <v>0</v>
      </c>
      <c r="J15" t="str">
        <f t="shared" si="1"/>
        <v>-</v>
      </c>
    </row>
    <row r="16" spans="2:10" ht="20.25" customHeight="1" x14ac:dyDescent="0.3">
      <c r="B16" s="89">
        <v>11</v>
      </c>
      <c r="C16" s="89">
        <f>IFERROR(+Data!J14,"")</f>
        <v>0</v>
      </c>
      <c r="D16" s="89" t="str">
        <f>IFERROR(+VLOOKUP(C16,Data!J14:K113,2,0),"-")</f>
        <v>-</v>
      </c>
      <c r="E16" s="90">
        <f>IFERROR(+SUMIFS('Heo con_Nhập dữ liệu'!$O:$O,'Heo con_Nhập dữ liệu'!$E:$E,'Heo con_Theo dõi khách hàng'!C16),"")</f>
        <v>0</v>
      </c>
      <c r="F16" s="90">
        <f>IFERROR(+SUMIFS('Heo con_Nhập dữ liệu'!$P:$P,'Heo con_Nhập dữ liệu'!$E:$E,'Heo con_Theo dõi khách hàng'!C16)+SUMIFS('Heo con_Nhập dữ liệu'!$Q:$Q,'Heo con_Nhập dữ liệu'!$E:$E,'Heo con_Theo dõi khách hàng'!C16)+SUMIFS('Heo con_Nhập dữ liệu'!$R:$R,'Heo con_Nhập dữ liệu'!$E:$E,'Heo con_Theo dõi khách hàng'!C16),"")</f>
        <v>0</v>
      </c>
      <c r="G16" s="90">
        <f>+SUMIFS('Heo con_Nhập dữ liệu'!$T:$T,'Heo con_Nhập dữ liệu'!$E:$E,'Heo con_Theo dõi khách hàng'!C16)</f>
        <v>0</v>
      </c>
      <c r="H16" s="90">
        <f>+SUMIFS('Heo con_Nhập dữ liệu'!$U:$U,'Heo con_Nhập dữ liệu'!$E:$E,'Heo con_Theo dõi khách hàng'!C16)</f>
        <v>0</v>
      </c>
      <c r="I16" s="91">
        <f t="shared" si="0"/>
        <v>0</v>
      </c>
      <c r="J16" t="str">
        <f t="shared" si="1"/>
        <v>-</v>
      </c>
    </row>
    <row r="17" spans="2:10" ht="20.25" hidden="1" customHeight="1" x14ac:dyDescent="0.3">
      <c r="B17" s="89">
        <v>12</v>
      </c>
      <c r="C17" s="89">
        <f>IFERROR(+Data!J15,"")</f>
        <v>0</v>
      </c>
      <c r="D17" s="89" t="str">
        <f>IFERROR(+VLOOKUP(C17,Data!J15:K114,2,0),"-")</f>
        <v>-</v>
      </c>
      <c r="E17" s="90">
        <f>IFERROR(+SUMIFS('Heo con_Nhập dữ liệu'!$O:$O,'Heo con_Nhập dữ liệu'!$E:$E,'Heo con_Theo dõi khách hàng'!C17),"")</f>
        <v>0</v>
      </c>
      <c r="F17" s="90">
        <f>IFERROR(+SUMIFS('Heo con_Nhập dữ liệu'!$P:$P,'Heo con_Nhập dữ liệu'!$E:$E,'Heo con_Theo dõi khách hàng'!C17)+SUMIFS('Heo con_Nhập dữ liệu'!$Q:$Q,'Heo con_Nhập dữ liệu'!$E:$E,'Heo con_Theo dõi khách hàng'!C17)+SUMIFS('Heo con_Nhập dữ liệu'!$R:$R,'Heo con_Nhập dữ liệu'!$E:$E,'Heo con_Theo dõi khách hàng'!C17),"")</f>
        <v>0</v>
      </c>
      <c r="G17" s="90">
        <f>+SUMIFS('Heo con_Nhập dữ liệu'!$T:$T,'Heo con_Nhập dữ liệu'!$E:$E,'Heo con_Theo dõi khách hàng'!C17)</f>
        <v>0</v>
      </c>
      <c r="H17" s="90">
        <f>+SUMIFS('Heo con_Nhập dữ liệu'!$U:$U,'Heo con_Nhập dữ liệu'!$E:$E,'Heo con_Theo dõi khách hàng'!C17)</f>
        <v>0</v>
      </c>
      <c r="I17" s="91">
        <f t="shared" si="0"/>
        <v>0</v>
      </c>
      <c r="J17" t="str">
        <f t="shared" si="1"/>
        <v>-</v>
      </c>
    </row>
    <row r="18" spans="2:10" ht="20.25" hidden="1" customHeight="1" x14ac:dyDescent="0.3">
      <c r="B18" s="89">
        <v>13</v>
      </c>
      <c r="C18" s="89">
        <f>IFERROR(+Data!J16,"")</f>
        <v>0</v>
      </c>
      <c r="D18" s="89" t="str">
        <f>IFERROR(+VLOOKUP(C18,Data!J16:K115,2,0),"-")</f>
        <v>-</v>
      </c>
      <c r="E18" s="90">
        <f>IFERROR(+SUMIFS('Heo con_Nhập dữ liệu'!$O:$O,'Heo con_Nhập dữ liệu'!$E:$E,'Heo con_Theo dõi khách hàng'!C18),"")</f>
        <v>0</v>
      </c>
      <c r="F18" s="90">
        <f>IFERROR(+SUMIFS('Heo con_Nhập dữ liệu'!$P:$P,'Heo con_Nhập dữ liệu'!$E:$E,'Heo con_Theo dõi khách hàng'!C18)+SUMIFS('Heo con_Nhập dữ liệu'!$Q:$Q,'Heo con_Nhập dữ liệu'!$E:$E,'Heo con_Theo dõi khách hàng'!C18)+SUMIFS('Heo con_Nhập dữ liệu'!$R:$R,'Heo con_Nhập dữ liệu'!$E:$E,'Heo con_Theo dõi khách hàng'!C18),"")</f>
        <v>0</v>
      </c>
      <c r="G18" s="90">
        <f>+SUMIFS('Heo con_Nhập dữ liệu'!$T:$T,'Heo con_Nhập dữ liệu'!$E:$E,'Heo con_Theo dõi khách hàng'!C18)</f>
        <v>0</v>
      </c>
      <c r="H18" s="90">
        <f>+SUMIFS('Heo con_Nhập dữ liệu'!$U:$U,'Heo con_Nhập dữ liệu'!$E:$E,'Heo con_Theo dõi khách hàng'!C18)</f>
        <v>0</v>
      </c>
      <c r="I18" s="91">
        <f t="shared" si="0"/>
        <v>0</v>
      </c>
      <c r="J18" t="str">
        <f t="shared" si="1"/>
        <v>-</v>
      </c>
    </row>
    <row r="19" spans="2:10" ht="20.25" hidden="1" customHeight="1" x14ac:dyDescent="0.3">
      <c r="B19" s="89">
        <v>14</v>
      </c>
      <c r="C19" s="89">
        <f>IFERROR(+Data!J17,"")</f>
        <v>0</v>
      </c>
      <c r="D19" s="89" t="str">
        <f>IFERROR(+VLOOKUP(C19,Data!J17:K116,2,0),"-")</f>
        <v>-</v>
      </c>
      <c r="E19" s="90">
        <f>IFERROR(+SUMIFS('Heo con_Nhập dữ liệu'!$O:$O,'Heo con_Nhập dữ liệu'!$E:$E,'Heo con_Theo dõi khách hàng'!C19),"")</f>
        <v>0</v>
      </c>
      <c r="F19" s="90">
        <f>IFERROR(+SUMIFS('Heo con_Nhập dữ liệu'!$P:$P,'Heo con_Nhập dữ liệu'!$E:$E,'Heo con_Theo dõi khách hàng'!C19)+SUMIFS('Heo con_Nhập dữ liệu'!$Q:$Q,'Heo con_Nhập dữ liệu'!$E:$E,'Heo con_Theo dõi khách hàng'!C19)+SUMIFS('Heo con_Nhập dữ liệu'!$R:$R,'Heo con_Nhập dữ liệu'!$E:$E,'Heo con_Theo dõi khách hàng'!C19),"")</f>
        <v>0</v>
      </c>
      <c r="G19" s="90">
        <f>+SUMIFS('Heo con_Nhập dữ liệu'!$T:$T,'Heo con_Nhập dữ liệu'!$E:$E,'Heo con_Theo dõi khách hàng'!C19)</f>
        <v>0</v>
      </c>
      <c r="H19" s="90">
        <f>+SUMIFS('Heo con_Nhập dữ liệu'!$U:$U,'Heo con_Nhập dữ liệu'!$E:$E,'Heo con_Theo dõi khách hàng'!C19)</f>
        <v>0</v>
      </c>
      <c r="I19" s="91">
        <f t="shared" si="0"/>
        <v>0</v>
      </c>
      <c r="J19" t="str">
        <f t="shared" si="1"/>
        <v>-</v>
      </c>
    </row>
    <row r="20" spans="2:10" ht="20.25" hidden="1" customHeight="1" x14ac:dyDescent="0.3">
      <c r="B20" s="89">
        <v>15</v>
      </c>
      <c r="C20" s="89">
        <f>IFERROR(+Data!J18,"")</f>
        <v>0</v>
      </c>
      <c r="D20" s="89" t="str">
        <f>IFERROR(+VLOOKUP(C20,Data!J18:K117,2,0),"-")</f>
        <v>-</v>
      </c>
      <c r="E20" s="90">
        <f>IFERROR(+SUMIFS('Heo con_Nhập dữ liệu'!$O:$O,'Heo con_Nhập dữ liệu'!$E:$E,'Heo con_Theo dõi khách hàng'!C20),"")</f>
        <v>0</v>
      </c>
      <c r="F20" s="90">
        <f>IFERROR(+SUMIFS('Heo con_Nhập dữ liệu'!$P:$P,'Heo con_Nhập dữ liệu'!$E:$E,'Heo con_Theo dõi khách hàng'!C20)+SUMIFS('Heo con_Nhập dữ liệu'!$Q:$Q,'Heo con_Nhập dữ liệu'!$E:$E,'Heo con_Theo dõi khách hàng'!C20)+SUMIFS('Heo con_Nhập dữ liệu'!$R:$R,'Heo con_Nhập dữ liệu'!$E:$E,'Heo con_Theo dõi khách hàng'!C20),"")</f>
        <v>0</v>
      </c>
      <c r="G20" s="90">
        <f>+SUMIFS('Heo con_Nhập dữ liệu'!$T:$T,'Heo con_Nhập dữ liệu'!$E:$E,'Heo con_Theo dõi khách hàng'!C20)</f>
        <v>0</v>
      </c>
      <c r="H20" s="90">
        <f>+SUMIFS('Heo con_Nhập dữ liệu'!$U:$U,'Heo con_Nhập dữ liệu'!$E:$E,'Heo con_Theo dõi khách hàng'!C20)</f>
        <v>0</v>
      </c>
      <c r="I20" s="91">
        <f t="shared" si="0"/>
        <v>0</v>
      </c>
      <c r="J20" t="str">
        <f t="shared" si="1"/>
        <v>-</v>
      </c>
    </row>
    <row r="21" spans="2:10" ht="20.25" hidden="1" customHeight="1" x14ac:dyDescent="0.3">
      <c r="B21" s="89">
        <v>16</v>
      </c>
      <c r="C21" s="89">
        <f>IFERROR(+Data!J19,"")</f>
        <v>0</v>
      </c>
      <c r="D21" s="89" t="str">
        <f>IFERROR(+VLOOKUP(C21,Data!J19:K118,2,0),"-")</f>
        <v>-</v>
      </c>
      <c r="E21" s="90">
        <f>IFERROR(+SUMIFS('Heo con_Nhập dữ liệu'!$O:$O,'Heo con_Nhập dữ liệu'!$E:$E,'Heo con_Theo dõi khách hàng'!C21),"")</f>
        <v>0</v>
      </c>
      <c r="F21" s="90">
        <f>IFERROR(+SUMIFS('Heo con_Nhập dữ liệu'!$P:$P,'Heo con_Nhập dữ liệu'!$E:$E,'Heo con_Theo dõi khách hàng'!C21)+SUMIFS('Heo con_Nhập dữ liệu'!$Q:$Q,'Heo con_Nhập dữ liệu'!$E:$E,'Heo con_Theo dõi khách hàng'!C21)+SUMIFS('Heo con_Nhập dữ liệu'!$R:$R,'Heo con_Nhập dữ liệu'!$E:$E,'Heo con_Theo dõi khách hàng'!C21),"")</f>
        <v>0</v>
      </c>
      <c r="G21" s="90">
        <f>+SUMIFS('Heo con_Nhập dữ liệu'!$T:$T,'Heo con_Nhập dữ liệu'!$E:$E,'Heo con_Theo dõi khách hàng'!C21)</f>
        <v>0</v>
      </c>
      <c r="H21" s="90">
        <f>+SUMIFS('Heo con_Nhập dữ liệu'!$U:$U,'Heo con_Nhập dữ liệu'!$E:$E,'Heo con_Theo dõi khách hàng'!C21)</f>
        <v>0</v>
      </c>
      <c r="I21" s="91">
        <f t="shared" si="0"/>
        <v>0</v>
      </c>
      <c r="J21" t="str">
        <f t="shared" si="1"/>
        <v>-</v>
      </c>
    </row>
    <row r="22" spans="2:10" ht="20.25" hidden="1" customHeight="1" x14ac:dyDescent="0.3">
      <c r="B22" s="89">
        <v>17</v>
      </c>
      <c r="C22" s="89">
        <f>IFERROR(+Data!J20,"")</f>
        <v>0</v>
      </c>
      <c r="D22" s="89" t="str">
        <f>IFERROR(+VLOOKUP(C22,Data!J20:K119,2,0),"-")</f>
        <v>-</v>
      </c>
      <c r="E22" s="90">
        <f>IFERROR(+SUMIFS('Heo con_Nhập dữ liệu'!$O:$O,'Heo con_Nhập dữ liệu'!$E:$E,'Heo con_Theo dõi khách hàng'!C22),"")</f>
        <v>0</v>
      </c>
      <c r="F22" s="90">
        <f>IFERROR(+SUMIFS('Heo con_Nhập dữ liệu'!$P:$P,'Heo con_Nhập dữ liệu'!$E:$E,'Heo con_Theo dõi khách hàng'!C22)+SUMIFS('Heo con_Nhập dữ liệu'!$Q:$Q,'Heo con_Nhập dữ liệu'!$E:$E,'Heo con_Theo dõi khách hàng'!C22)+SUMIFS('Heo con_Nhập dữ liệu'!$R:$R,'Heo con_Nhập dữ liệu'!$E:$E,'Heo con_Theo dõi khách hàng'!C22),"")</f>
        <v>0</v>
      </c>
      <c r="G22" s="90">
        <f>+SUMIFS('Heo con_Nhập dữ liệu'!$T:$T,'Heo con_Nhập dữ liệu'!$E:$E,'Heo con_Theo dõi khách hàng'!C22)</f>
        <v>0</v>
      </c>
      <c r="H22" s="90">
        <f>+SUMIFS('Heo con_Nhập dữ liệu'!$U:$U,'Heo con_Nhập dữ liệu'!$E:$E,'Heo con_Theo dõi khách hàng'!C22)</f>
        <v>0</v>
      </c>
      <c r="I22" s="91">
        <f t="shared" si="0"/>
        <v>0</v>
      </c>
      <c r="J22" t="str">
        <f t="shared" si="1"/>
        <v>-</v>
      </c>
    </row>
    <row r="23" spans="2:10" ht="20.25" hidden="1" customHeight="1" x14ac:dyDescent="0.3">
      <c r="B23" s="89">
        <v>18</v>
      </c>
      <c r="C23" s="89">
        <f>IFERROR(+Data!J21,"")</f>
        <v>0</v>
      </c>
      <c r="D23" s="89" t="str">
        <f>IFERROR(+VLOOKUP(C23,Data!J21:K120,2,0),"-")</f>
        <v>-</v>
      </c>
      <c r="E23" s="90">
        <f>IFERROR(+SUMIFS('Heo con_Nhập dữ liệu'!$O:$O,'Heo con_Nhập dữ liệu'!$E:$E,'Heo con_Theo dõi khách hàng'!C23),"")</f>
        <v>0</v>
      </c>
      <c r="F23" s="90">
        <f>IFERROR(+SUMIFS('Heo con_Nhập dữ liệu'!$P:$P,'Heo con_Nhập dữ liệu'!$E:$E,'Heo con_Theo dõi khách hàng'!C23)+SUMIFS('Heo con_Nhập dữ liệu'!$Q:$Q,'Heo con_Nhập dữ liệu'!$E:$E,'Heo con_Theo dõi khách hàng'!C23)+SUMIFS('Heo con_Nhập dữ liệu'!$R:$R,'Heo con_Nhập dữ liệu'!$E:$E,'Heo con_Theo dõi khách hàng'!C23),"")</f>
        <v>0</v>
      </c>
      <c r="G23" s="90">
        <f>+SUMIFS('Heo con_Nhập dữ liệu'!$T:$T,'Heo con_Nhập dữ liệu'!$E:$E,'Heo con_Theo dõi khách hàng'!C23)</f>
        <v>0</v>
      </c>
      <c r="H23" s="90">
        <f>+SUMIFS('Heo con_Nhập dữ liệu'!$U:$U,'Heo con_Nhập dữ liệu'!$E:$E,'Heo con_Theo dõi khách hàng'!C23)</f>
        <v>0</v>
      </c>
      <c r="I23" s="91">
        <f t="shared" si="0"/>
        <v>0</v>
      </c>
      <c r="J23" t="str">
        <f t="shared" si="1"/>
        <v>-</v>
      </c>
    </row>
    <row r="24" spans="2:10" ht="20.25" hidden="1" customHeight="1" x14ac:dyDescent="0.3">
      <c r="B24" s="89">
        <v>19</v>
      </c>
      <c r="C24" s="89">
        <f>IFERROR(+Data!J22,"")</f>
        <v>0</v>
      </c>
      <c r="D24" s="89" t="str">
        <f>IFERROR(+VLOOKUP(C24,Data!J22:K121,2,0),"-")</f>
        <v>-</v>
      </c>
      <c r="E24" s="90">
        <f>IFERROR(+SUMIFS('Heo con_Nhập dữ liệu'!$O:$O,'Heo con_Nhập dữ liệu'!$E:$E,'Heo con_Theo dõi khách hàng'!C24),"")</f>
        <v>0</v>
      </c>
      <c r="F24" s="90">
        <f>IFERROR(+SUMIFS('Heo con_Nhập dữ liệu'!$P:$P,'Heo con_Nhập dữ liệu'!$E:$E,'Heo con_Theo dõi khách hàng'!C24)+SUMIFS('Heo con_Nhập dữ liệu'!$Q:$Q,'Heo con_Nhập dữ liệu'!$E:$E,'Heo con_Theo dõi khách hàng'!C24)+SUMIFS('Heo con_Nhập dữ liệu'!$R:$R,'Heo con_Nhập dữ liệu'!$E:$E,'Heo con_Theo dõi khách hàng'!C24),"")</f>
        <v>0</v>
      </c>
      <c r="G24" s="90">
        <f>+SUMIFS('Heo con_Nhập dữ liệu'!$T:$T,'Heo con_Nhập dữ liệu'!$E:$E,'Heo con_Theo dõi khách hàng'!C24)</f>
        <v>0</v>
      </c>
      <c r="H24" s="90">
        <f>+SUMIFS('Heo con_Nhập dữ liệu'!$U:$U,'Heo con_Nhập dữ liệu'!$E:$E,'Heo con_Theo dõi khách hàng'!C24)</f>
        <v>0</v>
      </c>
      <c r="I24" s="91">
        <f t="shared" si="0"/>
        <v>0</v>
      </c>
      <c r="J24" t="str">
        <f t="shared" si="1"/>
        <v>-</v>
      </c>
    </row>
    <row r="25" spans="2:10" ht="20.25" hidden="1" customHeight="1" x14ac:dyDescent="0.3">
      <c r="B25" s="89">
        <v>20</v>
      </c>
      <c r="C25" s="89">
        <f>IFERROR(+Data!J23,"")</f>
        <v>0</v>
      </c>
      <c r="D25" s="89" t="str">
        <f>IFERROR(+VLOOKUP(C25,Data!J23:K122,2,0),"-")</f>
        <v>-</v>
      </c>
      <c r="E25" s="90">
        <f>IFERROR(+SUMIFS('Heo con_Nhập dữ liệu'!$O:$O,'Heo con_Nhập dữ liệu'!$E:$E,'Heo con_Theo dõi khách hàng'!C25),"")</f>
        <v>0</v>
      </c>
      <c r="F25" s="90">
        <f>IFERROR(+SUMIFS('Heo con_Nhập dữ liệu'!$P:$P,'Heo con_Nhập dữ liệu'!$E:$E,'Heo con_Theo dõi khách hàng'!C25)+SUMIFS('Heo con_Nhập dữ liệu'!$Q:$Q,'Heo con_Nhập dữ liệu'!$E:$E,'Heo con_Theo dõi khách hàng'!C25)+SUMIFS('Heo con_Nhập dữ liệu'!$R:$R,'Heo con_Nhập dữ liệu'!$E:$E,'Heo con_Theo dõi khách hàng'!C25),"")</f>
        <v>0</v>
      </c>
      <c r="G25" s="90">
        <f>+SUMIFS('Heo con_Nhập dữ liệu'!$T:$T,'Heo con_Nhập dữ liệu'!$E:$E,'Heo con_Theo dõi khách hàng'!C25)</f>
        <v>0</v>
      </c>
      <c r="H25" s="90">
        <f>+SUMIFS('Heo con_Nhập dữ liệu'!$U:$U,'Heo con_Nhập dữ liệu'!$E:$E,'Heo con_Theo dõi khách hàng'!C25)</f>
        <v>0</v>
      </c>
      <c r="I25" s="91">
        <f t="shared" si="0"/>
        <v>0</v>
      </c>
      <c r="J25" t="str">
        <f t="shared" si="1"/>
        <v>-</v>
      </c>
    </row>
    <row r="26" spans="2:10" ht="15.6" hidden="1" x14ac:dyDescent="0.3">
      <c r="B26" s="89">
        <v>21</v>
      </c>
      <c r="C26" s="89">
        <f>IFERROR(+Data!J24,"")</f>
        <v>0</v>
      </c>
      <c r="D26" s="89" t="s">
        <v>149</v>
      </c>
      <c r="E26" s="90">
        <f>IFERROR(+SUMIFS('Heo con_Nhập dữ liệu'!$O:$O,'Heo con_Nhập dữ liệu'!$E:$E,'Heo con_Theo dõi khách hàng'!C26),"")</f>
        <v>0</v>
      </c>
      <c r="F26" s="90">
        <f>IFERROR(+SUMIFS('Heo con_Nhập dữ liệu'!$P:$P,'Heo con_Nhập dữ liệu'!$E:$E,'Heo con_Theo dõi khách hàng'!C26)+SUMIFS('Heo con_Nhập dữ liệu'!$Q:$Q,'Heo con_Nhập dữ liệu'!$E:$E,'Heo con_Theo dõi khách hàng'!C26)+SUMIFS('Heo con_Nhập dữ liệu'!$R:$R,'Heo con_Nhập dữ liệu'!$E:$E,'Heo con_Theo dõi khách hàng'!C26),"")</f>
        <v>0</v>
      </c>
      <c r="G26" s="90">
        <f>+SUMIFS('Heo con_Nhập dữ liệu'!$T:$T,'Heo con_Nhập dữ liệu'!$E:$E,'Heo con_Theo dõi khách hàng'!C26)</f>
        <v>0</v>
      </c>
      <c r="H26" s="90">
        <f>+SUMIFS('Heo con_Nhập dữ liệu'!$U:$U,'Heo con_Nhập dữ liệu'!$E:$E,'Heo con_Theo dõi khách hàng'!C26)</f>
        <v>0</v>
      </c>
      <c r="I26" s="91">
        <f t="shared" ref="I26:I39" si="2">+H26-G26</f>
        <v>0</v>
      </c>
      <c r="J26" t="str">
        <f t="shared" si="1"/>
        <v>-</v>
      </c>
    </row>
    <row r="27" spans="2:10" ht="15.6" x14ac:dyDescent="0.3">
      <c r="B27" s="89">
        <v>22</v>
      </c>
      <c r="C27" s="89">
        <f>IFERROR(+Data!J25,"")</f>
        <v>0</v>
      </c>
      <c r="D27" s="89" t="str">
        <f>IFERROR(+VLOOKUP(C27,Data!J25:K124,2,0),"-")</f>
        <v>-</v>
      </c>
      <c r="E27" s="90">
        <f>IFERROR(+SUMIFS('Heo con_Nhập dữ liệu'!$O:$O,'Heo con_Nhập dữ liệu'!$E:$E,'Heo con_Theo dõi khách hàng'!C27),"")</f>
        <v>0</v>
      </c>
      <c r="F27" s="90">
        <f>IFERROR(+SUMIFS('Heo con_Nhập dữ liệu'!$P:$P,'Heo con_Nhập dữ liệu'!$E:$E,'Heo con_Theo dõi khách hàng'!C27)+SUMIFS('Heo con_Nhập dữ liệu'!$Q:$Q,'Heo con_Nhập dữ liệu'!$E:$E,'Heo con_Theo dõi khách hàng'!C27)+SUMIFS('Heo con_Nhập dữ liệu'!$R:$R,'Heo con_Nhập dữ liệu'!$E:$E,'Heo con_Theo dõi khách hàng'!C27),"")</f>
        <v>0</v>
      </c>
      <c r="G27" s="90">
        <f>+SUMIFS('Heo con_Nhập dữ liệu'!$T:$T,'Heo con_Nhập dữ liệu'!$E:$E,'Heo con_Theo dõi khách hàng'!C27)</f>
        <v>0</v>
      </c>
      <c r="H27" s="90">
        <f>+SUMIFS('Heo con_Nhập dữ liệu'!$U:$U,'Heo con_Nhập dữ liệu'!$E:$E,'Heo con_Theo dõi khách hàng'!C27)</f>
        <v>0</v>
      </c>
      <c r="I27" s="91">
        <f t="shared" si="2"/>
        <v>0</v>
      </c>
      <c r="J27" t="str">
        <f t="shared" si="1"/>
        <v>-</v>
      </c>
    </row>
    <row r="28" spans="2:10" ht="15.6" hidden="1" x14ac:dyDescent="0.3">
      <c r="B28" s="89">
        <v>23</v>
      </c>
      <c r="C28" s="89">
        <f>IFERROR(+Data!J26,"")</f>
        <v>0</v>
      </c>
      <c r="D28" s="89" t="str">
        <f>IFERROR(+VLOOKUP(C28,Data!J26:K125,2,0),"-")</f>
        <v>-</v>
      </c>
      <c r="E28" s="90">
        <f>IFERROR(+SUMIFS('Heo con_Nhập dữ liệu'!$O:$O,'Heo con_Nhập dữ liệu'!$E:$E,'Heo con_Theo dõi khách hàng'!C28),"")</f>
        <v>0</v>
      </c>
      <c r="F28" s="90">
        <f>IFERROR(+SUMIFS('Heo con_Nhập dữ liệu'!$P:$P,'Heo con_Nhập dữ liệu'!$E:$E,'Heo con_Theo dõi khách hàng'!C28)+SUMIFS('Heo con_Nhập dữ liệu'!$Q:$Q,'Heo con_Nhập dữ liệu'!$E:$E,'Heo con_Theo dõi khách hàng'!C28)+SUMIFS('Heo con_Nhập dữ liệu'!$R:$R,'Heo con_Nhập dữ liệu'!$E:$E,'Heo con_Theo dõi khách hàng'!C28),"")</f>
        <v>0</v>
      </c>
      <c r="G28" s="90">
        <f>+SUMIFS('Heo con_Nhập dữ liệu'!$T:$T,'Heo con_Nhập dữ liệu'!$E:$E,'Heo con_Theo dõi khách hàng'!C28)</f>
        <v>0</v>
      </c>
      <c r="H28" s="90">
        <f>+SUMIFS('Heo con_Nhập dữ liệu'!$U:$U,'Heo con_Nhập dữ liệu'!$E:$E,'Heo con_Theo dõi khách hàng'!C28)</f>
        <v>0</v>
      </c>
      <c r="I28" s="91">
        <f t="shared" si="2"/>
        <v>0</v>
      </c>
      <c r="J28" t="str">
        <f t="shared" si="1"/>
        <v>-</v>
      </c>
    </row>
    <row r="29" spans="2:10" ht="15.6" hidden="1" x14ac:dyDescent="0.3">
      <c r="B29" s="89">
        <v>24</v>
      </c>
      <c r="C29" s="89">
        <f>IFERROR(+Data!J27,"")</f>
        <v>0</v>
      </c>
      <c r="D29" s="89" t="str">
        <f>IFERROR(+VLOOKUP(C29,Data!J27:K126,2,0),"-")</f>
        <v>-</v>
      </c>
      <c r="E29" s="90">
        <f>IFERROR(+SUMIFS('Heo con_Nhập dữ liệu'!$O:$O,'Heo con_Nhập dữ liệu'!$E:$E,'Heo con_Theo dõi khách hàng'!C29),"")</f>
        <v>0</v>
      </c>
      <c r="F29" s="90">
        <f>IFERROR(+SUMIFS('Heo con_Nhập dữ liệu'!$P:$P,'Heo con_Nhập dữ liệu'!$E:$E,'Heo con_Theo dõi khách hàng'!C29)+SUMIFS('Heo con_Nhập dữ liệu'!$Q:$Q,'Heo con_Nhập dữ liệu'!$E:$E,'Heo con_Theo dõi khách hàng'!C29)+SUMIFS('Heo con_Nhập dữ liệu'!$R:$R,'Heo con_Nhập dữ liệu'!$E:$E,'Heo con_Theo dõi khách hàng'!C29),"")</f>
        <v>0</v>
      </c>
      <c r="G29" s="90">
        <f>+SUMIFS('Heo con_Nhập dữ liệu'!$T:$T,'Heo con_Nhập dữ liệu'!$E:$E,'Heo con_Theo dõi khách hàng'!C29)</f>
        <v>0</v>
      </c>
      <c r="H29" s="90">
        <f>+SUMIFS('Heo con_Nhập dữ liệu'!$U:$U,'Heo con_Nhập dữ liệu'!$E:$E,'Heo con_Theo dõi khách hàng'!C29)</f>
        <v>0</v>
      </c>
      <c r="I29" s="91">
        <f t="shared" si="2"/>
        <v>0</v>
      </c>
      <c r="J29" t="str">
        <f t="shared" si="1"/>
        <v>-</v>
      </c>
    </row>
    <row r="30" spans="2:10" ht="15.6" hidden="1" x14ac:dyDescent="0.3">
      <c r="B30" s="89">
        <v>25</v>
      </c>
      <c r="C30" s="89">
        <f>IFERROR(+Data!J28,"")</f>
        <v>0</v>
      </c>
      <c r="D30" s="89" t="str">
        <f>IFERROR(+VLOOKUP(C30,Data!J28:K127,2,0),"-")</f>
        <v>-</v>
      </c>
      <c r="E30" s="90">
        <f>IFERROR(+SUMIFS('Heo con_Nhập dữ liệu'!$O:$O,'Heo con_Nhập dữ liệu'!$E:$E,'Heo con_Theo dõi khách hàng'!C30),"")</f>
        <v>0</v>
      </c>
      <c r="F30" s="90">
        <f>IFERROR(+SUMIFS('Heo con_Nhập dữ liệu'!$P:$P,'Heo con_Nhập dữ liệu'!$E:$E,'Heo con_Theo dõi khách hàng'!C30)+SUMIFS('Heo con_Nhập dữ liệu'!$Q:$Q,'Heo con_Nhập dữ liệu'!$E:$E,'Heo con_Theo dõi khách hàng'!C30)+SUMIFS('Heo con_Nhập dữ liệu'!$R:$R,'Heo con_Nhập dữ liệu'!$E:$E,'Heo con_Theo dõi khách hàng'!C30),"")</f>
        <v>0</v>
      </c>
      <c r="G30" s="90">
        <f>+SUMIFS('Heo con_Nhập dữ liệu'!$T:$T,'Heo con_Nhập dữ liệu'!$E:$E,'Heo con_Theo dõi khách hàng'!C30)</f>
        <v>0</v>
      </c>
      <c r="H30" s="90">
        <f>+SUMIFS('Heo con_Nhập dữ liệu'!$U:$U,'Heo con_Nhập dữ liệu'!$E:$E,'Heo con_Theo dõi khách hàng'!C30)</f>
        <v>0</v>
      </c>
      <c r="I30" s="91">
        <f t="shared" si="2"/>
        <v>0</v>
      </c>
      <c r="J30" t="str">
        <f t="shared" si="1"/>
        <v>-</v>
      </c>
    </row>
    <row r="31" spans="2:10" ht="15.6" hidden="1" x14ac:dyDescent="0.3">
      <c r="B31" s="89">
        <v>26</v>
      </c>
      <c r="C31" s="89">
        <f>IFERROR(+Data!J29,"")</f>
        <v>0</v>
      </c>
      <c r="D31" s="89" t="str">
        <f>IFERROR(+VLOOKUP(C31,Data!J29:K128,2,0),"-")</f>
        <v>-</v>
      </c>
      <c r="E31" s="90">
        <f>IFERROR(+SUMIFS('Heo con_Nhập dữ liệu'!$O:$O,'Heo con_Nhập dữ liệu'!$E:$E,'Heo con_Theo dõi khách hàng'!C31),"")</f>
        <v>0</v>
      </c>
      <c r="F31" s="90">
        <f>IFERROR(+SUMIFS('Heo con_Nhập dữ liệu'!$P:$P,'Heo con_Nhập dữ liệu'!$E:$E,'Heo con_Theo dõi khách hàng'!C31)+SUMIFS('Heo con_Nhập dữ liệu'!$Q:$Q,'Heo con_Nhập dữ liệu'!$E:$E,'Heo con_Theo dõi khách hàng'!C31)+SUMIFS('Heo con_Nhập dữ liệu'!$R:$R,'Heo con_Nhập dữ liệu'!$E:$E,'Heo con_Theo dõi khách hàng'!C31),"")</f>
        <v>0</v>
      </c>
      <c r="G31" s="90">
        <f>+SUMIFS('Heo con_Nhập dữ liệu'!$T:$T,'Heo con_Nhập dữ liệu'!$E:$E,'Heo con_Theo dõi khách hàng'!C31)</f>
        <v>0</v>
      </c>
      <c r="H31" s="90">
        <f>+SUMIFS('Heo con_Nhập dữ liệu'!$U:$U,'Heo con_Nhập dữ liệu'!$E:$E,'Heo con_Theo dõi khách hàng'!C31)</f>
        <v>0</v>
      </c>
      <c r="I31" s="91">
        <f t="shared" si="2"/>
        <v>0</v>
      </c>
      <c r="J31" t="str">
        <f t="shared" si="1"/>
        <v>-</v>
      </c>
    </row>
    <row r="32" spans="2:10" ht="15.6" hidden="1" x14ac:dyDescent="0.3">
      <c r="B32" s="89">
        <v>27</v>
      </c>
      <c r="C32" s="89">
        <f>IFERROR(+Data!J30,"")</f>
        <v>0</v>
      </c>
      <c r="D32" s="89" t="str">
        <f>IFERROR(+VLOOKUP(C32,Data!J30:K129,2,0),"-")</f>
        <v>-</v>
      </c>
      <c r="E32" s="90">
        <f>IFERROR(+SUMIFS('Heo con_Nhập dữ liệu'!$O:$O,'Heo con_Nhập dữ liệu'!$E:$E,'Heo con_Theo dõi khách hàng'!C32),"")</f>
        <v>0</v>
      </c>
      <c r="F32" s="90">
        <f>IFERROR(+SUMIFS('Heo con_Nhập dữ liệu'!$P:$P,'Heo con_Nhập dữ liệu'!$E:$E,'Heo con_Theo dõi khách hàng'!C32)+SUMIFS('Heo con_Nhập dữ liệu'!$Q:$Q,'Heo con_Nhập dữ liệu'!$E:$E,'Heo con_Theo dõi khách hàng'!C32)+SUMIFS('Heo con_Nhập dữ liệu'!$R:$R,'Heo con_Nhập dữ liệu'!$E:$E,'Heo con_Theo dõi khách hàng'!C32),"")</f>
        <v>0</v>
      </c>
      <c r="G32" s="90">
        <f>+SUMIFS('Heo con_Nhập dữ liệu'!$T:$T,'Heo con_Nhập dữ liệu'!$E:$E,'Heo con_Theo dõi khách hàng'!C32)</f>
        <v>0</v>
      </c>
      <c r="H32" s="90">
        <f>+SUMIFS('Heo con_Nhập dữ liệu'!$U:$U,'Heo con_Nhập dữ liệu'!$E:$E,'Heo con_Theo dõi khách hàng'!C32)</f>
        <v>0</v>
      </c>
      <c r="I32" s="91">
        <f t="shared" si="2"/>
        <v>0</v>
      </c>
      <c r="J32" t="str">
        <f t="shared" si="1"/>
        <v>-</v>
      </c>
    </row>
    <row r="33" spans="2:10" ht="15.6" hidden="1" x14ac:dyDescent="0.3">
      <c r="B33" s="89">
        <v>28</v>
      </c>
      <c r="C33" s="89">
        <f>IFERROR(+Data!J31,"")</f>
        <v>0</v>
      </c>
      <c r="D33" s="89" t="str">
        <f>IFERROR(+VLOOKUP(C33,Data!J31:K130,2,0),"-")</f>
        <v>-</v>
      </c>
      <c r="E33" s="90">
        <f>IFERROR(+SUMIFS('Heo con_Nhập dữ liệu'!$O:$O,'Heo con_Nhập dữ liệu'!$E:$E,'Heo con_Theo dõi khách hàng'!C33),"")</f>
        <v>0</v>
      </c>
      <c r="F33" s="90">
        <f>IFERROR(+SUMIFS('Heo con_Nhập dữ liệu'!$P:$P,'Heo con_Nhập dữ liệu'!$E:$E,'Heo con_Theo dõi khách hàng'!C33)+SUMIFS('Heo con_Nhập dữ liệu'!$Q:$Q,'Heo con_Nhập dữ liệu'!$E:$E,'Heo con_Theo dõi khách hàng'!C33)+SUMIFS('Heo con_Nhập dữ liệu'!$R:$R,'Heo con_Nhập dữ liệu'!$E:$E,'Heo con_Theo dõi khách hàng'!C33),"")</f>
        <v>0</v>
      </c>
      <c r="G33" s="90">
        <f>+SUMIFS('Heo con_Nhập dữ liệu'!$T:$T,'Heo con_Nhập dữ liệu'!$E:$E,'Heo con_Theo dõi khách hàng'!C33)</f>
        <v>0</v>
      </c>
      <c r="H33" s="90">
        <f>+SUMIFS('Heo con_Nhập dữ liệu'!$U:$U,'Heo con_Nhập dữ liệu'!$E:$E,'Heo con_Theo dõi khách hàng'!C33)</f>
        <v>0</v>
      </c>
      <c r="I33" s="91">
        <f t="shared" si="2"/>
        <v>0</v>
      </c>
      <c r="J33" t="str">
        <f t="shared" si="1"/>
        <v>-</v>
      </c>
    </row>
    <row r="34" spans="2:10" ht="15.6" x14ac:dyDescent="0.3">
      <c r="B34" s="89">
        <v>29</v>
      </c>
      <c r="C34" s="89">
        <f>IFERROR(+Data!J32,"")</f>
        <v>0</v>
      </c>
      <c r="D34" s="89" t="str">
        <f>IFERROR(+VLOOKUP(C34,Data!J32:K131,2,0),"-")</f>
        <v>-</v>
      </c>
      <c r="E34" s="90">
        <f>IFERROR(+SUMIFS('Heo con_Nhập dữ liệu'!$O:$O,'Heo con_Nhập dữ liệu'!$E:$E,'Heo con_Theo dõi khách hàng'!C34),"")</f>
        <v>0</v>
      </c>
      <c r="F34" s="90">
        <f>IFERROR(+SUMIFS('Heo con_Nhập dữ liệu'!$P:$P,'Heo con_Nhập dữ liệu'!$E:$E,'Heo con_Theo dõi khách hàng'!C34)+SUMIFS('Heo con_Nhập dữ liệu'!$Q:$Q,'Heo con_Nhập dữ liệu'!$E:$E,'Heo con_Theo dõi khách hàng'!C34)+SUMIFS('Heo con_Nhập dữ liệu'!$R:$R,'Heo con_Nhập dữ liệu'!$E:$E,'Heo con_Theo dõi khách hàng'!C34),"")</f>
        <v>0</v>
      </c>
      <c r="G34" s="90">
        <f>+SUMIFS('Heo con_Nhập dữ liệu'!$T:$T,'Heo con_Nhập dữ liệu'!$E:$E,'Heo con_Theo dõi khách hàng'!C34)</f>
        <v>0</v>
      </c>
      <c r="H34" s="90">
        <f>+SUMIFS('Heo con_Nhập dữ liệu'!$U:$U,'Heo con_Nhập dữ liệu'!$E:$E,'Heo con_Theo dõi khách hàng'!C34)</f>
        <v>0</v>
      </c>
      <c r="I34" s="91">
        <f t="shared" si="2"/>
        <v>0</v>
      </c>
      <c r="J34" t="str">
        <f t="shared" si="1"/>
        <v>-</v>
      </c>
    </row>
    <row r="35" spans="2:10" ht="15.6" hidden="1" x14ac:dyDescent="0.3">
      <c r="B35" s="89">
        <v>30</v>
      </c>
      <c r="C35" s="89">
        <f>IFERROR(+Data!J33,"")</f>
        <v>0</v>
      </c>
      <c r="D35" s="89" t="str">
        <f>IFERROR(+VLOOKUP(C35,Data!J33:K132,2,0),"-")</f>
        <v>-</v>
      </c>
      <c r="E35" s="90">
        <f>IFERROR(+SUMIFS('Heo con_Nhập dữ liệu'!$O:$O,'Heo con_Nhập dữ liệu'!$E:$E,'Heo con_Theo dõi khách hàng'!C35),"")</f>
        <v>0</v>
      </c>
      <c r="F35" s="90">
        <f>IFERROR(+SUMIFS('Heo con_Nhập dữ liệu'!$P:$P,'Heo con_Nhập dữ liệu'!$E:$E,'Heo con_Theo dõi khách hàng'!C35)+SUMIFS('Heo con_Nhập dữ liệu'!$Q:$Q,'Heo con_Nhập dữ liệu'!$E:$E,'Heo con_Theo dõi khách hàng'!C35)+SUMIFS('Heo con_Nhập dữ liệu'!$R:$R,'Heo con_Nhập dữ liệu'!$E:$E,'Heo con_Theo dõi khách hàng'!C35),"")</f>
        <v>0</v>
      </c>
      <c r="G35" s="90">
        <f>+SUMIFS('Heo con_Nhập dữ liệu'!$T:$T,'Heo con_Nhập dữ liệu'!$E:$E,'Heo con_Theo dõi khách hàng'!C35)</f>
        <v>0</v>
      </c>
      <c r="H35" s="90">
        <f>+SUMIFS('Heo con_Nhập dữ liệu'!$U:$U,'Heo con_Nhập dữ liệu'!$E:$E,'Heo con_Theo dõi khách hàng'!C35)</f>
        <v>0</v>
      </c>
      <c r="I35" s="91">
        <f t="shared" si="2"/>
        <v>0</v>
      </c>
      <c r="J35" t="str">
        <f t="shared" si="1"/>
        <v>-</v>
      </c>
    </row>
    <row r="36" spans="2:10" ht="15.6" hidden="1" x14ac:dyDescent="0.3">
      <c r="B36" s="89">
        <v>31</v>
      </c>
      <c r="C36" s="89">
        <f>IFERROR(+Data!J34,"")</f>
        <v>0</v>
      </c>
      <c r="D36" s="89" t="str">
        <f>IFERROR(+VLOOKUP(C36,Data!J34:K133,2,0),"-")</f>
        <v>-</v>
      </c>
      <c r="E36" s="90">
        <f>IFERROR(+SUMIFS('Heo con_Nhập dữ liệu'!$O:$O,'Heo con_Nhập dữ liệu'!$E:$E,'Heo con_Theo dõi khách hàng'!C36),"")</f>
        <v>0</v>
      </c>
      <c r="F36" s="90">
        <f>IFERROR(+SUMIFS('Heo con_Nhập dữ liệu'!$P:$P,'Heo con_Nhập dữ liệu'!$E:$E,'Heo con_Theo dõi khách hàng'!C36)+SUMIFS('Heo con_Nhập dữ liệu'!$Q:$Q,'Heo con_Nhập dữ liệu'!$E:$E,'Heo con_Theo dõi khách hàng'!C36)+SUMIFS('Heo con_Nhập dữ liệu'!$R:$R,'Heo con_Nhập dữ liệu'!$E:$E,'Heo con_Theo dõi khách hàng'!C36),"")</f>
        <v>0</v>
      </c>
      <c r="G36" s="90">
        <f>+SUMIFS('Heo con_Nhập dữ liệu'!$T:$T,'Heo con_Nhập dữ liệu'!$E:$E,'Heo con_Theo dõi khách hàng'!C36)</f>
        <v>0</v>
      </c>
      <c r="H36" s="90">
        <f>+SUMIFS('Heo con_Nhập dữ liệu'!$U:$U,'Heo con_Nhập dữ liệu'!$E:$E,'Heo con_Theo dõi khách hàng'!C36)</f>
        <v>0</v>
      </c>
      <c r="I36" s="91">
        <f t="shared" si="2"/>
        <v>0</v>
      </c>
      <c r="J36" t="str">
        <f t="shared" si="1"/>
        <v>-</v>
      </c>
    </row>
    <row r="37" spans="2:10" ht="15.6" hidden="1" x14ac:dyDescent="0.3">
      <c r="B37" s="89">
        <v>32</v>
      </c>
      <c r="C37" s="89">
        <f>IFERROR(+Data!J35,"")</f>
        <v>0</v>
      </c>
      <c r="D37" s="89" t="str">
        <f>IFERROR(+VLOOKUP(C37,Data!J35:K134,2,0),"-")</f>
        <v>-</v>
      </c>
      <c r="E37" s="90">
        <f>IFERROR(+SUMIFS('Heo con_Nhập dữ liệu'!$O:$O,'Heo con_Nhập dữ liệu'!$E:$E,'Heo con_Theo dõi khách hàng'!C37),"")</f>
        <v>0</v>
      </c>
      <c r="F37" s="90">
        <f>IFERROR(+SUMIFS('Heo con_Nhập dữ liệu'!$P:$P,'Heo con_Nhập dữ liệu'!$E:$E,'Heo con_Theo dõi khách hàng'!C37)+SUMIFS('Heo con_Nhập dữ liệu'!$Q:$Q,'Heo con_Nhập dữ liệu'!$E:$E,'Heo con_Theo dõi khách hàng'!C37)+SUMIFS('Heo con_Nhập dữ liệu'!$R:$R,'Heo con_Nhập dữ liệu'!$E:$E,'Heo con_Theo dõi khách hàng'!C37),"")</f>
        <v>0</v>
      </c>
      <c r="G37" s="90">
        <f>+SUMIFS('Heo con_Nhập dữ liệu'!$T:$T,'Heo con_Nhập dữ liệu'!$E:$E,'Heo con_Theo dõi khách hàng'!C37)</f>
        <v>0</v>
      </c>
      <c r="H37" s="90">
        <f>+SUMIFS('Heo con_Nhập dữ liệu'!$U:$U,'Heo con_Nhập dữ liệu'!$E:$E,'Heo con_Theo dõi khách hàng'!C37)</f>
        <v>0</v>
      </c>
      <c r="I37" s="91">
        <f t="shared" si="2"/>
        <v>0</v>
      </c>
      <c r="J37" t="str">
        <f t="shared" si="1"/>
        <v>-</v>
      </c>
    </row>
    <row r="38" spans="2:10" ht="15.6" hidden="1" x14ac:dyDescent="0.3">
      <c r="B38" s="89">
        <v>33</v>
      </c>
      <c r="C38" s="89">
        <f>IFERROR(+Data!J36,"")</f>
        <v>0</v>
      </c>
      <c r="D38" s="89" t="str">
        <f>IFERROR(+VLOOKUP(C38,Data!J36:K135,2,0),"-")</f>
        <v>-</v>
      </c>
      <c r="E38" s="90">
        <f>IFERROR(+SUMIFS('Heo con_Nhập dữ liệu'!$O:$O,'Heo con_Nhập dữ liệu'!$E:$E,'Heo con_Theo dõi khách hàng'!C38),"")</f>
        <v>0</v>
      </c>
      <c r="F38" s="90">
        <f>IFERROR(+SUMIFS('Heo con_Nhập dữ liệu'!$P:$P,'Heo con_Nhập dữ liệu'!$E:$E,'Heo con_Theo dõi khách hàng'!C38)+SUMIFS('Heo con_Nhập dữ liệu'!$Q:$Q,'Heo con_Nhập dữ liệu'!$E:$E,'Heo con_Theo dõi khách hàng'!C38)+SUMIFS('Heo con_Nhập dữ liệu'!$R:$R,'Heo con_Nhập dữ liệu'!$E:$E,'Heo con_Theo dõi khách hàng'!C38),"")</f>
        <v>0</v>
      </c>
      <c r="G38" s="90">
        <f>+SUMIFS('Heo con_Nhập dữ liệu'!$T:$T,'Heo con_Nhập dữ liệu'!$E:$E,'Heo con_Theo dõi khách hàng'!C38)</f>
        <v>0</v>
      </c>
      <c r="H38" s="90">
        <f>+SUMIFS('Heo con_Nhập dữ liệu'!$U:$U,'Heo con_Nhập dữ liệu'!$E:$E,'Heo con_Theo dõi khách hàng'!C38)</f>
        <v>0</v>
      </c>
      <c r="I38" s="91">
        <f t="shared" si="2"/>
        <v>0</v>
      </c>
      <c r="J38" t="str">
        <f t="shared" si="1"/>
        <v>-</v>
      </c>
    </row>
    <row r="39" spans="2:10" ht="15.6" hidden="1" x14ac:dyDescent="0.3">
      <c r="B39" s="89">
        <v>34</v>
      </c>
      <c r="C39" s="89">
        <f>IFERROR(+Data!J37,"")</f>
        <v>0</v>
      </c>
      <c r="D39" s="89" t="str">
        <f>IFERROR(+VLOOKUP(C39,Data!J37:K136,2,0),"-")</f>
        <v>-</v>
      </c>
      <c r="E39" s="90">
        <f>IFERROR(+SUMIFS('Heo con_Nhập dữ liệu'!$O:$O,'Heo con_Nhập dữ liệu'!$E:$E,'Heo con_Theo dõi khách hàng'!C39),"")</f>
        <v>0</v>
      </c>
      <c r="F39" s="90">
        <f>IFERROR(+SUMIFS('Heo con_Nhập dữ liệu'!$P:$P,'Heo con_Nhập dữ liệu'!$E:$E,'Heo con_Theo dõi khách hàng'!C39)+SUMIFS('Heo con_Nhập dữ liệu'!$Q:$Q,'Heo con_Nhập dữ liệu'!$E:$E,'Heo con_Theo dõi khách hàng'!C39)+SUMIFS('Heo con_Nhập dữ liệu'!$R:$R,'Heo con_Nhập dữ liệu'!$E:$E,'Heo con_Theo dõi khách hàng'!C39),"")</f>
        <v>0</v>
      </c>
      <c r="G39" s="90">
        <f>+SUMIFS('Heo con_Nhập dữ liệu'!$T:$T,'Heo con_Nhập dữ liệu'!$E:$E,'Heo con_Theo dõi khách hàng'!C39)</f>
        <v>0</v>
      </c>
      <c r="H39" s="90">
        <f>+SUMIFS('Heo con_Nhập dữ liệu'!$U:$U,'Heo con_Nhập dữ liệu'!$E:$E,'Heo con_Theo dõi khách hàng'!C39)</f>
        <v>0</v>
      </c>
      <c r="I39" s="91">
        <f t="shared" si="2"/>
        <v>0</v>
      </c>
      <c r="J39" t="str">
        <f t="shared" si="1"/>
        <v>-</v>
      </c>
    </row>
    <row r="40" spans="2:10" ht="15.6" hidden="1" x14ac:dyDescent="0.3">
      <c r="B40" s="89">
        <v>35</v>
      </c>
      <c r="C40" s="89">
        <f>IFERROR(+Data!J38,"")</f>
        <v>0</v>
      </c>
      <c r="D40" s="89" t="s">
        <v>99</v>
      </c>
      <c r="E40" s="90">
        <f>IFERROR(+SUMIFS('Heo con_Nhập dữ liệu'!$O:$O,'Heo con_Nhập dữ liệu'!$E:$E,'Heo con_Theo dõi khách hàng'!C40),"")</f>
        <v>0</v>
      </c>
      <c r="F40" s="90">
        <f>IFERROR(+SUMIFS('Heo con_Nhập dữ liệu'!$P:$P,'Heo con_Nhập dữ liệu'!$E:$E,'Heo con_Theo dõi khách hàng'!C40)+SUMIFS('Heo con_Nhập dữ liệu'!$Q:$Q,'Heo con_Nhập dữ liệu'!$E:$E,'Heo con_Theo dõi khách hàng'!C40)+SUMIFS('Heo con_Nhập dữ liệu'!$R:$R,'Heo con_Nhập dữ liệu'!$E:$E,'Heo con_Theo dõi khách hàng'!C40),"")</f>
        <v>0</v>
      </c>
      <c r="G40" s="90">
        <f>+SUMIFS('Heo con_Nhập dữ liệu'!$T:$T,'Heo con_Nhập dữ liệu'!$E:$E,'Heo con_Theo dõi khách hàng'!C40)</f>
        <v>0</v>
      </c>
      <c r="H40" s="90">
        <f>+SUMIFS('Heo con_Nhập dữ liệu'!$U:$U,'Heo con_Nhập dữ liệu'!$E:$E,'Heo con_Theo dõi khách hàng'!C40)</f>
        <v>0</v>
      </c>
      <c r="I40" s="91">
        <f>+H40-G40</f>
        <v>0</v>
      </c>
      <c r="J40" t="str">
        <f t="shared" si="1"/>
        <v>-</v>
      </c>
    </row>
    <row r="41" spans="2:10" ht="15.6" hidden="1" x14ac:dyDescent="0.3">
      <c r="B41" s="89">
        <v>36</v>
      </c>
      <c r="C41" s="89">
        <f>IFERROR(+Data!J39,"")</f>
        <v>0</v>
      </c>
      <c r="D41" s="89" t="str">
        <f>IFERROR(+VLOOKUP(C41,Data!J39:K138,2,0),"-")</f>
        <v>-</v>
      </c>
      <c r="E41" s="90">
        <f>IFERROR(+SUMIFS('Heo con_Nhập dữ liệu'!$O:$O,'Heo con_Nhập dữ liệu'!$E:$E,'Heo con_Theo dõi khách hàng'!C41),"")</f>
        <v>0</v>
      </c>
      <c r="F41" s="90">
        <f>IFERROR(+SUMIFS('Heo con_Nhập dữ liệu'!$P:$P,'Heo con_Nhập dữ liệu'!$E:$E,'Heo con_Theo dõi khách hàng'!C41)+SUMIFS('Heo con_Nhập dữ liệu'!$Q:$Q,'Heo con_Nhập dữ liệu'!$E:$E,'Heo con_Theo dõi khách hàng'!C41)+SUMIFS('Heo con_Nhập dữ liệu'!$R:$R,'Heo con_Nhập dữ liệu'!$E:$E,'Heo con_Theo dõi khách hàng'!C41),"")</f>
        <v>0</v>
      </c>
      <c r="G41" s="90">
        <f>+SUMIFS('Heo con_Nhập dữ liệu'!$T:$T,'Heo con_Nhập dữ liệu'!$E:$E,'Heo con_Theo dõi khách hàng'!C41)</f>
        <v>0</v>
      </c>
      <c r="H41" s="90">
        <f>+SUMIFS('Heo con_Nhập dữ liệu'!$U:$U,'Heo con_Nhập dữ liệu'!$E:$E,'Heo con_Theo dõi khách hàng'!C41)</f>
        <v>0</v>
      </c>
      <c r="I41" s="91">
        <f>+H41-G41</f>
        <v>0</v>
      </c>
      <c r="J41" t="str">
        <f t="shared" si="1"/>
        <v>-</v>
      </c>
    </row>
    <row r="42" spans="2:10" ht="15.6" hidden="1" x14ac:dyDescent="0.3">
      <c r="B42" s="89">
        <v>37</v>
      </c>
      <c r="C42" s="89">
        <f>IFERROR(+Data!J40,"")</f>
        <v>0</v>
      </c>
      <c r="D42" s="89" t="str">
        <f>IFERROR(+VLOOKUP(C42,Data!J40:K139,2,0),"-")</f>
        <v>-</v>
      </c>
      <c r="E42" s="90">
        <f>IFERROR(+SUMIFS('Heo con_Nhập dữ liệu'!$O:$O,'Heo con_Nhập dữ liệu'!$E:$E,'Heo con_Theo dõi khách hàng'!C42),"")</f>
        <v>0</v>
      </c>
      <c r="F42" s="90">
        <f>IFERROR(+SUMIFS('Heo con_Nhập dữ liệu'!$P:$P,'Heo con_Nhập dữ liệu'!$E:$E,'Heo con_Theo dõi khách hàng'!C42)+SUMIFS('Heo con_Nhập dữ liệu'!$Q:$Q,'Heo con_Nhập dữ liệu'!$E:$E,'Heo con_Theo dõi khách hàng'!C42)+SUMIFS('Heo con_Nhập dữ liệu'!$R:$R,'Heo con_Nhập dữ liệu'!$E:$E,'Heo con_Theo dõi khách hàng'!C42),"")</f>
        <v>0</v>
      </c>
      <c r="G42" s="90">
        <f>+SUMIFS('Heo con_Nhập dữ liệu'!$T:$T,'Heo con_Nhập dữ liệu'!$E:$E,'Heo con_Theo dõi khách hàng'!C42)</f>
        <v>0</v>
      </c>
      <c r="H42" s="90">
        <f>+SUMIFS('Heo con_Nhập dữ liệu'!$U:$U,'Heo con_Nhập dữ liệu'!$E:$E,'Heo con_Theo dõi khách hàng'!C42)</f>
        <v>0</v>
      </c>
      <c r="I42" s="91">
        <f t="shared" ref="I42:I49" si="3">+H42-G42</f>
        <v>0</v>
      </c>
      <c r="J42" t="str">
        <f t="shared" si="1"/>
        <v>-</v>
      </c>
    </row>
    <row r="43" spans="2:10" ht="15.6" hidden="1" x14ac:dyDescent="0.3">
      <c r="B43" s="89">
        <v>38</v>
      </c>
      <c r="C43" s="89">
        <f>IFERROR(+Data!J41,"")</f>
        <v>0</v>
      </c>
      <c r="D43" s="89" t="str">
        <f>IFERROR(+VLOOKUP(C43,Data!J41:K140,2,0),"-")</f>
        <v>-</v>
      </c>
      <c r="E43" s="90">
        <f>IFERROR(+SUMIFS('Heo con_Nhập dữ liệu'!$O:$O,'Heo con_Nhập dữ liệu'!$E:$E,'Heo con_Theo dõi khách hàng'!C43),"")</f>
        <v>0</v>
      </c>
      <c r="F43" s="90">
        <f>IFERROR(+SUMIFS('Heo con_Nhập dữ liệu'!$P:$P,'Heo con_Nhập dữ liệu'!$E:$E,'Heo con_Theo dõi khách hàng'!C43)+SUMIFS('Heo con_Nhập dữ liệu'!$Q:$Q,'Heo con_Nhập dữ liệu'!$E:$E,'Heo con_Theo dõi khách hàng'!C43)+SUMIFS('Heo con_Nhập dữ liệu'!$R:$R,'Heo con_Nhập dữ liệu'!$E:$E,'Heo con_Theo dõi khách hàng'!C43),"")</f>
        <v>0</v>
      </c>
      <c r="G43" s="90">
        <f>+SUMIFS('Heo con_Nhập dữ liệu'!$T:$T,'Heo con_Nhập dữ liệu'!$E:$E,'Heo con_Theo dõi khách hàng'!C43)</f>
        <v>0</v>
      </c>
      <c r="H43" s="90">
        <f>+SUMIFS('Heo con_Nhập dữ liệu'!$U:$U,'Heo con_Nhập dữ liệu'!$E:$E,'Heo con_Theo dõi khách hàng'!C43)</f>
        <v>0</v>
      </c>
      <c r="I43" s="91">
        <f t="shared" si="3"/>
        <v>0</v>
      </c>
      <c r="J43" t="str">
        <f t="shared" si="1"/>
        <v>-</v>
      </c>
    </row>
    <row r="44" spans="2:10" ht="15.6" hidden="1" x14ac:dyDescent="0.3">
      <c r="B44" s="89">
        <v>39</v>
      </c>
      <c r="C44" s="89">
        <f>IFERROR(+Data!J42,"")</f>
        <v>0</v>
      </c>
      <c r="D44" s="89" t="str">
        <f>IFERROR(+VLOOKUP(C44,Data!J42:K141,2,0),"-")</f>
        <v>-</v>
      </c>
      <c r="E44" s="90">
        <f>IFERROR(+SUMIFS('Heo con_Nhập dữ liệu'!$O:$O,'Heo con_Nhập dữ liệu'!$E:$E,'Heo con_Theo dõi khách hàng'!C44),"")</f>
        <v>0</v>
      </c>
      <c r="F44" s="90">
        <f>IFERROR(+SUMIFS('Heo con_Nhập dữ liệu'!$P:$P,'Heo con_Nhập dữ liệu'!$E:$E,'Heo con_Theo dõi khách hàng'!C44)+SUMIFS('Heo con_Nhập dữ liệu'!$Q:$Q,'Heo con_Nhập dữ liệu'!$E:$E,'Heo con_Theo dõi khách hàng'!C44)+SUMIFS('Heo con_Nhập dữ liệu'!$R:$R,'Heo con_Nhập dữ liệu'!$E:$E,'Heo con_Theo dõi khách hàng'!C44),"")</f>
        <v>0</v>
      </c>
      <c r="G44" s="90">
        <f>+SUMIFS('Heo con_Nhập dữ liệu'!$T:$T,'Heo con_Nhập dữ liệu'!$E:$E,'Heo con_Theo dõi khách hàng'!C44)</f>
        <v>0</v>
      </c>
      <c r="H44" s="90">
        <f>+SUMIFS('Heo con_Nhập dữ liệu'!$U:$U,'Heo con_Nhập dữ liệu'!$E:$E,'Heo con_Theo dõi khách hàng'!C44)</f>
        <v>0</v>
      </c>
      <c r="I44" s="91">
        <f t="shared" si="3"/>
        <v>0</v>
      </c>
      <c r="J44" t="str">
        <f t="shared" si="1"/>
        <v>-</v>
      </c>
    </row>
    <row r="45" spans="2:10" ht="15.6" hidden="1" x14ac:dyDescent="0.3">
      <c r="B45" s="89">
        <v>40</v>
      </c>
      <c r="C45" s="89">
        <f>IFERROR(+Data!J43,"")</f>
        <v>0</v>
      </c>
      <c r="D45" s="89" t="str">
        <f>IFERROR(+VLOOKUP(C45,Data!J43:K142,2,0),"-")</f>
        <v>-</v>
      </c>
      <c r="E45" s="90">
        <f>IFERROR(+SUMIFS('Heo con_Nhập dữ liệu'!$O:$O,'Heo con_Nhập dữ liệu'!$E:$E,'Heo con_Theo dõi khách hàng'!C45),"")</f>
        <v>0</v>
      </c>
      <c r="F45" s="90">
        <f>IFERROR(+SUMIFS('Heo con_Nhập dữ liệu'!$P:$P,'Heo con_Nhập dữ liệu'!$E:$E,'Heo con_Theo dõi khách hàng'!C45)+SUMIFS('Heo con_Nhập dữ liệu'!$Q:$Q,'Heo con_Nhập dữ liệu'!$E:$E,'Heo con_Theo dõi khách hàng'!C45)+SUMIFS('Heo con_Nhập dữ liệu'!$R:$R,'Heo con_Nhập dữ liệu'!$E:$E,'Heo con_Theo dõi khách hàng'!C45),"")</f>
        <v>0</v>
      </c>
      <c r="G45" s="90">
        <f>+SUMIFS('Heo con_Nhập dữ liệu'!$T:$T,'Heo con_Nhập dữ liệu'!$E:$E,'Heo con_Theo dõi khách hàng'!C45)</f>
        <v>0</v>
      </c>
      <c r="H45" s="90">
        <f>+SUMIFS('Heo con_Nhập dữ liệu'!$U:$U,'Heo con_Nhập dữ liệu'!$E:$E,'Heo con_Theo dõi khách hàng'!C45)</f>
        <v>0</v>
      </c>
      <c r="I45" s="91">
        <f t="shared" si="3"/>
        <v>0</v>
      </c>
      <c r="J45" t="str">
        <f t="shared" si="1"/>
        <v>-</v>
      </c>
    </row>
    <row r="46" spans="2:10" ht="15.6" hidden="1" x14ac:dyDescent="0.3">
      <c r="B46" s="89">
        <v>41</v>
      </c>
      <c r="C46" s="89">
        <f>IFERROR(+Data!J44,"")</f>
        <v>0</v>
      </c>
      <c r="D46" s="89" t="str">
        <f>IFERROR(+VLOOKUP(C46,Data!J44:K143,2,0),"-")</f>
        <v>-</v>
      </c>
      <c r="E46" s="90">
        <f>IFERROR(+SUMIFS('Heo con_Nhập dữ liệu'!$O:$O,'Heo con_Nhập dữ liệu'!$E:$E,'Heo con_Theo dõi khách hàng'!C46),"")</f>
        <v>0</v>
      </c>
      <c r="F46" s="90">
        <f>IFERROR(+SUMIFS('Heo con_Nhập dữ liệu'!$P:$P,'Heo con_Nhập dữ liệu'!$E:$E,'Heo con_Theo dõi khách hàng'!C46)+SUMIFS('Heo con_Nhập dữ liệu'!$Q:$Q,'Heo con_Nhập dữ liệu'!$E:$E,'Heo con_Theo dõi khách hàng'!C46)+SUMIFS('Heo con_Nhập dữ liệu'!$R:$R,'Heo con_Nhập dữ liệu'!$E:$E,'Heo con_Theo dõi khách hàng'!C46),"")</f>
        <v>0</v>
      </c>
      <c r="G46" s="90">
        <f>+SUMIFS('Heo con_Nhập dữ liệu'!$T:$T,'Heo con_Nhập dữ liệu'!$E:$E,'Heo con_Theo dõi khách hàng'!C46)</f>
        <v>0</v>
      </c>
      <c r="H46" s="90">
        <f>+SUMIFS('Heo con_Nhập dữ liệu'!$U:$U,'Heo con_Nhập dữ liệu'!$E:$E,'Heo con_Theo dõi khách hàng'!C46)</f>
        <v>0</v>
      </c>
      <c r="I46" s="91">
        <f t="shared" si="3"/>
        <v>0</v>
      </c>
      <c r="J46" t="str">
        <f t="shared" si="1"/>
        <v>-</v>
      </c>
    </row>
    <row r="47" spans="2:10" ht="15.6" hidden="1" x14ac:dyDescent="0.3">
      <c r="B47" s="89">
        <v>42</v>
      </c>
      <c r="C47" s="89">
        <f>IFERROR(+Data!J45,"")</f>
        <v>0</v>
      </c>
      <c r="D47" s="89" t="str">
        <f>IFERROR(+VLOOKUP(C47,Data!J45:K144,2,0),"-")</f>
        <v>-</v>
      </c>
      <c r="E47" s="90">
        <f>IFERROR(+SUMIFS('Heo con_Nhập dữ liệu'!$O:$O,'Heo con_Nhập dữ liệu'!$E:$E,'Heo con_Theo dõi khách hàng'!C47),"")</f>
        <v>0</v>
      </c>
      <c r="F47" s="90">
        <f>IFERROR(+SUMIFS('Heo con_Nhập dữ liệu'!$P:$P,'Heo con_Nhập dữ liệu'!$E:$E,'Heo con_Theo dõi khách hàng'!C47)+SUMIFS('Heo con_Nhập dữ liệu'!$Q:$Q,'Heo con_Nhập dữ liệu'!$E:$E,'Heo con_Theo dõi khách hàng'!C47)+SUMIFS('Heo con_Nhập dữ liệu'!$R:$R,'Heo con_Nhập dữ liệu'!$E:$E,'Heo con_Theo dõi khách hàng'!C47),"")</f>
        <v>0</v>
      </c>
      <c r="G47" s="90">
        <f>+SUMIFS('Heo con_Nhập dữ liệu'!$T:$T,'Heo con_Nhập dữ liệu'!$E:$E,'Heo con_Theo dõi khách hàng'!C47)</f>
        <v>0</v>
      </c>
      <c r="H47" s="90">
        <f>+SUMIFS('Heo con_Nhập dữ liệu'!$U:$U,'Heo con_Nhập dữ liệu'!$E:$E,'Heo con_Theo dõi khách hàng'!C47)</f>
        <v>0</v>
      </c>
      <c r="I47" s="91">
        <f t="shared" si="3"/>
        <v>0</v>
      </c>
      <c r="J47" t="str">
        <f t="shared" si="1"/>
        <v>-</v>
      </c>
    </row>
    <row r="48" spans="2:10" ht="15.6" hidden="1" x14ac:dyDescent="0.3">
      <c r="B48" s="89">
        <v>43</v>
      </c>
      <c r="C48" s="89">
        <f>IFERROR(+Data!J46,"")</f>
        <v>0</v>
      </c>
      <c r="D48" s="89" t="str">
        <f>IFERROR(+VLOOKUP(C48,Data!J46:K145,2,0),"-")</f>
        <v>-</v>
      </c>
      <c r="E48" s="90">
        <f>IFERROR(+SUMIFS('Heo con_Nhập dữ liệu'!$O:$O,'Heo con_Nhập dữ liệu'!$E:$E,'Heo con_Theo dõi khách hàng'!C48),"")</f>
        <v>0</v>
      </c>
      <c r="F48" s="90">
        <f>IFERROR(+SUMIFS('Heo con_Nhập dữ liệu'!$P:$P,'Heo con_Nhập dữ liệu'!$E:$E,'Heo con_Theo dõi khách hàng'!C48)+SUMIFS('Heo con_Nhập dữ liệu'!$Q:$Q,'Heo con_Nhập dữ liệu'!$E:$E,'Heo con_Theo dõi khách hàng'!C48)+SUMIFS('Heo con_Nhập dữ liệu'!$R:$R,'Heo con_Nhập dữ liệu'!$E:$E,'Heo con_Theo dõi khách hàng'!C48),"")</f>
        <v>0</v>
      </c>
      <c r="G48" s="90">
        <f>+SUMIFS('Heo con_Nhập dữ liệu'!$T:$T,'Heo con_Nhập dữ liệu'!$E:$E,'Heo con_Theo dõi khách hàng'!C48)</f>
        <v>0</v>
      </c>
      <c r="H48" s="90">
        <f>+SUMIFS('Heo con_Nhập dữ liệu'!$U:$U,'Heo con_Nhập dữ liệu'!$E:$E,'Heo con_Theo dõi khách hàng'!C48)</f>
        <v>0</v>
      </c>
      <c r="I48" s="91">
        <f t="shared" si="3"/>
        <v>0</v>
      </c>
      <c r="J48" t="str">
        <f t="shared" si="1"/>
        <v>-</v>
      </c>
    </row>
    <row r="49" spans="2:10" ht="15.6" hidden="1" x14ac:dyDescent="0.3">
      <c r="B49" s="89">
        <v>44</v>
      </c>
      <c r="C49" s="89">
        <f>IFERROR(+Data!J47,"")</f>
        <v>0</v>
      </c>
      <c r="D49" s="89" t="str">
        <f>IFERROR(+VLOOKUP(C49,Data!J47:K146,2,0),"-")</f>
        <v>-</v>
      </c>
      <c r="E49" s="90">
        <f>IFERROR(+SUMIFS('Heo con_Nhập dữ liệu'!$O:$O,'Heo con_Nhập dữ liệu'!$E:$E,'Heo con_Theo dõi khách hàng'!C49),"")</f>
        <v>0</v>
      </c>
      <c r="F49" s="90">
        <f>IFERROR(+SUMIFS('Heo con_Nhập dữ liệu'!$P:$P,'Heo con_Nhập dữ liệu'!$E:$E,'Heo con_Theo dõi khách hàng'!C49)+SUMIFS('Heo con_Nhập dữ liệu'!$Q:$Q,'Heo con_Nhập dữ liệu'!$E:$E,'Heo con_Theo dõi khách hàng'!C49)+SUMIFS('Heo con_Nhập dữ liệu'!$R:$R,'Heo con_Nhập dữ liệu'!$E:$E,'Heo con_Theo dõi khách hàng'!C49),"")</f>
        <v>0</v>
      </c>
      <c r="G49" s="90">
        <f>+SUMIFS('Heo con_Nhập dữ liệu'!$T:$T,'Heo con_Nhập dữ liệu'!$E:$E,'Heo con_Theo dõi khách hàng'!C49)</f>
        <v>0</v>
      </c>
      <c r="H49" s="90">
        <f>+SUMIFS('Heo con_Nhập dữ liệu'!$U:$U,'Heo con_Nhập dữ liệu'!$E:$E,'Heo con_Theo dõi khách hàng'!C49)</f>
        <v>0</v>
      </c>
      <c r="I49" s="91">
        <f t="shared" si="3"/>
        <v>0</v>
      </c>
      <c r="J49" t="str">
        <f t="shared" si="1"/>
        <v>-</v>
      </c>
    </row>
    <row r="50" spans="2:10" ht="15.6" hidden="1" x14ac:dyDescent="0.3">
      <c r="B50" s="89">
        <v>45</v>
      </c>
      <c r="C50" s="89">
        <f>IFERROR(+Data!J48,"")</f>
        <v>0</v>
      </c>
      <c r="D50" s="89" t="str">
        <f>IFERROR(+VLOOKUP(C50,Data!J48:K147,2,0),"-")</f>
        <v>-</v>
      </c>
      <c r="E50" s="90">
        <f>IFERROR(+SUMIFS('Heo con_Nhập dữ liệu'!$O:$O,'Heo con_Nhập dữ liệu'!$E:$E,'Heo con_Theo dõi khách hàng'!C50),"")</f>
        <v>0</v>
      </c>
      <c r="F50" s="90">
        <f>IFERROR(+SUMIFS('Heo con_Nhập dữ liệu'!$P:$P,'Heo con_Nhập dữ liệu'!$E:$E,'Heo con_Theo dõi khách hàng'!C50)+SUMIFS('Heo con_Nhập dữ liệu'!$Q:$Q,'Heo con_Nhập dữ liệu'!$E:$E,'Heo con_Theo dõi khách hàng'!C50)+SUMIFS('Heo con_Nhập dữ liệu'!$R:$R,'Heo con_Nhập dữ liệu'!$E:$E,'Heo con_Theo dõi khách hàng'!C50),"")</f>
        <v>0</v>
      </c>
      <c r="G50" s="90">
        <f>+SUMIFS('Heo con_Nhập dữ liệu'!$T:$T,'Heo con_Nhập dữ liệu'!$E:$E,'Heo con_Theo dõi khách hàng'!C50)</f>
        <v>0</v>
      </c>
      <c r="H50" s="90">
        <f>+SUMIFS('Heo con_Nhập dữ liệu'!$U:$U,'Heo con_Nhập dữ liệu'!$E:$E,'Heo con_Theo dõi khách hàng'!C50)</f>
        <v>0</v>
      </c>
      <c r="I50" s="91">
        <f t="shared" ref="I50:I70" si="4">+H50-G50</f>
        <v>0</v>
      </c>
      <c r="J50" t="str">
        <f t="shared" si="1"/>
        <v>-</v>
      </c>
    </row>
    <row r="51" spans="2:10" ht="15.6" hidden="1" x14ac:dyDescent="0.3">
      <c r="B51" s="89">
        <v>46</v>
      </c>
      <c r="C51" s="89">
        <f>IFERROR(+Data!J49,"")</f>
        <v>0</v>
      </c>
      <c r="D51" s="89" t="str">
        <f>IFERROR(+VLOOKUP(C51,Data!J49:K148,2,0),"-")</f>
        <v>-</v>
      </c>
      <c r="E51" s="90">
        <f>IFERROR(+SUMIFS('Heo con_Nhập dữ liệu'!$O:$O,'Heo con_Nhập dữ liệu'!$E:$E,'Heo con_Theo dõi khách hàng'!C51),"")</f>
        <v>0</v>
      </c>
      <c r="F51" s="90">
        <f>IFERROR(+SUMIFS('Heo con_Nhập dữ liệu'!$P:$P,'Heo con_Nhập dữ liệu'!$E:$E,'Heo con_Theo dõi khách hàng'!C51)+SUMIFS('Heo con_Nhập dữ liệu'!$Q:$Q,'Heo con_Nhập dữ liệu'!$E:$E,'Heo con_Theo dõi khách hàng'!C51)+SUMIFS('Heo con_Nhập dữ liệu'!$R:$R,'Heo con_Nhập dữ liệu'!$E:$E,'Heo con_Theo dõi khách hàng'!C51),"")</f>
        <v>0</v>
      </c>
      <c r="G51" s="90">
        <f>+SUMIFS('Heo con_Nhập dữ liệu'!$T:$T,'Heo con_Nhập dữ liệu'!$E:$E,'Heo con_Theo dõi khách hàng'!C51)</f>
        <v>0</v>
      </c>
      <c r="H51" s="90">
        <f>+SUMIFS('Heo con_Nhập dữ liệu'!$U:$U,'Heo con_Nhập dữ liệu'!$E:$E,'Heo con_Theo dõi khách hàng'!C51)</f>
        <v>0</v>
      </c>
      <c r="I51" s="91">
        <f t="shared" si="4"/>
        <v>0</v>
      </c>
      <c r="J51" t="str">
        <f t="shared" si="1"/>
        <v>-</v>
      </c>
    </row>
    <row r="52" spans="2:10" ht="15.6" hidden="1" x14ac:dyDescent="0.3">
      <c r="B52" s="89">
        <v>47</v>
      </c>
      <c r="C52" s="89">
        <f>IFERROR(+Data!J50,"")</f>
        <v>0</v>
      </c>
      <c r="D52" s="89" t="str">
        <f>IFERROR(+VLOOKUP(C52,Data!J50:K149,2,0),"-")</f>
        <v>-</v>
      </c>
      <c r="E52" s="90">
        <f>IFERROR(+SUMIFS('Heo con_Nhập dữ liệu'!$O:$O,'Heo con_Nhập dữ liệu'!$E:$E,'Heo con_Theo dõi khách hàng'!C52),"")</f>
        <v>0</v>
      </c>
      <c r="F52" s="90">
        <f>IFERROR(+SUMIFS('Heo con_Nhập dữ liệu'!$P:$P,'Heo con_Nhập dữ liệu'!$E:$E,'Heo con_Theo dõi khách hàng'!C52)+SUMIFS('Heo con_Nhập dữ liệu'!$Q:$Q,'Heo con_Nhập dữ liệu'!$E:$E,'Heo con_Theo dõi khách hàng'!C52)+SUMIFS('Heo con_Nhập dữ liệu'!$R:$R,'Heo con_Nhập dữ liệu'!$E:$E,'Heo con_Theo dõi khách hàng'!C52),"")</f>
        <v>0</v>
      </c>
      <c r="G52" s="90">
        <f>+SUMIFS('Heo con_Nhập dữ liệu'!$T:$T,'Heo con_Nhập dữ liệu'!$E:$E,'Heo con_Theo dõi khách hàng'!C52)</f>
        <v>0</v>
      </c>
      <c r="H52" s="90">
        <f>+SUMIFS('Heo con_Nhập dữ liệu'!$U:$U,'Heo con_Nhập dữ liệu'!$E:$E,'Heo con_Theo dõi khách hàng'!C52)</f>
        <v>0</v>
      </c>
      <c r="I52" s="91">
        <f t="shared" si="4"/>
        <v>0</v>
      </c>
      <c r="J52" t="str">
        <f t="shared" si="1"/>
        <v>-</v>
      </c>
    </row>
    <row r="53" spans="2:10" ht="15.6" hidden="1" x14ac:dyDescent="0.3">
      <c r="B53" s="89">
        <v>48</v>
      </c>
      <c r="C53" s="89">
        <f>IFERROR(+Data!J51,"")</f>
        <v>0</v>
      </c>
      <c r="D53" s="89" t="str">
        <f>IFERROR(+VLOOKUP(C53,Data!J51:K150,2,0),"-")</f>
        <v>-</v>
      </c>
      <c r="E53" s="90">
        <f>IFERROR(+SUMIFS('Heo con_Nhập dữ liệu'!$O:$O,'Heo con_Nhập dữ liệu'!$E:$E,'Heo con_Theo dõi khách hàng'!C53),"")</f>
        <v>0</v>
      </c>
      <c r="F53" s="90">
        <f>IFERROR(+SUMIFS('Heo con_Nhập dữ liệu'!$P:$P,'Heo con_Nhập dữ liệu'!$E:$E,'Heo con_Theo dõi khách hàng'!C53)+SUMIFS('Heo con_Nhập dữ liệu'!$Q:$Q,'Heo con_Nhập dữ liệu'!$E:$E,'Heo con_Theo dõi khách hàng'!C53)+SUMIFS('Heo con_Nhập dữ liệu'!$R:$R,'Heo con_Nhập dữ liệu'!$E:$E,'Heo con_Theo dõi khách hàng'!C53),"")</f>
        <v>0</v>
      </c>
      <c r="G53" s="90">
        <f>+SUMIFS('Heo con_Nhập dữ liệu'!$T:$T,'Heo con_Nhập dữ liệu'!$E:$E,'Heo con_Theo dõi khách hàng'!C53)</f>
        <v>0</v>
      </c>
      <c r="H53" s="90">
        <f>+SUMIFS('Heo con_Nhập dữ liệu'!$U:$U,'Heo con_Nhập dữ liệu'!$E:$E,'Heo con_Theo dõi khách hàng'!C53)</f>
        <v>0</v>
      </c>
      <c r="I53" s="91">
        <f t="shared" si="4"/>
        <v>0</v>
      </c>
      <c r="J53" t="str">
        <f t="shared" si="1"/>
        <v>-</v>
      </c>
    </row>
    <row r="54" spans="2:10" ht="15.6" hidden="1" x14ac:dyDescent="0.3">
      <c r="B54" s="89">
        <v>49</v>
      </c>
      <c r="C54" s="89">
        <f>IFERROR(+Data!J52,"")</f>
        <v>0</v>
      </c>
      <c r="D54" s="89" t="str">
        <f>IFERROR(+VLOOKUP(C54,Data!J52:K151,2,0),"-")</f>
        <v>-</v>
      </c>
      <c r="E54" s="90">
        <f>IFERROR(+SUMIFS('Heo con_Nhập dữ liệu'!$O:$O,'Heo con_Nhập dữ liệu'!$E:$E,'Heo con_Theo dõi khách hàng'!C54),"")</f>
        <v>0</v>
      </c>
      <c r="F54" s="90">
        <f>IFERROR(+SUMIFS('Heo con_Nhập dữ liệu'!$P:$P,'Heo con_Nhập dữ liệu'!$E:$E,'Heo con_Theo dõi khách hàng'!C54)+SUMIFS('Heo con_Nhập dữ liệu'!$Q:$Q,'Heo con_Nhập dữ liệu'!$E:$E,'Heo con_Theo dõi khách hàng'!C54)+SUMIFS('Heo con_Nhập dữ liệu'!$R:$R,'Heo con_Nhập dữ liệu'!$E:$E,'Heo con_Theo dõi khách hàng'!C54),"")</f>
        <v>0</v>
      </c>
      <c r="G54" s="90">
        <f>+SUMIFS('Heo con_Nhập dữ liệu'!$T:$T,'Heo con_Nhập dữ liệu'!$E:$E,'Heo con_Theo dõi khách hàng'!C54)</f>
        <v>0</v>
      </c>
      <c r="H54" s="90">
        <f>+SUMIFS('Heo con_Nhập dữ liệu'!$U:$U,'Heo con_Nhập dữ liệu'!$E:$E,'Heo con_Theo dõi khách hàng'!C54)</f>
        <v>0</v>
      </c>
      <c r="I54" s="91">
        <f t="shared" si="4"/>
        <v>0</v>
      </c>
      <c r="J54" t="str">
        <f t="shared" si="1"/>
        <v>-</v>
      </c>
    </row>
    <row r="55" spans="2:10" ht="15.6" hidden="1" x14ac:dyDescent="0.3">
      <c r="B55" s="89">
        <v>50</v>
      </c>
      <c r="C55" s="89">
        <f>IFERROR(+Data!J53,"")</f>
        <v>0</v>
      </c>
      <c r="D55" s="89" t="str">
        <f>IFERROR(+VLOOKUP(C55,Data!J53:K152,2,0),"-")</f>
        <v>-</v>
      </c>
      <c r="E55" s="90">
        <f>IFERROR(+SUMIFS('Heo con_Nhập dữ liệu'!$O:$O,'Heo con_Nhập dữ liệu'!$E:$E,'Heo con_Theo dõi khách hàng'!C55),"")</f>
        <v>0</v>
      </c>
      <c r="F55" s="90">
        <f>IFERROR(+SUMIFS('Heo con_Nhập dữ liệu'!$P:$P,'Heo con_Nhập dữ liệu'!$E:$E,'Heo con_Theo dõi khách hàng'!C55)+SUMIFS('Heo con_Nhập dữ liệu'!$Q:$Q,'Heo con_Nhập dữ liệu'!$E:$E,'Heo con_Theo dõi khách hàng'!C55)+SUMIFS('Heo con_Nhập dữ liệu'!$R:$R,'Heo con_Nhập dữ liệu'!$E:$E,'Heo con_Theo dõi khách hàng'!C55),"")</f>
        <v>0</v>
      </c>
      <c r="G55" s="90">
        <f>+SUMIFS('Heo con_Nhập dữ liệu'!$T:$T,'Heo con_Nhập dữ liệu'!$E:$E,'Heo con_Theo dõi khách hàng'!C55)</f>
        <v>0</v>
      </c>
      <c r="H55" s="90">
        <f>+SUMIFS('Heo con_Nhập dữ liệu'!$U:$U,'Heo con_Nhập dữ liệu'!$E:$E,'Heo con_Theo dõi khách hàng'!C55)</f>
        <v>0</v>
      </c>
      <c r="I55" s="91">
        <f t="shared" si="4"/>
        <v>0</v>
      </c>
      <c r="J55" t="str">
        <f t="shared" si="1"/>
        <v>-</v>
      </c>
    </row>
    <row r="56" spans="2:10" ht="15.6" hidden="1" x14ac:dyDescent="0.3">
      <c r="B56" s="89">
        <v>51</v>
      </c>
      <c r="C56" s="89">
        <f>IFERROR(+Data!J54,"")</f>
        <v>0</v>
      </c>
      <c r="D56" s="89" t="str">
        <f>IFERROR(+VLOOKUP(C56,Data!J54:K153,2,0),"-")</f>
        <v>-</v>
      </c>
      <c r="E56" s="90">
        <f>IFERROR(+SUMIFS('Heo con_Nhập dữ liệu'!$O:$O,'Heo con_Nhập dữ liệu'!$E:$E,'Heo con_Theo dõi khách hàng'!C56),"")</f>
        <v>0</v>
      </c>
      <c r="F56" s="90">
        <f>IFERROR(+SUMIFS('Heo con_Nhập dữ liệu'!$P:$P,'Heo con_Nhập dữ liệu'!$E:$E,'Heo con_Theo dõi khách hàng'!C56)+SUMIFS('Heo con_Nhập dữ liệu'!$Q:$Q,'Heo con_Nhập dữ liệu'!$E:$E,'Heo con_Theo dõi khách hàng'!C56)+SUMIFS('Heo con_Nhập dữ liệu'!$R:$R,'Heo con_Nhập dữ liệu'!$E:$E,'Heo con_Theo dõi khách hàng'!C56),"")</f>
        <v>0</v>
      </c>
      <c r="G56" s="90">
        <f>+SUMIFS('Heo con_Nhập dữ liệu'!$T:$T,'Heo con_Nhập dữ liệu'!$E:$E,'Heo con_Theo dõi khách hàng'!C56)</f>
        <v>0</v>
      </c>
      <c r="H56" s="90">
        <f>+SUMIFS('Heo con_Nhập dữ liệu'!$U:$U,'Heo con_Nhập dữ liệu'!$E:$E,'Heo con_Theo dõi khách hàng'!C56)</f>
        <v>0</v>
      </c>
      <c r="I56" s="91">
        <f t="shared" si="4"/>
        <v>0</v>
      </c>
      <c r="J56" t="str">
        <f t="shared" si="1"/>
        <v>-</v>
      </c>
    </row>
    <row r="57" spans="2:10" ht="15.6" hidden="1" x14ac:dyDescent="0.3">
      <c r="B57" s="89">
        <v>52</v>
      </c>
      <c r="C57" s="89">
        <f>IFERROR(+Data!J55,"")</f>
        <v>0</v>
      </c>
      <c r="D57" s="89" t="str">
        <f>IFERROR(+VLOOKUP(C57,Data!J55:K154,2,0),"-")</f>
        <v>-</v>
      </c>
      <c r="E57" s="90">
        <f>IFERROR(+SUMIFS('Heo con_Nhập dữ liệu'!$O:$O,'Heo con_Nhập dữ liệu'!$E:$E,'Heo con_Theo dõi khách hàng'!C57),"")</f>
        <v>0</v>
      </c>
      <c r="F57" s="90">
        <f>IFERROR(+SUMIFS('Heo con_Nhập dữ liệu'!$P:$P,'Heo con_Nhập dữ liệu'!$E:$E,'Heo con_Theo dõi khách hàng'!C57)+SUMIFS('Heo con_Nhập dữ liệu'!$Q:$Q,'Heo con_Nhập dữ liệu'!$E:$E,'Heo con_Theo dõi khách hàng'!C57)+SUMIFS('Heo con_Nhập dữ liệu'!$R:$R,'Heo con_Nhập dữ liệu'!$E:$E,'Heo con_Theo dõi khách hàng'!C57),"")</f>
        <v>0</v>
      </c>
      <c r="G57" s="90">
        <f>+SUMIFS('Heo con_Nhập dữ liệu'!$T:$T,'Heo con_Nhập dữ liệu'!$E:$E,'Heo con_Theo dõi khách hàng'!C57)</f>
        <v>0</v>
      </c>
      <c r="H57" s="90">
        <f>+SUMIFS('Heo con_Nhập dữ liệu'!$U:$U,'Heo con_Nhập dữ liệu'!$E:$E,'Heo con_Theo dõi khách hàng'!C57)</f>
        <v>0</v>
      </c>
      <c r="I57" s="91">
        <f t="shared" si="4"/>
        <v>0</v>
      </c>
      <c r="J57" t="str">
        <f t="shared" si="1"/>
        <v>-</v>
      </c>
    </row>
    <row r="58" spans="2:10" ht="15.6" hidden="1" x14ac:dyDescent="0.3">
      <c r="B58" s="89">
        <v>53</v>
      </c>
      <c r="C58" s="89">
        <f>IFERROR(+Data!J56,"")</f>
        <v>0</v>
      </c>
      <c r="D58" s="89" t="str">
        <f>IFERROR(+VLOOKUP(C58,Data!J56:K155,2,0),"-")</f>
        <v>-</v>
      </c>
      <c r="E58" s="90">
        <f>IFERROR(+SUMIFS('Heo con_Nhập dữ liệu'!$O:$O,'Heo con_Nhập dữ liệu'!$E:$E,'Heo con_Theo dõi khách hàng'!C58),"")</f>
        <v>0</v>
      </c>
      <c r="F58" s="90">
        <f>IFERROR(+SUMIFS('Heo con_Nhập dữ liệu'!$P:$P,'Heo con_Nhập dữ liệu'!$E:$E,'Heo con_Theo dõi khách hàng'!C58)+SUMIFS('Heo con_Nhập dữ liệu'!$Q:$Q,'Heo con_Nhập dữ liệu'!$E:$E,'Heo con_Theo dõi khách hàng'!C58)+SUMIFS('Heo con_Nhập dữ liệu'!$R:$R,'Heo con_Nhập dữ liệu'!$E:$E,'Heo con_Theo dõi khách hàng'!C58),"")</f>
        <v>0</v>
      </c>
      <c r="G58" s="90">
        <f>+SUMIFS('Heo con_Nhập dữ liệu'!$T:$T,'Heo con_Nhập dữ liệu'!$E:$E,'Heo con_Theo dõi khách hàng'!C58)</f>
        <v>0</v>
      </c>
      <c r="H58" s="90">
        <f>+SUMIFS('Heo con_Nhập dữ liệu'!$U:$U,'Heo con_Nhập dữ liệu'!$E:$E,'Heo con_Theo dõi khách hàng'!C58)</f>
        <v>0</v>
      </c>
      <c r="I58" s="91">
        <f t="shared" si="4"/>
        <v>0</v>
      </c>
      <c r="J58" t="str">
        <f t="shared" si="1"/>
        <v>-</v>
      </c>
    </row>
    <row r="59" spans="2:10" ht="15.6" hidden="1" x14ac:dyDescent="0.3">
      <c r="B59" s="89">
        <v>54</v>
      </c>
      <c r="C59" s="89">
        <f>IFERROR(+Data!J57,"")</f>
        <v>0</v>
      </c>
      <c r="D59" s="89" t="str">
        <f>IFERROR(+VLOOKUP(C59,Data!J57:K156,2,0),"-")</f>
        <v>-</v>
      </c>
      <c r="E59" s="90">
        <f>IFERROR(+SUMIFS('Heo con_Nhập dữ liệu'!$O:$O,'Heo con_Nhập dữ liệu'!$E:$E,'Heo con_Theo dõi khách hàng'!C59),"")</f>
        <v>0</v>
      </c>
      <c r="F59" s="90">
        <f>IFERROR(+SUMIFS('Heo con_Nhập dữ liệu'!$P:$P,'Heo con_Nhập dữ liệu'!$E:$E,'Heo con_Theo dõi khách hàng'!C59)+SUMIFS('Heo con_Nhập dữ liệu'!$Q:$Q,'Heo con_Nhập dữ liệu'!$E:$E,'Heo con_Theo dõi khách hàng'!C59)+SUMIFS('Heo con_Nhập dữ liệu'!$R:$R,'Heo con_Nhập dữ liệu'!$E:$E,'Heo con_Theo dõi khách hàng'!C59),"")</f>
        <v>0</v>
      </c>
      <c r="G59" s="90">
        <f>+SUMIFS('Heo con_Nhập dữ liệu'!$T:$T,'Heo con_Nhập dữ liệu'!$E:$E,'Heo con_Theo dõi khách hàng'!C59)</f>
        <v>0</v>
      </c>
      <c r="H59" s="90">
        <f>+SUMIFS('Heo con_Nhập dữ liệu'!$U:$U,'Heo con_Nhập dữ liệu'!$E:$E,'Heo con_Theo dõi khách hàng'!C59)</f>
        <v>0</v>
      </c>
      <c r="I59" s="91">
        <f t="shared" si="4"/>
        <v>0</v>
      </c>
      <c r="J59" t="str">
        <f t="shared" si="1"/>
        <v>-</v>
      </c>
    </row>
    <row r="60" spans="2:10" ht="15.6" hidden="1" x14ac:dyDescent="0.3">
      <c r="B60" s="89">
        <v>55</v>
      </c>
      <c r="C60" s="89">
        <f>IFERROR(+Data!J58,"")</f>
        <v>0</v>
      </c>
      <c r="D60" s="89" t="str">
        <f>IFERROR(+VLOOKUP(C60,Data!J58:K157,2,0),"-")</f>
        <v>-</v>
      </c>
      <c r="E60" s="90">
        <f>IFERROR(+SUMIFS('Heo con_Nhập dữ liệu'!$O:$O,'Heo con_Nhập dữ liệu'!$E:$E,'Heo con_Theo dõi khách hàng'!C60),"")</f>
        <v>0</v>
      </c>
      <c r="F60" s="90">
        <f>IFERROR(+SUMIFS('Heo con_Nhập dữ liệu'!$P:$P,'Heo con_Nhập dữ liệu'!$E:$E,'Heo con_Theo dõi khách hàng'!C60)+SUMIFS('Heo con_Nhập dữ liệu'!$Q:$Q,'Heo con_Nhập dữ liệu'!$E:$E,'Heo con_Theo dõi khách hàng'!C60)+SUMIFS('Heo con_Nhập dữ liệu'!$R:$R,'Heo con_Nhập dữ liệu'!$E:$E,'Heo con_Theo dõi khách hàng'!C60),"")</f>
        <v>0</v>
      </c>
      <c r="G60" s="90">
        <f>+SUMIFS('Heo con_Nhập dữ liệu'!$T:$T,'Heo con_Nhập dữ liệu'!$E:$E,'Heo con_Theo dõi khách hàng'!C60)</f>
        <v>0</v>
      </c>
      <c r="H60" s="90">
        <f>+SUMIFS('Heo con_Nhập dữ liệu'!$U:$U,'Heo con_Nhập dữ liệu'!$E:$E,'Heo con_Theo dõi khách hàng'!C60)</f>
        <v>0</v>
      </c>
      <c r="I60" s="91">
        <f t="shared" si="4"/>
        <v>0</v>
      </c>
      <c r="J60" t="str">
        <f t="shared" si="1"/>
        <v>-</v>
      </c>
    </row>
    <row r="61" spans="2:10" ht="15.6" hidden="1" x14ac:dyDescent="0.3">
      <c r="B61" s="89">
        <v>56</v>
      </c>
      <c r="C61" s="89">
        <f>IFERROR(+Data!J59,"")</f>
        <v>0</v>
      </c>
      <c r="D61" s="89" t="str">
        <f>IFERROR(+VLOOKUP(C61,Data!J59:K158,2,0),"-")</f>
        <v>-</v>
      </c>
      <c r="E61" s="90">
        <f>IFERROR(+SUMIFS('Heo con_Nhập dữ liệu'!$O:$O,'Heo con_Nhập dữ liệu'!$E:$E,'Heo con_Theo dõi khách hàng'!C61),"")</f>
        <v>0</v>
      </c>
      <c r="F61" s="90">
        <f>IFERROR(+SUMIFS('Heo con_Nhập dữ liệu'!$P:$P,'Heo con_Nhập dữ liệu'!$E:$E,'Heo con_Theo dõi khách hàng'!C61)+SUMIFS('Heo con_Nhập dữ liệu'!$Q:$Q,'Heo con_Nhập dữ liệu'!$E:$E,'Heo con_Theo dõi khách hàng'!C61)+SUMIFS('Heo con_Nhập dữ liệu'!$R:$R,'Heo con_Nhập dữ liệu'!$E:$E,'Heo con_Theo dõi khách hàng'!C61),"")</f>
        <v>0</v>
      </c>
      <c r="G61" s="90">
        <f>+SUMIFS('Heo con_Nhập dữ liệu'!$T:$T,'Heo con_Nhập dữ liệu'!$E:$E,'Heo con_Theo dõi khách hàng'!C61)</f>
        <v>0</v>
      </c>
      <c r="H61" s="90">
        <f>+SUMIFS('Heo con_Nhập dữ liệu'!$U:$U,'Heo con_Nhập dữ liệu'!$E:$E,'Heo con_Theo dõi khách hàng'!C61)</f>
        <v>0</v>
      </c>
      <c r="I61" s="91">
        <f t="shared" si="4"/>
        <v>0</v>
      </c>
      <c r="J61" t="str">
        <f t="shared" si="1"/>
        <v>-</v>
      </c>
    </row>
    <row r="62" spans="2:10" ht="15.6" hidden="1" x14ac:dyDescent="0.3">
      <c r="B62" s="89">
        <v>57</v>
      </c>
      <c r="C62" s="89">
        <f>IFERROR(+Data!J60,"")</f>
        <v>0</v>
      </c>
      <c r="D62" s="89" t="str">
        <f>IFERROR(+VLOOKUP(C62,Data!J60:K159,2,0),"-")</f>
        <v>-</v>
      </c>
      <c r="E62" s="90">
        <f>IFERROR(+SUMIFS('Heo con_Nhập dữ liệu'!$O:$O,'Heo con_Nhập dữ liệu'!$E:$E,'Heo con_Theo dõi khách hàng'!C62),"")</f>
        <v>0</v>
      </c>
      <c r="F62" s="90">
        <f>IFERROR(+SUMIFS('Heo con_Nhập dữ liệu'!$P:$P,'Heo con_Nhập dữ liệu'!$E:$E,'Heo con_Theo dõi khách hàng'!C62)+SUMIFS('Heo con_Nhập dữ liệu'!$Q:$Q,'Heo con_Nhập dữ liệu'!$E:$E,'Heo con_Theo dõi khách hàng'!C62)+SUMIFS('Heo con_Nhập dữ liệu'!$R:$R,'Heo con_Nhập dữ liệu'!$E:$E,'Heo con_Theo dõi khách hàng'!C62),"")</f>
        <v>0</v>
      </c>
      <c r="G62" s="90">
        <f>+SUMIFS('Heo con_Nhập dữ liệu'!$T:$T,'Heo con_Nhập dữ liệu'!$E:$E,'Heo con_Theo dõi khách hàng'!C62)</f>
        <v>0</v>
      </c>
      <c r="H62" s="90">
        <f>+SUMIFS('Heo con_Nhập dữ liệu'!$U:$U,'Heo con_Nhập dữ liệu'!$E:$E,'Heo con_Theo dõi khách hàng'!C62)</f>
        <v>0</v>
      </c>
      <c r="I62" s="91">
        <f t="shared" si="4"/>
        <v>0</v>
      </c>
      <c r="J62" t="str">
        <f t="shared" si="1"/>
        <v>-</v>
      </c>
    </row>
    <row r="63" spans="2:10" ht="15.6" hidden="1" x14ac:dyDescent="0.3">
      <c r="B63" s="89">
        <v>58</v>
      </c>
      <c r="C63" s="89">
        <f>IFERROR(+Data!J61,"")</f>
        <v>0</v>
      </c>
      <c r="D63" s="89" t="str">
        <f>IFERROR(+VLOOKUP(C63,Data!J61:K160,2,0),"-")</f>
        <v>-</v>
      </c>
      <c r="E63" s="90">
        <f>IFERROR(+SUMIFS('Heo con_Nhập dữ liệu'!$O:$O,'Heo con_Nhập dữ liệu'!$E:$E,'Heo con_Theo dõi khách hàng'!C63),"")</f>
        <v>0</v>
      </c>
      <c r="F63" s="90">
        <f>IFERROR(+SUMIFS('Heo con_Nhập dữ liệu'!$P:$P,'Heo con_Nhập dữ liệu'!$E:$E,'Heo con_Theo dõi khách hàng'!C63)+SUMIFS('Heo con_Nhập dữ liệu'!$Q:$Q,'Heo con_Nhập dữ liệu'!$E:$E,'Heo con_Theo dõi khách hàng'!C63)+SUMIFS('Heo con_Nhập dữ liệu'!$R:$R,'Heo con_Nhập dữ liệu'!$E:$E,'Heo con_Theo dõi khách hàng'!C63),"")</f>
        <v>0</v>
      </c>
      <c r="G63" s="90">
        <f>+SUMIFS('Heo con_Nhập dữ liệu'!$T:$T,'Heo con_Nhập dữ liệu'!$E:$E,'Heo con_Theo dõi khách hàng'!C63)</f>
        <v>0</v>
      </c>
      <c r="H63" s="90">
        <f>+SUMIFS('Heo con_Nhập dữ liệu'!$U:$U,'Heo con_Nhập dữ liệu'!$E:$E,'Heo con_Theo dõi khách hàng'!C63)</f>
        <v>0</v>
      </c>
      <c r="I63" s="91">
        <f t="shared" si="4"/>
        <v>0</v>
      </c>
      <c r="J63" t="str">
        <f t="shared" si="1"/>
        <v>-</v>
      </c>
    </row>
    <row r="64" spans="2:10" ht="15.6" hidden="1" x14ac:dyDescent="0.3">
      <c r="B64" s="89">
        <v>59</v>
      </c>
      <c r="C64" s="89">
        <f>IFERROR(+Data!J62,"")</f>
        <v>0</v>
      </c>
      <c r="D64" s="89" t="str">
        <f>IFERROR(+VLOOKUP(C64,Data!J62:K161,2,0),"-")</f>
        <v>-</v>
      </c>
      <c r="E64" s="90">
        <f>IFERROR(+SUMIFS('Heo con_Nhập dữ liệu'!$O:$O,'Heo con_Nhập dữ liệu'!$E:$E,'Heo con_Theo dõi khách hàng'!C64),"")</f>
        <v>0</v>
      </c>
      <c r="F64" s="90">
        <f>IFERROR(+SUMIFS('Heo con_Nhập dữ liệu'!$P:$P,'Heo con_Nhập dữ liệu'!$E:$E,'Heo con_Theo dõi khách hàng'!C64)+SUMIFS('Heo con_Nhập dữ liệu'!$Q:$Q,'Heo con_Nhập dữ liệu'!$E:$E,'Heo con_Theo dõi khách hàng'!C64)+SUMIFS('Heo con_Nhập dữ liệu'!$R:$R,'Heo con_Nhập dữ liệu'!$E:$E,'Heo con_Theo dõi khách hàng'!C64),"")</f>
        <v>0</v>
      </c>
      <c r="G64" s="90">
        <f>+SUMIFS('Heo con_Nhập dữ liệu'!$T:$T,'Heo con_Nhập dữ liệu'!$E:$E,'Heo con_Theo dõi khách hàng'!C64)</f>
        <v>0</v>
      </c>
      <c r="H64" s="90">
        <f>+SUMIFS('Heo con_Nhập dữ liệu'!$U:$U,'Heo con_Nhập dữ liệu'!$E:$E,'Heo con_Theo dõi khách hàng'!C64)</f>
        <v>0</v>
      </c>
      <c r="I64" s="91">
        <f t="shared" si="4"/>
        <v>0</v>
      </c>
      <c r="J64" t="str">
        <f t="shared" si="1"/>
        <v>-</v>
      </c>
    </row>
    <row r="65" spans="2:10" ht="15.6" hidden="1" x14ac:dyDescent="0.3">
      <c r="B65" s="89">
        <v>60</v>
      </c>
      <c r="C65" s="89">
        <f>IFERROR(+Data!J63,"")</f>
        <v>0</v>
      </c>
      <c r="D65" s="89" t="str">
        <f>IFERROR(+VLOOKUP(C65,Data!J63:K162,2,0),"-")</f>
        <v>-</v>
      </c>
      <c r="E65" s="90">
        <f>IFERROR(+SUMIFS('Heo con_Nhập dữ liệu'!$O:$O,'Heo con_Nhập dữ liệu'!$E:$E,'Heo con_Theo dõi khách hàng'!C65),"")</f>
        <v>0</v>
      </c>
      <c r="F65" s="90">
        <f>IFERROR(+SUMIFS('Heo con_Nhập dữ liệu'!$P:$P,'Heo con_Nhập dữ liệu'!$E:$E,'Heo con_Theo dõi khách hàng'!C65)+SUMIFS('Heo con_Nhập dữ liệu'!$Q:$Q,'Heo con_Nhập dữ liệu'!$E:$E,'Heo con_Theo dõi khách hàng'!C65)+SUMIFS('Heo con_Nhập dữ liệu'!$R:$R,'Heo con_Nhập dữ liệu'!$E:$E,'Heo con_Theo dõi khách hàng'!C65),"")</f>
        <v>0</v>
      </c>
      <c r="G65" s="90">
        <f>+SUMIFS('Heo con_Nhập dữ liệu'!$T:$T,'Heo con_Nhập dữ liệu'!$E:$E,'Heo con_Theo dõi khách hàng'!C65)</f>
        <v>0</v>
      </c>
      <c r="H65" s="90">
        <f>+SUMIFS('Heo con_Nhập dữ liệu'!$U:$U,'Heo con_Nhập dữ liệu'!$E:$E,'Heo con_Theo dõi khách hàng'!C65)</f>
        <v>0</v>
      </c>
      <c r="I65" s="91">
        <f t="shared" si="4"/>
        <v>0</v>
      </c>
      <c r="J65" t="str">
        <f t="shared" si="1"/>
        <v>-</v>
      </c>
    </row>
    <row r="66" spans="2:10" ht="15.6" hidden="1" x14ac:dyDescent="0.3">
      <c r="B66" s="89">
        <v>61</v>
      </c>
      <c r="C66" s="89">
        <f>IFERROR(+Data!J64,"")</f>
        <v>0</v>
      </c>
      <c r="D66" s="89" t="str">
        <f>IFERROR(+VLOOKUP(C66,Data!J64:K163,2,0),"-")</f>
        <v>-</v>
      </c>
      <c r="E66" s="90">
        <f>IFERROR(+SUMIFS('Heo con_Nhập dữ liệu'!$O:$O,'Heo con_Nhập dữ liệu'!$E:$E,'Heo con_Theo dõi khách hàng'!C66),"")</f>
        <v>0</v>
      </c>
      <c r="F66" s="90">
        <f>IFERROR(+SUMIFS('Heo con_Nhập dữ liệu'!$P:$P,'Heo con_Nhập dữ liệu'!$E:$E,'Heo con_Theo dõi khách hàng'!C66)+SUMIFS('Heo con_Nhập dữ liệu'!$Q:$Q,'Heo con_Nhập dữ liệu'!$E:$E,'Heo con_Theo dõi khách hàng'!C66)+SUMIFS('Heo con_Nhập dữ liệu'!$R:$R,'Heo con_Nhập dữ liệu'!$E:$E,'Heo con_Theo dõi khách hàng'!C66),"")</f>
        <v>0</v>
      </c>
      <c r="G66" s="90">
        <f>+SUMIFS('Heo con_Nhập dữ liệu'!$T:$T,'Heo con_Nhập dữ liệu'!$E:$E,'Heo con_Theo dõi khách hàng'!C66)</f>
        <v>0</v>
      </c>
      <c r="H66" s="90">
        <f>+SUMIFS('Heo con_Nhập dữ liệu'!$U:$U,'Heo con_Nhập dữ liệu'!$E:$E,'Heo con_Theo dõi khách hàng'!C66)</f>
        <v>0</v>
      </c>
      <c r="I66" s="91">
        <f t="shared" si="4"/>
        <v>0</v>
      </c>
      <c r="J66" t="str">
        <f t="shared" si="1"/>
        <v>-</v>
      </c>
    </row>
    <row r="67" spans="2:10" ht="15.6" hidden="1" x14ac:dyDescent="0.3">
      <c r="B67" s="89">
        <v>62</v>
      </c>
      <c r="C67" s="89">
        <f>IFERROR(+Data!J65,"")</f>
        <v>0</v>
      </c>
      <c r="D67" s="89" t="str">
        <f>IFERROR(+VLOOKUP(C67,Data!J65:K164,2,0),"-")</f>
        <v>-</v>
      </c>
      <c r="E67" s="90">
        <f>IFERROR(+SUMIFS('Heo con_Nhập dữ liệu'!$O:$O,'Heo con_Nhập dữ liệu'!$E:$E,'Heo con_Theo dõi khách hàng'!C67),"")</f>
        <v>0</v>
      </c>
      <c r="F67" s="90">
        <f>IFERROR(+SUMIFS('Heo con_Nhập dữ liệu'!$P:$P,'Heo con_Nhập dữ liệu'!$E:$E,'Heo con_Theo dõi khách hàng'!C67)+SUMIFS('Heo con_Nhập dữ liệu'!$Q:$Q,'Heo con_Nhập dữ liệu'!$E:$E,'Heo con_Theo dõi khách hàng'!C67)+SUMIFS('Heo con_Nhập dữ liệu'!$R:$R,'Heo con_Nhập dữ liệu'!$E:$E,'Heo con_Theo dõi khách hàng'!C67),"")</f>
        <v>0</v>
      </c>
      <c r="G67" s="90">
        <f>+SUMIFS('Heo con_Nhập dữ liệu'!$T:$T,'Heo con_Nhập dữ liệu'!$E:$E,'Heo con_Theo dõi khách hàng'!C67)</f>
        <v>0</v>
      </c>
      <c r="H67" s="90">
        <f>+SUMIFS('Heo con_Nhập dữ liệu'!$U:$U,'Heo con_Nhập dữ liệu'!$E:$E,'Heo con_Theo dõi khách hàng'!C67)</f>
        <v>0</v>
      </c>
      <c r="I67" s="91">
        <f t="shared" si="4"/>
        <v>0</v>
      </c>
      <c r="J67" t="str">
        <f t="shared" si="1"/>
        <v>-</v>
      </c>
    </row>
    <row r="68" spans="2:10" ht="15.6" hidden="1" x14ac:dyDescent="0.3">
      <c r="B68" s="89">
        <v>63</v>
      </c>
      <c r="C68" s="89">
        <f>IFERROR(+Data!J66,"")</f>
        <v>0</v>
      </c>
      <c r="D68" s="89" t="str">
        <f>IFERROR(+VLOOKUP(C68,Data!J66:K165,2,0),"-")</f>
        <v>-</v>
      </c>
      <c r="E68" s="90">
        <f>IFERROR(+SUMIFS('Heo con_Nhập dữ liệu'!$O:$O,'Heo con_Nhập dữ liệu'!$E:$E,'Heo con_Theo dõi khách hàng'!C68),"")</f>
        <v>0</v>
      </c>
      <c r="F68" s="90">
        <f>IFERROR(+SUMIFS('Heo con_Nhập dữ liệu'!$P:$P,'Heo con_Nhập dữ liệu'!$E:$E,'Heo con_Theo dõi khách hàng'!C68)+SUMIFS('Heo con_Nhập dữ liệu'!$Q:$Q,'Heo con_Nhập dữ liệu'!$E:$E,'Heo con_Theo dõi khách hàng'!C68)+SUMIFS('Heo con_Nhập dữ liệu'!$R:$R,'Heo con_Nhập dữ liệu'!$E:$E,'Heo con_Theo dõi khách hàng'!C68),"")</f>
        <v>0</v>
      </c>
      <c r="G68" s="90">
        <f>+SUMIFS('Heo con_Nhập dữ liệu'!$T:$T,'Heo con_Nhập dữ liệu'!$E:$E,'Heo con_Theo dõi khách hàng'!C68)</f>
        <v>0</v>
      </c>
      <c r="H68" s="90">
        <f>+SUMIFS('Heo con_Nhập dữ liệu'!$U:$U,'Heo con_Nhập dữ liệu'!$E:$E,'Heo con_Theo dõi khách hàng'!C68)</f>
        <v>0</v>
      </c>
      <c r="I68" s="91">
        <f t="shared" si="4"/>
        <v>0</v>
      </c>
      <c r="J68" t="str">
        <f t="shared" si="1"/>
        <v>-</v>
      </c>
    </row>
    <row r="69" spans="2:10" ht="15.6" hidden="1" x14ac:dyDescent="0.3">
      <c r="B69" s="89">
        <v>64</v>
      </c>
      <c r="C69" s="89">
        <f>IFERROR(+Data!J67,"")</f>
        <v>0</v>
      </c>
      <c r="D69" s="89" t="str">
        <f>IFERROR(+VLOOKUP(C69,Data!J67:K166,2,0),"-")</f>
        <v>-</v>
      </c>
      <c r="E69" s="90">
        <f>IFERROR(+SUMIFS('Heo con_Nhập dữ liệu'!$O:$O,'Heo con_Nhập dữ liệu'!$E:$E,'Heo con_Theo dõi khách hàng'!C69),"")</f>
        <v>0</v>
      </c>
      <c r="F69" s="90">
        <f>IFERROR(+SUMIFS('Heo con_Nhập dữ liệu'!$P:$P,'Heo con_Nhập dữ liệu'!$E:$E,'Heo con_Theo dõi khách hàng'!C69)+SUMIFS('Heo con_Nhập dữ liệu'!$Q:$Q,'Heo con_Nhập dữ liệu'!$E:$E,'Heo con_Theo dõi khách hàng'!C69)+SUMIFS('Heo con_Nhập dữ liệu'!$R:$R,'Heo con_Nhập dữ liệu'!$E:$E,'Heo con_Theo dõi khách hàng'!C69),"")</f>
        <v>0</v>
      </c>
      <c r="G69" s="90">
        <f>+SUMIFS('Heo con_Nhập dữ liệu'!$T:$T,'Heo con_Nhập dữ liệu'!$E:$E,'Heo con_Theo dõi khách hàng'!C69)</f>
        <v>0</v>
      </c>
      <c r="H69" s="90">
        <f>+SUMIFS('Heo con_Nhập dữ liệu'!$U:$U,'Heo con_Nhập dữ liệu'!$E:$E,'Heo con_Theo dõi khách hàng'!C69)</f>
        <v>0</v>
      </c>
      <c r="I69" s="91">
        <f t="shared" si="4"/>
        <v>0</v>
      </c>
      <c r="J69" t="str">
        <f t="shared" si="1"/>
        <v>-</v>
      </c>
    </row>
    <row r="70" spans="2:10" ht="15.6" hidden="1" x14ac:dyDescent="0.3">
      <c r="B70" s="89">
        <v>65</v>
      </c>
      <c r="C70" s="89">
        <f>IFERROR(+Data!J68,"")</f>
        <v>0</v>
      </c>
      <c r="D70" s="89" t="str">
        <f>IFERROR(+VLOOKUP(C70,Data!J68:K167,2,0),"-")</f>
        <v>-</v>
      </c>
      <c r="E70" s="90">
        <f>IFERROR(+SUMIFS('Heo con_Nhập dữ liệu'!$O:$O,'Heo con_Nhập dữ liệu'!$E:$E,'Heo con_Theo dõi khách hàng'!C70),"")</f>
        <v>0</v>
      </c>
      <c r="F70" s="90">
        <f>IFERROR(+SUMIFS('Heo con_Nhập dữ liệu'!$P:$P,'Heo con_Nhập dữ liệu'!$E:$E,'Heo con_Theo dõi khách hàng'!C70)+SUMIFS('Heo con_Nhập dữ liệu'!$Q:$Q,'Heo con_Nhập dữ liệu'!$E:$E,'Heo con_Theo dõi khách hàng'!C70)+SUMIFS('Heo con_Nhập dữ liệu'!$R:$R,'Heo con_Nhập dữ liệu'!$E:$E,'Heo con_Theo dõi khách hàng'!C70),"")</f>
        <v>0</v>
      </c>
      <c r="G70" s="90">
        <f>+SUMIFS('Heo con_Nhập dữ liệu'!$T:$T,'Heo con_Nhập dữ liệu'!$E:$E,'Heo con_Theo dõi khách hàng'!C70)</f>
        <v>0</v>
      </c>
      <c r="H70" s="90">
        <f>+SUMIFS('Heo con_Nhập dữ liệu'!$U:$U,'Heo con_Nhập dữ liệu'!$E:$E,'Heo con_Theo dõi khách hàng'!C70)</f>
        <v>0</v>
      </c>
      <c r="I70" s="91">
        <f t="shared" si="4"/>
        <v>0</v>
      </c>
      <c r="J70" t="str">
        <f t="shared" si="1"/>
        <v>-</v>
      </c>
    </row>
    <row r="71" spans="2:10" ht="15.6" hidden="1" x14ac:dyDescent="0.3">
      <c r="B71" s="89">
        <v>66</v>
      </c>
      <c r="C71" s="89">
        <f>IFERROR(+Data!J69,"")</f>
        <v>0</v>
      </c>
      <c r="D71" s="89" t="str">
        <f>IFERROR(+VLOOKUP(C71,Data!J69:K168,2,0),"-")</f>
        <v>-</v>
      </c>
      <c r="E71" s="90">
        <f>IFERROR(+SUMIFS('Heo con_Nhập dữ liệu'!$O:$O,'Heo con_Nhập dữ liệu'!$E:$E,'Heo con_Theo dõi khách hàng'!C71),"")</f>
        <v>0</v>
      </c>
      <c r="F71" s="90">
        <f>IFERROR(+SUMIFS('Heo con_Nhập dữ liệu'!$P:$P,'Heo con_Nhập dữ liệu'!$E:$E,'Heo con_Theo dõi khách hàng'!C71)+SUMIFS('Heo con_Nhập dữ liệu'!$Q:$Q,'Heo con_Nhập dữ liệu'!$E:$E,'Heo con_Theo dõi khách hàng'!C71)+SUMIFS('Heo con_Nhập dữ liệu'!$R:$R,'Heo con_Nhập dữ liệu'!$E:$E,'Heo con_Theo dõi khách hàng'!C71),"")</f>
        <v>0</v>
      </c>
      <c r="G71" s="90">
        <f>+SUMIFS('Heo con_Nhập dữ liệu'!$T:$T,'Heo con_Nhập dữ liệu'!$E:$E,'Heo con_Theo dõi khách hàng'!C71)</f>
        <v>0</v>
      </c>
      <c r="H71" s="90">
        <f>+SUMIFS('Heo con_Nhập dữ liệu'!$U:$U,'Heo con_Nhập dữ liệu'!$E:$E,'Heo con_Theo dõi khách hàng'!C71)</f>
        <v>0</v>
      </c>
      <c r="I71" s="91">
        <f t="shared" ref="I71:I101" si="5">+H71-G71</f>
        <v>0</v>
      </c>
      <c r="J71" t="str">
        <f t="shared" ref="J71:J101" si="6">+IF(ABS(I71)&gt;500000,"Check","-")</f>
        <v>-</v>
      </c>
    </row>
    <row r="72" spans="2:10" ht="15.6" hidden="1" x14ac:dyDescent="0.3">
      <c r="B72" s="89">
        <v>67</v>
      </c>
      <c r="C72" s="89">
        <f>IFERROR(+Data!J70,"")</f>
        <v>0</v>
      </c>
      <c r="D72" s="89" t="str">
        <f>IFERROR(+VLOOKUP(C72,Data!J70:K169,2,0),"-")</f>
        <v>-</v>
      </c>
      <c r="E72" s="90">
        <f>IFERROR(+SUMIFS('Heo con_Nhập dữ liệu'!$O:$O,'Heo con_Nhập dữ liệu'!$E:$E,'Heo con_Theo dõi khách hàng'!C72),"")</f>
        <v>0</v>
      </c>
      <c r="F72" s="90">
        <f>IFERROR(+SUMIFS('Heo con_Nhập dữ liệu'!$P:$P,'Heo con_Nhập dữ liệu'!$E:$E,'Heo con_Theo dõi khách hàng'!C72)+SUMIFS('Heo con_Nhập dữ liệu'!$Q:$Q,'Heo con_Nhập dữ liệu'!$E:$E,'Heo con_Theo dõi khách hàng'!C72)+SUMIFS('Heo con_Nhập dữ liệu'!$R:$R,'Heo con_Nhập dữ liệu'!$E:$E,'Heo con_Theo dõi khách hàng'!C72),"")</f>
        <v>0</v>
      </c>
      <c r="G72" s="90">
        <f>+SUMIFS('Heo con_Nhập dữ liệu'!$T:$T,'Heo con_Nhập dữ liệu'!$E:$E,'Heo con_Theo dõi khách hàng'!C72)</f>
        <v>0</v>
      </c>
      <c r="H72" s="90">
        <f>+SUMIFS('Heo con_Nhập dữ liệu'!$U:$U,'Heo con_Nhập dữ liệu'!$E:$E,'Heo con_Theo dõi khách hàng'!C72)</f>
        <v>0</v>
      </c>
      <c r="I72" s="91">
        <f t="shared" si="5"/>
        <v>0</v>
      </c>
      <c r="J72" t="str">
        <f t="shared" si="6"/>
        <v>-</v>
      </c>
    </row>
    <row r="73" spans="2:10" ht="15.6" hidden="1" x14ac:dyDescent="0.3">
      <c r="B73" s="89">
        <v>68</v>
      </c>
      <c r="C73" s="89">
        <f>IFERROR(+Data!J71,"")</f>
        <v>0</v>
      </c>
      <c r="D73" s="89" t="str">
        <f>IFERROR(+VLOOKUP(C73,Data!J71:K170,2,0),"-")</f>
        <v>-</v>
      </c>
      <c r="E73" s="90">
        <f>IFERROR(+SUMIFS('Heo con_Nhập dữ liệu'!$O:$O,'Heo con_Nhập dữ liệu'!$E:$E,'Heo con_Theo dõi khách hàng'!C73),"")</f>
        <v>0</v>
      </c>
      <c r="F73" s="90">
        <f>IFERROR(+SUMIFS('Heo con_Nhập dữ liệu'!$P:$P,'Heo con_Nhập dữ liệu'!$E:$E,'Heo con_Theo dõi khách hàng'!C73)+SUMIFS('Heo con_Nhập dữ liệu'!$Q:$Q,'Heo con_Nhập dữ liệu'!$E:$E,'Heo con_Theo dõi khách hàng'!C73)+SUMIFS('Heo con_Nhập dữ liệu'!$R:$R,'Heo con_Nhập dữ liệu'!$E:$E,'Heo con_Theo dõi khách hàng'!C73),"")</f>
        <v>0</v>
      </c>
      <c r="G73" s="90">
        <f>+SUMIFS('Heo con_Nhập dữ liệu'!$T:$T,'Heo con_Nhập dữ liệu'!$E:$E,'Heo con_Theo dõi khách hàng'!C73)</f>
        <v>0</v>
      </c>
      <c r="H73" s="90">
        <f>+SUMIFS('Heo con_Nhập dữ liệu'!$U:$U,'Heo con_Nhập dữ liệu'!$E:$E,'Heo con_Theo dõi khách hàng'!C73)</f>
        <v>0</v>
      </c>
      <c r="I73" s="91">
        <f t="shared" si="5"/>
        <v>0</v>
      </c>
      <c r="J73" t="str">
        <f t="shared" si="6"/>
        <v>-</v>
      </c>
    </row>
    <row r="74" spans="2:10" ht="15.6" hidden="1" x14ac:dyDescent="0.3">
      <c r="B74" s="89">
        <v>69</v>
      </c>
      <c r="C74" s="89">
        <f>IFERROR(+Data!J72,"")</f>
        <v>0</v>
      </c>
      <c r="D74" s="89" t="str">
        <f>IFERROR(+VLOOKUP(C74,Data!J72:K171,2,0),"-")</f>
        <v>-</v>
      </c>
      <c r="E74" s="90">
        <f>IFERROR(+SUMIFS('Heo con_Nhập dữ liệu'!$O:$O,'Heo con_Nhập dữ liệu'!$E:$E,'Heo con_Theo dõi khách hàng'!C74),"")</f>
        <v>0</v>
      </c>
      <c r="F74" s="90">
        <f>IFERROR(+SUMIFS('Heo con_Nhập dữ liệu'!$P:$P,'Heo con_Nhập dữ liệu'!$E:$E,'Heo con_Theo dõi khách hàng'!C74)+SUMIFS('Heo con_Nhập dữ liệu'!$Q:$Q,'Heo con_Nhập dữ liệu'!$E:$E,'Heo con_Theo dõi khách hàng'!C74)+SUMIFS('Heo con_Nhập dữ liệu'!$R:$R,'Heo con_Nhập dữ liệu'!$E:$E,'Heo con_Theo dõi khách hàng'!C74),"")</f>
        <v>0</v>
      </c>
      <c r="G74" s="90">
        <f>+SUMIFS('Heo con_Nhập dữ liệu'!$T:$T,'Heo con_Nhập dữ liệu'!$E:$E,'Heo con_Theo dõi khách hàng'!C74)</f>
        <v>0</v>
      </c>
      <c r="H74" s="90">
        <f>+SUMIFS('Heo con_Nhập dữ liệu'!$U:$U,'Heo con_Nhập dữ liệu'!$E:$E,'Heo con_Theo dõi khách hàng'!C74)</f>
        <v>0</v>
      </c>
      <c r="I74" s="91">
        <f t="shared" si="5"/>
        <v>0</v>
      </c>
      <c r="J74" t="str">
        <f t="shared" si="6"/>
        <v>-</v>
      </c>
    </row>
    <row r="75" spans="2:10" ht="15.6" hidden="1" x14ac:dyDescent="0.3">
      <c r="B75" s="89">
        <v>70</v>
      </c>
      <c r="C75" s="89">
        <f>IFERROR(+Data!J73,"")</f>
        <v>0</v>
      </c>
      <c r="D75" s="89" t="str">
        <f>IFERROR(+VLOOKUP(C75,Data!J73:K172,2,0),"-")</f>
        <v>-</v>
      </c>
      <c r="E75" s="90">
        <f>IFERROR(+SUMIFS('Heo con_Nhập dữ liệu'!$O:$O,'Heo con_Nhập dữ liệu'!$E:$E,'Heo con_Theo dõi khách hàng'!C75),"")</f>
        <v>0</v>
      </c>
      <c r="F75" s="90">
        <f>IFERROR(+SUMIFS('Heo con_Nhập dữ liệu'!$P:$P,'Heo con_Nhập dữ liệu'!$E:$E,'Heo con_Theo dõi khách hàng'!C75)+SUMIFS('Heo con_Nhập dữ liệu'!$Q:$Q,'Heo con_Nhập dữ liệu'!$E:$E,'Heo con_Theo dõi khách hàng'!C75)+SUMIFS('Heo con_Nhập dữ liệu'!$R:$R,'Heo con_Nhập dữ liệu'!$E:$E,'Heo con_Theo dõi khách hàng'!C75),"")</f>
        <v>0</v>
      </c>
      <c r="G75" s="90">
        <f>+SUMIFS('Heo con_Nhập dữ liệu'!$T:$T,'Heo con_Nhập dữ liệu'!$E:$E,'Heo con_Theo dõi khách hàng'!C75)</f>
        <v>0</v>
      </c>
      <c r="H75" s="90">
        <f>+SUMIFS('Heo con_Nhập dữ liệu'!$U:$U,'Heo con_Nhập dữ liệu'!$E:$E,'Heo con_Theo dõi khách hàng'!C75)</f>
        <v>0</v>
      </c>
      <c r="I75" s="91">
        <f t="shared" si="5"/>
        <v>0</v>
      </c>
      <c r="J75" t="str">
        <f t="shared" si="6"/>
        <v>-</v>
      </c>
    </row>
    <row r="76" spans="2:10" ht="15.6" hidden="1" x14ac:dyDescent="0.3">
      <c r="B76" s="89">
        <v>71</v>
      </c>
      <c r="C76" s="89">
        <f>IFERROR(+Data!J74,"")</f>
        <v>0</v>
      </c>
      <c r="D76" s="89" t="str">
        <f>IFERROR(+VLOOKUP(C76,Data!J74:K173,2,0),"-")</f>
        <v>-</v>
      </c>
      <c r="E76" s="90">
        <f>IFERROR(+SUMIFS('Heo con_Nhập dữ liệu'!$O:$O,'Heo con_Nhập dữ liệu'!$E:$E,'Heo con_Theo dõi khách hàng'!C76),"")</f>
        <v>0</v>
      </c>
      <c r="F76" s="90">
        <f>IFERROR(+SUMIFS('Heo con_Nhập dữ liệu'!$P:$P,'Heo con_Nhập dữ liệu'!$E:$E,'Heo con_Theo dõi khách hàng'!C76)+SUMIFS('Heo con_Nhập dữ liệu'!$Q:$Q,'Heo con_Nhập dữ liệu'!$E:$E,'Heo con_Theo dõi khách hàng'!C76)+SUMIFS('Heo con_Nhập dữ liệu'!$R:$R,'Heo con_Nhập dữ liệu'!$E:$E,'Heo con_Theo dõi khách hàng'!C76),"")</f>
        <v>0</v>
      </c>
      <c r="G76" s="90">
        <f>+SUMIFS('Heo con_Nhập dữ liệu'!$T:$T,'Heo con_Nhập dữ liệu'!$E:$E,'Heo con_Theo dõi khách hàng'!C76)</f>
        <v>0</v>
      </c>
      <c r="H76" s="90">
        <f>+SUMIFS('Heo con_Nhập dữ liệu'!$U:$U,'Heo con_Nhập dữ liệu'!$E:$E,'Heo con_Theo dõi khách hàng'!C76)</f>
        <v>0</v>
      </c>
      <c r="I76" s="91">
        <f t="shared" si="5"/>
        <v>0</v>
      </c>
      <c r="J76" t="str">
        <f t="shared" si="6"/>
        <v>-</v>
      </c>
    </row>
    <row r="77" spans="2:10" ht="15.6" hidden="1" x14ac:dyDescent="0.3">
      <c r="B77" s="89">
        <v>72</v>
      </c>
      <c r="C77" s="89">
        <f>IFERROR(+Data!J75,"")</f>
        <v>0</v>
      </c>
      <c r="D77" s="89" t="str">
        <f>IFERROR(+VLOOKUP(C77,Data!J75:K174,2,0),"-")</f>
        <v>-</v>
      </c>
      <c r="E77" s="90">
        <f>IFERROR(+SUMIFS('Heo con_Nhập dữ liệu'!$O:$O,'Heo con_Nhập dữ liệu'!$E:$E,'Heo con_Theo dõi khách hàng'!C77),"")</f>
        <v>0</v>
      </c>
      <c r="F77" s="90">
        <f>IFERROR(+SUMIFS('Heo con_Nhập dữ liệu'!$P:$P,'Heo con_Nhập dữ liệu'!$E:$E,'Heo con_Theo dõi khách hàng'!C77)+SUMIFS('Heo con_Nhập dữ liệu'!$Q:$Q,'Heo con_Nhập dữ liệu'!$E:$E,'Heo con_Theo dõi khách hàng'!C77)+SUMIFS('Heo con_Nhập dữ liệu'!$R:$R,'Heo con_Nhập dữ liệu'!$E:$E,'Heo con_Theo dõi khách hàng'!C77),"")</f>
        <v>0</v>
      </c>
      <c r="G77" s="90">
        <f>+SUMIFS('Heo con_Nhập dữ liệu'!$T:$T,'Heo con_Nhập dữ liệu'!$E:$E,'Heo con_Theo dõi khách hàng'!C77)</f>
        <v>0</v>
      </c>
      <c r="H77" s="90">
        <f>+SUMIFS('Heo con_Nhập dữ liệu'!$U:$U,'Heo con_Nhập dữ liệu'!$E:$E,'Heo con_Theo dõi khách hàng'!C77)</f>
        <v>0</v>
      </c>
      <c r="I77" s="91">
        <f t="shared" si="5"/>
        <v>0</v>
      </c>
      <c r="J77" t="str">
        <f t="shared" si="6"/>
        <v>-</v>
      </c>
    </row>
    <row r="78" spans="2:10" ht="15.6" hidden="1" x14ac:dyDescent="0.3">
      <c r="B78" s="89">
        <v>73</v>
      </c>
      <c r="C78" s="89">
        <f>IFERROR(+Data!J76,"")</f>
        <v>0</v>
      </c>
      <c r="D78" s="89" t="str">
        <f>IFERROR(+VLOOKUP(C78,Data!J76:K175,2,0),"-")</f>
        <v>-</v>
      </c>
      <c r="E78" s="90">
        <f>IFERROR(+SUMIFS('Heo con_Nhập dữ liệu'!$O:$O,'Heo con_Nhập dữ liệu'!$E:$E,'Heo con_Theo dõi khách hàng'!C78),"")</f>
        <v>0</v>
      </c>
      <c r="F78" s="90">
        <f>IFERROR(+SUMIFS('Heo con_Nhập dữ liệu'!$P:$P,'Heo con_Nhập dữ liệu'!$E:$E,'Heo con_Theo dõi khách hàng'!C78)+SUMIFS('Heo con_Nhập dữ liệu'!$Q:$Q,'Heo con_Nhập dữ liệu'!$E:$E,'Heo con_Theo dõi khách hàng'!C78)+SUMIFS('Heo con_Nhập dữ liệu'!$R:$R,'Heo con_Nhập dữ liệu'!$E:$E,'Heo con_Theo dõi khách hàng'!C78),"")</f>
        <v>0</v>
      </c>
      <c r="G78" s="90">
        <f>+SUMIFS('Heo con_Nhập dữ liệu'!$T:$T,'Heo con_Nhập dữ liệu'!$E:$E,'Heo con_Theo dõi khách hàng'!C78)</f>
        <v>0</v>
      </c>
      <c r="H78" s="90">
        <f>+SUMIFS('Heo con_Nhập dữ liệu'!$U:$U,'Heo con_Nhập dữ liệu'!$E:$E,'Heo con_Theo dõi khách hàng'!C78)</f>
        <v>0</v>
      </c>
      <c r="I78" s="91">
        <f t="shared" si="5"/>
        <v>0</v>
      </c>
      <c r="J78" t="str">
        <f t="shared" si="6"/>
        <v>-</v>
      </c>
    </row>
    <row r="79" spans="2:10" ht="15.6" hidden="1" x14ac:dyDescent="0.3">
      <c r="B79" s="89">
        <v>74</v>
      </c>
      <c r="C79" s="89">
        <f>IFERROR(+Data!J77,"")</f>
        <v>0</v>
      </c>
      <c r="D79" s="89" t="str">
        <f>IFERROR(+VLOOKUP(C79,Data!J77:K176,2,0),"-")</f>
        <v>-</v>
      </c>
      <c r="E79" s="90">
        <f>IFERROR(+SUMIFS('Heo con_Nhập dữ liệu'!$O:$O,'Heo con_Nhập dữ liệu'!$E:$E,'Heo con_Theo dõi khách hàng'!C79),"")</f>
        <v>0</v>
      </c>
      <c r="F79" s="90">
        <f>IFERROR(+SUMIFS('Heo con_Nhập dữ liệu'!$P:$P,'Heo con_Nhập dữ liệu'!$E:$E,'Heo con_Theo dõi khách hàng'!C79)+SUMIFS('Heo con_Nhập dữ liệu'!$Q:$Q,'Heo con_Nhập dữ liệu'!$E:$E,'Heo con_Theo dõi khách hàng'!C79)+SUMIFS('Heo con_Nhập dữ liệu'!$R:$R,'Heo con_Nhập dữ liệu'!$E:$E,'Heo con_Theo dõi khách hàng'!C79),"")</f>
        <v>0</v>
      </c>
      <c r="G79" s="90">
        <f>+SUMIFS('Heo con_Nhập dữ liệu'!$T:$T,'Heo con_Nhập dữ liệu'!$E:$E,'Heo con_Theo dõi khách hàng'!C79)</f>
        <v>0</v>
      </c>
      <c r="H79" s="90">
        <f>+SUMIFS('Heo con_Nhập dữ liệu'!$U:$U,'Heo con_Nhập dữ liệu'!$E:$E,'Heo con_Theo dõi khách hàng'!C79)</f>
        <v>0</v>
      </c>
      <c r="I79" s="91">
        <f t="shared" si="5"/>
        <v>0</v>
      </c>
      <c r="J79" t="str">
        <f t="shared" si="6"/>
        <v>-</v>
      </c>
    </row>
    <row r="80" spans="2:10" ht="15.6" hidden="1" x14ac:dyDescent="0.3">
      <c r="B80" s="89">
        <v>75</v>
      </c>
      <c r="C80" s="89">
        <f>IFERROR(+Data!J78,"")</f>
        <v>0</v>
      </c>
      <c r="D80" s="89" t="str">
        <f>IFERROR(+VLOOKUP(C80,Data!J78:K177,2,0),"-")</f>
        <v>-</v>
      </c>
      <c r="E80" s="90">
        <f>IFERROR(+SUMIFS('Heo con_Nhập dữ liệu'!$O:$O,'Heo con_Nhập dữ liệu'!$E:$E,'Heo con_Theo dõi khách hàng'!C80),"")</f>
        <v>0</v>
      </c>
      <c r="F80" s="90">
        <f>IFERROR(+SUMIFS('Heo con_Nhập dữ liệu'!$P:$P,'Heo con_Nhập dữ liệu'!$E:$E,'Heo con_Theo dõi khách hàng'!C80)+SUMIFS('Heo con_Nhập dữ liệu'!$Q:$Q,'Heo con_Nhập dữ liệu'!$E:$E,'Heo con_Theo dõi khách hàng'!C80)+SUMIFS('Heo con_Nhập dữ liệu'!$R:$R,'Heo con_Nhập dữ liệu'!$E:$E,'Heo con_Theo dõi khách hàng'!C80),"")</f>
        <v>0</v>
      </c>
      <c r="G80" s="90">
        <f>+SUMIFS('Heo con_Nhập dữ liệu'!$T:$T,'Heo con_Nhập dữ liệu'!$E:$E,'Heo con_Theo dõi khách hàng'!C80)</f>
        <v>0</v>
      </c>
      <c r="H80" s="90">
        <f>+SUMIFS('Heo con_Nhập dữ liệu'!$U:$U,'Heo con_Nhập dữ liệu'!$E:$E,'Heo con_Theo dõi khách hàng'!C80)</f>
        <v>0</v>
      </c>
      <c r="I80" s="91">
        <f t="shared" si="5"/>
        <v>0</v>
      </c>
      <c r="J80" t="str">
        <f t="shared" si="6"/>
        <v>-</v>
      </c>
    </row>
    <row r="81" spans="2:10" ht="15.6" hidden="1" x14ac:dyDescent="0.3">
      <c r="B81" s="89">
        <v>76</v>
      </c>
      <c r="C81" s="89">
        <f>IFERROR(+Data!J79,"")</f>
        <v>0</v>
      </c>
      <c r="D81" s="89" t="str">
        <f>IFERROR(+VLOOKUP(C81,Data!J79:K178,2,0),"-")</f>
        <v>-</v>
      </c>
      <c r="E81" s="90">
        <f>IFERROR(+SUMIFS('Heo con_Nhập dữ liệu'!$O:$O,'Heo con_Nhập dữ liệu'!$E:$E,'Heo con_Theo dõi khách hàng'!C81),"")</f>
        <v>0</v>
      </c>
      <c r="F81" s="90">
        <f>IFERROR(+SUMIFS('Heo con_Nhập dữ liệu'!$P:$P,'Heo con_Nhập dữ liệu'!$E:$E,'Heo con_Theo dõi khách hàng'!C81)+SUMIFS('Heo con_Nhập dữ liệu'!$Q:$Q,'Heo con_Nhập dữ liệu'!$E:$E,'Heo con_Theo dõi khách hàng'!C81)+SUMIFS('Heo con_Nhập dữ liệu'!$R:$R,'Heo con_Nhập dữ liệu'!$E:$E,'Heo con_Theo dõi khách hàng'!C81),"")</f>
        <v>0</v>
      </c>
      <c r="G81" s="90">
        <f>+SUMIFS('Heo con_Nhập dữ liệu'!$T:$T,'Heo con_Nhập dữ liệu'!$E:$E,'Heo con_Theo dõi khách hàng'!C81)</f>
        <v>0</v>
      </c>
      <c r="H81" s="90">
        <f>+SUMIFS('Heo con_Nhập dữ liệu'!$U:$U,'Heo con_Nhập dữ liệu'!$E:$E,'Heo con_Theo dõi khách hàng'!C81)</f>
        <v>0</v>
      </c>
      <c r="I81" s="91">
        <f t="shared" si="5"/>
        <v>0</v>
      </c>
      <c r="J81" t="str">
        <f t="shared" si="6"/>
        <v>-</v>
      </c>
    </row>
    <row r="82" spans="2:10" ht="15.6" hidden="1" x14ac:dyDescent="0.3">
      <c r="B82" s="89">
        <v>77</v>
      </c>
      <c r="C82" s="89">
        <f>IFERROR(+Data!J80,"")</f>
        <v>0</v>
      </c>
      <c r="D82" s="89" t="str">
        <f>IFERROR(+VLOOKUP(C82,Data!J80:K179,2,0),"-")</f>
        <v>-</v>
      </c>
      <c r="E82" s="90">
        <f>IFERROR(+SUMIFS('Heo con_Nhập dữ liệu'!$O:$O,'Heo con_Nhập dữ liệu'!$E:$E,'Heo con_Theo dõi khách hàng'!C82),"")</f>
        <v>0</v>
      </c>
      <c r="F82" s="90">
        <f>IFERROR(+SUMIFS('Heo con_Nhập dữ liệu'!$P:$P,'Heo con_Nhập dữ liệu'!$E:$E,'Heo con_Theo dõi khách hàng'!C82)+SUMIFS('Heo con_Nhập dữ liệu'!$Q:$Q,'Heo con_Nhập dữ liệu'!$E:$E,'Heo con_Theo dõi khách hàng'!C82)+SUMIFS('Heo con_Nhập dữ liệu'!$R:$R,'Heo con_Nhập dữ liệu'!$E:$E,'Heo con_Theo dõi khách hàng'!C82),"")</f>
        <v>0</v>
      </c>
      <c r="G82" s="90">
        <f>+SUMIFS('Heo con_Nhập dữ liệu'!$T:$T,'Heo con_Nhập dữ liệu'!$E:$E,'Heo con_Theo dõi khách hàng'!C82)</f>
        <v>0</v>
      </c>
      <c r="H82" s="90">
        <f>+SUMIFS('Heo con_Nhập dữ liệu'!$U:$U,'Heo con_Nhập dữ liệu'!$E:$E,'Heo con_Theo dõi khách hàng'!C82)</f>
        <v>0</v>
      </c>
      <c r="I82" s="91">
        <f t="shared" si="5"/>
        <v>0</v>
      </c>
      <c r="J82" t="str">
        <f t="shared" si="6"/>
        <v>-</v>
      </c>
    </row>
    <row r="83" spans="2:10" ht="15.6" hidden="1" x14ac:dyDescent="0.3">
      <c r="B83" s="89">
        <v>78</v>
      </c>
      <c r="C83" s="89">
        <f>IFERROR(+Data!J81,"")</f>
        <v>0</v>
      </c>
      <c r="D83" s="89" t="str">
        <f>IFERROR(+VLOOKUP(C83,Data!J81:K180,2,0),"-")</f>
        <v>-</v>
      </c>
      <c r="E83" s="90">
        <f>IFERROR(+SUMIFS('Heo con_Nhập dữ liệu'!$O:$O,'Heo con_Nhập dữ liệu'!$E:$E,'Heo con_Theo dõi khách hàng'!C83),"")</f>
        <v>0</v>
      </c>
      <c r="F83" s="90">
        <f>IFERROR(+SUMIFS('Heo con_Nhập dữ liệu'!$P:$P,'Heo con_Nhập dữ liệu'!$E:$E,'Heo con_Theo dõi khách hàng'!C83)+SUMIFS('Heo con_Nhập dữ liệu'!$Q:$Q,'Heo con_Nhập dữ liệu'!$E:$E,'Heo con_Theo dõi khách hàng'!C83)+SUMIFS('Heo con_Nhập dữ liệu'!$R:$R,'Heo con_Nhập dữ liệu'!$E:$E,'Heo con_Theo dõi khách hàng'!C83),"")</f>
        <v>0</v>
      </c>
      <c r="G83" s="90">
        <f>+SUMIFS('Heo con_Nhập dữ liệu'!$T:$T,'Heo con_Nhập dữ liệu'!$E:$E,'Heo con_Theo dõi khách hàng'!C83)</f>
        <v>0</v>
      </c>
      <c r="H83" s="90">
        <f>+SUMIFS('Heo con_Nhập dữ liệu'!$U:$U,'Heo con_Nhập dữ liệu'!$E:$E,'Heo con_Theo dõi khách hàng'!C83)</f>
        <v>0</v>
      </c>
      <c r="I83" s="91">
        <f t="shared" si="5"/>
        <v>0</v>
      </c>
      <c r="J83" t="str">
        <f t="shared" si="6"/>
        <v>-</v>
      </c>
    </row>
    <row r="84" spans="2:10" ht="15.6" hidden="1" x14ac:dyDescent="0.3">
      <c r="B84" s="89">
        <v>79</v>
      </c>
      <c r="C84" s="89">
        <f>IFERROR(+Data!J82,"")</f>
        <v>0</v>
      </c>
      <c r="D84" s="89" t="str">
        <f>IFERROR(+VLOOKUP(C84,Data!J82:K181,2,0),"-")</f>
        <v>-</v>
      </c>
      <c r="E84" s="90">
        <f>IFERROR(+SUMIFS('Heo con_Nhập dữ liệu'!$O:$O,'Heo con_Nhập dữ liệu'!$E:$E,'Heo con_Theo dõi khách hàng'!C84),"")</f>
        <v>0</v>
      </c>
      <c r="F84" s="90">
        <f>IFERROR(+SUMIFS('Heo con_Nhập dữ liệu'!$P:$P,'Heo con_Nhập dữ liệu'!$E:$E,'Heo con_Theo dõi khách hàng'!C84)+SUMIFS('Heo con_Nhập dữ liệu'!$Q:$Q,'Heo con_Nhập dữ liệu'!$E:$E,'Heo con_Theo dõi khách hàng'!C84)+SUMIFS('Heo con_Nhập dữ liệu'!$R:$R,'Heo con_Nhập dữ liệu'!$E:$E,'Heo con_Theo dõi khách hàng'!C84),"")</f>
        <v>0</v>
      </c>
      <c r="G84" s="90">
        <f>+SUMIFS('Heo con_Nhập dữ liệu'!$T:$T,'Heo con_Nhập dữ liệu'!$E:$E,'Heo con_Theo dõi khách hàng'!C84)</f>
        <v>0</v>
      </c>
      <c r="H84" s="90">
        <f>+SUMIFS('Heo con_Nhập dữ liệu'!$U:$U,'Heo con_Nhập dữ liệu'!$E:$E,'Heo con_Theo dõi khách hàng'!C84)</f>
        <v>0</v>
      </c>
      <c r="I84" s="91">
        <f t="shared" si="5"/>
        <v>0</v>
      </c>
      <c r="J84" t="str">
        <f t="shared" si="6"/>
        <v>-</v>
      </c>
    </row>
    <row r="85" spans="2:10" ht="15.6" hidden="1" x14ac:dyDescent="0.3">
      <c r="B85" s="89">
        <v>80</v>
      </c>
      <c r="C85" s="89">
        <f>IFERROR(+Data!J83,"")</f>
        <v>0</v>
      </c>
      <c r="D85" s="89" t="str">
        <f>IFERROR(+VLOOKUP(C85,Data!J83:K182,2,0),"-")</f>
        <v>-</v>
      </c>
      <c r="E85" s="90">
        <f>IFERROR(+SUMIFS('Heo con_Nhập dữ liệu'!$O:$O,'Heo con_Nhập dữ liệu'!$E:$E,'Heo con_Theo dõi khách hàng'!C85),"")</f>
        <v>0</v>
      </c>
      <c r="F85" s="90">
        <f>IFERROR(+SUMIFS('Heo con_Nhập dữ liệu'!$P:$P,'Heo con_Nhập dữ liệu'!$E:$E,'Heo con_Theo dõi khách hàng'!C85)+SUMIFS('Heo con_Nhập dữ liệu'!$Q:$Q,'Heo con_Nhập dữ liệu'!$E:$E,'Heo con_Theo dõi khách hàng'!C85)+SUMIFS('Heo con_Nhập dữ liệu'!$R:$R,'Heo con_Nhập dữ liệu'!$E:$E,'Heo con_Theo dõi khách hàng'!C85),"")</f>
        <v>0</v>
      </c>
      <c r="G85" s="90">
        <f>+SUMIFS('Heo con_Nhập dữ liệu'!$T:$T,'Heo con_Nhập dữ liệu'!$E:$E,'Heo con_Theo dõi khách hàng'!C85)</f>
        <v>0</v>
      </c>
      <c r="H85" s="90">
        <f>+SUMIFS('Heo con_Nhập dữ liệu'!$U:$U,'Heo con_Nhập dữ liệu'!$E:$E,'Heo con_Theo dõi khách hàng'!C85)</f>
        <v>0</v>
      </c>
      <c r="I85" s="91">
        <f t="shared" si="5"/>
        <v>0</v>
      </c>
      <c r="J85" t="str">
        <f t="shared" si="6"/>
        <v>-</v>
      </c>
    </row>
    <row r="86" spans="2:10" ht="15.6" hidden="1" x14ac:dyDescent="0.3">
      <c r="B86" s="89">
        <v>81</v>
      </c>
      <c r="C86" s="89">
        <f>IFERROR(+Data!J84,"")</f>
        <v>0</v>
      </c>
      <c r="D86" s="89" t="str">
        <f>IFERROR(+VLOOKUP(C86,Data!J84:K183,2,0),"-")</f>
        <v>-</v>
      </c>
      <c r="E86" s="90">
        <f>IFERROR(+SUMIFS('Heo con_Nhập dữ liệu'!$O:$O,'Heo con_Nhập dữ liệu'!$E:$E,'Heo con_Theo dõi khách hàng'!C86),"")</f>
        <v>0</v>
      </c>
      <c r="F86" s="90">
        <f>IFERROR(+SUMIFS('Heo con_Nhập dữ liệu'!$P:$P,'Heo con_Nhập dữ liệu'!$E:$E,'Heo con_Theo dõi khách hàng'!C86)+SUMIFS('Heo con_Nhập dữ liệu'!$Q:$Q,'Heo con_Nhập dữ liệu'!$E:$E,'Heo con_Theo dõi khách hàng'!C86)+SUMIFS('Heo con_Nhập dữ liệu'!$R:$R,'Heo con_Nhập dữ liệu'!$E:$E,'Heo con_Theo dõi khách hàng'!C86),"")</f>
        <v>0</v>
      </c>
      <c r="G86" s="90">
        <f>+SUMIFS('Heo con_Nhập dữ liệu'!$T:$T,'Heo con_Nhập dữ liệu'!$E:$E,'Heo con_Theo dõi khách hàng'!C86)</f>
        <v>0</v>
      </c>
      <c r="H86" s="90">
        <f>+SUMIFS('Heo con_Nhập dữ liệu'!$U:$U,'Heo con_Nhập dữ liệu'!$E:$E,'Heo con_Theo dõi khách hàng'!C86)</f>
        <v>0</v>
      </c>
      <c r="I86" s="91">
        <f t="shared" si="5"/>
        <v>0</v>
      </c>
      <c r="J86" t="str">
        <f t="shared" si="6"/>
        <v>-</v>
      </c>
    </row>
    <row r="87" spans="2:10" ht="15.6" hidden="1" x14ac:dyDescent="0.3">
      <c r="B87" s="89">
        <v>82</v>
      </c>
      <c r="C87" s="89">
        <f>IFERROR(+Data!J85,"")</f>
        <v>0</v>
      </c>
      <c r="D87" s="89" t="str">
        <f>IFERROR(+VLOOKUP(C87,Data!J85:K184,2,0),"-")</f>
        <v>-</v>
      </c>
      <c r="E87" s="90">
        <f>IFERROR(+SUMIFS('Heo con_Nhập dữ liệu'!$O:$O,'Heo con_Nhập dữ liệu'!$E:$E,'Heo con_Theo dõi khách hàng'!C87),"")</f>
        <v>0</v>
      </c>
      <c r="F87" s="90">
        <f>IFERROR(+SUMIFS('Heo con_Nhập dữ liệu'!$P:$P,'Heo con_Nhập dữ liệu'!$E:$E,'Heo con_Theo dõi khách hàng'!C87)+SUMIFS('Heo con_Nhập dữ liệu'!$Q:$Q,'Heo con_Nhập dữ liệu'!$E:$E,'Heo con_Theo dõi khách hàng'!C87)+SUMIFS('Heo con_Nhập dữ liệu'!$R:$R,'Heo con_Nhập dữ liệu'!$E:$E,'Heo con_Theo dõi khách hàng'!C87),"")</f>
        <v>0</v>
      </c>
      <c r="G87" s="90">
        <f>+SUMIFS('Heo con_Nhập dữ liệu'!$T:$T,'Heo con_Nhập dữ liệu'!$E:$E,'Heo con_Theo dõi khách hàng'!C87)</f>
        <v>0</v>
      </c>
      <c r="H87" s="90">
        <f>+SUMIFS('Heo con_Nhập dữ liệu'!$U:$U,'Heo con_Nhập dữ liệu'!$E:$E,'Heo con_Theo dõi khách hàng'!C87)</f>
        <v>0</v>
      </c>
      <c r="I87" s="91">
        <f t="shared" si="5"/>
        <v>0</v>
      </c>
      <c r="J87" t="str">
        <f t="shared" si="6"/>
        <v>-</v>
      </c>
    </row>
    <row r="88" spans="2:10" ht="15.6" hidden="1" x14ac:dyDescent="0.3">
      <c r="B88" s="89">
        <v>83</v>
      </c>
      <c r="C88" s="89">
        <f>IFERROR(+Data!J86,"")</f>
        <v>0</v>
      </c>
      <c r="D88" s="89" t="str">
        <f>IFERROR(+VLOOKUP(C88,Data!J86:K185,2,0),"-")</f>
        <v>-</v>
      </c>
      <c r="E88" s="90">
        <f>IFERROR(+SUMIFS('Heo con_Nhập dữ liệu'!$O:$O,'Heo con_Nhập dữ liệu'!$E:$E,'Heo con_Theo dõi khách hàng'!C88),"")</f>
        <v>0</v>
      </c>
      <c r="F88" s="90">
        <f>IFERROR(+SUMIFS('Heo con_Nhập dữ liệu'!$P:$P,'Heo con_Nhập dữ liệu'!$E:$E,'Heo con_Theo dõi khách hàng'!C88)+SUMIFS('Heo con_Nhập dữ liệu'!$Q:$Q,'Heo con_Nhập dữ liệu'!$E:$E,'Heo con_Theo dõi khách hàng'!C88)+SUMIFS('Heo con_Nhập dữ liệu'!$R:$R,'Heo con_Nhập dữ liệu'!$E:$E,'Heo con_Theo dõi khách hàng'!C88),"")</f>
        <v>0</v>
      </c>
      <c r="G88" s="90">
        <f>+SUMIFS('Heo con_Nhập dữ liệu'!$T:$T,'Heo con_Nhập dữ liệu'!$E:$E,'Heo con_Theo dõi khách hàng'!C88)</f>
        <v>0</v>
      </c>
      <c r="H88" s="90">
        <f>+SUMIFS('Heo con_Nhập dữ liệu'!$U:$U,'Heo con_Nhập dữ liệu'!$E:$E,'Heo con_Theo dõi khách hàng'!C88)</f>
        <v>0</v>
      </c>
      <c r="I88" s="91">
        <f t="shared" si="5"/>
        <v>0</v>
      </c>
      <c r="J88" t="str">
        <f t="shared" si="6"/>
        <v>-</v>
      </c>
    </row>
    <row r="89" spans="2:10" ht="15.6" hidden="1" x14ac:dyDescent="0.3">
      <c r="B89" s="89">
        <v>84</v>
      </c>
      <c r="C89" s="89">
        <f>IFERROR(+Data!J87,"")</f>
        <v>0</v>
      </c>
      <c r="D89" s="89" t="str">
        <f>IFERROR(+VLOOKUP(C89,Data!J87:K186,2,0),"-")</f>
        <v>-</v>
      </c>
      <c r="E89" s="90">
        <f>IFERROR(+SUMIFS('Heo con_Nhập dữ liệu'!$O:$O,'Heo con_Nhập dữ liệu'!$E:$E,'Heo con_Theo dõi khách hàng'!C89),"")</f>
        <v>0</v>
      </c>
      <c r="F89" s="90">
        <f>IFERROR(+SUMIFS('Heo con_Nhập dữ liệu'!$P:$P,'Heo con_Nhập dữ liệu'!$E:$E,'Heo con_Theo dõi khách hàng'!C89)+SUMIFS('Heo con_Nhập dữ liệu'!$Q:$Q,'Heo con_Nhập dữ liệu'!$E:$E,'Heo con_Theo dõi khách hàng'!C89)+SUMIFS('Heo con_Nhập dữ liệu'!$R:$R,'Heo con_Nhập dữ liệu'!$E:$E,'Heo con_Theo dõi khách hàng'!C89),"")</f>
        <v>0</v>
      </c>
      <c r="G89" s="90">
        <f>+SUMIFS('Heo con_Nhập dữ liệu'!$T:$T,'Heo con_Nhập dữ liệu'!$E:$E,'Heo con_Theo dõi khách hàng'!C89)</f>
        <v>0</v>
      </c>
      <c r="H89" s="90">
        <f>+SUMIFS('Heo con_Nhập dữ liệu'!$U:$U,'Heo con_Nhập dữ liệu'!$E:$E,'Heo con_Theo dõi khách hàng'!C89)</f>
        <v>0</v>
      </c>
      <c r="I89" s="91">
        <f t="shared" si="5"/>
        <v>0</v>
      </c>
      <c r="J89" t="str">
        <f t="shared" si="6"/>
        <v>-</v>
      </c>
    </row>
    <row r="90" spans="2:10" ht="15.6" hidden="1" x14ac:dyDescent="0.3">
      <c r="B90" s="89">
        <v>85</v>
      </c>
      <c r="C90" s="89">
        <f>IFERROR(+Data!J88,"")</f>
        <v>0</v>
      </c>
      <c r="D90" s="89" t="str">
        <f>IFERROR(+VLOOKUP(C90,Data!J88:K187,2,0),"-")</f>
        <v>-</v>
      </c>
      <c r="E90" s="90">
        <f>IFERROR(+SUMIFS('Heo con_Nhập dữ liệu'!$O:$O,'Heo con_Nhập dữ liệu'!$E:$E,'Heo con_Theo dõi khách hàng'!C90),"")</f>
        <v>0</v>
      </c>
      <c r="F90" s="90">
        <f>IFERROR(+SUMIFS('Heo con_Nhập dữ liệu'!$P:$P,'Heo con_Nhập dữ liệu'!$E:$E,'Heo con_Theo dõi khách hàng'!C90)+SUMIFS('Heo con_Nhập dữ liệu'!$Q:$Q,'Heo con_Nhập dữ liệu'!$E:$E,'Heo con_Theo dõi khách hàng'!C90)+SUMIFS('Heo con_Nhập dữ liệu'!$R:$R,'Heo con_Nhập dữ liệu'!$E:$E,'Heo con_Theo dõi khách hàng'!C90),"")</f>
        <v>0</v>
      </c>
      <c r="G90" s="90">
        <f>+SUMIFS('Heo con_Nhập dữ liệu'!$T:$T,'Heo con_Nhập dữ liệu'!$E:$E,'Heo con_Theo dõi khách hàng'!C90)</f>
        <v>0</v>
      </c>
      <c r="H90" s="90">
        <f>+SUMIFS('Heo con_Nhập dữ liệu'!$U:$U,'Heo con_Nhập dữ liệu'!$E:$E,'Heo con_Theo dõi khách hàng'!C90)</f>
        <v>0</v>
      </c>
      <c r="I90" s="91">
        <f t="shared" si="5"/>
        <v>0</v>
      </c>
      <c r="J90" t="str">
        <f t="shared" si="6"/>
        <v>-</v>
      </c>
    </row>
    <row r="91" spans="2:10" ht="15.6" hidden="1" x14ac:dyDescent="0.3">
      <c r="B91" s="89">
        <v>86</v>
      </c>
      <c r="C91" s="89">
        <f>IFERROR(+Data!J89,"")</f>
        <v>0</v>
      </c>
      <c r="D91" s="89" t="str">
        <f>IFERROR(+VLOOKUP(C91,Data!J89:K188,2,0),"-")</f>
        <v>-</v>
      </c>
      <c r="E91" s="90">
        <f>IFERROR(+SUMIFS('Heo con_Nhập dữ liệu'!$O:$O,'Heo con_Nhập dữ liệu'!$E:$E,'Heo con_Theo dõi khách hàng'!C91),"")</f>
        <v>0</v>
      </c>
      <c r="F91" s="90">
        <f>IFERROR(+SUMIFS('Heo con_Nhập dữ liệu'!$P:$P,'Heo con_Nhập dữ liệu'!$E:$E,'Heo con_Theo dõi khách hàng'!C91)+SUMIFS('Heo con_Nhập dữ liệu'!$Q:$Q,'Heo con_Nhập dữ liệu'!$E:$E,'Heo con_Theo dõi khách hàng'!C91)+SUMIFS('Heo con_Nhập dữ liệu'!$R:$R,'Heo con_Nhập dữ liệu'!$E:$E,'Heo con_Theo dõi khách hàng'!C91),"")</f>
        <v>0</v>
      </c>
      <c r="G91" s="90">
        <f>+SUMIFS('Heo con_Nhập dữ liệu'!$T:$T,'Heo con_Nhập dữ liệu'!$E:$E,'Heo con_Theo dõi khách hàng'!C91)</f>
        <v>0</v>
      </c>
      <c r="H91" s="90">
        <f>+SUMIFS('Heo con_Nhập dữ liệu'!$U:$U,'Heo con_Nhập dữ liệu'!$E:$E,'Heo con_Theo dõi khách hàng'!C91)</f>
        <v>0</v>
      </c>
      <c r="I91" s="91">
        <f t="shared" si="5"/>
        <v>0</v>
      </c>
      <c r="J91" t="str">
        <f t="shared" si="6"/>
        <v>-</v>
      </c>
    </row>
    <row r="92" spans="2:10" ht="15.6" hidden="1" x14ac:dyDescent="0.3">
      <c r="B92" s="89">
        <v>87</v>
      </c>
      <c r="C92" s="89">
        <f>IFERROR(+Data!J90,"")</f>
        <v>0</v>
      </c>
      <c r="D92" s="89" t="str">
        <f>IFERROR(+VLOOKUP(C92,Data!J90:K189,2,0),"-")</f>
        <v>-</v>
      </c>
      <c r="E92" s="90">
        <f>IFERROR(+SUMIFS('Heo con_Nhập dữ liệu'!$O:$O,'Heo con_Nhập dữ liệu'!$E:$E,'Heo con_Theo dõi khách hàng'!C92),"")</f>
        <v>0</v>
      </c>
      <c r="F92" s="90">
        <f>IFERROR(+SUMIFS('Heo con_Nhập dữ liệu'!$P:$P,'Heo con_Nhập dữ liệu'!$E:$E,'Heo con_Theo dõi khách hàng'!C92)+SUMIFS('Heo con_Nhập dữ liệu'!$Q:$Q,'Heo con_Nhập dữ liệu'!$E:$E,'Heo con_Theo dõi khách hàng'!C92)+SUMIFS('Heo con_Nhập dữ liệu'!$R:$R,'Heo con_Nhập dữ liệu'!$E:$E,'Heo con_Theo dõi khách hàng'!C92),"")</f>
        <v>0</v>
      </c>
      <c r="G92" s="90">
        <f>+SUMIFS('Heo con_Nhập dữ liệu'!$T:$T,'Heo con_Nhập dữ liệu'!$E:$E,'Heo con_Theo dõi khách hàng'!C92)</f>
        <v>0</v>
      </c>
      <c r="H92" s="90">
        <f>+SUMIFS('Heo con_Nhập dữ liệu'!$U:$U,'Heo con_Nhập dữ liệu'!$E:$E,'Heo con_Theo dõi khách hàng'!C92)</f>
        <v>0</v>
      </c>
      <c r="I92" s="91">
        <f t="shared" si="5"/>
        <v>0</v>
      </c>
      <c r="J92" t="str">
        <f t="shared" si="6"/>
        <v>-</v>
      </c>
    </row>
    <row r="93" spans="2:10" ht="15.6" hidden="1" x14ac:dyDescent="0.3">
      <c r="B93" s="89">
        <v>88</v>
      </c>
      <c r="C93" s="89">
        <f>IFERROR(+Data!J91,"")</f>
        <v>0</v>
      </c>
      <c r="D93" s="89" t="str">
        <f>IFERROR(+VLOOKUP(C93,Data!J91:K190,2,0),"-")</f>
        <v>-</v>
      </c>
      <c r="E93" s="90">
        <f>IFERROR(+SUMIFS('Heo con_Nhập dữ liệu'!$O:$O,'Heo con_Nhập dữ liệu'!$E:$E,'Heo con_Theo dõi khách hàng'!C93),"")</f>
        <v>0</v>
      </c>
      <c r="F93" s="90">
        <f>IFERROR(+SUMIFS('Heo con_Nhập dữ liệu'!$P:$P,'Heo con_Nhập dữ liệu'!$E:$E,'Heo con_Theo dõi khách hàng'!C93)+SUMIFS('Heo con_Nhập dữ liệu'!$Q:$Q,'Heo con_Nhập dữ liệu'!$E:$E,'Heo con_Theo dõi khách hàng'!C93)+SUMIFS('Heo con_Nhập dữ liệu'!$R:$R,'Heo con_Nhập dữ liệu'!$E:$E,'Heo con_Theo dõi khách hàng'!C93),"")</f>
        <v>0</v>
      </c>
      <c r="G93" s="90">
        <f>+SUMIFS('Heo con_Nhập dữ liệu'!$T:$T,'Heo con_Nhập dữ liệu'!$E:$E,'Heo con_Theo dõi khách hàng'!C93)</f>
        <v>0</v>
      </c>
      <c r="H93" s="90">
        <f>+SUMIFS('Heo con_Nhập dữ liệu'!$U:$U,'Heo con_Nhập dữ liệu'!$E:$E,'Heo con_Theo dõi khách hàng'!C93)</f>
        <v>0</v>
      </c>
      <c r="I93" s="91">
        <f t="shared" si="5"/>
        <v>0</v>
      </c>
      <c r="J93" t="str">
        <f t="shared" si="6"/>
        <v>-</v>
      </c>
    </row>
    <row r="94" spans="2:10" ht="15.6" hidden="1" x14ac:dyDescent="0.3">
      <c r="B94" s="89">
        <v>89</v>
      </c>
      <c r="C94" s="89">
        <f>IFERROR(+Data!J92,"")</f>
        <v>0</v>
      </c>
      <c r="D94" s="89" t="str">
        <f>IFERROR(+VLOOKUP(C94,Data!J92:K191,2,0),"-")</f>
        <v>-</v>
      </c>
      <c r="E94" s="90">
        <f>IFERROR(+SUMIFS('Heo con_Nhập dữ liệu'!$O:$O,'Heo con_Nhập dữ liệu'!$E:$E,'Heo con_Theo dõi khách hàng'!C94),"")</f>
        <v>0</v>
      </c>
      <c r="F94" s="90">
        <f>IFERROR(+SUMIFS('Heo con_Nhập dữ liệu'!$P:$P,'Heo con_Nhập dữ liệu'!$E:$E,'Heo con_Theo dõi khách hàng'!C94)+SUMIFS('Heo con_Nhập dữ liệu'!$Q:$Q,'Heo con_Nhập dữ liệu'!$E:$E,'Heo con_Theo dõi khách hàng'!C94)+SUMIFS('Heo con_Nhập dữ liệu'!$R:$R,'Heo con_Nhập dữ liệu'!$E:$E,'Heo con_Theo dõi khách hàng'!C94),"")</f>
        <v>0</v>
      </c>
      <c r="G94" s="90">
        <f>+SUMIFS('Heo con_Nhập dữ liệu'!$T:$T,'Heo con_Nhập dữ liệu'!$E:$E,'Heo con_Theo dõi khách hàng'!C94)</f>
        <v>0</v>
      </c>
      <c r="H94" s="90">
        <f>+SUMIFS('Heo con_Nhập dữ liệu'!$U:$U,'Heo con_Nhập dữ liệu'!$E:$E,'Heo con_Theo dõi khách hàng'!C94)</f>
        <v>0</v>
      </c>
      <c r="I94" s="91">
        <f t="shared" si="5"/>
        <v>0</v>
      </c>
      <c r="J94" t="str">
        <f t="shared" si="6"/>
        <v>-</v>
      </c>
    </row>
    <row r="95" spans="2:10" ht="15.6" hidden="1" x14ac:dyDescent="0.3">
      <c r="B95" s="89">
        <v>90</v>
      </c>
      <c r="C95" s="89">
        <f>IFERROR(+Data!J93,"")</f>
        <v>0</v>
      </c>
      <c r="D95" s="89" t="str">
        <f>IFERROR(+VLOOKUP(C95,Data!J93:K192,2,0),"-")</f>
        <v>-</v>
      </c>
      <c r="E95" s="90">
        <f>IFERROR(+SUMIFS('Heo con_Nhập dữ liệu'!$O:$O,'Heo con_Nhập dữ liệu'!$E:$E,'Heo con_Theo dõi khách hàng'!C95),"")</f>
        <v>0</v>
      </c>
      <c r="F95" s="90">
        <f>IFERROR(+SUMIFS('Heo con_Nhập dữ liệu'!$P:$P,'Heo con_Nhập dữ liệu'!$E:$E,'Heo con_Theo dõi khách hàng'!C95)+SUMIFS('Heo con_Nhập dữ liệu'!$Q:$Q,'Heo con_Nhập dữ liệu'!$E:$E,'Heo con_Theo dõi khách hàng'!C95)+SUMIFS('Heo con_Nhập dữ liệu'!$R:$R,'Heo con_Nhập dữ liệu'!$E:$E,'Heo con_Theo dõi khách hàng'!C95),"")</f>
        <v>0</v>
      </c>
      <c r="G95" s="90">
        <f>+SUMIFS('Heo con_Nhập dữ liệu'!$T:$T,'Heo con_Nhập dữ liệu'!$E:$E,'Heo con_Theo dõi khách hàng'!C95)</f>
        <v>0</v>
      </c>
      <c r="H95" s="90">
        <f>+SUMIFS('Heo con_Nhập dữ liệu'!$U:$U,'Heo con_Nhập dữ liệu'!$E:$E,'Heo con_Theo dõi khách hàng'!C95)</f>
        <v>0</v>
      </c>
      <c r="I95" s="91">
        <f t="shared" si="5"/>
        <v>0</v>
      </c>
      <c r="J95" t="str">
        <f t="shared" si="6"/>
        <v>-</v>
      </c>
    </row>
    <row r="96" spans="2:10" ht="15.6" hidden="1" x14ac:dyDescent="0.3">
      <c r="B96" s="89">
        <v>91</v>
      </c>
      <c r="C96" s="89">
        <f>IFERROR(+Data!J94,"")</f>
        <v>0</v>
      </c>
      <c r="D96" s="89" t="str">
        <f>IFERROR(+VLOOKUP(C96,Data!J94:K193,2,0),"-")</f>
        <v>-</v>
      </c>
      <c r="E96" s="90">
        <f>IFERROR(+SUMIFS('Heo con_Nhập dữ liệu'!$O:$O,'Heo con_Nhập dữ liệu'!$E:$E,'Heo con_Theo dõi khách hàng'!C96),"")</f>
        <v>0</v>
      </c>
      <c r="F96" s="90">
        <f>IFERROR(+SUMIFS('Heo con_Nhập dữ liệu'!$P:$P,'Heo con_Nhập dữ liệu'!$E:$E,'Heo con_Theo dõi khách hàng'!C96)+SUMIFS('Heo con_Nhập dữ liệu'!$Q:$Q,'Heo con_Nhập dữ liệu'!$E:$E,'Heo con_Theo dõi khách hàng'!C96)+SUMIFS('Heo con_Nhập dữ liệu'!$R:$R,'Heo con_Nhập dữ liệu'!$E:$E,'Heo con_Theo dõi khách hàng'!C96),"")</f>
        <v>0</v>
      </c>
      <c r="G96" s="90">
        <f>+SUMIFS('Heo con_Nhập dữ liệu'!$T:$T,'Heo con_Nhập dữ liệu'!$E:$E,'Heo con_Theo dõi khách hàng'!C96)</f>
        <v>0</v>
      </c>
      <c r="H96" s="90">
        <f>+SUMIFS('Heo con_Nhập dữ liệu'!$U:$U,'Heo con_Nhập dữ liệu'!$E:$E,'Heo con_Theo dõi khách hàng'!C96)</f>
        <v>0</v>
      </c>
      <c r="I96" s="91">
        <f t="shared" si="5"/>
        <v>0</v>
      </c>
      <c r="J96" t="str">
        <f t="shared" si="6"/>
        <v>-</v>
      </c>
    </row>
    <row r="97" spans="2:10" ht="15.6" hidden="1" x14ac:dyDescent="0.3">
      <c r="B97" s="89">
        <v>92</v>
      </c>
      <c r="C97" s="89">
        <f>IFERROR(+Data!J95,"")</f>
        <v>0</v>
      </c>
      <c r="D97" s="89" t="str">
        <f>IFERROR(+VLOOKUP(C97,Data!J95:K194,2,0),"-")</f>
        <v>-</v>
      </c>
      <c r="E97" s="90">
        <f>IFERROR(+SUMIFS('Heo con_Nhập dữ liệu'!$O:$O,'Heo con_Nhập dữ liệu'!$E:$E,'Heo con_Theo dõi khách hàng'!C97),"")</f>
        <v>0</v>
      </c>
      <c r="F97" s="90">
        <f>IFERROR(+SUMIFS('Heo con_Nhập dữ liệu'!$P:$P,'Heo con_Nhập dữ liệu'!$E:$E,'Heo con_Theo dõi khách hàng'!C97)+SUMIFS('Heo con_Nhập dữ liệu'!$Q:$Q,'Heo con_Nhập dữ liệu'!$E:$E,'Heo con_Theo dõi khách hàng'!C97)+SUMIFS('Heo con_Nhập dữ liệu'!$R:$R,'Heo con_Nhập dữ liệu'!$E:$E,'Heo con_Theo dõi khách hàng'!C97),"")</f>
        <v>0</v>
      </c>
      <c r="G97" s="90">
        <f>+SUMIFS('Heo con_Nhập dữ liệu'!$T:$T,'Heo con_Nhập dữ liệu'!$E:$E,'Heo con_Theo dõi khách hàng'!C97)</f>
        <v>0</v>
      </c>
      <c r="H97" s="90">
        <f>+SUMIFS('Heo con_Nhập dữ liệu'!$U:$U,'Heo con_Nhập dữ liệu'!$E:$E,'Heo con_Theo dõi khách hàng'!C97)</f>
        <v>0</v>
      </c>
      <c r="I97" s="91">
        <f t="shared" si="5"/>
        <v>0</v>
      </c>
      <c r="J97" t="str">
        <f t="shared" si="6"/>
        <v>-</v>
      </c>
    </row>
    <row r="98" spans="2:10" ht="15.6" hidden="1" x14ac:dyDescent="0.3">
      <c r="B98" s="89">
        <v>93</v>
      </c>
      <c r="C98" s="89">
        <f>IFERROR(+Data!J96,"")</f>
        <v>0</v>
      </c>
      <c r="D98" s="89" t="str">
        <f>IFERROR(+VLOOKUP(C98,Data!J96:K195,2,0),"-")</f>
        <v>-</v>
      </c>
      <c r="E98" s="90">
        <f>IFERROR(+SUMIFS('Heo con_Nhập dữ liệu'!$O:$O,'Heo con_Nhập dữ liệu'!$E:$E,'Heo con_Theo dõi khách hàng'!C98),"")</f>
        <v>0</v>
      </c>
      <c r="F98" s="90">
        <f>IFERROR(+SUMIFS('Heo con_Nhập dữ liệu'!$P:$P,'Heo con_Nhập dữ liệu'!$E:$E,'Heo con_Theo dõi khách hàng'!C98)+SUMIFS('Heo con_Nhập dữ liệu'!$Q:$Q,'Heo con_Nhập dữ liệu'!$E:$E,'Heo con_Theo dõi khách hàng'!C98)+SUMIFS('Heo con_Nhập dữ liệu'!$R:$R,'Heo con_Nhập dữ liệu'!$E:$E,'Heo con_Theo dõi khách hàng'!C98),"")</f>
        <v>0</v>
      </c>
      <c r="G98" s="90">
        <f>+SUMIFS('Heo con_Nhập dữ liệu'!$T:$T,'Heo con_Nhập dữ liệu'!$E:$E,'Heo con_Theo dõi khách hàng'!C98)</f>
        <v>0</v>
      </c>
      <c r="H98" s="90">
        <f>+SUMIFS('Heo con_Nhập dữ liệu'!$U:$U,'Heo con_Nhập dữ liệu'!$E:$E,'Heo con_Theo dõi khách hàng'!C98)</f>
        <v>0</v>
      </c>
      <c r="I98" s="91">
        <f t="shared" si="5"/>
        <v>0</v>
      </c>
      <c r="J98" t="str">
        <f t="shared" si="6"/>
        <v>-</v>
      </c>
    </row>
    <row r="99" spans="2:10" ht="15.6" hidden="1" x14ac:dyDescent="0.3">
      <c r="B99" s="89">
        <v>94</v>
      </c>
      <c r="C99" s="89">
        <f>IFERROR(+Data!J97,"")</f>
        <v>0</v>
      </c>
      <c r="D99" s="89" t="str">
        <f>IFERROR(+VLOOKUP(C99,Data!J97:K196,2,0),"-")</f>
        <v>-</v>
      </c>
      <c r="E99" s="90">
        <f>IFERROR(+SUMIFS('Heo con_Nhập dữ liệu'!$O:$O,'Heo con_Nhập dữ liệu'!$E:$E,'Heo con_Theo dõi khách hàng'!C99),"")</f>
        <v>0</v>
      </c>
      <c r="F99" s="90">
        <f>IFERROR(+SUMIFS('Heo con_Nhập dữ liệu'!$P:$P,'Heo con_Nhập dữ liệu'!$E:$E,'Heo con_Theo dõi khách hàng'!C99)+SUMIFS('Heo con_Nhập dữ liệu'!$Q:$Q,'Heo con_Nhập dữ liệu'!$E:$E,'Heo con_Theo dõi khách hàng'!C99)+SUMIFS('Heo con_Nhập dữ liệu'!$R:$R,'Heo con_Nhập dữ liệu'!$E:$E,'Heo con_Theo dõi khách hàng'!C99),"")</f>
        <v>0</v>
      </c>
      <c r="G99" s="90">
        <f>+SUMIFS('Heo con_Nhập dữ liệu'!$T:$T,'Heo con_Nhập dữ liệu'!$E:$E,'Heo con_Theo dõi khách hàng'!C99)</f>
        <v>0</v>
      </c>
      <c r="H99" s="90">
        <f>+SUMIFS('Heo con_Nhập dữ liệu'!$U:$U,'Heo con_Nhập dữ liệu'!$E:$E,'Heo con_Theo dõi khách hàng'!C99)</f>
        <v>0</v>
      </c>
      <c r="I99" s="91">
        <f t="shared" si="5"/>
        <v>0</v>
      </c>
      <c r="J99" t="str">
        <f t="shared" si="6"/>
        <v>-</v>
      </c>
    </row>
    <row r="100" spans="2:10" ht="15.6" hidden="1" x14ac:dyDescent="0.3">
      <c r="B100" s="89">
        <v>95</v>
      </c>
      <c r="C100" s="89">
        <f>IFERROR(+Data!J98,"")</f>
        <v>0</v>
      </c>
      <c r="D100" s="89" t="str">
        <f>IFERROR(+VLOOKUP(C100,Data!J98:K197,2,0),"-")</f>
        <v>-</v>
      </c>
      <c r="E100" s="90">
        <f>IFERROR(+SUMIFS('Heo con_Nhập dữ liệu'!$O:$O,'Heo con_Nhập dữ liệu'!$E:$E,'Heo con_Theo dõi khách hàng'!C100),"")</f>
        <v>0</v>
      </c>
      <c r="F100" s="90">
        <f>IFERROR(+SUMIFS('Heo con_Nhập dữ liệu'!$P:$P,'Heo con_Nhập dữ liệu'!$E:$E,'Heo con_Theo dõi khách hàng'!C100)+SUMIFS('Heo con_Nhập dữ liệu'!$Q:$Q,'Heo con_Nhập dữ liệu'!$E:$E,'Heo con_Theo dõi khách hàng'!C100)+SUMIFS('Heo con_Nhập dữ liệu'!$R:$R,'Heo con_Nhập dữ liệu'!$E:$E,'Heo con_Theo dõi khách hàng'!C100),"")</f>
        <v>0</v>
      </c>
      <c r="G100" s="90">
        <f>+SUMIFS('Heo con_Nhập dữ liệu'!$T:$T,'Heo con_Nhập dữ liệu'!$E:$E,'Heo con_Theo dõi khách hàng'!C100)</f>
        <v>0</v>
      </c>
      <c r="H100" s="90">
        <f>+SUMIFS('Heo con_Nhập dữ liệu'!$U:$U,'Heo con_Nhập dữ liệu'!$E:$E,'Heo con_Theo dõi khách hàng'!C100)</f>
        <v>0</v>
      </c>
      <c r="I100" s="91">
        <f t="shared" si="5"/>
        <v>0</v>
      </c>
      <c r="J100" t="str">
        <f t="shared" si="6"/>
        <v>-</v>
      </c>
    </row>
    <row r="101" spans="2:10" ht="15.6" hidden="1" x14ac:dyDescent="0.3">
      <c r="B101" s="89">
        <v>96</v>
      </c>
      <c r="C101" s="89">
        <f>IFERROR(+Data!J99,"")</f>
        <v>0</v>
      </c>
      <c r="D101" s="89" t="str">
        <f>IFERROR(+VLOOKUP(C101,Data!J99:K198,2,0),"-")</f>
        <v>-</v>
      </c>
      <c r="E101" s="90">
        <f>IFERROR(+SUMIFS('Heo con_Nhập dữ liệu'!$O:$O,'Heo con_Nhập dữ liệu'!$E:$E,'Heo con_Theo dõi khách hàng'!C101),"")</f>
        <v>0</v>
      </c>
      <c r="F101" s="90">
        <f>IFERROR(+SUMIFS('Heo con_Nhập dữ liệu'!$P:$P,'Heo con_Nhập dữ liệu'!$E:$E,'Heo con_Theo dõi khách hàng'!C101)+SUMIFS('Heo con_Nhập dữ liệu'!$Q:$Q,'Heo con_Nhập dữ liệu'!$E:$E,'Heo con_Theo dõi khách hàng'!C101)+SUMIFS('Heo con_Nhập dữ liệu'!$R:$R,'Heo con_Nhập dữ liệu'!$E:$E,'Heo con_Theo dõi khách hàng'!C101),"")</f>
        <v>0</v>
      </c>
      <c r="G101" s="90">
        <f>+SUMIFS('Heo con_Nhập dữ liệu'!$T:$T,'Heo con_Nhập dữ liệu'!$E:$E,'Heo con_Theo dõi khách hàng'!C101)</f>
        <v>0</v>
      </c>
      <c r="H101" s="90">
        <f>+SUMIFS('Heo con_Nhập dữ liệu'!$U:$U,'Heo con_Nhập dữ liệu'!$E:$E,'Heo con_Theo dõi khách hàng'!C101)</f>
        <v>0</v>
      </c>
      <c r="I101" s="91">
        <f t="shared" si="5"/>
        <v>0</v>
      </c>
      <c r="J101" t="str">
        <f t="shared" si="6"/>
        <v>-</v>
      </c>
    </row>
    <row r="102" spans="2:10" ht="15.6" hidden="1" x14ac:dyDescent="0.3">
      <c r="B102" s="89">
        <v>97</v>
      </c>
      <c r="C102" s="89">
        <f>IFERROR(+Data!J100,"")</f>
        <v>0</v>
      </c>
      <c r="D102" s="89" t="str">
        <f>IFERROR(+VLOOKUP(C102,Data!J100:K199,2,0),"-")</f>
        <v>-</v>
      </c>
      <c r="E102" s="90">
        <f>IFERROR(+SUMIFS('Heo con_Nhập dữ liệu'!$O:$O,'Heo con_Nhập dữ liệu'!$E:$E,'Heo con_Theo dõi khách hàng'!C102),"")</f>
        <v>0</v>
      </c>
      <c r="F102" s="90">
        <f>IFERROR(+SUMIFS('Heo con_Nhập dữ liệu'!$P:$P,'Heo con_Nhập dữ liệu'!$E:$E,'Heo con_Theo dõi khách hàng'!C102)+SUMIFS('Heo con_Nhập dữ liệu'!$Q:$Q,'Heo con_Nhập dữ liệu'!$E:$E,'Heo con_Theo dõi khách hàng'!C102)+SUMIFS('Heo con_Nhập dữ liệu'!$R:$R,'Heo con_Nhập dữ liệu'!$E:$E,'Heo con_Theo dõi khách hàng'!C102),"")</f>
        <v>0</v>
      </c>
      <c r="G102" s="90">
        <f>+SUMIFS('Heo con_Nhập dữ liệu'!$T:$T,'Heo con_Nhập dữ liệu'!$E:$E,'Heo con_Theo dõi khách hàng'!C102)</f>
        <v>0</v>
      </c>
      <c r="H102" s="90">
        <f>+SUMIFS('Heo con_Nhập dữ liệu'!$U:$U,'Heo con_Nhập dữ liệu'!$E:$E,'Heo con_Theo dõi khách hàng'!C102)</f>
        <v>0</v>
      </c>
      <c r="I102" s="91">
        <f t="shared" ref="I102:I112" si="7">+H102-G102</f>
        <v>0</v>
      </c>
      <c r="J102" t="str">
        <f t="shared" ref="J102:J112" si="8">+IF(ABS(I102)&gt;500000,"Check","-")</f>
        <v>-</v>
      </c>
    </row>
    <row r="103" spans="2:10" ht="15.6" hidden="1" x14ac:dyDescent="0.3">
      <c r="B103" s="89">
        <v>98</v>
      </c>
      <c r="C103" s="89">
        <f>IFERROR(+Data!J101,"")</f>
        <v>0</v>
      </c>
      <c r="D103" s="89" t="str">
        <f>IFERROR(+VLOOKUP(C103,Data!J101:K200,2,0),"-")</f>
        <v>-</v>
      </c>
      <c r="E103" s="90">
        <f>IFERROR(+SUMIFS('Heo con_Nhập dữ liệu'!$O:$O,'Heo con_Nhập dữ liệu'!$E:$E,'Heo con_Theo dõi khách hàng'!C103),"")</f>
        <v>0</v>
      </c>
      <c r="F103" s="90">
        <f>IFERROR(+SUMIFS('Heo con_Nhập dữ liệu'!$P:$P,'Heo con_Nhập dữ liệu'!$E:$E,'Heo con_Theo dõi khách hàng'!C103)+SUMIFS('Heo con_Nhập dữ liệu'!$Q:$Q,'Heo con_Nhập dữ liệu'!$E:$E,'Heo con_Theo dõi khách hàng'!C103)+SUMIFS('Heo con_Nhập dữ liệu'!$R:$R,'Heo con_Nhập dữ liệu'!$E:$E,'Heo con_Theo dõi khách hàng'!C103),"")</f>
        <v>0</v>
      </c>
      <c r="G103" s="90">
        <f>+SUMIFS('Heo con_Nhập dữ liệu'!$T:$T,'Heo con_Nhập dữ liệu'!$E:$E,'Heo con_Theo dõi khách hàng'!C103)</f>
        <v>0</v>
      </c>
      <c r="H103" s="90">
        <f>+SUMIFS('Heo con_Nhập dữ liệu'!$U:$U,'Heo con_Nhập dữ liệu'!$E:$E,'Heo con_Theo dõi khách hàng'!C103)</f>
        <v>0</v>
      </c>
      <c r="I103" s="91">
        <f t="shared" si="7"/>
        <v>0</v>
      </c>
      <c r="J103" t="str">
        <f t="shared" si="8"/>
        <v>-</v>
      </c>
    </row>
    <row r="104" spans="2:10" ht="15.6" hidden="1" x14ac:dyDescent="0.3">
      <c r="B104" s="89">
        <v>99</v>
      </c>
      <c r="C104" s="89">
        <f>IFERROR(+Data!J102,"")</f>
        <v>0</v>
      </c>
      <c r="D104" s="89" t="str">
        <f>IFERROR(+VLOOKUP(C104,Data!J102:K201,2,0),"-")</f>
        <v>-</v>
      </c>
      <c r="E104" s="90">
        <f>IFERROR(+SUMIFS('Heo con_Nhập dữ liệu'!$O:$O,'Heo con_Nhập dữ liệu'!$E:$E,'Heo con_Theo dõi khách hàng'!C104),"")</f>
        <v>0</v>
      </c>
      <c r="F104" s="90">
        <f>IFERROR(+SUMIFS('Heo con_Nhập dữ liệu'!$P:$P,'Heo con_Nhập dữ liệu'!$E:$E,'Heo con_Theo dõi khách hàng'!C104)+SUMIFS('Heo con_Nhập dữ liệu'!$Q:$Q,'Heo con_Nhập dữ liệu'!$E:$E,'Heo con_Theo dõi khách hàng'!C104)+SUMIFS('Heo con_Nhập dữ liệu'!$R:$R,'Heo con_Nhập dữ liệu'!$E:$E,'Heo con_Theo dõi khách hàng'!C104),"")</f>
        <v>0</v>
      </c>
      <c r="G104" s="90">
        <f>+SUMIFS('Heo con_Nhập dữ liệu'!$T:$T,'Heo con_Nhập dữ liệu'!$E:$E,'Heo con_Theo dõi khách hàng'!C104)</f>
        <v>0</v>
      </c>
      <c r="H104" s="90">
        <f>+SUMIFS('Heo con_Nhập dữ liệu'!$U:$U,'Heo con_Nhập dữ liệu'!$E:$E,'Heo con_Theo dõi khách hàng'!C104)</f>
        <v>0</v>
      </c>
      <c r="I104" s="91">
        <f t="shared" si="7"/>
        <v>0</v>
      </c>
      <c r="J104" t="str">
        <f t="shared" si="8"/>
        <v>-</v>
      </c>
    </row>
    <row r="105" spans="2:10" ht="15.6" hidden="1" x14ac:dyDescent="0.3">
      <c r="B105" s="89">
        <v>100</v>
      </c>
      <c r="C105" s="89">
        <f>IFERROR(+Data!J103,"")</f>
        <v>0</v>
      </c>
      <c r="D105" s="89" t="str">
        <f>IFERROR(+VLOOKUP(C105,Data!J103:K202,2,0),"-")</f>
        <v>-</v>
      </c>
      <c r="E105" s="90">
        <f>IFERROR(+SUMIFS('Heo con_Nhập dữ liệu'!$O:$O,'Heo con_Nhập dữ liệu'!$E:$E,'Heo con_Theo dõi khách hàng'!C105),"")</f>
        <v>0</v>
      </c>
      <c r="F105" s="90">
        <f>IFERROR(+SUMIFS('Heo con_Nhập dữ liệu'!$P:$P,'Heo con_Nhập dữ liệu'!$E:$E,'Heo con_Theo dõi khách hàng'!C105)+SUMIFS('Heo con_Nhập dữ liệu'!$Q:$Q,'Heo con_Nhập dữ liệu'!$E:$E,'Heo con_Theo dõi khách hàng'!C105)+SUMIFS('Heo con_Nhập dữ liệu'!$R:$R,'Heo con_Nhập dữ liệu'!$E:$E,'Heo con_Theo dõi khách hàng'!C105),"")</f>
        <v>0</v>
      </c>
      <c r="G105" s="90">
        <f>+SUMIFS('Heo con_Nhập dữ liệu'!$T:$T,'Heo con_Nhập dữ liệu'!$E:$E,'Heo con_Theo dõi khách hàng'!C105)</f>
        <v>0</v>
      </c>
      <c r="H105" s="90">
        <f>+SUMIFS('Heo con_Nhập dữ liệu'!$U:$U,'Heo con_Nhập dữ liệu'!$E:$E,'Heo con_Theo dõi khách hàng'!C105)</f>
        <v>0</v>
      </c>
      <c r="I105" s="91">
        <f t="shared" si="7"/>
        <v>0</v>
      </c>
      <c r="J105" t="str">
        <f t="shared" si="8"/>
        <v>-</v>
      </c>
    </row>
    <row r="106" spans="2:10" ht="15.6" hidden="1" x14ac:dyDescent="0.3">
      <c r="B106" s="89">
        <v>101</v>
      </c>
      <c r="C106" s="89">
        <f>IFERROR(+Data!J104,"")</f>
        <v>0</v>
      </c>
      <c r="D106" s="89" t="str">
        <f>IFERROR(+VLOOKUP(C106,Data!J104:K203,2,0),"-")</f>
        <v>-</v>
      </c>
      <c r="E106" s="90">
        <f>IFERROR(+SUMIFS('Heo con_Nhập dữ liệu'!$O:$O,'Heo con_Nhập dữ liệu'!$E:$E,'Heo con_Theo dõi khách hàng'!C106),"")</f>
        <v>0</v>
      </c>
      <c r="F106" s="90">
        <f>IFERROR(+SUMIFS('Heo con_Nhập dữ liệu'!$P:$P,'Heo con_Nhập dữ liệu'!$E:$E,'Heo con_Theo dõi khách hàng'!C106)+SUMIFS('Heo con_Nhập dữ liệu'!$Q:$Q,'Heo con_Nhập dữ liệu'!$E:$E,'Heo con_Theo dõi khách hàng'!C106)+SUMIFS('Heo con_Nhập dữ liệu'!$R:$R,'Heo con_Nhập dữ liệu'!$E:$E,'Heo con_Theo dõi khách hàng'!C106),"")</f>
        <v>0</v>
      </c>
      <c r="G106" s="90">
        <f>+SUMIFS('Heo con_Nhập dữ liệu'!$T:$T,'Heo con_Nhập dữ liệu'!$E:$E,'Heo con_Theo dõi khách hàng'!C106)</f>
        <v>0</v>
      </c>
      <c r="H106" s="90">
        <f>+SUMIFS('Heo con_Nhập dữ liệu'!$U:$U,'Heo con_Nhập dữ liệu'!$E:$E,'Heo con_Theo dõi khách hàng'!C106)</f>
        <v>0</v>
      </c>
      <c r="I106" s="91">
        <f t="shared" si="7"/>
        <v>0</v>
      </c>
      <c r="J106" t="str">
        <f t="shared" si="8"/>
        <v>-</v>
      </c>
    </row>
    <row r="107" spans="2:10" ht="15.6" hidden="1" x14ac:dyDescent="0.3">
      <c r="B107" s="89">
        <v>102</v>
      </c>
      <c r="C107" s="89">
        <f>IFERROR(+Data!J105,"")</f>
        <v>0</v>
      </c>
      <c r="D107" s="89" t="str">
        <f>IFERROR(+VLOOKUP(C107,Data!J105:K204,2,0),"-")</f>
        <v>-</v>
      </c>
      <c r="E107" s="90">
        <f>IFERROR(+SUMIFS('Heo con_Nhập dữ liệu'!$O:$O,'Heo con_Nhập dữ liệu'!$E:$E,'Heo con_Theo dõi khách hàng'!C107),"")</f>
        <v>0</v>
      </c>
      <c r="F107" s="90">
        <f>IFERROR(+SUMIFS('Heo con_Nhập dữ liệu'!$P:$P,'Heo con_Nhập dữ liệu'!$E:$E,'Heo con_Theo dõi khách hàng'!C107)+SUMIFS('Heo con_Nhập dữ liệu'!$Q:$Q,'Heo con_Nhập dữ liệu'!$E:$E,'Heo con_Theo dõi khách hàng'!C107)+SUMIFS('Heo con_Nhập dữ liệu'!$R:$R,'Heo con_Nhập dữ liệu'!$E:$E,'Heo con_Theo dõi khách hàng'!C107),"")</f>
        <v>0</v>
      </c>
      <c r="G107" s="90">
        <f>+SUMIFS('Heo con_Nhập dữ liệu'!$T:$T,'Heo con_Nhập dữ liệu'!$E:$E,'Heo con_Theo dõi khách hàng'!C107)</f>
        <v>0</v>
      </c>
      <c r="H107" s="90">
        <f>+SUMIFS('Heo con_Nhập dữ liệu'!$U:$U,'Heo con_Nhập dữ liệu'!$E:$E,'Heo con_Theo dõi khách hàng'!C107)</f>
        <v>0</v>
      </c>
      <c r="I107" s="91">
        <f t="shared" si="7"/>
        <v>0</v>
      </c>
      <c r="J107" t="str">
        <f t="shared" si="8"/>
        <v>-</v>
      </c>
    </row>
    <row r="108" spans="2:10" ht="15.6" hidden="1" x14ac:dyDescent="0.3">
      <c r="B108" s="89">
        <v>103</v>
      </c>
      <c r="C108" s="89">
        <f>IFERROR(+Data!J106,"")</f>
        <v>0</v>
      </c>
      <c r="D108" s="89" t="str">
        <f>IFERROR(+VLOOKUP(C108,Data!J106:K205,2,0),"-")</f>
        <v>-</v>
      </c>
      <c r="E108" s="90">
        <f>IFERROR(+SUMIFS('Heo con_Nhập dữ liệu'!$O:$O,'Heo con_Nhập dữ liệu'!$E:$E,'Heo con_Theo dõi khách hàng'!C108),"")</f>
        <v>0</v>
      </c>
      <c r="F108" s="90">
        <f>IFERROR(+SUMIFS('Heo con_Nhập dữ liệu'!$P:$P,'Heo con_Nhập dữ liệu'!$E:$E,'Heo con_Theo dõi khách hàng'!C108)+SUMIFS('Heo con_Nhập dữ liệu'!$Q:$Q,'Heo con_Nhập dữ liệu'!$E:$E,'Heo con_Theo dõi khách hàng'!C108)+SUMIFS('Heo con_Nhập dữ liệu'!$R:$R,'Heo con_Nhập dữ liệu'!$E:$E,'Heo con_Theo dõi khách hàng'!C108),"")</f>
        <v>0</v>
      </c>
      <c r="G108" s="90">
        <f>+SUMIFS('Heo con_Nhập dữ liệu'!$T:$T,'Heo con_Nhập dữ liệu'!$E:$E,'Heo con_Theo dõi khách hàng'!C108)</f>
        <v>0</v>
      </c>
      <c r="H108" s="90">
        <f>+SUMIFS('Heo con_Nhập dữ liệu'!$U:$U,'Heo con_Nhập dữ liệu'!$E:$E,'Heo con_Theo dõi khách hàng'!C108)</f>
        <v>0</v>
      </c>
      <c r="I108" s="91">
        <f t="shared" si="7"/>
        <v>0</v>
      </c>
      <c r="J108" t="str">
        <f t="shared" si="8"/>
        <v>-</v>
      </c>
    </row>
    <row r="109" spans="2:10" ht="15.6" hidden="1" x14ac:dyDescent="0.3">
      <c r="B109" s="89">
        <v>104</v>
      </c>
      <c r="C109" s="89">
        <f>IFERROR(+Data!J107,"")</f>
        <v>0</v>
      </c>
      <c r="D109" s="89" t="str">
        <f>IFERROR(+VLOOKUP(C109,Data!J107:K206,2,0),"-")</f>
        <v>-</v>
      </c>
      <c r="E109" s="90">
        <f>IFERROR(+SUMIFS('Heo con_Nhập dữ liệu'!$O:$O,'Heo con_Nhập dữ liệu'!$E:$E,'Heo con_Theo dõi khách hàng'!C109),"")</f>
        <v>0</v>
      </c>
      <c r="F109" s="90">
        <f>IFERROR(+SUMIFS('Heo con_Nhập dữ liệu'!$P:$P,'Heo con_Nhập dữ liệu'!$E:$E,'Heo con_Theo dõi khách hàng'!C109)+SUMIFS('Heo con_Nhập dữ liệu'!$Q:$Q,'Heo con_Nhập dữ liệu'!$E:$E,'Heo con_Theo dõi khách hàng'!C109)+SUMIFS('Heo con_Nhập dữ liệu'!$R:$R,'Heo con_Nhập dữ liệu'!$E:$E,'Heo con_Theo dõi khách hàng'!C109),"")</f>
        <v>0</v>
      </c>
      <c r="G109" s="90">
        <f>+SUMIFS('Heo con_Nhập dữ liệu'!$T:$T,'Heo con_Nhập dữ liệu'!$E:$E,'Heo con_Theo dõi khách hàng'!C109)</f>
        <v>0</v>
      </c>
      <c r="H109" s="90">
        <f>+SUMIFS('Heo con_Nhập dữ liệu'!$U:$U,'Heo con_Nhập dữ liệu'!$E:$E,'Heo con_Theo dõi khách hàng'!C109)</f>
        <v>0</v>
      </c>
      <c r="I109" s="91">
        <f t="shared" si="7"/>
        <v>0</v>
      </c>
      <c r="J109" t="str">
        <f t="shared" si="8"/>
        <v>-</v>
      </c>
    </row>
    <row r="110" spans="2:10" ht="15.6" hidden="1" x14ac:dyDescent="0.3">
      <c r="B110" s="89">
        <v>105</v>
      </c>
      <c r="C110" s="89">
        <f>IFERROR(+Data!J108,"")</f>
        <v>0</v>
      </c>
      <c r="D110" s="89" t="str">
        <f>IFERROR(+VLOOKUP(C110,Data!J108:K207,2,0),"-")</f>
        <v>-</v>
      </c>
      <c r="E110" s="90">
        <f>IFERROR(+SUMIFS('Heo con_Nhập dữ liệu'!$O:$O,'Heo con_Nhập dữ liệu'!$E:$E,'Heo con_Theo dõi khách hàng'!C110),"")</f>
        <v>0</v>
      </c>
      <c r="F110" s="90">
        <f>IFERROR(+SUMIFS('Heo con_Nhập dữ liệu'!$P:$P,'Heo con_Nhập dữ liệu'!$E:$E,'Heo con_Theo dõi khách hàng'!C110)+SUMIFS('Heo con_Nhập dữ liệu'!$Q:$Q,'Heo con_Nhập dữ liệu'!$E:$E,'Heo con_Theo dõi khách hàng'!C110)+SUMIFS('Heo con_Nhập dữ liệu'!$R:$R,'Heo con_Nhập dữ liệu'!$E:$E,'Heo con_Theo dõi khách hàng'!C110),"")</f>
        <v>0</v>
      </c>
      <c r="G110" s="90">
        <f>+SUMIFS('Heo con_Nhập dữ liệu'!$T:$T,'Heo con_Nhập dữ liệu'!$E:$E,'Heo con_Theo dõi khách hàng'!C110)</f>
        <v>0</v>
      </c>
      <c r="H110" s="90">
        <f>+SUMIFS('Heo con_Nhập dữ liệu'!$U:$U,'Heo con_Nhập dữ liệu'!$E:$E,'Heo con_Theo dõi khách hàng'!C110)</f>
        <v>0</v>
      </c>
      <c r="I110" s="91">
        <f t="shared" si="7"/>
        <v>0</v>
      </c>
      <c r="J110" t="str">
        <f t="shared" si="8"/>
        <v>-</v>
      </c>
    </row>
    <row r="111" spans="2:10" ht="15.6" hidden="1" x14ac:dyDescent="0.3">
      <c r="B111" s="89">
        <v>106</v>
      </c>
      <c r="C111" s="89">
        <f>IFERROR(+Data!J109,"")</f>
        <v>0</v>
      </c>
      <c r="D111" s="89" t="str">
        <f>IFERROR(+VLOOKUP(C111,Data!J109:K208,2,0),"-")</f>
        <v>-</v>
      </c>
      <c r="E111" s="90">
        <f>IFERROR(+SUMIFS('Heo con_Nhập dữ liệu'!$O:$O,'Heo con_Nhập dữ liệu'!$E:$E,'Heo con_Theo dõi khách hàng'!C111),"")</f>
        <v>0</v>
      </c>
      <c r="F111" s="90">
        <f>IFERROR(+SUMIFS('Heo con_Nhập dữ liệu'!$P:$P,'Heo con_Nhập dữ liệu'!$E:$E,'Heo con_Theo dõi khách hàng'!C111)+SUMIFS('Heo con_Nhập dữ liệu'!$Q:$Q,'Heo con_Nhập dữ liệu'!$E:$E,'Heo con_Theo dõi khách hàng'!C111)+SUMIFS('Heo con_Nhập dữ liệu'!$R:$R,'Heo con_Nhập dữ liệu'!$E:$E,'Heo con_Theo dõi khách hàng'!C111),"")</f>
        <v>0</v>
      </c>
      <c r="G111" s="90">
        <f>+SUMIFS('Heo con_Nhập dữ liệu'!$T:$T,'Heo con_Nhập dữ liệu'!$E:$E,'Heo con_Theo dõi khách hàng'!C111)</f>
        <v>0</v>
      </c>
      <c r="H111" s="90">
        <f>+SUMIFS('Heo con_Nhập dữ liệu'!$U:$U,'Heo con_Nhập dữ liệu'!$E:$E,'Heo con_Theo dõi khách hàng'!C111)</f>
        <v>0</v>
      </c>
      <c r="I111" s="91">
        <f t="shared" si="7"/>
        <v>0</v>
      </c>
      <c r="J111" t="str">
        <f t="shared" si="8"/>
        <v>-</v>
      </c>
    </row>
    <row r="112" spans="2:10" ht="15.6" hidden="1" x14ac:dyDescent="0.3">
      <c r="B112" s="89">
        <v>107</v>
      </c>
      <c r="C112" s="89">
        <f>IFERROR(+Data!J110,"")</f>
        <v>0</v>
      </c>
      <c r="D112" s="89" t="str">
        <f>IFERROR(+VLOOKUP(C112,Data!J110:K209,2,0),"-")</f>
        <v>-</v>
      </c>
      <c r="E112" s="90">
        <f>IFERROR(+SUMIFS('Heo con_Nhập dữ liệu'!$O:$O,'Heo con_Nhập dữ liệu'!$E:$E,'Heo con_Theo dõi khách hàng'!C112),"")</f>
        <v>0</v>
      </c>
      <c r="F112" s="90">
        <f>IFERROR(+SUMIFS('Heo con_Nhập dữ liệu'!$P:$P,'Heo con_Nhập dữ liệu'!$E:$E,'Heo con_Theo dõi khách hàng'!C112)+SUMIFS('Heo con_Nhập dữ liệu'!$Q:$Q,'Heo con_Nhập dữ liệu'!$E:$E,'Heo con_Theo dõi khách hàng'!C112)+SUMIFS('Heo con_Nhập dữ liệu'!$R:$R,'Heo con_Nhập dữ liệu'!$E:$E,'Heo con_Theo dõi khách hàng'!C112),"")</f>
        <v>0</v>
      </c>
      <c r="G112" s="90">
        <f>+SUMIFS('Heo con_Nhập dữ liệu'!$T:$T,'Heo con_Nhập dữ liệu'!$E:$E,'Heo con_Theo dõi khách hàng'!C112)</f>
        <v>0</v>
      </c>
      <c r="H112" s="90">
        <f>+SUMIFS('Heo con_Nhập dữ liệu'!$U:$U,'Heo con_Nhập dữ liệu'!$E:$E,'Heo con_Theo dõi khách hàng'!C112)</f>
        <v>0</v>
      </c>
      <c r="I112" s="91">
        <f t="shared" si="7"/>
        <v>0</v>
      </c>
      <c r="J112" t="str">
        <f t="shared" si="8"/>
        <v>-</v>
      </c>
    </row>
    <row r="115" spans="7:7" x14ac:dyDescent="0.3">
      <c r="G115" s="59">
        <f>+E100-F100</f>
        <v>0</v>
      </c>
    </row>
  </sheetData>
  <autoFilter ref="B5:J112" xr:uid="{00000000-0009-0000-0000-000005000000}">
    <filterColumn colId="7">
      <filters>
        <filter val="-1,243,790,000"/>
        <filter val="-4,383,000"/>
        <filter val="-79,220,000"/>
      </filters>
    </filterColumn>
  </autoFilter>
  <mergeCells count="1">
    <mergeCell ref="B2:D3"/>
  </mergeCells>
  <conditionalFormatting sqref="I3">
    <cfRule type="cellIs" dxfId="11" priority="1" operator="lessThan">
      <formula>0</formula>
    </cfRule>
    <cfRule type="cellIs" dxfId="10" priority="2" operator="greaterThan">
      <formula>0</formula>
    </cfRule>
  </conditionalFormatting>
  <conditionalFormatting sqref="I6:I112">
    <cfRule type="cellIs" dxfId="9" priority="3" operator="lessThan">
      <formula>0</formula>
    </cfRule>
    <cfRule type="cellIs" dxfId="8" priority="4" operator="greaterThan">
      <formula>0</formula>
    </cfRule>
  </conditionalFormatting>
  <conditionalFormatting sqref="I113:I1048576">
    <cfRule type="cellIs" dxfId="7" priority="6" operator="greaterThan">
      <formula>1</formula>
    </cfRule>
    <cfRule type="cellIs" dxfId="6" priority="7" operator="lessThan">
      <formula>0</formula>
    </cfRule>
    <cfRule type="cellIs" dxfId="5" priority="8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B1:W155"/>
  <sheetViews>
    <sheetView tabSelected="1" zoomScale="85" zoomScaleNormal="85" workbookViewId="0">
      <pane xSplit="5" ySplit="3" topLeftCell="L4" activePane="bottomRight" state="frozen"/>
      <selection pane="topRight" activeCell="F1" sqref="F1"/>
      <selection pane="bottomLeft" activeCell="A4" sqref="A4"/>
      <selection pane="bottomRight" activeCell="Q7" sqref="Q7"/>
    </sheetView>
  </sheetViews>
  <sheetFormatPr defaultColWidth="8.88671875" defaultRowHeight="13.8" outlineLevelCol="1" x14ac:dyDescent="0.25"/>
  <cols>
    <col min="1" max="1" width="8.88671875" style="66"/>
    <col min="2" max="2" width="15.5546875" style="66" customWidth="1"/>
    <col min="3" max="3" width="13.33203125" style="81" customWidth="1"/>
    <col min="4" max="4" width="16.109375" style="81" customWidth="1"/>
    <col min="5" max="5" width="36.33203125" style="66" customWidth="1"/>
    <col min="6" max="6" width="33.44140625" style="66" bestFit="1" customWidth="1"/>
    <col min="7" max="7" width="9" style="66" customWidth="1" outlineLevel="1"/>
    <col min="8" max="8" width="12" style="66" customWidth="1" outlineLevel="1"/>
    <col min="9" max="9" width="18.6640625" style="66" customWidth="1" outlineLevel="1"/>
    <col min="10" max="10" width="13.88671875" style="82" customWidth="1" outlineLevel="1"/>
    <col min="11" max="11" width="16.44140625" style="66" customWidth="1" outlineLevel="1"/>
    <col min="12" max="12" width="11.5546875" style="66" customWidth="1" outlineLevel="1"/>
    <col min="13" max="13" width="11.33203125" style="82" customWidth="1" outlineLevel="1"/>
    <col min="14" max="14" width="13.88671875" style="66" customWidth="1" outlineLevel="1"/>
    <col min="15" max="15" width="23.33203125" style="66" customWidth="1" outlineLevel="1"/>
    <col min="16" max="17" width="18.88671875" style="82" customWidth="1"/>
    <col min="18" max="18" width="24.44140625" style="82" bestFit="1" customWidth="1"/>
    <col min="19" max="19" width="24.44140625" style="82" customWidth="1"/>
    <col min="20" max="20" width="16.33203125" style="66" customWidth="1"/>
    <col min="21" max="21" width="15.6640625" style="66" bestFit="1" customWidth="1"/>
    <col min="22" max="22" width="49" style="66" bestFit="1" customWidth="1"/>
    <col min="23" max="23" width="10" style="66" bestFit="1" customWidth="1"/>
    <col min="24" max="16384" width="8.88671875" style="66"/>
  </cols>
  <sheetData>
    <row r="1" spans="2:23" x14ac:dyDescent="0.25">
      <c r="C1" s="66"/>
      <c r="D1" s="66"/>
      <c r="J1" s="66"/>
      <c r="M1" s="66"/>
      <c r="P1" s="66"/>
      <c r="Q1" s="66"/>
      <c r="R1" s="66"/>
      <c r="S1" s="66"/>
    </row>
    <row r="2" spans="2:23" s="67" customFormat="1" ht="27.75" customHeight="1" x14ac:dyDescent="0.4">
      <c r="J2" s="94" t="s">
        <v>67</v>
      </c>
      <c r="P2" s="275">
        <f>SUBTOTAL(9,P8:P260)</f>
        <v>0</v>
      </c>
      <c r="Q2" s="275">
        <f t="shared" ref="Q2:R2" si="0">SUBTOTAL(9,Q8:Q260)</f>
        <v>0</v>
      </c>
      <c r="R2" s="275">
        <f t="shared" si="0"/>
        <v>0</v>
      </c>
      <c r="S2" s="98"/>
    </row>
    <row r="3" spans="2:23" ht="20.25" customHeight="1" x14ac:dyDescent="0.25">
      <c r="B3" s="68" t="s">
        <v>127</v>
      </c>
      <c r="C3" s="68" t="s">
        <v>68</v>
      </c>
      <c r="D3" s="68" t="s">
        <v>25</v>
      </c>
      <c r="E3" s="69" t="s">
        <v>4</v>
      </c>
      <c r="F3" s="70" t="s">
        <v>1</v>
      </c>
      <c r="G3" s="71" t="s">
        <v>6</v>
      </c>
      <c r="H3" s="71" t="s">
        <v>69</v>
      </c>
      <c r="I3" s="72" t="s">
        <v>70</v>
      </c>
      <c r="J3" s="71" t="s">
        <v>71</v>
      </c>
      <c r="K3" s="72" t="s">
        <v>73</v>
      </c>
      <c r="L3" s="72" t="s">
        <v>74</v>
      </c>
      <c r="M3" s="71" t="s">
        <v>76</v>
      </c>
      <c r="N3" s="72" t="s">
        <v>75</v>
      </c>
      <c r="O3" s="72" t="s">
        <v>77</v>
      </c>
      <c r="P3" s="92" t="s">
        <v>9</v>
      </c>
      <c r="Q3" s="92" t="s">
        <v>72</v>
      </c>
      <c r="R3" s="92" t="s">
        <v>24</v>
      </c>
      <c r="S3" s="92" t="s">
        <v>19</v>
      </c>
      <c r="T3" s="72" t="s">
        <v>10</v>
      </c>
      <c r="U3" s="72" t="s">
        <v>15</v>
      </c>
      <c r="V3" s="73" t="s">
        <v>11</v>
      </c>
      <c r="W3" s="66" t="s">
        <v>127</v>
      </c>
    </row>
    <row r="4" spans="2:23" x14ac:dyDescent="0.25">
      <c r="B4" s="79" t="str">
        <f t="shared" ref="B4" si="1">+W4</f>
        <v>-</v>
      </c>
      <c r="C4" s="78"/>
      <c r="D4" s="78"/>
      <c r="E4" s="79"/>
      <c r="F4" s="74" t="str">
        <f>IFERROR(+VLOOKUP(E4,Data!$J$4:$K$303,2,0),"")</f>
        <v/>
      </c>
      <c r="G4" s="80"/>
      <c r="H4" s="80"/>
      <c r="I4" s="76" t="str">
        <f t="shared" ref="I4" si="2">IFERROR(+H4/G4,"")</f>
        <v/>
      </c>
      <c r="J4" s="75"/>
      <c r="K4" s="77">
        <f t="shared" ref="K4" si="3">IFERROR(+G4*J4,"")</f>
        <v>0</v>
      </c>
      <c r="L4" s="77">
        <f t="shared" ref="L4" si="4">IFERROR(IF(I4&lt;&gt;0,H4-G4*6,""),0)</f>
        <v>0</v>
      </c>
      <c r="M4" s="75"/>
      <c r="N4" s="77">
        <f t="shared" ref="N4" si="5">IFERROR(IF(L4&lt;&gt;"",M4*L4,0),"")</f>
        <v>0</v>
      </c>
      <c r="O4" s="77">
        <f t="shared" ref="O4" si="6">+K4+N4</f>
        <v>0</v>
      </c>
      <c r="P4" s="75"/>
      <c r="Q4" s="75"/>
      <c r="R4" s="75"/>
      <c r="S4" s="93">
        <f t="shared" ref="S4" si="7">+P4+Q4+R4</f>
        <v>0</v>
      </c>
      <c r="T4" s="74" t="str">
        <f t="shared" ref="T4" si="8">+IF((O4-P4-Q4-R4)&gt;0,(O4-P4-Q4-R4),"-")</f>
        <v>-</v>
      </c>
      <c r="U4" s="74" t="str">
        <f t="shared" ref="U4" si="9">+IF((O4-P4-Q4-R4)&lt;0,(P4+Q4+R4-O4),"-")</f>
        <v>-</v>
      </c>
      <c r="V4" s="79"/>
      <c r="W4" s="66" t="str">
        <f>IFERROR(+VLOOKUP(D4,Data!$F:$G,2,0),"-")</f>
        <v>-</v>
      </c>
    </row>
    <row r="5" spans="2:23" x14ac:dyDescent="0.25">
      <c r="B5" s="79" t="str">
        <f t="shared" ref="B5:B68" si="10">+W5</f>
        <v>-</v>
      </c>
      <c r="C5" s="78"/>
      <c r="D5" s="78"/>
      <c r="E5" s="79"/>
      <c r="F5" s="74" t="str">
        <f>IFERROR(+VLOOKUP(E5,Data!$J$4:$K$303,2,0),"")</f>
        <v/>
      </c>
      <c r="G5" s="80"/>
      <c r="H5" s="80"/>
      <c r="I5" s="76" t="str">
        <f t="shared" ref="I5:I68" si="11">IFERROR(+H5/G5,"")</f>
        <v/>
      </c>
      <c r="J5" s="75"/>
      <c r="K5" s="77">
        <f t="shared" ref="K5:K68" si="12">IFERROR(+G5*J5,"")</f>
        <v>0</v>
      </c>
      <c r="L5" s="77">
        <f t="shared" ref="L5:L68" si="13">IFERROR(IF(I5&lt;&gt;0,H5-G5*6,""),0)</f>
        <v>0</v>
      </c>
      <c r="M5" s="75"/>
      <c r="N5" s="77">
        <f t="shared" ref="N5:N68" si="14">IFERROR(IF(L5&lt;&gt;"",M5*L5,0),"")</f>
        <v>0</v>
      </c>
      <c r="O5" s="77">
        <f t="shared" ref="O5:O68" si="15">+K5+N5</f>
        <v>0</v>
      </c>
      <c r="P5" s="75"/>
      <c r="Q5" s="75"/>
      <c r="R5" s="75"/>
      <c r="S5" s="93">
        <f t="shared" ref="S5:S68" si="16">+P5+Q5+R5</f>
        <v>0</v>
      </c>
      <c r="T5" s="74" t="str">
        <f t="shared" ref="T5:T68" si="17">+IF((O5-P5-Q5-R5)&gt;0,(O5-P5-Q5-R5),"-")</f>
        <v>-</v>
      </c>
      <c r="U5" s="74" t="str">
        <f t="shared" ref="U5:U68" si="18">+IF((O5-P5-Q5-R5)&lt;0,(P5+Q5+R5-O5),"-")</f>
        <v>-</v>
      </c>
      <c r="V5" s="79"/>
      <c r="W5" s="66" t="str">
        <f>IFERROR(+VLOOKUP(D5,Data!$F:$G,2,0),"-")</f>
        <v>-</v>
      </c>
    </row>
    <row r="6" spans="2:23" x14ac:dyDescent="0.25">
      <c r="B6" s="79" t="str">
        <f t="shared" si="10"/>
        <v>RTD</v>
      </c>
      <c r="C6" s="78">
        <v>45940</v>
      </c>
      <c r="D6" s="78" t="s">
        <v>31</v>
      </c>
      <c r="E6" s="79" t="s">
        <v>175</v>
      </c>
      <c r="F6" s="74" t="str">
        <f>IFERROR(+VLOOKUP(E6,Data!$J$4:$K$303,2,0),"")</f>
        <v>bắc giang</v>
      </c>
      <c r="G6" s="80">
        <v>500</v>
      </c>
      <c r="H6" s="80">
        <v>7000</v>
      </c>
      <c r="I6" s="76">
        <f t="shared" si="11"/>
        <v>14</v>
      </c>
      <c r="J6" s="75">
        <v>2300000</v>
      </c>
      <c r="K6" s="77">
        <f t="shared" si="12"/>
        <v>1150000000</v>
      </c>
      <c r="L6" s="77">
        <f t="shared" si="13"/>
        <v>4000</v>
      </c>
      <c r="M6" s="75">
        <v>56000</v>
      </c>
      <c r="N6" s="77">
        <f t="shared" si="14"/>
        <v>224000000</v>
      </c>
      <c r="O6" s="77">
        <f t="shared" si="15"/>
        <v>1374000000</v>
      </c>
      <c r="P6" s="75"/>
      <c r="Q6" s="75">
        <v>500000</v>
      </c>
      <c r="R6" s="75"/>
      <c r="S6" s="93">
        <f t="shared" si="16"/>
        <v>500000</v>
      </c>
      <c r="T6" s="74">
        <f t="shared" si="17"/>
        <v>1373500000</v>
      </c>
      <c r="U6" s="74" t="str">
        <f t="shared" si="18"/>
        <v>-</v>
      </c>
      <c r="V6" s="79"/>
      <c r="W6" s="66" t="str">
        <f>IFERROR(+VLOOKUP(D6,Data!$F:$G,2,0),"-")</f>
        <v>RTD</v>
      </c>
    </row>
    <row r="7" spans="2:23" x14ac:dyDescent="0.25">
      <c r="B7" s="79" t="str">
        <f t="shared" si="10"/>
        <v>-</v>
      </c>
      <c r="C7" s="78"/>
      <c r="D7" s="78"/>
      <c r="E7" s="79"/>
      <c r="F7" s="74" t="str">
        <f>IFERROR(+VLOOKUP(E7,Data!$J$4:$K$303,2,0),"")</f>
        <v/>
      </c>
      <c r="G7" s="80"/>
      <c r="H7" s="80"/>
      <c r="I7" s="76" t="str">
        <f t="shared" si="11"/>
        <v/>
      </c>
      <c r="J7" s="75"/>
      <c r="K7" s="77">
        <f t="shared" si="12"/>
        <v>0</v>
      </c>
      <c r="L7" s="77">
        <f t="shared" si="13"/>
        <v>0</v>
      </c>
      <c r="M7" s="75"/>
      <c r="N7" s="77">
        <f t="shared" si="14"/>
        <v>0</v>
      </c>
      <c r="O7" s="77">
        <f t="shared" si="15"/>
        <v>0</v>
      </c>
      <c r="P7" s="75"/>
      <c r="Q7" s="75"/>
      <c r="R7" s="75"/>
      <c r="S7" s="93">
        <f t="shared" si="16"/>
        <v>0</v>
      </c>
      <c r="T7" s="74" t="str">
        <f t="shared" si="17"/>
        <v>-</v>
      </c>
      <c r="U7" s="74" t="str">
        <f t="shared" si="18"/>
        <v>-</v>
      </c>
      <c r="V7" s="79"/>
      <c r="W7" s="66" t="str">
        <f>IFERROR(+VLOOKUP(D7,Data!$F:$G,2,0),"-")</f>
        <v>-</v>
      </c>
    </row>
    <row r="8" spans="2:23" x14ac:dyDescent="0.25">
      <c r="B8" s="79" t="str">
        <f t="shared" si="10"/>
        <v>-</v>
      </c>
      <c r="C8" s="78"/>
      <c r="D8" s="78"/>
      <c r="E8" s="79"/>
      <c r="F8" s="74" t="str">
        <f>IFERROR(+VLOOKUP(E8,Data!$J$4:$K$303,2,0),"")</f>
        <v/>
      </c>
      <c r="G8" s="80"/>
      <c r="H8" s="80"/>
      <c r="I8" s="76" t="str">
        <f t="shared" si="11"/>
        <v/>
      </c>
      <c r="J8" s="75"/>
      <c r="K8" s="77">
        <f t="shared" si="12"/>
        <v>0</v>
      </c>
      <c r="L8" s="77">
        <f t="shared" si="13"/>
        <v>0</v>
      </c>
      <c r="M8" s="75"/>
      <c r="N8" s="77">
        <f t="shared" si="14"/>
        <v>0</v>
      </c>
      <c r="O8" s="77">
        <f t="shared" si="15"/>
        <v>0</v>
      </c>
      <c r="P8" s="75"/>
      <c r="Q8" s="75"/>
      <c r="R8" s="75"/>
      <c r="S8" s="93">
        <f t="shared" si="16"/>
        <v>0</v>
      </c>
      <c r="T8" s="74" t="str">
        <f t="shared" si="17"/>
        <v>-</v>
      </c>
      <c r="U8" s="74" t="str">
        <f t="shared" si="18"/>
        <v>-</v>
      </c>
      <c r="V8" s="79"/>
      <c r="W8" s="66" t="str">
        <f>IFERROR(+VLOOKUP(D8,Data!$F:$G,2,0),"-")</f>
        <v>-</v>
      </c>
    </row>
    <row r="9" spans="2:23" x14ac:dyDescent="0.25">
      <c r="B9" s="79" t="str">
        <f t="shared" si="10"/>
        <v>-</v>
      </c>
      <c r="C9" s="78"/>
      <c r="D9" s="78"/>
      <c r="E9" s="79"/>
      <c r="F9" s="74" t="str">
        <f>IFERROR(+VLOOKUP(E9,Data!$J$4:$K$303,2,0),"")</f>
        <v/>
      </c>
      <c r="G9" s="80"/>
      <c r="H9" s="80"/>
      <c r="I9" s="76" t="str">
        <f t="shared" si="11"/>
        <v/>
      </c>
      <c r="J9" s="75"/>
      <c r="K9" s="77">
        <f t="shared" si="12"/>
        <v>0</v>
      </c>
      <c r="L9" s="77">
        <f t="shared" si="13"/>
        <v>0</v>
      </c>
      <c r="M9" s="75"/>
      <c r="N9" s="77">
        <f t="shared" si="14"/>
        <v>0</v>
      </c>
      <c r="O9" s="77">
        <f t="shared" si="15"/>
        <v>0</v>
      </c>
      <c r="P9" s="75"/>
      <c r="Q9" s="75"/>
      <c r="R9" s="75"/>
      <c r="S9" s="93">
        <f t="shared" si="16"/>
        <v>0</v>
      </c>
      <c r="T9" s="74" t="str">
        <f t="shared" si="17"/>
        <v>-</v>
      </c>
      <c r="U9" s="74" t="str">
        <f t="shared" si="18"/>
        <v>-</v>
      </c>
      <c r="V9" s="79"/>
      <c r="W9" s="66" t="str">
        <f>IFERROR(+VLOOKUP(D9,Data!$F:$G,2,0),"-")</f>
        <v>-</v>
      </c>
    </row>
    <row r="10" spans="2:23" s="272" customFormat="1" x14ac:dyDescent="0.25">
      <c r="B10" s="79" t="str">
        <f t="shared" si="10"/>
        <v>-</v>
      </c>
      <c r="C10" s="78"/>
      <c r="D10" s="78"/>
      <c r="E10" s="79"/>
      <c r="F10" s="74" t="str">
        <f>IFERROR(+VLOOKUP(E10,Data!$J$4:$K$303,2,0),"")</f>
        <v/>
      </c>
      <c r="G10" s="80"/>
      <c r="H10" s="80"/>
      <c r="I10" s="76" t="str">
        <f t="shared" si="11"/>
        <v/>
      </c>
      <c r="J10" s="75"/>
      <c r="K10" s="77">
        <f t="shared" si="12"/>
        <v>0</v>
      </c>
      <c r="L10" s="77">
        <f t="shared" si="13"/>
        <v>0</v>
      </c>
      <c r="M10" s="75"/>
      <c r="N10" s="77">
        <f t="shared" si="14"/>
        <v>0</v>
      </c>
      <c r="O10" s="77">
        <f t="shared" si="15"/>
        <v>0</v>
      </c>
      <c r="P10" s="75"/>
      <c r="Q10" s="75"/>
      <c r="R10" s="75"/>
      <c r="S10" s="93">
        <f t="shared" si="16"/>
        <v>0</v>
      </c>
      <c r="T10" s="74" t="str">
        <f t="shared" si="17"/>
        <v>-</v>
      </c>
      <c r="U10" s="74" t="str">
        <f t="shared" si="18"/>
        <v>-</v>
      </c>
      <c r="V10" s="79"/>
      <c r="W10" s="66" t="str">
        <f>IFERROR(+VLOOKUP(D10,Data!$F:$G,2,0),"-")</f>
        <v>-</v>
      </c>
    </row>
    <row r="11" spans="2:23" x14ac:dyDescent="0.25">
      <c r="B11" s="79" t="str">
        <f t="shared" si="10"/>
        <v>-</v>
      </c>
      <c r="C11" s="78"/>
      <c r="D11" s="78"/>
      <c r="E11" s="79"/>
      <c r="F11" s="74" t="str">
        <f>IFERROR(+VLOOKUP(E11,Data!$J$4:$K$303,2,0),"")</f>
        <v/>
      </c>
      <c r="G11" s="80"/>
      <c r="H11" s="80"/>
      <c r="I11" s="76" t="str">
        <f t="shared" si="11"/>
        <v/>
      </c>
      <c r="J11" s="75"/>
      <c r="K11" s="77">
        <f t="shared" si="12"/>
        <v>0</v>
      </c>
      <c r="L11" s="77">
        <f t="shared" si="13"/>
        <v>0</v>
      </c>
      <c r="M11" s="75"/>
      <c r="N11" s="77">
        <f t="shared" si="14"/>
        <v>0</v>
      </c>
      <c r="O11" s="77">
        <f t="shared" si="15"/>
        <v>0</v>
      </c>
      <c r="P11" s="75"/>
      <c r="Q11" s="75"/>
      <c r="R11" s="75"/>
      <c r="S11" s="93">
        <f t="shared" si="16"/>
        <v>0</v>
      </c>
      <c r="T11" s="74" t="str">
        <f t="shared" si="17"/>
        <v>-</v>
      </c>
      <c r="U11" s="74" t="str">
        <f t="shared" si="18"/>
        <v>-</v>
      </c>
      <c r="V11" s="79"/>
      <c r="W11" s="66" t="str">
        <f>IFERROR(+VLOOKUP(D11,Data!$F:$G,2,0),"-")</f>
        <v>-</v>
      </c>
    </row>
    <row r="12" spans="2:23" x14ac:dyDescent="0.25">
      <c r="B12" s="79" t="str">
        <f t="shared" si="10"/>
        <v>-</v>
      </c>
      <c r="C12" s="78"/>
      <c r="D12" s="78"/>
      <c r="E12" s="79"/>
      <c r="F12" s="74" t="str">
        <f>IFERROR(+VLOOKUP(E12,Data!$J$4:$K$303,2,0),"")</f>
        <v/>
      </c>
      <c r="G12" s="80"/>
      <c r="H12" s="80"/>
      <c r="I12" s="76" t="str">
        <f t="shared" si="11"/>
        <v/>
      </c>
      <c r="J12" s="75"/>
      <c r="K12" s="77">
        <f t="shared" si="12"/>
        <v>0</v>
      </c>
      <c r="L12" s="77">
        <f t="shared" si="13"/>
        <v>0</v>
      </c>
      <c r="M12" s="75"/>
      <c r="N12" s="77">
        <f t="shared" si="14"/>
        <v>0</v>
      </c>
      <c r="O12" s="77">
        <f t="shared" si="15"/>
        <v>0</v>
      </c>
      <c r="P12" s="75"/>
      <c r="Q12" s="75"/>
      <c r="R12" s="75"/>
      <c r="S12" s="93">
        <f t="shared" si="16"/>
        <v>0</v>
      </c>
      <c r="T12" s="74" t="str">
        <f t="shared" si="17"/>
        <v>-</v>
      </c>
      <c r="U12" s="74" t="str">
        <f t="shared" si="18"/>
        <v>-</v>
      </c>
      <c r="V12" s="79"/>
      <c r="W12" s="66" t="str">
        <f>IFERROR(+VLOOKUP(D12,Data!$F:$G,2,0),"-")</f>
        <v>-</v>
      </c>
    </row>
    <row r="13" spans="2:23" x14ac:dyDescent="0.25">
      <c r="B13" s="79" t="str">
        <f t="shared" si="10"/>
        <v>-</v>
      </c>
      <c r="C13" s="78"/>
      <c r="D13" s="78"/>
      <c r="E13" s="79"/>
      <c r="F13" s="74" t="str">
        <f>IFERROR(+VLOOKUP(E13,Data!$J$4:$K$303,2,0),"")</f>
        <v/>
      </c>
      <c r="G13" s="80"/>
      <c r="H13" s="80"/>
      <c r="I13" s="76" t="str">
        <f t="shared" si="11"/>
        <v/>
      </c>
      <c r="J13" s="75"/>
      <c r="K13" s="77">
        <f t="shared" si="12"/>
        <v>0</v>
      </c>
      <c r="L13" s="77">
        <f t="shared" si="13"/>
        <v>0</v>
      </c>
      <c r="M13" s="75"/>
      <c r="N13" s="77">
        <f t="shared" si="14"/>
        <v>0</v>
      </c>
      <c r="O13" s="77">
        <f t="shared" si="15"/>
        <v>0</v>
      </c>
      <c r="P13" s="75"/>
      <c r="Q13" s="75"/>
      <c r="R13" s="75"/>
      <c r="S13" s="93">
        <f t="shared" si="16"/>
        <v>0</v>
      </c>
      <c r="T13" s="74" t="str">
        <f t="shared" si="17"/>
        <v>-</v>
      </c>
      <c r="U13" s="74" t="str">
        <f t="shared" si="18"/>
        <v>-</v>
      </c>
      <c r="V13" s="79"/>
      <c r="W13" s="66" t="str">
        <f>IFERROR(+VLOOKUP(D13,Data!$F:$G,2,0),"-")</f>
        <v>-</v>
      </c>
    </row>
    <row r="14" spans="2:23" x14ac:dyDescent="0.25">
      <c r="B14" s="79" t="str">
        <f t="shared" si="10"/>
        <v>-</v>
      </c>
      <c r="C14" s="78"/>
      <c r="D14" s="78"/>
      <c r="E14" s="79"/>
      <c r="F14" s="74" t="str">
        <f>IFERROR(+VLOOKUP(E14,Data!$J$4:$K$303,2,0),"")</f>
        <v/>
      </c>
      <c r="G14" s="80"/>
      <c r="H14" s="80"/>
      <c r="I14" s="76" t="str">
        <f t="shared" si="11"/>
        <v/>
      </c>
      <c r="J14" s="75"/>
      <c r="K14" s="77">
        <f t="shared" si="12"/>
        <v>0</v>
      </c>
      <c r="L14" s="77">
        <f t="shared" si="13"/>
        <v>0</v>
      </c>
      <c r="M14" s="75"/>
      <c r="N14" s="77">
        <f t="shared" si="14"/>
        <v>0</v>
      </c>
      <c r="O14" s="77">
        <f t="shared" si="15"/>
        <v>0</v>
      </c>
      <c r="P14" s="75"/>
      <c r="Q14" s="75"/>
      <c r="R14" s="75"/>
      <c r="S14" s="93">
        <f t="shared" si="16"/>
        <v>0</v>
      </c>
      <c r="T14" s="74" t="str">
        <f t="shared" si="17"/>
        <v>-</v>
      </c>
      <c r="U14" s="74" t="str">
        <f t="shared" si="18"/>
        <v>-</v>
      </c>
      <c r="V14" s="79"/>
      <c r="W14" s="66" t="str">
        <f>IFERROR(+VLOOKUP(D14,Data!$F:$G,2,0),"-")</f>
        <v>-</v>
      </c>
    </row>
    <row r="15" spans="2:23" x14ac:dyDescent="0.25">
      <c r="B15" s="79" t="str">
        <f t="shared" si="10"/>
        <v>-</v>
      </c>
      <c r="C15" s="78"/>
      <c r="D15" s="78"/>
      <c r="E15" s="79"/>
      <c r="F15" s="74" t="str">
        <f>IFERROR(+VLOOKUP(E15,Data!$J$4:$K$303,2,0),"")</f>
        <v/>
      </c>
      <c r="G15" s="80"/>
      <c r="H15" s="80"/>
      <c r="I15" s="76" t="str">
        <f t="shared" si="11"/>
        <v/>
      </c>
      <c r="J15" s="75"/>
      <c r="K15" s="77">
        <f t="shared" si="12"/>
        <v>0</v>
      </c>
      <c r="L15" s="77">
        <f t="shared" si="13"/>
        <v>0</v>
      </c>
      <c r="M15" s="75"/>
      <c r="N15" s="77">
        <f t="shared" si="14"/>
        <v>0</v>
      </c>
      <c r="O15" s="77">
        <f t="shared" si="15"/>
        <v>0</v>
      </c>
      <c r="P15" s="75"/>
      <c r="Q15" s="75"/>
      <c r="R15" s="75"/>
      <c r="S15" s="93">
        <f t="shared" si="16"/>
        <v>0</v>
      </c>
      <c r="T15" s="74" t="str">
        <f t="shared" si="17"/>
        <v>-</v>
      </c>
      <c r="U15" s="74" t="str">
        <f t="shared" si="18"/>
        <v>-</v>
      </c>
      <c r="V15" s="79"/>
      <c r="W15" s="66" t="str">
        <f>IFERROR(+VLOOKUP(D15,Data!$F:$G,2,0),"-")</f>
        <v>-</v>
      </c>
    </row>
    <row r="16" spans="2:23" x14ac:dyDescent="0.25">
      <c r="B16" s="79" t="str">
        <f t="shared" si="10"/>
        <v>-</v>
      </c>
      <c r="C16" s="78"/>
      <c r="D16" s="78"/>
      <c r="E16" s="79"/>
      <c r="F16" s="74" t="str">
        <f>IFERROR(+VLOOKUP(E16,Data!$J$4:$K$303,2,0),"")</f>
        <v/>
      </c>
      <c r="G16" s="80"/>
      <c r="H16" s="80"/>
      <c r="I16" s="76" t="str">
        <f t="shared" si="11"/>
        <v/>
      </c>
      <c r="J16" s="75"/>
      <c r="K16" s="77">
        <f t="shared" si="12"/>
        <v>0</v>
      </c>
      <c r="L16" s="77">
        <f t="shared" si="13"/>
        <v>0</v>
      </c>
      <c r="M16" s="75"/>
      <c r="N16" s="77">
        <f t="shared" si="14"/>
        <v>0</v>
      </c>
      <c r="O16" s="77">
        <f t="shared" si="15"/>
        <v>0</v>
      </c>
      <c r="P16" s="75"/>
      <c r="Q16" s="75"/>
      <c r="R16" s="75"/>
      <c r="S16" s="93">
        <f t="shared" si="16"/>
        <v>0</v>
      </c>
      <c r="T16" s="74" t="str">
        <f t="shared" si="17"/>
        <v>-</v>
      </c>
      <c r="U16" s="74" t="str">
        <f t="shared" si="18"/>
        <v>-</v>
      </c>
      <c r="V16" s="79"/>
      <c r="W16" s="66" t="str">
        <f>IFERROR(+VLOOKUP(D16,Data!$F:$G,2,0),"-")</f>
        <v>-</v>
      </c>
    </row>
    <row r="17" spans="2:23" x14ac:dyDescent="0.25">
      <c r="B17" s="79" t="str">
        <f t="shared" si="10"/>
        <v>-</v>
      </c>
      <c r="C17" s="78"/>
      <c r="D17" s="78"/>
      <c r="E17" s="79"/>
      <c r="F17" s="74" t="str">
        <f>IFERROR(+VLOOKUP(E17,Data!$J$4:$K$303,2,0),"")</f>
        <v/>
      </c>
      <c r="G17" s="80"/>
      <c r="H17" s="80"/>
      <c r="I17" s="76" t="str">
        <f t="shared" si="11"/>
        <v/>
      </c>
      <c r="J17" s="75"/>
      <c r="K17" s="77">
        <f t="shared" si="12"/>
        <v>0</v>
      </c>
      <c r="L17" s="77">
        <f t="shared" si="13"/>
        <v>0</v>
      </c>
      <c r="M17" s="75"/>
      <c r="N17" s="77">
        <f t="shared" si="14"/>
        <v>0</v>
      </c>
      <c r="O17" s="77">
        <f t="shared" si="15"/>
        <v>0</v>
      </c>
      <c r="P17" s="75"/>
      <c r="Q17" s="75"/>
      <c r="R17" s="75"/>
      <c r="S17" s="93">
        <f t="shared" si="16"/>
        <v>0</v>
      </c>
      <c r="T17" s="74" t="str">
        <f t="shared" si="17"/>
        <v>-</v>
      </c>
      <c r="U17" s="74" t="str">
        <f t="shared" si="18"/>
        <v>-</v>
      </c>
      <c r="V17" s="79"/>
      <c r="W17" s="66" t="str">
        <f>IFERROR(+VLOOKUP(D17,Data!$F:$G,2,0),"-")</f>
        <v>-</v>
      </c>
    </row>
    <row r="18" spans="2:23" x14ac:dyDescent="0.25">
      <c r="B18" s="79" t="str">
        <f t="shared" si="10"/>
        <v>-</v>
      </c>
      <c r="C18" s="78"/>
      <c r="D18" s="78"/>
      <c r="E18" s="79"/>
      <c r="F18" s="74" t="str">
        <f>IFERROR(+VLOOKUP(E18,Data!$J$4:$K$303,2,0),"")</f>
        <v/>
      </c>
      <c r="G18" s="80"/>
      <c r="H18" s="80"/>
      <c r="I18" s="76" t="str">
        <f t="shared" si="11"/>
        <v/>
      </c>
      <c r="J18" s="75"/>
      <c r="K18" s="77">
        <f t="shared" si="12"/>
        <v>0</v>
      </c>
      <c r="L18" s="77">
        <f t="shared" si="13"/>
        <v>0</v>
      </c>
      <c r="M18" s="75"/>
      <c r="N18" s="77">
        <f t="shared" si="14"/>
        <v>0</v>
      </c>
      <c r="O18" s="77">
        <f t="shared" si="15"/>
        <v>0</v>
      </c>
      <c r="P18" s="75"/>
      <c r="Q18" s="75"/>
      <c r="R18" s="75"/>
      <c r="S18" s="93">
        <f t="shared" si="16"/>
        <v>0</v>
      </c>
      <c r="T18" s="74" t="str">
        <f t="shared" si="17"/>
        <v>-</v>
      </c>
      <c r="U18" s="74" t="str">
        <f t="shared" si="18"/>
        <v>-</v>
      </c>
      <c r="V18" s="79"/>
      <c r="W18" s="66" t="str">
        <f>IFERROR(+VLOOKUP(D18,Data!$F:$G,2,0),"-")</f>
        <v>-</v>
      </c>
    </row>
    <row r="19" spans="2:23" x14ac:dyDescent="0.25">
      <c r="B19" s="79" t="str">
        <f t="shared" si="10"/>
        <v>-</v>
      </c>
      <c r="C19" s="78"/>
      <c r="D19" s="78"/>
      <c r="E19" s="79"/>
      <c r="F19" s="74" t="str">
        <f>IFERROR(+VLOOKUP(E19,Data!$J$4:$K$303,2,0),"")</f>
        <v/>
      </c>
      <c r="G19" s="80"/>
      <c r="H19" s="80"/>
      <c r="I19" s="76" t="str">
        <f t="shared" si="11"/>
        <v/>
      </c>
      <c r="J19" s="75"/>
      <c r="K19" s="77">
        <f t="shared" si="12"/>
        <v>0</v>
      </c>
      <c r="L19" s="77">
        <f t="shared" si="13"/>
        <v>0</v>
      </c>
      <c r="M19" s="75"/>
      <c r="N19" s="77">
        <f t="shared" si="14"/>
        <v>0</v>
      </c>
      <c r="O19" s="77">
        <f t="shared" si="15"/>
        <v>0</v>
      </c>
      <c r="P19" s="75"/>
      <c r="Q19" s="75"/>
      <c r="R19" s="75"/>
      <c r="S19" s="93">
        <f t="shared" si="16"/>
        <v>0</v>
      </c>
      <c r="T19" s="74" t="str">
        <f t="shared" si="17"/>
        <v>-</v>
      </c>
      <c r="U19" s="74" t="str">
        <f t="shared" si="18"/>
        <v>-</v>
      </c>
      <c r="V19" s="79"/>
      <c r="W19" s="66" t="str">
        <f>IFERROR(+VLOOKUP(D19,Data!$F:$G,2,0),"-")</f>
        <v>-</v>
      </c>
    </row>
    <row r="20" spans="2:23" x14ac:dyDescent="0.25">
      <c r="B20" s="79" t="str">
        <f t="shared" si="10"/>
        <v>-</v>
      </c>
      <c r="C20" s="78"/>
      <c r="D20" s="78"/>
      <c r="E20" s="79"/>
      <c r="F20" s="74" t="str">
        <f>IFERROR(+VLOOKUP(E20,Data!$J$4:$K$303,2,0),"")</f>
        <v/>
      </c>
      <c r="G20" s="80"/>
      <c r="H20" s="80"/>
      <c r="I20" s="76" t="str">
        <f t="shared" si="11"/>
        <v/>
      </c>
      <c r="J20" s="75"/>
      <c r="K20" s="77">
        <f t="shared" si="12"/>
        <v>0</v>
      </c>
      <c r="L20" s="77">
        <f t="shared" si="13"/>
        <v>0</v>
      </c>
      <c r="M20" s="75"/>
      <c r="N20" s="77">
        <f t="shared" si="14"/>
        <v>0</v>
      </c>
      <c r="O20" s="77">
        <f t="shared" si="15"/>
        <v>0</v>
      </c>
      <c r="P20" s="75"/>
      <c r="Q20" s="75"/>
      <c r="R20" s="75"/>
      <c r="S20" s="93">
        <f t="shared" si="16"/>
        <v>0</v>
      </c>
      <c r="T20" s="74" t="str">
        <f t="shared" si="17"/>
        <v>-</v>
      </c>
      <c r="U20" s="74" t="str">
        <f t="shared" si="18"/>
        <v>-</v>
      </c>
      <c r="V20" s="79"/>
      <c r="W20" s="66" t="str">
        <f>IFERROR(+VLOOKUP(D20,Data!$F:$G,2,0),"-")</f>
        <v>-</v>
      </c>
    </row>
    <row r="21" spans="2:23" x14ac:dyDescent="0.25">
      <c r="B21" s="79" t="str">
        <f t="shared" si="10"/>
        <v>-</v>
      </c>
      <c r="C21" s="78"/>
      <c r="D21" s="78"/>
      <c r="E21" s="79"/>
      <c r="F21" s="74" t="str">
        <f>IFERROR(+VLOOKUP(E21,Data!$J$4:$K$303,2,0),"")</f>
        <v/>
      </c>
      <c r="G21" s="80"/>
      <c r="H21" s="80"/>
      <c r="I21" s="76" t="str">
        <f t="shared" si="11"/>
        <v/>
      </c>
      <c r="J21" s="75"/>
      <c r="K21" s="77">
        <f t="shared" si="12"/>
        <v>0</v>
      </c>
      <c r="L21" s="77">
        <f t="shared" si="13"/>
        <v>0</v>
      </c>
      <c r="M21" s="75"/>
      <c r="N21" s="77">
        <f t="shared" si="14"/>
        <v>0</v>
      </c>
      <c r="O21" s="77">
        <f t="shared" si="15"/>
        <v>0</v>
      </c>
      <c r="P21" s="75"/>
      <c r="Q21" s="75"/>
      <c r="R21" s="75"/>
      <c r="S21" s="93">
        <f t="shared" si="16"/>
        <v>0</v>
      </c>
      <c r="T21" s="74" t="str">
        <f t="shared" si="17"/>
        <v>-</v>
      </c>
      <c r="U21" s="74" t="str">
        <f t="shared" si="18"/>
        <v>-</v>
      </c>
      <c r="V21" s="79"/>
      <c r="W21" s="66" t="str">
        <f>IFERROR(+VLOOKUP(D21,Data!$F:$G,2,0),"-")</f>
        <v>-</v>
      </c>
    </row>
    <row r="22" spans="2:23" x14ac:dyDescent="0.25">
      <c r="B22" s="79" t="str">
        <f t="shared" si="10"/>
        <v>-</v>
      </c>
      <c r="C22" s="78"/>
      <c r="D22" s="78"/>
      <c r="E22" s="79"/>
      <c r="F22" s="74" t="str">
        <f>IFERROR(+VLOOKUP(E22,Data!$J$4:$K$303,2,0),"")</f>
        <v/>
      </c>
      <c r="G22" s="80"/>
      <c r="H22" s="80"/>
      <c r="I22" s="76" t="str">
        <f t="shared" si="11"/>
        <v/>
      </c>
      <c r="J22" s="75"/>
      <c r="K22" s="77">
        <f t="shared" si="12"/>
        <v>0</v>
      </c>
      <c r="L22" s="77">
        <f t="shared" si="13"/>
        <v>0</v>
      </c>
      <c r="M22" s="75"/>
      <c r="N22" s="77">
        <f t="shared" si="14"/>
        <v>0</v>
      </c>
      <c r="O22" s="77">
        <f t="shared" si="15"/>
        <v>0</v>
      </c>
      <c r="P22" s="75"/>
      <c r="Q22" s="75"/>
      <c r="R22" s="75"/>
      <c r="S22" s="93">
        <f t="shared" si="16"/>
        <v>0</v>
      </c>
      <c r="T22" s="74" t="str">
        <f t="shared" si="17"/>
        <v>-</v>
      </c>
      <c r="U22" s="74" t="str">
        <f t="shared" si="18"/>
        <v>-</v>
      </c>
      <c r="V22" s="79"/>
      <c r="W22" s="66" t="str">
        <f>IFERROR(+VLOOKUP(D22,Data!$F:$G,2,0),"-")</f>
        <v>-</v>
      </c>
    </row>
    <row r="23" spans="2:23" x14ac:dyDescent="0.25">
      <c r="B23" s="79" t="str">
        <f t="shared" si="10"/>
        <v>-</v>
      </c>
      <c r="C23" s="78"/>
      <c r="D23" s="78"/>
      <c r="E23" s="79"/>
      <c r="F23" s="74" t="str">
        <f>IFERROR(+VLOOKUP(E23,Data!$J$4:$K$303,2,0),"")</f>
        <v/>
      </c>
      <c r="G23" s="80"/>
      <c r="H23" s="80"/>
      <c r="I23" s="76" t="str">
        <f t="shared" si="11"/>
        <v/>
      </c>
      <c r="J23" s="75"/>
      <c r="K23" s="77">
        <f t="shared" si="12"/>
        <v>0</v>
      </c>
      <c r="L23" s="77">
        <f t="shared" si="13"/>
        <v>0</v>
      </c>
      <c r="M23" s="75"/>
      <c r="N23" s="77">
        <f t="shared" si="14"/>
        <v>0</v>
      </c>
      <c r="O23" s="77">
        <f t="shared" si="15"/>
        <v>0</v>
      </c>
      <c r="P23" s="75"/>
      <c r="Q23" s="75"/>
      <c r="R23" s="75"/>
      <c r="S23" s="93">
        <f t="shared" si="16"/>
        <v>0</v>
      </c>
      <c r="T23" s="74" t="str">
        <f t="shared" si="17"/>
        <v>-</v>
      </c>
      <c r="U23" s="74" t="str">
        <f t="shared" si="18"/>
        <v>-</v>
      </c>
      <c r="V23" s="79"/>
      <c r="W23" s="66" t="str">
        <f>IFERROR(+VLOOKUP(D23,Data!$F:$G,2,0),"-")</f>
        <v>-</v>
      </c>
    </row>
    <row r="24" spans="2:23" x14ac:dyDescent="0.25">
      <c r="B24" s="79" t="str">
        <f t="shared" si="10"/>
        <v>-</v>
      </c>
      <c r="C24" s="78"/>
      <c r="D24" s="78"/>
      <c r="E24" s="79"/>
      <c r="F24" s="74" t="str">
        <f>IFERROR(+VLOOKUP(E24,Data!$J$4:$K$303,2,0),"")</f>
        <v/>
      </c>
      <c r="G24" s="80"/>
      <c r="H24" s="80"/>
      <c r="I24" s="76" t="str">
        <f t="shared" si="11"/>
        <v/>
      </c>
      <c r="J24" s="75"/>
      <c r="K24" s="77">
        <f t="shared" si="12"/>
        <v>0</v>
      </c>
      <c r="L24" s="77">
        <f t="shared" si="13"/>
        <v>0</v>
      </c>
      <c r="M24" s="75"/>
      <c r="N24" s="77">
        <f t="shared" si="14"/>
        <v>0</v>
      </c>
      <c r="O24" s="77">
        <f t="shared" si="15"/>
        <v>0</v>
      </c>
      <c r="P24" s="75"/>
      <c r="Q24" s="75"/>
      <c r="R24" s="75"/>
      <c r="S24" s="93">
        <f t="shared" si="16"/>
        <v>0</v>
      </c>
      <c r="T24" s="74" t="str">
        <f t="shared" si="17"/>
        <v>-</v>
      </c>
      <c r="U24" s="74" t="str">
        <f t="shared" si="18"/>
        <v>-</v>
      </c>
      <c r="V24" s="79"/>
      <c r="W24" s="66" t="str">
        <f>IFERROR(+VLOOKUP(D24,Data!$F:$G,2,0),"-")</f>
        <v>-</v>
      </c>
    </row>
    <row r="25" spans="2:23" x14ac:dyDescent="0.25">
      <c r="B25" s="79" t="str">
        <f t="shared" si="10"/>
        <v>-</v>
      </c>
      <c r="C25" s="78"/>
      <c r="D25" s="78"/>
      <c r="E25" s="79"/>
      <c r="F25" s="74" t="str">
        <f>IFERROR(+VLOOKUP(E25,Data!$J$4:$K$303,2,0),"")</f>
        <v/>
      </c>
      <c r="G25" s="80"/>
      <c r="H25" s="80"/>
      <c r="I25" s="76" t="str">
        <f t="shared" si="11"/>
        <v/>
      </c>
      <c r="J25" s="75"/>
      <c r="K25" s="77">
        <f t="shared" si="12"/>
        <v>0</v>
      </c>
      <c r="L25" s="77">
        <f t="shared" si="13"/>
        <v>0</v>
      </c>
      <c r="M25" s="75"/>
      <c r="N25" s="77">
        <f t="shared" si="14"/>
        <v>0</v>
      </c>
      <c r="O25" s="77">
        <f t="shared" si="15"/>
        <v>0</v>
      </c>
      <c r="P25" s="75"/>
      <c r="Q25" s="75"/>
      <c r="R25" s="75"/>
      <c r="S25" s="93">
        <f t="shared" si="16"/>
        <v>0</v>
      </c>
      <c r="T25" s="74" t="str">
        <f t="shared" si="17"/>
        <v>-</v>
      </c>
      <c r="U25" s="74" t="str">
        <f t="shared" si="18"/>
        <v>-</v>
      </c>
      <c r="V25" s="79"/>
      <c r="W25" s="66" t="str">
        <f>IFERROR(+VLOOKUP(D25,Data!$F:$G,2,0),"-")</f>
        <v>-</v>
      </c>
    </row>
    <row r="26" spans="2:23" x14ac:dyDescent="0.25">
      <c r="B26" s="79" t="str">
        <f t="shared" si="10"/>
        <v>-</v>
      </c>
      <c r="C26" s="78"/>
      <c r="D26" s="78"/>
      <c r="E26" s="79"/>
      <c r="F26" s="74" t="str">
        <f>IFERROR(+VLOOKUP(E26,Data!$J$4:$K$303,2,0),"")</f>
        <v/>
      </c>
      <c r="G26" s="80"/>
      <c r="H26" s="80"/>
      <c r="I26" s="76" t="str">
        <f t="shared" si="11"/>
        <v/>
      </c>
      <c r="J26" s="75"/>
      <c r="K26" s="77">
        <f t="shared" si="12"/>
        <v>0</v>
      </c>
      <c r="L26" s="77">
        <f t="shared" si="13"/>
        <v>0</v>
      </c>
      <c r="M26" s="75"/>
      <c r="N26" s="77">
        <f t="shared" si="14"/>
        <v>0</v>
      </c>
      <c r="O26" s="77">
        <f t="shared" si="15"/>
        <v>0</v>
      </c>
      <c r="P26" s="75"/>
      <c r="Q26" s="75"/>
      <c r="R26" s="75"/>
      <c r="S26" s="93">
        <f t="shared" si="16"/>
        <v>0</v>
      </c>
      <c r="T26" s="74" t="str">
        <f t="shared" si="17"/>
        <v>-</v>
      </c>
      <c r="U26" s="74" t="str">
        <f t="shared" si="18"/>
        <v>-</v>
      </c>
      <c r="V26" s="79"/>
      <c r="W26" s="66" t="str">
        <f>IFERROR(+VLOOKUP(D26,Data!$F:$G,2,0),"-")</f>
        <v>-</v>
      </c>
    </row>
    <row r="27" spans="2:23" x14ac:dyDescent="0.25">
      <c r="B27" s="79" t="str">
        <f t="shared" si="10"/>
        <v>-</v>
      </c>
      <c r="C27" s="78"/>
      <c r="D27" s="78"/>
      <c r="E27" s="79"/>
      <c r="F27" s="74" t="str">
        <f>IFERROR(+VLOOKUP(E27,Data!$J$4:$K$303,2,0),"")</f>
        <v/>
      </c>
      <c r="G27" s="80"/>
      <c r="H27" s="80"/>
      <c r="I27" s="76" t="str">
        <f t="shared" si="11"/>
        <v/>
      </c>
      <c r="J27" s="75"/>
      <c r="K27" s="77">
        <f t="shared" si="12"/>
        <v>0</v>
      </c>
      <c r="L27" s="77">
        <f t="shared" si="13"/>
        <v>0</v>
      </c>
      <c r="M27" s="75"/>
      <c r="N27" s="77">
        <f t="shared" si="14"/>
        <v>0</v>
      </c>
      <c r="O27" s="77">
        <f t="shared" si="15"/>
        <v>0</v>
      </c>
      <c r="P27" s="75"/>
      <c r="Q27" s="75"/>
      <c r="R27" s="75"/>
      <c r="S27" s="93">
        <f t="shared" si="16"/>
        <v>0</v>
      </c>
      <c r="T27" s="74" t="str">
        <f t="shared" si="17"/>
        <v>-</v>
      </c>
      <c r="U27" s="74" t="str">
        <f t="shared" si="18"/>
        <v>-</v>
      </c>
      <c r="V27" s="79"/>
      <c r="W27" s="66" t="str">
        <f>IFERROR(+VLOOKUP(D27,Data!$F:$G,2,0),"-")</f>
        <v>-</v>
      </c>
    </row>
    <row r="28" spans="2:23" x14ac:dyDescent="0.25">
      <c r="B28" s="79" t="str">
        <f t="shared" si="10"/>
        <v>-</v>
      </c>
      <c r="C28" s="78"/>
      <c r="D28" s="78"/>
      <c r="E28" s="79"/>
      <c r="F28" s="74" t="str">
        <f>IFERROR(+VLOOKUP(E28,Data!$J$4:$K$303,2,0),"")</f>
        <v/>
      </c>
      <c r="G28" s="80"/>
      <c r="H28" s="80"/>
      <c r="I28" s="76" t="str">
        <f t="shared" si="11"/>
        <v/>
      </c>
      <c r="J28" s="75"/>
      <c r="K28" s="77">
        <f t="shared" si="12"/>
        <v>0</v>
      </c>
      <c r="L28" s="77">
        <f t="shared" si="13"/>
        <v>0</v>
      </c>
      <c r="M28" s="75"/>
      <c r="N28" s="77">
        <f t="shared" si="14"/>
        <v>0</v>
      </c>
      <c r="O28" s="77">
        <f t="shared" si="15"/>
        <v>0</v>
      </c>
      <c r="P28" s="75"/>
      <c r="Q28" s="75"/>
      <c r="R28" s="75"/>
      <c r="S28" s="93">
        <f t="shared" si="16"/>
        <v>0</v>
      </c>
      <c r="T28" s="74" t="str">
        <f t="shared" si="17"/>
        <v>-</v>
      </c>
      <c r="U28" s="74" t="str">
        <f t="shared" si="18"/>
        <v>-</v>
      </c>
      <c r="V28" s="79"/>
      <c r="W28" s="66" t="str">
        <f>IFERROR(+VLOOKUP(D28,Data!$F:$G,2,0),"-")</f>
        <v>-</v>
      </c>
    </row>
    <row r="29" spans="2:23" x14ac:dyDescent="0.25">
      <c r="B29" s="79" t="str">
        <f t="shared" si="10"/>
        <v>-</v>
      </c>
      <c r="C29" s="78"/>
      <c r="D29" s="78"/>
      <c r="E29" s="79"/>
      <c r="F29" s="74" t="str">
        <f>IFERROR(+VLOOKUP(E29,Data!$J$4:$K$303,2,0),"")</f>
        <v/>
      </c>
      <c r="G29" s="80"/>
      <c r="H29" s="80"/>
      <c r="I29" s="76" t="str">
        <f t="shared" si="11"/>
        <v/>
      </c>
      <c r="J29" s="75"/>
      <c r="K29" s="77">
        <f t="shared" si="12"/>
        <v>0</v>
      </c>
      <c r="L29" s="77">
        <f t="shared" si="13"/>
        <v>0</v>
      </c>
      <c r="M29" s="75"/>
      <c r="N29" s="77">
        <f t="shared" si="14"/>
        <v>0</v>
      </c>
      <c r="O29" s="77">
        <f t="shared" si="15"/>
        <v>0</v>
      </c>
      <c r="P29" s="75"/>
      <c r="Q29" s="75"/>
      <c r="R29" s="75"/>
      <c r="S29" s="93">
        <f t="shared" si="16"/>
        <v>0</v>
      </c>
      <c r="T29" s="74" t="str">
        <f t="shared" si="17"/>
        <v>-</v>
      </c>
      <c r="U29" s="74" t="str">
        <f t="shared" si="18"/>
        <v>-</v>
      </c>
      <c r="V29" s="79"/>
      <c r="W29" s="66" t="str">
        <f>IFERROR(+VLOOKUP(D29,Data!$F:$G,2,0),"-")</f>
        <v>-</v>
      </c>
    </row>
    <row r="30" spans="2:23" x14ac:dyDescent="0.25">
      <c r="B30" s="79" t="str">
        <f t="shared" si="10"/>
        <v>-</v>
      </c>
      <c r="C30" s="78"/>
      <c r="D30" s="78"/>
      <c r="E30" s="79"/>
      <c r="F30" s="74" t="str">
        <f>IFERROR(+VLOOKUP(E30,Data!$J$4:$K$303,2,0),"")</f>
        <v/>
      </c>
      <c r="G30" s="80"/>
      <c r="H30" s="80"/>
      <c r="I30" s="76" t="str">
        <f t="shared" si="11"/>
        <v/>
      </c>
      <c r="J30" s="75"/>
      <c r="K30" s="77">
        <f t="shared" si="12"/>
        <v>0</v>
      </c>
      <c r="L30" s="77">
        <f t="shared" si="13"/>
        <v>0</v>
      </c>
      <c r="M30" s="75"/>
      <c r="N30" s="77">
        <f t="shared" si="14"/>
        <v>0</v>
      </c>
      <c r="O30" s="77">
        <f t="shared" si="15"/>
        <v>0</v>
      </c>
      <c r="P30" s="75"/>
      <c r="Q30" s="75"/>
      <c r="R30" s="75"/>
      <c r="S30" s="93">
        <f t="shared" si="16"/>
        <v>0</v>
      </c>
      <c r="T30" s="74" t="str">
        <f t="shared" si="17"/>
        <v>-</v>
      </c>
      <c r="U30" s="74" t="str">
        <f t="shared" si="18"/>
        <v>-</v>
      </c>
      <c r="V30" s="79"/>
      <c r="W30" s="66" t="str">
        <f>IFERROR(+VLOOKUP(D30,Data!$F:$G,2,0),"-")</f>
        <v>-</v>
      </c>
    </row>
    <row r="31" spans="2:23" x14ac:dyDescent="0.25">
      <c r="B31" s="79" t="str">
        <f t="shared" si="10"/>
        <v>-</v>
      </c>
      <c r="C31" s="78"/>
      <c r="D31" s="78"/>
      <c r="E31" s="79"/>
      <c r="F31" s="74" t="str">
        <f>IFERROR(+VLOOKUP(E31,Data!$J$4:$K$303,2,0),"")</f>
        <v/>
      </c>
      <c r="G31" s="80"/>
      <c r="H31" s="80"/>
      <c r="I31" s="76" t="str">
        <f t="shared" si="11"/>
        <v/>
      </c>
      <c r="J31" s="75"/>
      <c r="K31" s="77">
        <f t="shared" si="12"/>
        <v>0</v>
      </c>
      <c r="L31" s="77">
        <f t="shared" si="13"/>
        <v>0</v>
      </c>
      <c r="M31" s="75"/>
      <c r="N31" s="77">
        <f t="shared" si="14"/>
        <v>0</v>
      </c>
      <c r="O31" s="77">
        <f t="shared" si="15"/>
        <v>0</v>
      </c>
      <c r="P31" s="75"/>
      <c r="Q31" s="75"/>
      <c r="R31" s="75"/>
      <c r="S31" s="93">
        <f t="shared" si="16"/>
        <v>0</v>
      </c>
      <c r="T31" s="74" t="str">
        <f t="shared" si="17"/>
        <v>-</v>
      </c>
      <c r="U31" s="74" t="str">
        <f t="shared" si="18"/>
        <v>-</v>
      </c>
      <c r="V31" s="79"/>
      <c r="W31" s="66" t="str">
        <f>IFERROR(+VLOOKUP(D31,Data!$F:$G,2,0),"-")</f>
        <v>-</v>
      </c>
    </row>
    <row r="32" spans="2:23" x14ac:dyDescent="0.25">
      <c r="B32" s="79" t="str">
        <f t="shared" si="10"/>
        <v>-</v>
      </c>
      <c r="C32" s="78"/>
      <c r="D32" s="78"/>
      <c r="E32" s="79"/>
      <c r="F32" s="74" t="str">
        <f>IFERROR(+VLOOKUP(E32,Data!$J$4:$K$303,2,0),"")</f>
        <v/>
      </c>
      <c r="G32" s="80"/>
      <c r="H32" s="80"/>
      <c r="I32" s="76" t="str">
        <f t="shared" si="11"/>
        <v/>
      </c>
      <c r="J32" s="75"/>
      <c r="K32" s="77">
        <f t="shared" si="12"/>
        <v>0</v>
      </c>
      <c r="L32" s="77">
        <f t="shared" si="13"/>
        <v>0</v>
      </c>
      <c r="M32" s="75"/>
      <c r="N32" s="77">
        <f t="shared" si="14"/>
        <v>0</v>
      </c>
      <c r="O32" s="77">
        <f t="shared" si="15"/>
        <v>0</v>
      </c>
      <c r="P32" s="75"/>
      <c r="Q32" s="75"/>
      <c r="R32" s="75"/>
      <c r="S32" s="93">
        <f t="shared" si="16"/>
        <v>0</v>
      </c>
      <c r="T32" s="74" t="str">
        <f t="shared" si="17"/>
        <v>-</v>
      </c>
      <c r="U32" s="74" t="str">
        <f t="shared" si="18"/>
        <v>-</v>
      </c>
      <c r="V32" s="79"/>
      <c r="W32" s="66" t="str">
        <f>IFERROR(+VLOOKUP(D32,Data!$F:$G,2,0),"-")</f>
        <v>-</v>
      </c>
    </row>
    <row r="33" spans="2:23" x14ac:dyDescent="0.25">
      <c r="B33" s="79" t="str">
        <f t="shared" si="10"/>
        <v>-</v>
      </c>
      <c r="C33" s="78"/>
      <c r="D33" s="78"/>
      <c r="E33" s="79"/>
      <c r="F33" s="74" t="str">
        <f>IFERROR(+VLOOKUP(E33,Data!$J$4:$K$303,2,0),"")</f>
        <v/>
      </c>
      <c r="G33" s="80"/>
      <c r="H33" s="80"/>
      <c r="I33" s="76" t="str">
        <f t="shared" si="11"/>
        <v/>
      </c>
      <c r="J33" s="75"/>
      <c r="K33" s="77">
        <f t="shared" si="12"/>
        <v>0</v>
      </c>
      <c r="L33" s="77">
        <f t="shared" si="13"/>
        <v>0</v>
      </c>
      <c r="M33" s="75"/>
      <c r="N33" s="77">
        <f t="shared" si="14"/>
        <v>0</v>
      </c>
      <c r="O33" s="77">
        <f t="shared" si="15"/>
        <v>0</v>
      </c>
      <c r="P33" s="75"/>
      <c r="Q33" s="75"/>
      <c r="R33" s="75"/>
      <c r="S33" s="93">
        <f t="shared" si="16"/>
        <v>0</v>
      </c>
      <c r="T33" s="74" t="str">
        <f t="shared" si="17"/>
        <v>-</v>
      </c>
      <c r="U33" s="74" t="str">
        <f t="shared" si="18"/>
        <v>-</v>
      </c>
      <c r="V33" s="79"/>
      <c r="W33" s="66" t="str">
        <f>IFERROR(+VLOOKUP(D33,Data!$F:$G,2,0),"-")</f>
        <v>-</v>
      </c>
    </row>
    <row r="34" spans="2:23" x14ac:dyDescent="0.25">
      <c r="B34" s="79" t="str">
        <f t="shared" si="10"/>
        <v>-</v>
      </c>
      <c r="C34" s="78"/>
      <c r="D34" s="78"/>
      <c r="E34" s="79"/>
      <c r="F34" s="74" t="str">
        <f>IFERROR(+VLOOKUP(E34,Data!$J$4:$K$303,2,0),"")</f>
        <v/>
      </c>
      <c r="G34" s="80"/>
      <c r="H34" s="80"/>
      <c r="I34" s="76" t="str">
        <f t="shared" si="11"/>
        <v/>
      </c>
      <c r="J34" s="75"/>
      <c r="K34" s="77">
        <f t="shared" si="12"/>
        <v>0</v>
      </c>
      <c r="L34" s="77">
        <f t="shared" si="13"/>
        <v>0</v>
      </c>
      <c r="M34" s="75"/>
      <c r="N34" s="77">
        <f t="shared" si="14"/>
        <v>0</v>
      </c>
      <c r="O34" s="77">
        <f t="shared" si="15"/>
        <v>0</v>
      </c>
      <c r="P34" s="75"/>
      <c r="Q34" s="75"/>
      <c r="R34" s="75"/>
      <c r="S34" s="93">
        <f t="shared" si="16"/>
        <v>0</v>
      </c>
      <c r="T34" s="74" t="str">
        <f t="shared" si="17"/>
        <v>-</v>
      </c>
      <c r="U34" s="74" t="str">
        <f t="shared" si="18"/>
        <v>-</v>
      </c>
      <c r="V34" s="79"/>
      <c r="W34" s="66" t="str">
        <f>IFERROR(+VLOOKUP(D34,Data!$F:$G,2,0),"-")</f>
        <v>-</v>
      </c>
    </row>
    <row r="35" spans="2:23" x14ac:dyDescent="0.25">
      <c r="B35" s="79" t="str">
        <f t="shared" si="10"/>
        <v>-</v>
      </c>
      <c r="C35" s="78"/>
      <c r="D35" s="78"/>
      <c r="E35" s="79"/>
      <c r="F35" s="74" t="str">
        <f>IFERROR(+VLOOKUP(E35,Data!$J$4:$K$303,2,0),"")</f>
        <v/>
      </c>
      <c r="G35" s="80"/>
      <c r="H35" s="80"/>
      <c r="I35" s="76" t="str">
        <f t="shared" si="11"/>
        <v/>
      </c>
      <c r="J35" s="75"/>
      <c r="K35" s="77">
        <f t="shared" si="12"/>
        <v>0</v>
      </c>
      <c r="L35" s="77">
        <f t="shared" si="13"/>
        <v>0</v>
      </c>
      <c r="M35" s="75"/>
      <c r="N35" s="77">
        <f t="shared" si="14"/>
        <v>0</v>
      </c>
      <c r="O35" s="77">
        <f t="shared" si="15"/>
        <v>0</v>
      </c>
      <c r="P35" s="75"/>
      <c r="Q35" s="75"/>
      <c r="R35" s="75"/>
      <c r="S35" s="93">
        <f t="shared" si="16"/>
        <v>0</v>
      </c>
      <c r="T35" s="74" t="str">
        <f t="shared" si="17"/>
        <v>-</v>
      </c>
      <c r="U35" s="74" t="str">
        <f t="shared" si="18"/>
        <v>-</v>
      </c>
      <c r="V35" s="79"/>
      <c r="W35" s="66" t="str">
        <f>IFERROR(+VLOOKUP(D35,Data!$F:$G,2,0),"-")</f>
        <v>-</v>
      </c>
    </row>
    <row r="36" spans="2:23" x14ac:dyDescent="0.25">
      <c r="B36" s="79" t="str">
        <f t="shared" si="10"/>
        <v>-</v>
      </c>
      <c r="C36" s="78"/>
      <c r="D36" s="78"/>
      <c r="E36" s="79"/>
      <c r="F36" s="74" t="str">
        <f>IFERROR(+VLOOKUP(E36,Data!$J$4:$K$303,2,0),"")</f>
        <v/>
      </c>
      <c r="G36" s="80"/>
      <c r="H36" s="80"/>
      <c r="I36" s="76" t="str">
        <f t="shared" si="11"/>
        <v/>
      </c>
      <c r="J36" s="75"/>
      <c r="K36" s="77">
        <f t="shared" si="12"/>
        <v>0</v>
      </c>
      <c r="L36" s="77">
        <f t="shared" si="13"/>
        <v>0</v>
      </c>
      <c r="M36" s="75"/>
      <c r="N36" s="77">
        <f t="shared" si="14"/>
        <v>0</v>
      </c>
      <c r="O36" s="77">
        <f t="shared" si="15"/>
        <v>0</v>
      </c>
      <c r="P36" s="75"/>
      <c r="Q36" s="75"/>
      <c r="R36" s="75"/>
      <c r="S36" s="93">
        <f t="shared" si="16"/>
        <v>0</v>
      </c>
      <c r="T36" s="74" t="str">
        <f t="shared" si="17"/>
        <v>-</v>
      </c>
      <c r="U36" s="74" t="str">
        <f t="shared" si="18"/>
        <v>-</v>
      </c>
      <c r="V36" s="79"/>
      <c r="W36" s="66" t="str">
        <f>IFERROR(+VLOOKUP(D36,Data!$F:$G,2,0),"-")</f>
        <v>-</v>
      </c>
    </row>
    <row r="37" spans="2:23" x14ac:dyDescent="0.25">
      <c r="B37" s="79" t="str">
        <f t="shared" si="10"/>
        <v>-</v>
      </c>
      <c r="C37" s="78"/>
      <c r="D37" s="78"/>
      <c r="E37" s="79"/>
      <c r="F37" s="74" t="str">
        <f>IFERROR(+VLOOKUP(E37,Data!$J$4:$K$303,2,0),"")</f>
        <v/>
      </c>
      <c r="G37" s="80"/>
      <c r="H37" s="80"/>
      <c r="I37" s="76" t="str">
        <f t="shared" si="11"/>
        <v/>
      </c>
      <c r="J37" s="75"/>
      <c r="K37" s="77">
        <f t="shared" si="12"/>
        <v>0</v>
      </c>
      <c r="L37" s="77">
        <f t="shared" si="13"/>
        <v>0</v>
      </c>
      <c r="M37" s="75"/>
      <c r="N37" s="77">
        <f t="shared" si="14"/>
        <v>0</v>
      </c>
      <c r="O37" s="77">
        <f t="shared" si="15"/>
        <v>0</v>
      </c>
      <c r="P37" s="75"/>
      <c r="Q37" s="75"/>
      <c r="R37" s="75"/>
      <c r="S37" s="93">
        <f t="shared" si="16"/>
        <v>0</v>
      </c>
      <c r="T37" s="74" t="str">
        <f t="shared" si="17"/>
        <v>-</v>
      </c>
      <c r="U37" s="74" t="str">
        <f t="shared" si="18"/>
        <v>-</v>
      </c>
      <c r="V37" s="79"/>
      <c r="W37" s="66" t="str">
        <f>IFERROR(+VLOOKUP(D37,Data!$F:$G,2,0),"-")</f>
        <v>-</v>
      </c>
    </row>
    <row r="38" spans="2:23" x14ac:dyDescent="0.25">
      <c r="B38" s="79" t="str">
        <f t="shared" si="10"/>
        <v>-</v>
      </c>
      <c r="C38" s="78"/>
      <c r="D38" s="78"/>
      <c r="E38" s="79"/>
      <c r="F38" s="74" t="str">
        <f>IFERROR(+VLOOKUP(E38,Data!$J$4:$K$303,2,0),"")</f>
        <v/>
      </c>
      <c r="G38" s="80"/>
      <c r="H38" s="80"/>
      <c r="I38" s="76" t="str">
        <f t="shared" si="11"/>
        <v/>
      </c>
      <c r="J38" s="75"/>
      <c r="K38" s="77">
        <f t="shared" si="12"/>
        <v>0</v>
      </c>
      <c r="L38" s="77">
        <f t="shared" si="13"/>
        <v>0</v>
      </c>
      <c r="M38" s="75"/>
      <c r="N38" s="77">
        <f t="shared" si="14"/>
        <v>0</v>
      </c>
      <c r="O38" s="77">
        <f t="shared" si="15"/>
        <v>0</v>
      </c>
      <c r="P38" s="75"/>
      <c r="Q38" s="75"/>
      <c r="R38" s="75"/>
      <c r="S38" s="93">
        <f t="shared" si="16"/>
        <v>0</v>
      </c>
      <c r="T38" s="74" t="str">
        <f t="shared" si="17"/>
        <v>-</v>
      </c>
      <c r="U38" s="74" t="str">
        <f t="shared" si="18"/>
        <v>-</v>
      </c>
      <c r="V38" s="79"/>
      <c r="W38" s="66" t="str">
        <f>IFERROR(+VLOOKUP(D38,Data!$F:$G,2,0),"-")</f>
        <v>-</v>
      </c>
    </row>
    <row r="39" spans="2:23" x14ac:dyDescent="0.25">
      <c r="B39" s="79" t="str">
        <f t="shared" si="10"/>
        <v>-</v>
      </c>
      <c r="C39" s="78"/>
      <c r="D39" s="78"/>
      <c r="E39" s="79"/>
      <c r="F39" s="74" t="str">
        <f>IFERROR(+VLOOKUP(E39,Data!$J$4:$K$303,2,0),"")</f>
        <v/>
      </c>
      <c r="G39" s="80"/>
      <c r="H39" s="80"/>
      <c r="I39" s="76" t="str">
        <f t="shared" si="11"/>
        <v/>
      </c>
      <c r="J39" s="75"/>
      <c r="K39" s="77">
        <f t="shared" si="12"/>
        <v>0</v>
      </c>
      <c r="L39" s="77">
        <f t="shared" si="13"/>
        <v>0</v>
      </c>
      <c r="M39" s="75"/>
      <c r="N39" s="77">
        <f t="shared" si="14"/>
        <v>0</v>
      </c>
      <c r="O39" s="77">
        <f t="shared" si="15"/>
        <v>0</v>
      </c>
      <c r="P39" s="75"/>
      <c r="Q39" s="75"/>
      <c r="R39" s="75"/>
      <c r="S39" s="93">
        <f t="shared" si="16"/>
        <v>0</v>
      </c>
      <c r="T39" s="74" t="str">
        <f t="shared" si="17"/>
        <v>-</v>
      </c>
      <c r="U39" s="74" t="str">
        <f t="shared" si="18"/>
        <v>-</v>
      </c>
      <c r="V39" s="79"/>
      <c r="W39" s="66" t="str">
        <f>IFERROR(+VLOOKUP(D39,Data!$F:$G,2,0),"-")</f>
        <v>-</v>
      </c>
    </row>
    <row r="40" spans="2:23" x14ac:dyDescent="0.25">
      <c r="B40" s="79" t="str">
        <f t="shared" si="10"/>
        <v>-</v>
      </c>
      <c r="C40" s="78"/>
      <c r="D40" s="78"/>
      <c r="E40" s="79"/>
      <c r="F40" s="74" t="str">
        <f>IFERROR(+VLOOKUP(E40,Data!$J$4:$K$303,2,0),"")</f>
        <v/>
      </c>
      <c r="G40" s="80"/>
      <c r="H40" s="80"/>
      <c r="I40" s="76" t="str">
        <f t="shared" si="11"/>
        <v/>
      </c>
      <c r="J40" s="75"/>
      <c r="K40" s="77">
        <f t="shared" si="12"/>
        <v>0</v>
      </c>
      <c r="L40" s="77">
        <f t="shared" si="13"/>
        <v>0</v>
      </c>
      <c r="M40" s="75"/>
      <c r="N40" s="77">
        <f t="shared" si="14"/>
        <v>0</v>
      </c>
      <c r="O40" s="77">
        <f t="shared" si="15"/>
        <v>0</v>
      </c>
      <c r="P40" s="75"/>
      <c r="Q40" s="75"/>
      <c r="R40" s="75"/>
      <c r="S40" s="93">
        <f t="shared" si="16"/>
        <v>0</v>
      </c>
      <c r="T40" s="74" t="str">
        <f t="shared" si="17"/>
        <v>-</v>
      </c>
      <c r="U40" s="74" t="str">
        <f t="shared" si="18"/>
        <v>-</v>
      </c>
      <c r="V40" s="79"/>
      <c r="W40" s="66" t="str">
        <f>IFERROR(+VLOOKUP(D40,Data!$F:$G,2,0),"-")</f>
        <v>-</v>
      </c>
    </row>
    <row r="41" spans="2:23" x14ac:dyDescent="0.25">
      <c r="B41" s="79" t="str">
        <f t="shared" si="10"/>
        <v>-</v>
      </c>
      <c r="C41" s="78"/>
      <c r="D41" s="78"/>
      <c r="E41" s="79"/>
      <c r="F41" s="74" t="str">
        <f>IFERROR(+VLOOKUP(E41,Data!$J$4:$K$303,2,0),"")</f>
        <v/>
      </c>
      <c r="G41" s="80"/>
      <c r="H41" s="80"/>
      <c r="I41" s="76" t="str">
        <f t="shared" si="11"/>
        <v/>
      </c>
      <c r="J41" s="75"/>
      <c r="K41" s="77">
        <f t="shared" si="12"/>
        <v>0</v>
      </c>
      <c r="L41" s="77">
        <f t="shared" si="13"/>
        <v>0</v>
      </c>
      <c r="M41" s="75"/>
      <c r="N41" s="77">
        <f t="shared" si="14"/>
        <v>0</v>
      </c>
      <c r="O41" s="77">
        <f t="shared" si="15"/>
        <v>0</v>
      </c>
      <c r="P41" s="75"/>
      <c r="Q41" s="75"/>
      <c r="R41" s="75"/>
      <c r="S41" s="93">
        <f t="shared" si="16"/>
        <v>0</v>
      </c>
      <c r="T41" s="74" t="str">
        <f t="shared" si="17"/>
        <v>-</v>
      </c>
      <c r="U41" s="74" t="str">
        <f t="shared" si="18"/>
        <v>-</v>
      </c>
      <c r="V41" s="79"/>
      <c r="W41" s="66" t="str">
        <f>IFERROR(+VLOOKUP(D41,Data!$F:$G,2,0),"-")</f>
        <v>-</v>
      </c>
    </row>
    <row r="42" spans="2:23" x14ac:dyDescent="0.25">
      <c r="B42" s="79" t="str">
        <f t="shared" si="10"/>
        <v>-</v>
      </c>
      <c r="C42" s="78"/>
      <c r="D42" s="78"/>
      <c r="E42" s="79"/>
      <c r="F42" s="74" t="str">
        <f>IFERROR(+VLOOKUP(E42,Data!$J$4:$K$303,2,0),"")</f>
        <v/>
      </c>
      <c r="G42" s="80"/>
      <c r="H42" s="80"/>
      <c r="I42" s="76" t="str">
        <f t="shared" si="11"/>
        <v/>
      </c>
      <c r="J42" s="75"/>
      <c r="K42" s="77">
        <f t="shared" si="12"/>
        <v>0</v>
      </c>
      <c r="L42" s="77">
        <f t="shared" si="13"/>
        <v>0</v>
      </c>
      <c r="M42" s="75"/>
      <c r="N42" s="77">
        <f t="shared" si="14"/>
        <v>0</v>
      </c>
      <c r="O42" s="77">
        <f t="shared" si="15"/>
        <v>0</v>
      </c>
      <c r="P42" s="75"/>
      <c r="Q42" s="75"/>
      <c r="R42" s="75"/>
      <c r="S42" s="93">
        <f t="shared" si="16"/>
        <v>0</v>
      </c>
      <c r="T42" s="74" t="str">
        <f t="shared" si="17"/>
        <v>-</v>
      </c>
      <c r="U42" s="74" t="str">
        <f t="shared" si="18"/>
        <v>-</v>
      </c>
      <c r="V42" s="79"/>
      <c r="W42" s="66" t="str">
        <f>IFERROR(+VLOOKUP(D42,Data!$F:$G,2,0),"-")</f>
        <v>-</v>
      </c>
    </row>
    <row r="43" spans="2:23" x14ac:dyDescent="0.25">
      <c r="B43" s="79" t="str">
        <f t="shared" si="10"/>
        <v>-</v>
      </c>
      <c r="C43" s="78"/>
      <c r="D43" s="78"/>
      <c r="E43" s="79"/>
      <c r="F43" s="74" t="str">
        <f>IFERROR(+VLOOKUP(E43,Data!$J$4:$K$303,2,0),"")</f>
        <v/>
      </c>
      <c r="G43" s="80"/>
      <c r="H43" s="80"/>
      <c r="I43" s="76" t="str">
        <f t="shared" si="11"/>
        <v/>
      </c>
      <c r="J43" s="75"/>
      <c r="K43" s="77">
        <f t="shared" si="12"/>
        <v>0</v>
      </c>
      <c r="L43" s="77">
        <f t="shared" si="13"/>
        <v>0</v>
      </c>
      <c r="M43" s="75"/>
      <c r="N43" s="77">
        <f t="shared" si="14"/>
        <v>0</v>
      </c>
      <c r="O43" s="77">
        <f t="shared" si="15"/>
        <v>0</v>
      </c>
      <c r="P43" s="75"/>
      <c r="Q43" s="75"/>
      <c r="R43" s="75"/>
      <c r="S43" s="93">
        <f t="shared" si="16"/>
        <v>0</v>
      </c>
      <c r="T43" s="74" t="str">
        <f t="shared" si="17"/>
        <v>-</v>
      </c>
      <c r="U43" s="74" t="str">
        <f t="shared" si="18"/>
        <v>-</v>
      </c>
      <c r="V43" s="79"/>
      <c r="W43" s="66" t="str">
        <f>IFERROR(+VLOOKUP(D43,Data!$F:$G,2,0),"-")</f>
        <v>-</v>
      </c>
    </row>
    <row r="44" spans="2:23" x14ac:dyDescent="0.25">
      <c r="B44" s="79" t="str">
        <f t="shared" si="10"/>
        <v>-</v>
      </c>
      <c r="C44" s="78"/>
      <c r="D44" s="78"/>
      <c r="E44" s="79"/>
      <c r="F44" s="74" t="str">
        <f>IFERROR(+VLOOKUP(E44,Data!$J$4:$K$303,2,0),"")</f>
        <v/>
      </c>
      <c r="G44" s="80"/>
      <c r="H44" s="80"/>
      <c r="I44" s="76" t="str">
        <f t="shared" si="11"/>
        <v/>
      </c>
      <c r="J44" s="75"/>
      <c r="K44" s="77">
        <f t="shared" si="12"/>
        <v>0</v>
      </c>
      <c r="L44" s="77">
        <f t="shared" si="13"/>
        <v>0</v>
      </c>
      <c r="M44" s="75"/>
      <c r="N44" s="77">
        <f t="shared" si="14"/>
        <v>0</v>
      </c>
      <c r="O44" s="77">
        <f t="shared" si="15"/>
        <v>0</v>
      </c>
      <c r="P44" s="75"/>
      <c r="Q44" s="75"/>
      <c r="R44" s="75"/>
      <c r="S44" s="93">
        <f t="shared" si="16"/>
        <v>0</v>
      </c>
      <c r="T44" s="74" t="str">
        <f t="shared" si="17"/>
        <v>-</v>
      </c>
      <c r="U44" s="74" t="str">
        <f t="shared" si="18"/>
        <v>-</v>
      </c>
      <c r="V44" s="79"/>
      <c r="W44" s="66" t="str">
        <f>IFERROR(+VLOOKUP(D44,Data!$F:$G,2,0),"-")</f>
        <v>-</v>
      </c>
    </row>
    <row r="45" spans="2:23" x14ac:dyDescent="0.25">
      <c r="B45" s="79" t="str">
        <f t="shared" si="10"/>
        <v>-</v>
      </c>
      <c r="C45" s="78"/>
      <c r="D45" s="78"/>
      <c r="E45" s="79"/>
      <c r="F45" s="74" t="str">
        <f>IFERROR(+VLOOKUP(E45,Data!$J$4:$K$303,2,0),"")</f>
        <v/>
      </c>
      <c r="G45" s="80"/>
      <c r="H45" s="80"/>
      <c r="I45" s="76" t="str">
        <f t="shared" si="11"/>
        <v/>
      </c>
      <c r="J45" s="75"/>
      <c r="K45" s="77">
        <f t="shared" si="12"/>
        <v>0</v>
      </c>
      <c r="L45" s="77">
        <f t="shared" si="13"/>
        <v>0</v>
      </c>
      <c r="M45" s="75"/>
      <c r="N45" s="77">
        <f t="shared" si="14"/>
        <v>0</v>
      </c>
      <c r="O45" s="77">
        <f t="shared" si="15"/>
        <v>0</v>
      </c>
      <c r="P45" s="75"/>
      <c r="Q45" s="75"/>
      <c r="R45" s="75"/>
      <c r="S45" s="93">
        <f t="shared" si="16"/>
        <v>0</v>
      </c>
      <c r="T45" s="74" t="str">
        <f t="shared" si="17"/>
        <v>-</v>
      </c>
      <c r="U45" s="74" t="str">
        <f t="shared" si="18"/>
        <v>-</v>
      </c>
      <c r="V45" s="79"/>
      <c r="W45" s="66" t="str">
        <f>IFERROR(+VLOOKUP(D45,Data!$F:$G,2,0),"-")</f>
        <v>-</v>
      </c>
    </row>
    <row r="46" spans="2:23" x14ac:dyDescent="0.25">
      <c r="B46" s="79" t="str">
        <f t="shared" si="10"/>
        <v>-</v>
      </c>
      <c r="C46" s="78"/>
      <c r="D46" s="78"/>
      <c r="E46" s="79"/>
      <c r="F46" s="74" t="str">
        <f>IFERROR(+VLOOKUP(E46,Data!$J$4:$K$303,2,0),"")</f>
        <v/>
      </c>
      <c r="G46" s="80"/>
      <c r="H46" s="80"/>
      <c r="I46" s="76" t="str">
        <f t="shared" si="11"/>
        <v/>
      </c>
      <c r="J46" s="75"/>
      <c r="K46" s="77">
        <f t="shared" si="12"/>
        <v>0</v>
      </c>
      <c r="L46" s="77">
        <f t="shared" si="13"/>
        <v>0</v>
      </c>
      <c r="M46" s="75"/>
      <c r="N46" s="77">
        <f t="shared" si="14"/>
        <v>0</v>
      </c>
      <c r="O46" s="77">
        <f t="shared" si="15"/>
        <v>0</v>
      </c>
      <c r="P46" s="75"/>
      <c r="Q46" s="75"/>
      <c r="R46" s="75"/>
      <c r="S46" s="93">
        <f t="shared" si="16"/>
        <v>0</v>
      </c>
      <c r="T46" s="74" t="str">
        <f t="shared" si="17"/>
        <v>-</v>
      </c>
      <c r="U46" s="74" t="str">
        <f t="shared" si="18"/>
        <v>-</v>
      </c>
      <c r="V46" s="79"/>
      <c r="W46" s="66" t="str">
        <f>IFERROR(+VLOOKUP(D46,Data!$F:$G,2,0),"-")</f>
        <v>-</v>
      </c>
    </row>
    <row r="47" spans="2:23" x14ac:dyDescent="0.25">
      <c r="B47" s="79" t="str">
        <f t="shared" si="10"/>
        <v>-</v>
      </c>
      <c r="C47" s="78"/>
      <c r="D47" s="78"/>
      <c r="E47" s="79"/>
      <c r="F47" s="74" t="str">
        <f>IFERROR(+VLOOKUP(E47,Data!$J$4:$K$303,2,0),"")</f>
        <v/>
      </c>
      <c r="G47" s="80"/>
      <c r="H47" s="80"/>
      <c r="I47" s="76" t="str">
        <f t="shared" si="11"/>
        <v/>
      </c>
      <c r="J47" s="75"/>
      <c r="K47" s="77">
        <f t="shared" si="12"/>
        <v>0</v>
      </c>
      <c r="L47" s="77">
        <f t="shared" si="13"/>
        <v>0</v>
      </c>
      <c r="M47" s="75"/>
      <c r="N47" s="77">
        <f t="shared" si="14"/>
        <v>0</v>
      </c>
      <c r="O47" s="77">
        <f t="shared" si="15"/>
        <v>0</v>
      </c>
      <c r="P47" s="75"/>
      <c r="Q47" s="75"/>
      <c r="R47" s="75"/>
      <c r="S47" s="93">
        <f t="shared" si="16"/>
        <v>0</v>
      </c>
      <c r="T47" s="74" t="str">
        <f t="shared" si="17"/>
        <v>-</v>
      </c>
      <c r="U47" s="74" t="str">
        <f t="shared" si="18"/>
        <v>-</v>
      </c>
      <c r="V47" s="79"/>
      <c r="W47" s="66" t="str">
        <f>IFERROR(+VLOOKUP(D47,Data!$F:$G,2,0),"-")</f>
        <v>-</v>
      </c>
    </row>
    <row r="48" spans="2:23" x14ac:dyDescent="0.25">
      <c r="B48" s="79" t="str">
        <f t="shared" si="10"/>
        <v>-</v>
      </c>
      <c r="C48" s="78"/>
      <c r="D48" s="78"/>
      <c r="E48" s="79"/>
      <c r="F48" s="74" t="str">
        <f>IFERROR(+VLOOKUP(E48,Data!$J$4:$K$303,2,0),"")</f>
        <v/>
      </c>
      <c r="G48" s="80"/>
      <c r="H48" s="80"/>
      <c r="I48" s="76" t="str">
        <f t="shared" si="11"/>
        <v/>
      </c>
      <c r="J48" s="75"/>
      <c r="K48" s="77">
        <f t="shared" si="12"/>
        <v>0</v>
      </c>
      <c r="L48" s="77">
        <f t="shared" si="13"/>
        <v>0</v>
      </c>
      <c r="M48" s="75"/>
      <c r="N48" s="77">
        <f t="shared" si="14"/>
        <v>0</v>
      </c>
      <c r="O48" s="77">
        <f t="shared" si="15"/>
        <v>0</v>
      </c>
      <c r="P48" s="75"/>
      <c r="Q48" s="75"/>
      <c r="R48" s="75"/>
      <c r="S48" s="93">
        <f t="shared" si="16"/>
        <v>0</v>
      </c>
      <c r="T48" s="74" t="str">
        <f t="shared" si="17"/>
        <v>-</v>
      </c>
      <c r="U48" s="74" t="str">
        <f t="shared" si="18"/>
        <v>-</v>
      </c>
      <c r="V48" s="79"/>
      <c r="W48" s="66" t="str">
        <f>IFERROR(+VLOOKUP(D48,Data!$F:$G,2,0),"-")</f>
        <v>-</v>
      </c>
    </row>
    <row r="49" spans="2:23" x14ac:dyDescent="0.25">
      <c r="B49" s="79" t="str">
        <f t="shared" si="10"/>
        <v>-</v>
      </c>
      <c r="C49" s="78"/>
      <c r="D49" s="78"/>
      <c r="E49" s="79"/>
      <c r="F49" s="74" t="str">
        <f>IFERROR(+VLOOKUP(E49,Data!$J$4:$K$303,2,0),"")</f>
        <v/>
      </c>
      <c r="G49" s="80"/>
      <c r="H49" s="80"/>
      <c r="I49" s="76" t="str">
        <f t="shared" si="11"/>
        <v/>
      </c>
      <c r="J49" s="75"/>
      <c r="K49" s="77">
        <f t="shared" si="12"/>
        <v>0</v>
      </c>
      <c r="L49" s="77">
        <f t="shared" si="13"/>
        <v>0</v>
      </c>
      <c r="M49" s="75"/>
      <c r="N49" s="77">
        <f t="shared" si="14"/>
        <v>0</v>
      </c>
      <c r="O49" s="77">
        <f t="shared" si="15"/>
        <v>0</v>
      </c>
      <c r="P49" s="75"/>
      <c r="Q49" s="75"/>
      <c r="R49" s="75"/>
      <c r="S49" s="93">
        <f t="shared" si="16"/>
        <v>0</v>
      </c>
      <c r="T49" s="74" t="str">
        <f t="shared" si="17"/>
        <v>-</v>
      </c>
      <c r="U49" s="74" t="str">
        <f t="shared" si="18"/>
        <v>-</v>
      </c>
      <c r="V49" s="79"/>
      <c r="W49" s="66" t="str">
        <f>IFERROR(+VLOOKUP(D49,Data!$F:$G,2,0),"-")</f>
        <v>-</v>
      </c>
    </row>
    <row r="50" spans="2:23" x14ac:dyDescent="0.25">
      <c r="B50" s="79" t="str">
        <f t="shared" si="10"/>
        <v>-</v>
      </c>
      <c r="C50" s="78"/>
      <c r="D50" s="78"/>
      <c r="E50" s="79"/>
      <c r="F50" s="74" t="str">
        <f>IFERROR(+VLOOKUP(E50,Data!$J$4:$K$303,2,0),"")</f>
        <v/>
      </c>
      <c r="G50" s="80"/>
      <c r="H50" s="80"/>
      <c r="I50" s="76" t="str">
        <f t="shared" si="11"/>
        <v/>
      </c>
      <c r="J50" s="75"/>
      <c r="K50" s="77">
        <f t="shared" si="12"/>
        <v>0</v>
      </c>
      <c r="L50" s="77">
        <f t="shared" si="13"/>
        <v>0</v>
      </c>
      <c r="M50" s="75"/>
      <c r="N50" s="77">
        <f t="shared" si="14"/>
        <v>0</v>
      </c>
      <c r="O50" s="77">
        <f t="shared" si="15"/>
        <v>0</v>
      </c>
      <c r="P50" s="75"/>
      <c r="Q50" s="75"/>
      <c r="R50" s="75"/>
      <c r="S50" s="93">
        <f t="shared" si="16"/>
        <v>0</v>
      </c>
      <c r="T50" s="74" t="str">
        <f t="shared" si="17"/>
        <v>-</v>
      </c>
      <c r="U50" s="74" t="str">
        <f t="shared" si="18"/>
        <v>-</v>
      </c>
      <c r="V50" s="79"/>
      <c r="W50" s="66" t="str">
        <f>IFERROR(+VLOOKUP(D50,Data!$F:$G,2,0),"-")</f>
        <v>-</v>
      </c>
    </row>
    <row r="51" spans="2:23" s="272" customFormat="1" x14ac:dyDescent="0.25">
      <c r="B51" s="79" t="str">
        <f t="shared" si="10"/>
        <v>-</v>
      </c>
      <c r="C51" s="78"/>
      <c r="D51" s="78"/>
      <c r="E51" s="79"/>
      <c r="F51" s="74" t="str">
        <f>IFERROR(+VLOOKUP(E51,Data!$J$4:$K$303,2,0),"")</f>
        <v/>
      </c>
      <c r="G51" s="80"/>
      <c r="H51" s="80"/>
      <c r="I51" s="76" t="str">
        <f t="shared" si="11"/>
        <v/>
      </c>
      <c r="J51" s="75"/>
      <c r="K51" s="77">
        <f t="shared" si="12"/>
        <v>0</v>
      </c>
      <c r="L51" s="77">
        <f t="shared" si="13"/>
        <v>0</v>
      </c>
      <c r="M51" s="75"/>
      <c r="N51" s="77">
        <f t="shared" si="14"/>
        <v>0</v>
      </c>
      <c r="O51" s="77">
        <f t="shared" si="15"/>
        <v>0</v>
      </c>
      <c r="P51" s="75"/>
      <c r="Q51" s="75"/>
      <c r="R51" s="75"/>
      <c r="S51" s="93">
        <f t="shared" si="16"/>
        <v>0</v>
      </c>
      <c r="T51" s="74" t="str">
        <f t="shared" si="17"/>
        <v>-</v>
      </c>
      <c r="U51" s="74" t="str">
        <f t="shared" si="18"/>
        <v>-</v>
      </c>
      <c r="V51" s="79"/>
      <c r="W51" s="66" t="str">
        <f>IFERROR(+VLOOKUP(D51,Data!$F:$G,2,0),"-")</f>
        <v>-</v>
      </c>
    </row>
    <row r="52" spans="2:23" x14ac:dyDescent="0.25">
      <c r="B52" s="79" t="str">
        <f t="shared" si="10"/>
        <v>-</v>
      </c>
      <c r="C52" s="78"/>
      <c r="D52" s="78"/>
      <c r="E52" s="79"/>
      <c r="F52" s="74" t="str">
        <f>IFERROR(+VLOOKUP(E52,Data!$J$4:$K$303,2,0),"")</f>
        <v/>
      </c>
      <c r="G52" s="80"/>
      <c r="H52" s="80"/>
      <c r="I52" s="76" t="str">
        <f t="shared" si="11"/>
        <v/>
      </c>
      <c r="J52" s="75"/>
      <c r="K52" s="77">
        <f t="shared" si="12"/>
        <v>0</v>
      </c>
      <c r="L52" s="77">
        <f t="shared" si="13"/>
        <v>0</v>
      </c>
      <c r="M52" s="75"/>
      <c r="N52" s="77">
        <f t="shared" si="14"/>
        <v>0</v>
      </c>
      <c r="O52" s="77">
        <f t="shared" si="15"/>
        <v>0</v>
      </c>
      <c r="P52" s="75"/>
      <c r="Q52" s="75"/>
      <c r="R52" s="75"/>
      <c r="S52" s="93">
        <f t="shared" si="16"/>
        <v>0</v>
      </c>
      <c r="T52" s="74" t="str">
        <f t="shared" si="17"/>
        <v>-</v>
      </c>
      <c r="U52" s="74" t="str">
        <f t="shared" si="18"/>
        <v>-</v>
      </c>
      <c r="V52" s="79"/>
      <c r="W52" s="66" t="str">
        <f>IFERROR(+VLOOKUP(D52,Data!$F:$G,2,0),"-")</f>
        <v>-</v>
      </c>
    </row>
    <row r="53" spans="2:23" x14ac:dyDescent="0.25">
      <c r="B53" s="79" t="str">
        <f t="shared" si="10"/>
        <v>-</v>
      </c>
      <c r="C53" s="78"/>
      <c r="D53" s="78"/>
      <c r="E53" s="79"/>
      <c r="F53" s="74" t="str">
        <f>IFERROR(+VLOOKUP(E53,Data!$J$4:$K$303,2,0),"")</f>
        <v/>
      </c>
      <c r="G53" s="80"/>
      <c r="H53" s="80"/>
      <c r="I53" s="76" t="str">
        <f t="shared" si="11"/>
        <v/>
      </c>
      <c r="J53" s="75"/>
      <c r="K53" s="77">
        <f t="shared" si="12"/>
        <v>0</v>
      </c>
      <c r="L53" s="77">
        <f t="shared" si="13"/>
        <v>0</v>
      </c>
      <c r="M53" s="75"/>
      <c r="N53" s="77">
        <f t="shared" si="14"/>
        <v>0</v>
      </c>
      <c r="O53" s="77">
        <f t="shared" si="15"/>
        <v>0</v>
      </c>
      <c r="P53" s="75"/>
      <c r="Q53" s="75"/>
      <c r="R53" s="75"/>
      <c r="S53" s="93">
        <f t="shared" si="16"/>
        <v>0</v>
      </c>
      <c r="T53" s="74" t="str">
        <f t="shared" si="17"/>
        <v>-</v>
      </c>
      <c r="U53" s="74" t="str">
        <f t="shared" si="18"/>
        <v>-</v>
      </c>
      <c r="V53" s="79"/>
      <c r="W53" s="66" t="str">
        <f>IFERROR(+VLOOKUP(D53,Data!$F:$G,2,0),"-")</f>
        <v>-</v>
      </c>
    </row>
    <row r="54" spans="2:23" x14ac:dyDescent="0.25">
      <c r="B54" s="79" t="str">
        <f t="shared" si="10"/>
        <v>-</v>
      </c>
      <c r="C54" s="78"/>
      <c r="D54" s="78"/>
      <c r="E54" s="79"/>
      <c r="F54" s="74" t="str">
        <f>IFERROR(+VLOOKUP(E54,Data!$J$4:$K$303,2,0),"")</f>
        <v/>
      </c>
      <c r="G54" s="80"/>
      <c r="H54" s="80"/>
      <c r="I54" s="76" t="str">
        <f t="shared" si="11"/>
        <v/>
      </c>
      <c r="J54" s="75"/>
      <c r="K54" s="77">
        <f t="shared" si="12"/>
        <v>0</v>
      </c>
      <c r="L54" s="77">
        <f t="shared" si="13"/>
        <v>0</v>
      </c>
      <c r="M54" s="75"/>
      <c r="N54" s="77">
        <f t="shared" si="14"/>
        <v>0</v>
      </c>
      <c r="O54" s="77">
        <f t="shared" si="15"/>
        <v>0</v>
      </c>
      <c r="P54" s="75"/>
      <c r="Q54" s="75"/>
      <c r="R54" s="75"/>
      <c r="S54" s="93">
        <f t="shared" si="16"/>
        <v>0</v>
      </c>
      <c r="T54" s="74" t="str">
        <f t="shared" si="17"/>
        <v>-</v>
      </c>
      <c r="U54" s="74" t="str">
        <f t="shared" si="18"/>
        <v>-</v>
      </c>
      <c r="V54" s="79"/>
      <c r="W54" s="66" t="str">
        <f>IFERROR(+VLOOKUP(D54,Data!$F:$G,2,0),"-")</f>
        <v>-</v>
      </c>
    </row>
    <row r="55" spans="2:23" x14ac:dyDescent="0.25">
      <c r="B55" s="79" t="str">
        <f t="shared" si="10"/>
        <v>-</v>
      </c>
      <c r="C55" s="78"/>
      <c r="D55" s="78"/>
      <c r="E55" s="79"/>
      <c r="F55" s="74" t="str">
        <f>IFERROR(+VLOOKUP(E55,Data!$J$4:$K$303,2,0),"")</f>
        <v/>
      </c>
      <c r="G55" s="80"/>
      <c r="H55" s="80"/>
      <c r="I55" s="76" t="str">
        <f t="shared" si="11"/>
        <v/>
      </c>
      <c r="J55" s="75"/>
      <c r="K55" s="77">
        <f t="shared" si="12"/>
        <v>0</v>
      </c>
      <c r="L55" s="77">
        <f t="shared" si="13"/>
        <v>0</v>
      </c>
      <c r="M55" s="75"/>
      <c r="N55" s="77">
        <f t="shared" si="14"/>
        <v>0</v>
      </c>
      <c r="O55" s="77">
        <f t="shared" si="15"/>
        <v>0</v>
      </c>
      <c r="P55" s="75"/>
      <c r="Q55" s="75"/>
      <c r="R55" s="75"/>
      <c r="S55" s="93">
        <f t="shared" si="16"/>
        <v>0</v>
      </c>
      <c r="T55" s="74" t="str">
        <f t="shared" si="17"/>
        <v>-</v>
      </c>
      <c r="U55" s="74" t="str">
        <f t="shared" si="18"/>
        <v>-</v>
      </c>
      <c r="V55" s="79"/>
      <c r="W55" s="66" t="str">
        <f>IFERROR(+VLOOKUP(D55,Data!$F:$G,2,0),"-")</f>
        <v>-</v>
      </c>
    </row>
    <row r="56" spans="2:23" x14ac:dyDescent="0.25">
      <c r="B56" s="79" t="str">
        <f t="shared" si="10"/>
        <v>-</v>
      </c>
      <c r="C56" s="78"/>
      <c r="D56" s="78"/>
      <c r="E56" s="79"/>
      <c r="F56" s="74" t="str">
        <f>IFERROR(+VLOOKUP(E56,Data!$J$4:$K$303,2,0),"")</f>
        <v/>
      </c>
      <c r="G56" s="80"/>
      <c r="H56" s="80"/>
      <c r="I56" s="76" t="str">
        <f t="shared" si="11"/>
        <v/>
      </c>
      <c r="J56" s="75"/>
      <c r="K56" s="77">
        <f t="shared" si="12"/>
        <v>0</v>
      </c>
      <c r="L56" s="77">
        <f t="shared" si="13"/>
        <v>0</v>
      </c>
      <c r="M56" s="75"/>
      <c r="N56" s="77">
        <f t="shared" si="14"/>
        <v>0</v>
      </c>
      <c r="O56" s="77">
        <f t="shared" si="15"/>
        <v>0</v>
      </c>
      <c r="P56" s="75"/>
      <c r="Q56" s="75"/>
      <c r="R56" s="75"/>
      <c r="S56" s="93">
        <f t="shared" si="16"/>
        <v>0</v>
      </c>
      <c r="T56" s="74" t="str">
        <f t="shared" si="17"/>
        <v>-</v>
      </c>
      <c r="U56" s="74" t="str">
        <f t="shared" si="18"/>
        <v>-</v>
      </c>
      <c r="V56" s="79"/>
      <c r="W56" s="66" t="str">
        <f>IFERROR(+VLOOKUP(D56,Data!$F:$G,2,0),"-")</f>
        <v>-</v>
      </c>
    </row>
    <row r="57" spans="2:23" x14ac:dyDescent="0.25">
      <c r="B57" s="79" t="str">
        <f t="shared" si="10"/>
        <v>-</v>
      </c>
      <c r="C57" s="78"/>
      <c r="D57" s="78"/>
      <c r="E57" s="79"/>
      <c r="F57" s="74" t="str">
        <f>IFERROR(+VLOOKUP(E57,Data!$J$4:$K$303,2,0),"")</f>
        <v/>
      </c>
      <c r="G57" s="80"/>
      <c r="H57" s="80"/>
      <c r="I57" s="76" t="str">
        <f t="shared" si="11"/>
        <v/>
      </c>
      <c r="J57" s="75"/>
      <c r="K57" s="77">
        <f t="shared" si="12"/>
        <v>0</v>
      </c>
      <c r="L57" s="77">
        <f t="shared" si="13"/>
        <v>0</v>
      </c>
      <c r="M57" s="75"/>
      <c r="N57" s="77">
        <f t="shared" si="14"/>
        <v>0</v>
      </c>
      <c r="O57" s="77">
        <f t="shared" si="15"/>
        <v>0</v>
      </c>
      <c r="P57" s="75"/>
      <c r="Q57" s="75"/>
      <c r="R57" s="75"/>
      <c r="S57" s="93">
        <f t="shared" si="16"/>
        <v>0</v>
      </c>
      <c r="T57" s="74" t="str">
        <f t="shared" si="17"/>
        <v>-</v>
      </c>
      <c r="U57" s="74" t="str">
        <f t="shared" si="18"/>
        <v>-</v>
      </c>
      <c r="V57" s="79"/>
      <c r="W57" s="66" t="str">
        <f>IFERROR(+VLOOKUP(D57,Data!$F:$G,2,0),"-")</f>
        <v>-</v>
      </c>
    </row>
    <row r="58" spans="2:23" x14ac:dyDescent="0.25">
      <c r="B58" s="79" t="str">
        <f t="shared" si="10"/>
        <v>-</v>
      </c>
      <c r="C58" s="78"/>
      <c r="D58" s="78"/>
      <c r="E58" s="79"/>
      <c r="F58" s="74" t="str">
        <f>IFERROR(+VLOOKUP(E58,Data!$J$4:$K$303,2,0),"")</f>
        <v/>
      </c>
      <c r="G58" s="80"/>
      <c r="H58" s="80"/>
      <c r="I58" s="76" t="str">
        <f t="shared" si="11"/>
        <v/>
      </c>
      <c r="J58" s="75"/>
      <c r="K58" s="77">
        <f t="shared" si="12"/>
        <v>0</v>
      </c>
      <c r="L58" s="77">
        <f t="shared" si="13"/>
        <v>0</v>
      </c>
      <c r="M58" s="75"/>
      <c r="N58" s="77">
        <f t="shared" si="14"/>
        <v>0</v>
      </c>
      <c r="O58" s="77">
        <f t="shared" si="15"/>
        <v>0</v>
      </c>
      <c r="P58" s="75"/>
      <c r="Q58" s="75"/>
      <c r="R58" s="75"/>
      <c r="S58" s="93">
        <f t="shared" si="16"/>
        <v>0</v>
      </c>
      <c r="T58" s="74" t="str">
        <f t="shared" si="17"/>
        <v>-</v>
      </c>
      <c r="U58" s="74" t="str">
        <f t="shared" si="18"/>
        <v>-</v>
      </c>
      <c r="V58" s="79"/>
      <c r="W58" s="66" t="str">
        <f>IFERROR(+VLOOKUP(D58,Data!$F:$G,2,0),"-")</f>
        <v>-</v>
      </c>
    </row>
    <row r="59" spans="2:23" x14ac:dyDescent="0.25">
      <c r="B59" s="79" t="str">
        <f t="shared" si="10"/>
        <v>-</v>
      </c>
      <c r="C59" s="78"/>
      <c r="D59" s="78"/>
      <c r="E59" s="79"/>
      <c r="F59" s="74" t="str">
        <f>IFERROR(+VLOOKUP(E59,Data!$J$4:$K$303,2,0),"")</f>
        <v/>
      </c>
      <c r="G59" s="80"/>
      <c r="H59" s="80"/>
      <c r="I59" s="76" t="str">
        <f t="shared" si="11"/>
        <v/>
      </c>
      <c r="J59" s="75"/>
      <c r="K59" s="77">
        <f t="shared" si="12"/>
        <v>0</v>
      </c>
      <c r="L59" s="77">
        <f t="shared" si="13"/>
        <v>0</v>
      </c>
      <c r="M59" s="75"/>
      <c r="N59" s="77">
        <f t="shared" si="14"/>
        <v>0</v>
      </c>
      <c r="O59" s="77">
        <f t="shared" si="15"/>
        <v>0</v>
      </c>
      <c r="P59" s="75"/>
      <c r="Q59" s="75"/>
      <c r="R59" s="75"/>
      <c r="S59" s="93">
        <f t="shared" si="16"/>
        <v>0</v>
      </c>
      <c r="T59" s="74" t="str">
        <f t="shared" si="17"/>
        <v>-</v>
      </c>
      <c r="U59" s="74" t="str">
        <f t="shared" si="18"/>
        <v>-</v>
      </c>
      <c r="V59" s="79"/>
      <c r="W59" s="66" t="str">
        <f>IFERROR(+VLOOKUP(D59,Data!$F:$G,2,0),"-")</f>
        <v>-</v>
      </c>
    </row>
    <row r="60" spans="2:23" x14ac:dyDescent="0.25">
      <c r="B60" s="79" t="str">
        <f t="shared" si="10"/>
        <v>-</v>
      </c>
      <c r="C60" s="78"/>
      <c r="D60" s="78"/>
      <c r="E60" s="79"/>
      <c r="F60" s="74" t="str">
        <f>IFERROR(+VLOOKUP(E60,Data!$J$4:$K$303,2,0),"")</f>
        <v/>
      </c>
      <c r="G60" s="80"/>
      <c r="H60" s="80"/>
      <c r="I60" s="76" t="str">
        <f t="shared" si="11"/>
        <v/>
      </c>
      <c r="J60" s="75"/>
      <c r="K60" s="77">
        <f t="shared" si="12"/>
        <v>0</v>
      </c>
      <c r="L60" s="77">
        <f t="shared" si="13"/>
        <v>0</v>
      </c>
      <c r="M60" s="75"/>
      <c r="N60" s="77">
        <f t="shared" si="14"/>
        <v>0</v>
      </c>
      <c r="O60" s="77">
        <f t="shared" si="15"/>
        <v>0</v>
      </c>
      <c r="P60" s="75"/>
      <c r="Q60" s="75"/>
      <c r="R60" s="75"/>
      <c r="S60" s="93">
        <f t="shared" si="16"/>
        <v>0</v>
      </c>
      <c r="T60" s="74" t="str">
        <f t="shared" si="17"/>
        <v>-</v>
      </c>
      <c r="U60" s="74" t="str">
        <f t="shared" si="18"/>
        <v>-</v>
      </c>
      <c r="V60" s="79"/>
      <c r="W60" s="66" t="str">
        <f>IFERROR(+VLOOKUP(D60,Data!$F:$G,2,0),"-")</f>
        <v>-</v>
      </c>
    </row>
    <row r="61" spans="2:23" x14ac:dyDescent="0.25">
      <c r="B61" s="79" t="str">
        <f t="shared" si="10"/>
        <v>-</v>
      </c>
      <c r="C61" s="78"/>
      <c r="D61" s="78"/>
      <c r="E61" s="79"/>
      <c r="F61" s="74" t="str">
        <f>IFERROR(+VLOOKUP(E61,Data!$J$4:$K$303,2,0),"")</f>
        <v/>
      </c>
      <c r="G61" s="80"/>
      <c r="H61" s="80"/>
      <c r="I61" s="76" t="str">
        <f t="shared" si="11"/>
        <v/>
      </c>
      <c r="J61" s="75"/>
      <c r="K61" s="77">
        <f t="shared" si="12"/>
        <v>0</v>
      </c>
      <c r="L61" s="77">
        <f t="shared" si="13"/>
        <v>0</v>
      </c>
      <c r="M61" s="75"/>
      <c r="N61" s="77">
        <f t="shared" si="14"/>
        <v>0</v>
      </c>
      <c r="O61" s="77">
        <f t="shared" si="15"/>
        <v>0</v>
      </c>
      <c r="P61" s="75"/>
      <c r="Q61" s="75"/>
      <c r="R61" s="75"/>
      <c r="S61" s="93">
        <f t="shared" si="16"/>
        <v>0</v>
      </c>
      <c r="T61" s="74" t="str">
        <f t="shared" si="17"/>
        <v>-</v>
      </c>
      <c r="U61" s="74" t="str">
        <f t="shared" si="18"/>
        <v>-</v>
      </c>
      <c r="V61" s="79"/>
      <c r="W61" s="66" t="str">
        <f>IFERROR(+VLOOKUP(D61,Data!$F:$G,2,0),"-")</f>
        <v>-</v>
      </c>
    </row>
    <row r="62" spans="2:23" x14ac:dyDescent="0.25">
      <c r="B62" s="79" t="str">
        <f t="shared" si="10"/>
        <v>-</v>
      </c>
      <c r="C62" s="78"/>
      <c r="D62" s="78"/>
      <c r="E62" s="79"/>
      <c r="F62" s="74" t="str">
        <f>IFERROR(+VLOOKUP(E62,Data!$J$4:$K$303,2,0),"")</f>
        <v/>
      </c>
      <c r="G62" s="80"/>
      <c r="H62" s="80"/>
      <c r="I62" s="76" t="str">
        <f t="shared" si="11"/>
        <v/>
      </c>
      <c r="J62" s="75"/>
      <c r="K62" s="77">
        <f t="shared" si="12"/>
        <v>0</v>
      </c>
      <c r="L62" s="77">
        <f t="shared" si="13"/>
        <v>0</v>
      </c>
      <c r="M62" s="75"/>
      <c r="N62" s="77">
        <f t="shared" si="14"/>
        <v>0</v>
      </c>
      <c r="O62" s="77">
        <f t="shared" si="15"/>
        <v>0</v>
      </c>
      <c r="P62" s="75"/>
      <c r="Q62" s="75"/>
      <c r="R62" s="75"/>
      <c r="S62" s="93">
        <f t="shared" si="16"/>
        <v>0</v>
      </c>
      <c r="T62" s="74" t="str">
        <f t="shared" si="17"/>
        <v>-</v>
      </c>
      <c r="U62" s="74" t="str">
        <f t="shared" si="18"/>
        <v>-</v>
      </c>
      <c r="V62" s="79"/>
      <c r="W62" s="66" t="str">
        <f>IFERROR(+VLOOKUP(D62,Data!$F:$G,2,0),"-")</f>
        <v>-</v>
      </c>
    </row>
    <row r="63" spans="2:23" x14ac:dyDescent="0.25">
      <c r="B63" s="79" t="str">
        <f t="shared" si="10"/>
        <v>-</v>
      </c>
      <c r="C63" s="78"/>
      <c r="D63" s="78"/>
      <c r="E63" s="79"/>
      <c r="F63" s="74" t="str">
        <f>IFERROR(+VLOOKUP(E63,Data!$J$4:$K$303,2,0),"")</f>
        <v/>
      </c>
      <c r="G63" s="80"/>
      <c r="H63" s="80"/>
      <c r="I63" s="76" t="str">
        <f t="shared" si="11"/>
        <v/>
      </c>
      <c r="J63" s="75"/>
      <c r="K63" s="77">
        <f t="shared" si="12"/>
        <v>0</v>
      </c>
      <c r="L63" s="77">
        <f t="shared" si="13"/>
        <v>0</v>
      </c>
      <c r="M63" s="75"/>
      <c r="N63" s="77">
        <f t="shared" si="14"/>
        <v>0</v>
      </c>
      <c r="O63" s="77">
        <f t="shared" si="15"/>
        <v>0</v>
      </c>
      <c r="P63" s="75"/>
      <c r="Q63" s="75"/>
      <c r="R63" s="75"/>
      <c r="S63" s="93">
        <f t="shared" si="16"/>
        <v>0</v>
      </c>
      <c r="T63" s="74" t="str">
        <f t="shared" si="17"/>
        <v>-</v>
      </c>
      <c r="U63" s="74" t="str">
        <f t="shared" si="18"/>
        <v>-</v>
      </c>
      <c r="V63" s="79"/>
      <c r="W63" s="66" t="str">
        <f>IFERROR(+VLOOKUP(D63,Data!$F:$G,2,0),"-")</f>
        <v>-</v>
      </c>
    </row>
    <row r="64" spans="2:23" x14ac:dyDescent="0.25">
      <c r="B64" s="79" t="str">
        <f t="shared" si="10"/>
        <v>-</v>
      </c>
      <c r="C64" s="78"/>
      <c r="D64" s="78"/>
      <c r="E64" s="79"/>
      <c r="F64" s="74" t="str">
        <f>IFERROR(+VLOOKUP(E64,Data!$J$4:$K$303,2,0),"")</f>
        <v/>
      </c>
      <c r="G64" s="80"/>
      <c r="H64" s="80"/>
      <c r="I64" s="76" t="str">
        <f t="shared" si="11"/>
        <v/>
      </c>
      <c r="J64" s="75"/>
      <c r="K64" s="77">
        <f t="shared" si="12"/>
        <v>0</v>
      </c>
      <c r="L64" s="77">
        <f t="shared" si="13"/>
        <v>0</v>
      </c>
      <c r="M64" s="75"/>
      <c r="N64" s="77">
        <f t="shared" si="14"/>
        <v>0</v>
      </c>
      <c r="O64" s="77">
        <f t="shared" si="15"/>
        <v>0</v>
      </c>
      <c r="P64" s="75"/>
      <c r="Q64" s="75"/>
      <c r="R64" s="75"/>
      <c r="S64" s="93">
        <f t="shared" si="16"/>
        <v>0</v>
      </c>
      <c r="T64" s="74" t="str">
        <f t="shared" si="17"/>
        <v>-</v>
      </c>
      <c r="U64" s="74" t="str">
        <f t="shared" si="18"/>
        <v>-</v>
      </c>
      <c r="V64" s="79"/>
      <c r="W64" s="66" t="str">
        <f>IFERROR(+VLOOKUP(D64,Data!$F:$G,2,0),"-")</f>
        <v>-</v>
      </c>
    </row>
    <row r="65" spans="2:23" x14ac:dyDescent="0.25">
      <c r="B65" s="79" t="str">
        <f t="shared" si="10"/>
        <v>-</v>
      </c>
      <c r="C65" s="78"/>
      <c r="D65" s="78"/>
      <c r="E65" s="79"/>
      <c r="F65" s="74" t="str">
        <f>IFERROR(+VLOOKUP(E65,Data!$J$4:$K$303,2,0),"")</f>
        <v/>
      </c>
      <c r="G65" s="80"/>
      <c r="H65" s="80"/>
      <c r="I65" s="76" t="str">
        <f t="shared" si="11"/>
        <v/>
      </c>
      <c r="J65" s="75"/>
      <c r="K65" s="77">
        <f t="shared" si="12"/>
        <v>0</v>
      </c>
      <c r="L65" s="77">
        <f t="shared" si="13"/>
        <v>0</v>
      </c>
      <c r="M65" s="75"/>
      <c r="N65" s="77">
        <f t="shared" si="14"/>
        <v>0</v>
      </c>
      <c r="O65" s="77">
        <f t="shared" si="15"/>
        <v>0</v>
      </c>
      <c r="P65" s="75"/>
      <c r="Q65" s="75"/>
      <c r="R65" s="75"/>
      <c r="S65" s="93">
        <f t="shared" si="16"/>
        <v>0</v>
      </c>
      <c r="T65" s="74" t="str">
        <f t="shared" si="17"/>
        <v>-</v>
      </c>
      <c r="U65" s="74" t="str">
        <f t="shared" si="18"/>
        <v>-</v>
      </c>
      <c r="V65" s="79"/>
      <c r="W65" s="66" t="str">
        <f>IFERROR(+VLOOKUP(D65,Data!$F:$G,2,0),"-")</f>
        <v>-</v>
      </c>
    </row>
    <row r="66" spans="2:23" x14ac:dyDescent="0.25">
      <c r="B66" s="79" t="str">
        <f t="shared" si="10"/>
        <v>-</v>
      </c>
      <c r="C66" s="78"/>
      <c r="D66" s="78"/>
      <c r="E66" s="79"/>
      <c r="F66" s="74" t="str">
        <f>IFERROR(+VLOOKUP(E66,Data!$J$4:$K$303,2,0),"")</f>
        <v/>
      </c>
      <c r="G66" s="80"/>
      <c r="H66" s="80"/>
      <c r="I66" s="76" t="str">
        <f t="shared" si="11"/>
        <v/>
      </c>
      <c r="J66" s="75"/>
      <c r="K66" s="77">
        <f t="shared" si="12"/>
        <v>0</v>
      </c>
      <c r="L66" s="77">
        <f t="shared" si="13"/>
        <v>0</v>
      </c>
      <c r="M66" s="75"/>
      <c r="N66" s="77">
        <f t="shared" si="14"/>
        <v>0</v>
      </c>
      <c r="O66" s="77">
        <f t="shared" si="15"/>
        <v>0</v>
      </c>
      <c r="P66" s="75"/>
      <c r="Q66" s="75"/>
      <c r="R66" s="75"/>
      <c r="S66" s="93">
        <f t="shared" si="16"/>
        <v>0</v>
      </c>
      <c r="T66" s="74" t="str">
        <f t="shared" si="17"/>
        <v>-</v>
      </c>
      <c r="U66" s="74" t="str">
        <f t="shared" si="18"/>
        <v>-</v>
      </c>
      <c r="V66" s="79"/>
      <c r="W66" s="66" t="str">
        <f>IFERROR(+VLOOKUP(D66,Data!$F:$G,2,0),"-")</f>
        <v>-</v>
      </c>
    </row>
    <row r="67" spans="2:23" x14ac:dyDescent="0.25">
      <c r="B67" s="79" t="str">
        <f t="shared" si="10"/>
        <v>-</v>
      </c>
      <c r="C67" s="78"/>
      <c r="D67" s="78"/>
      <c r="E67" s="79"/>
      <c r="F67" s="74" t="str">
        <f>IFERROR(+VLOOKUP(E67,Data!$J$4:$K$303,2,0),"")</f>
        <v/>
      </c>
      <c r="G67" s="80"/>
      <c r="H67" s="80"/>
      <c r="I67" s="76" t="str">
        <f t="shared" si="11"/>
        <v/>
      </c>
      <c r="J67" s="75"/>
      <c r="K67" s="77">
        <f t="shared" si="12"/>
        <v>0</v>
      </c>
      <c r="L67" s="77">
        <f t="shared" si="13"/>
        <v>0</v>
      </c>
      <c r="M67" s="75"/>
      <c r="N67" s="77">
        <f t="shared" si="14"/>
        <v>0</v>
      </c>
      <c r="O67" s="77">
        <f t="shared" si="15"/>
        <v>0</v>
      </c>
      <c r="P67" s="75"/>
      <c r="Q67" s="75"/>
      <c r="R67" s="75"/>
      <c r="S67" s="93">
        <f t="shared" si="16"/>
        <v>0</v>
      </c>
      <c r="T67" s="74" t="str">
        <f t="shared" si="17"/>
        <v>-</v>
      </c>
      <c r="U67" s="74" t="str">
        <f t="shared" si="18"/>
        <v>-</v>
      </c>
      <c r="V67" s="79"/>
      <c r="W67" s="66" t="str">
        <f>IFERROR(+VLOOKUP(D67,Data!$F:$G,2,0),"-")</f>
        <v>-</v>
      </c>
    </row>
    <row r="68" spans="2:23" x14ac:dyDescent="0.25">
      <c r="B68" s="79" t="str">
        <f t="shared" si="10"/>
        <v>-</v>
      </c>
      <c r="C68" s="78"/>
      <c r="D68" s="78"/>
      <c r="E68" s="79"/>
      <c r="F68" s="74" t="str">
        <f>IFERROR(+VLOOKUP(E68,Data!$J$4:$K$303,2,0),"")</f>
        <v/>
      </c>
      <c r="G68" s="80"/>
      <c r="H68" s="80"/>
      <c r="I68" s="76" t="str">
        <f t="shared" si="11"/>
        <v/>
      </c>
      <c r="J68" s="75"/>
      <c r="K68" s="77">
        <f t="shared" si="12"/>
        <v>0</v>
      </c>
      <c r="L68" s="77">
        <f t="shared" si="13"/>
        <v>0</v>
      </c>
      <c r="M68" s="75"/>
      <c r="N68" s="77">
        <f t="shared" si="14"/>
        <v>0</v>
      </c>
      <c r="O68" s="77">
        <f t="shared" si="15"/>
        <v>0</v>
      </c>
      <c r="P68" s="75"/>
      <c r="Q68" s="75"/>
      <c r="R68" s="75"/>
      <c r="S68" s="93">
        <f t="shared" si="16"/>
        <v>0</v>
      </c>
      <c r="T68" s="74" t="str">
        <f t="shared" si="17"/>
        <v>-</v>
      </c>
      <c r="U68" s="74" t="str">
        <f t="shared" si="18"/>
        <v>-</v>
      </c>
      <c r="V68" s="79"/>
      <c r="W68" s="66" t="str">
        <f>IFERROR(+VLOOKUP(D68,Data!$F:$G,2,0),"-")</f>
        <v>-</v>
      </c>
    </row>
    <row r="69" spans="2:23" x14ac:dyDescent="0.25">
      <c r="B69" s="79" t="str">
        <f t="shared" ref="B69:B132" si="19">+W69</f>
        <v>-</v>
      </c>
      <c r="C69" s="78"/>
      <c r="D69" s="78"/>
      <c r="E69" s="79"/>
      <c r="F69" s="74" t="str">
        <f>IFERROR(+VLOOKUP(E69,Data!$J$4:$K$303,2,0),"")</f>
        <v/>
      </c>
      <c r="G69" s="80"/>
      <c r="H69" s="80"/>
      <c r="I69" s="76" t="str">
        <f t="shared" ref="I69:I132" si="20">IFERROR(+H69/G69,"")</f>
        <v/>
      </c>
      <c r="J69" s="75"/>
      <c r="K69" s="77">
        <f t="shared" ref="K69:K132" si="21">IFERROR(+G69*J69,"")</f>
        <v>0</v>
      </c>
      <c r="L69" s="77">
        <f t="shared" ref="L69:L132" si="22">IFERROR(IF(I69&lt;&gt;0,H69-G69*6,""),0)</f>
        <v>0</v>
      </c>
      <c r="M69" s="75"/>
      <c r="N69" s="77">
        <f t="shared" ref="N69:N132" si="23">IFERROR(IF(L69&lt;&gt;"",M69*L69,0),"")</f>
        <v>0</v>
      </c>
      <c r="O69" s="77">
        <f t="shared" ref="O69:O132" si="24">+K69+N69</f>
        <v>0</v>
      </c>
      <c r="P69" s="75"/>
      <c r="Q69" s="75"/>
      <c r="R69" s="75"/>
      <c r="S69" s="93">
        <f t="shared" ref="S69:S132" si="25">+P69+Q69+R69</f>
        <v>0</v>
      </c>
      <c r="T69" s="74" t="str">
        <f t="shared" ref="T69:T132" si="26">+IF((O69-P69-Q69-R69)&gt;0,(O69-P69-Q69-R69),"-")</f>
        <v>-</v>
      </c>
      <c r="U69" s="74" t="str">
        <f t="shared" ref="U69:U132" si="27">+IF((O69-P69-Q69-R69)&lt;0,(P69+Q69+R69-O69),"-")</f>
        <v>-</v>
      </c>
      <c r="V69" s="79"/>
      <c r="W69" s="66" t="str">
        <f>IFERROR(+VLOOKUP(D69,Data!$F:$G,2,0),"-")</f>
        <v>-</v>
      </c>
    </row>
    <row r="70" spans="2:23" x14ac:dyDescent="0.25">
      <c r="B70" s="79" t="str">
        <f t="shared" si="19"/>
        <v>-</v>
      </c>
      <c r="C70" s="78"/>
      <c r="D70" s="78"/>
      <c r="E70" s="79"/>
      <c r="F70" s="74" t="str">
        <f>IFERROR(+VLOOKUP(E70,Data!$J$4:$K$303,2,0),"")</f>
        <v/>
      </c>
      <c r="G70" s="80"/>
      <c r="H70" s="80"/>
      <c r="I70" s="76" t="str">
        <f t="shared" si="20"/>
        <v/>
      </c>
      <c r="J70" s="75"/>
      <c r="K70" s="77">
        <f t="shared" si="21"/>
        <v>0</v>
      </c>
      <c r="L70" s="77">
        <f t="shared" si="22"/>
        <v>0</v>
      </c>
      <c r="M70" s="75"/>
      <c r="N70" s="77">
        <f t="shared" si="23"/>
        <v>0</v>
      </c>
      <c r="O70" s="77">
        <f t="shared" si="24"/>
        <v>0</v>
      </c>
      <c r="P70" s="75"/>
      <c r="Q70" s="75"/>
      <c r="R70" s="75"/>
      <c r="S70" s="93">
        <f t="shared" si="25"/>
        <v>0</v>
      </c>
      <c r="T70" s="74" t="str">
        <f t="shared" si="26"/>
        <v>-</v>
      </c>
      <c r="U70" s="74" t="str">
        <f t="shared" si="27"/>
        <v>-</v>
      </c>
      <c r="V70" s="79"/>
      <c r="W70" s="66" t="str">
        <f>IFERROR(+VLOOKUP(D70,Data!$F:$G,2,0),"-")</f>
        <v>-</v>
      </c>
    </row>
    <row r="71" spans="2:23" x14ac:dyDescent="0.25">
      <c r="B71" s="79" t="str">
        <f t="shared" si="19"/>
        <v>-</v>
      </c>
      <c r="C71" s="78"/>
      <c r="D71" s="78"/>
      <c r="E71" s="79"/>
      <c r="F71" s="74" t="str">
        <f>IFERROR(+VLOOKUP(E71,Data!$J$4:$K$303,2,0),"")</f>
        <v/>
      </c>
      <c r="G71" s="80"/>
      <c r="H71" s="80"/>
      <c r="I71" s="76" t="str">
        <f t="shared" si="20"/>
        <v/>
      </c>
      <c r="J71" s="75"/>
      <c r="K71" s="77">
        <f t="shared" si="21"/>
        <v>0</v>
      </c>
      <c r="L71" s="77">
        <f t="shared" si="22"/>
        <v>0</v>
      </c>
      <c r="M71" s="75"/>
      <c r="N71" s="77">
        <f t="shared" si="23"/>
        <v>0</v>
      </c>
      <c r="O71" s="77">
        <f t="shared" si="24"/>
        <v>0</v>
      </c>
      <c r="P71" s="75"/>
      <c r="Q71" s="75"/>
      <c r="R71" s="75"/>
      <c r="S71" s="93">
        <f t="shared" si="25"/>
        <v>0</v>
      </c>
      <c r="T71" s="74" t="str">
        <f t="shared" si="26"/>
        <v>-</v>
      </c>
      <c r="U71" s="74" t="str">
        <f t="shared" si="27"/>
        <v>-</v>
      </c>
      <c r="V71" s="79"/>
      <c r="W71" s="66" t="str">
        <f>IFERROR(+VLOOKUP(D71,Data!$F:$G,2,0),"-")</f>
        <v>-</v>
      </c>
    </row>
    <row r="72" spans="2:23" x14ac:dyDescent="0.25">
      <c r="B72" s="79" t="str">
        <f t="shared" si="19"/>
        <v>-</v>
      </c>
      <c r="C72" s="78"/>
      <c r="D72" s="78"/>
      <c r="E72" s="79"/>
      <c r="F72" s="74" t="str">
        <f>IFERROR(+VLOOKUP(E72,Data!$J$4:$K$303,2,0),"")</f>
        <v/>
      </c>
      <c r="G72" s="80"/>
      <c r="H72" s="80"/>
      <c r="I72" s="76" t="str">
        <f t="shared" si="20"/>
        <v/>
      </c>
      <c r="J72" s="75"/>
      <c r="K72" s="77">
        <f t="shared" si="21"/>
        <v>0</v>
      </c>
      <c r="L72" s="77">
        <f t="shared" si="22"/>
        <v>0</v>
      </c>
      <c r="M72" s="75"/>
      <c r="N72" s="77">
        <f t="shared" si="23"/>
        <v>0</v>
      </c>
      <c r="O72" s="77">
        <f t="shared" si="24"/>
        <v>0</v>
      </c>
      <c r="P72" s="75"/>
      <c r="Q72" s="75"/>
      <c r="R72" s="75"/>
      <c r="S72" s="93">
        <f t="shared" si="25"/>
        <v>0</v>
      </c>
      <c r="T72" s="74" t="str">
        <f t="shared" si="26"/>
        <v>-</v>
      </c>
      <c r="U72" s="74" t="str">
        <f t="shared" si="27"/>
        <v>-</v>
      </c>
      <c r="V72" s="79"/>
      <c r="W72" s="66" t="str">
        <f>IFERROR(+VLOOKUP(D72,Data!$F:$G,2,0),"-")</f>
        <v>-</v>
      </c>
    </row>
    <row r="73" spans="2:23" x14ac:dyDescent="0.25">
      <c r="B73" s="79" t="str">
        <f t="shared" si="19"/>
        <v>-</v>
      </c>
      <c r="C73" s="78"/>
      <c r="D73" s="78"/>
      <c r="E73" s="79"/>
      <c r="F73" s="74" t="str">
        <f>IFERROR(+VLOOKUP(E73,Data!$J$4:$K$303,2,0),"")</f>
        <v/>
      </c>
      <c r="G73" s="80"/>
      <c r="H73" s="80"/>
      <c r="I73" s="76" t="str">
        <f t="shared" si="20"/>
        <v/>
      </c>
      <c r="J73" s="75"/>
      <c r="K73" s="77">
        <f t="shared" si="21"/>
        <v>0</v>
      </c>
      <c r="L73" s="77">
        <f t="shared" si="22"/>
        <v>0</v>
      </c>
      <c r="M73" s="75"/>
      <c r="N73" s="77">
        <f t="shared" si="23"/>
        <v>0</v>
      </c>
      <c r="O73" s="77">
        <f t="shared" si="24"/>
        <v>0</v>
      </c>
      <c r="P73" s="75"/>
      <c r="Q73" s="75"/>
      <c r="R73" s="75"/>
      <c r="S73" s="93">
        <f t="shared" si="25"/>
        <v>0</v>
      </c>
      <c r="T73" s="74" t="str">
        <f t="shared" si="26"/>
        <v>-</v>
      </c>
      <c r="U73" s="74" t="str">
        <f t="shared" si="27"/>
        <v>-</v>
      </c>
      <c r="V73" s="79"/>
      <c r="W73" s="66" t="str">
        <f>IFERROR(+VLOOKUP(D73,Data!$F:$G,2,0),"-")</f>
        <v>-</v>
      </c>
    </row>
    <row r="74" spans="2:23" x14ac:dyDescent="0.25">
      <c r="B74" s="79" t="str">
        <f t="shared" si="19"/>
        <v>-</v>
      </c>
      <c r="C74" s="78"/>
      <c r="D74" s="78"/>
      <c r="E74" s="79"/>
      <c r="F74" s="74" t="str">
        <f>IFERROR(+VLOOKUP(E74,Data!$J$4:$K$303,2,0),"")</f>
        <v/>
      </c>
      <c r="G74" s="80"/>
      <c r="H74" s="80"/>
      <c r="I74" s="76" t="str">
        <f t="shared" si="20"/>
        <v/>
      </c>
      <c r="J74" s="75"/>
      <c r="K74" s="77">
        <f t="shared" si="21"/>
        <v>0</v>
      </c>
      <c r="L74" s="77">
        <f t="shared" si="22"/>
        <v>0</v>
      </c>
      <c r="M74" s="75"/>
      <c r="N74" s="77">
        <f t="shared" si="23"/>
        <v>0</v>
      </c>
      <c r="O74" s="77">
        <f t="shared" si="24"/>
        <v>0</v>
      </c>
      <c r="P74" s="75"/>
      <c r="Q74" s="75"/>
      <c r="R74" s="75"/>
      <c r="S74" s="93">
        <f t="shared" si="25"/>
        <v>0</v>
      </c>
      <c r="T74" s="74" t="str">
        <f t="shared" si="26"/>
        <v>-</v>
      </c>
      <c r="U74" s="74" t="str">
        <f t="shared" si="27"/>
        <v>-</v>
      </c>
      <c r="V74" s="79"/>
      <c r="W74" s="66" t="str">
        <f>IFERROR(+VLOOKUP(D74,Data!$F:$G,2,0),"-")</f>
        <v>-</v>
      </c>
    </row>
    <row r="75" spans="2:23" x14ac:dyDescent="0.25">
      <c r="B75" s="79" t="str">
        <f t="shared" si="19"/>
        <v>-</v>
      </c>
      <c r="C75" s="78"/>
      <c r="D75" s="78"/>
      <c r="E75" s="79"/>
      <c r="F75" s="74" t="str">
        <f>IFERROR(+VLOOKUP(E75,Data!$J$4:$K$303,2,0),"")</f>
        <v/>
      </c>
      <c r="G75" s="80"/>
      <c r="H75" s="80"/>
      <c r="I75" s="76" t="str">
        <f t="shared" si="20"/>
        <v/>
      </c>
      <c r="J75" s="75"/>
      <c r="K75" s="77">
        <f t="shared" si="21"/>
        <v>0</v>
      </c>
      <c r="L75" s="77">
        <f t="shared" si="22"/>
        <v>0</v>
      </c>
      <c r="M75" s="75"/>
      <c r="N75" s="77">
        <f t="shared" si="23"/>
        <v>0</v>
      </c>
      <c r="O75" s="77">
        <f t="shared" si="24"/>
        <v>0</v>
      </c>
      <c r="P75" s="75"/>
      <c r="Q75" s="75"/>
      <c r="R75" s="75"/>
      <c r="S75" s="93">
        <f t="shared" si="25"/>
        <v>0</v>
      </c>
      <c r="T75" s="74" t="str">
        <f t="shared" si="26"/>
        <v>-</v>
      </c>
      <c r="U75" s="74" t="str">
        <f t="shared" si="27"/>
        <v>-</v>
      </c>
      <c r="V75" s="79"/>
      <c r="W75" s="66" t="str">
        <f>IFERROR(+VLOOKUP(D75,Data!$F:$G,2,0),"-")</f>
        <v>-</v>
      </c>
    </row>
    <row r="76" spans="2:23" x14ac:dyDescent="0.25">
      <c r="B76" s="79" t="str">
        <f t="shared" si="19"/>
        <v>-</v>
      </c>
      <c r="C76" s="78"/>
      <c r="D76" s="78"/>
      <c r="E76" s="79"/>
      <c r="F76" s="74" t="str">
        <f>IFERROR(+VLOOKUP(E76,Data!$J$4:$K$303,2,0),"")</f>
        <v/>
      </c>
      <c r="G76" s="80"/>
      <c r="H76" s="80"/>
      <c r="I76" s="76" t="str">
        <f t="shared" si="20"/>
        <v/>
      </c>
      <c r="J76" s="75"/>
      <c r="K76" s="77">
        <f t="shared" si="21"/>
        <v>0</v>
      </c>
      <c r="L76" s="77">
        <f t="shared" si="22"/>
        <v>0</v>
      </c>
      <c r="M76" s="75"/>
      <c r="N76" s="77">
        <f t="shared" si="23"/>
        <v>0</v>
      </c>
      <c r="O76" s="77">
        <f t="shared" si="24"/>
        <v>0</v>
      </c>
      <c r="P76" s="75"/>
      <c r="Q76" s="75"/>
      <c r="R76" s="75"/>
      <c r="S76" s="93">
        <f t="shared" si="25"/>
        <v>0</v>
      </c>
      <c r="T76" s="74" t="str">
        <f t="shared" si="26"/>
        <v>-</v>
      </c>
      <c r="U76" s="74" t="str">
        <f t="shared" si="27"/>
        <v>-</v>
      </c>
      <c r="V76" s="79"/>
      <c r="W76" s="66" t="str">
        <f>IFERROR(+VLOOKUP(D76,Data!$F:$G,2,0),"-")</f>
        <v>-</v>
      </c>
    </row>
    <row r="77" spans="2:23" x14ac:dyDescent="0.25">
      <c r="B77" s="79" t="str">
        <f t="shared" si="19"/>
        <v>-</v>
      </c>
      <c r="C77" s="78"/>
      <c r="D77" s="78"/>
      <c r="E77" s="79"/>
      <c r="F77" s="74" t="str">
        <f>IFERROR(+VLOOKUP(E77,Data!$J$4:$K$303,2,0),"")</f>
        <v/>
      </c>
      <c r="G77" s="80"/>
      <c r="H77" s="80"/>
      <c r="I77" s="76" t="str">
        <f t="shared" si="20"/>
        <v/>
      </c>
      <c r="J77" s="75"/>
      <c r="K77" s="77">
        <f t="shared" si="21"/>
        <v>0</v>
      </c>
      <c r="L77" s="77">
        <f t="shared" si="22"/>
        <v>0</v>
      </c>
      <c r="M77" s="75"/>
      <c r="N77" s="77">
        <f t="shared" si="23"/>
        <v>0</v>
      </c>
      <c r="O77" s="77">
        <f t="shared" si="24"/>
        <v>0</v>
      </c>
      <c r="P77" s="75"/>
      <c r="Q77" s="75"/>
      <c r="R77" s="75"/>
      <c r="S77" s="93">
        <f t="shared" si="25"/>
        <v>0</v>
      </c>
      <c r="T77" s="74" t="str">
        <f t="shared" si="26"/>
        <v>-</v>
      </c>
      <c r="U77" s="74" t="str">
        <f t="shared" si="27"/>
        <v>-</v>
      </c>
      <c r="V77" s="79"/>
      <c r="W77" s="66" t="str">
        <f>IFERROR(+VLOOKUP(D77,Data!$F:$G,2,0),"-")</f>
        <v>-</v>
      </c>
    </row>
    <row r="78" spans="2:23" x14ac:dyDescent="0.25">
      <c r="B78" s="79" t="str">
        <f t="shared" si="19"/>
        <v>-</v>
      </c>
      <c r="C78" s="78"/>
      <c r="D78" s="78"/>
      <c r="E78" s="79"/>
      <c r="F78" s="74" t="str">
        <f>IFERROR(+VLOOKUP(E78,Data!$J$4:$K$303,2,0),"")</f>
        <v/>
      </c>
      <c r="G78" s="80"/>
      <c r="H78" s="80"/>
      <c r="I78" s="76" t="str">
        <f t="shared" si="20"/>
        <v/>
      </c>
      <c r="J78" s="75"/>
      <c r="K78" s="77">
        <f t="shared" si="21"/>
        <v>0</v>
      </c>
      <c r="L78" s="77">
        <f t="shared" si="22"/>
        <v>0</v>
      </c>
      <c r="M78" s="75"/>
      <c r="N78" s="77">
        <f t="shared" si="23"/>
        <v>0</v>
      </c>
      <c r="O78" s="77">
        <f t="shared" si="24"/>
        <v>0</v>
      </c>
      <c r="P78" s="75"/>
      <c r="Q78" s="75"/>
      <c r="R78" s="75"/>
      <c r="S78" s="93">
        <f t="shared" si="25"/>
        <v>0</v>
      </c>
      <c r="T78" s="74" t="str">
        <f t="shared" si="26"/>
        <v>-</v>
      </c>
      <c r="U78" s="74" t="str">
        <f t="shared" si="27"/>
        <v>-</v>
      </c>
      <c r="V78" s="79"/>
      <c r="W78" s="66" t="str">
        <f>IFERROR(+VLOOKUP(D78,Data!$F:$G,2,0),"-")</f>
        <v>-</v>
      </c>
    </row>
    <row r="79" spans="2:23" x14ac:dyDescent="0.25">
      <c r="B79" s="79" t="str">
        <f t="shared" si="19"/>
        <v>-</v>
      </c>
      <c r="C79" s="78"/>
      <c r="D79" s="78"/>
      <c r="E79" s="79"/>
      <c r="F79" s="74" t="str">
        <f>IFERROR(+VLOOKUP(E79,Data!$J$4:$K$303,2,0),"")</f>
        <v/>
      </c>
      <c r="G79" s="80"/>
      <c r="H79" s="80"/>
      <c r="I79" s="76" t="str">
        <f t="shared" si="20"/>
        <v/>
      </c>
      <c r="J79" s="75"/>
      <c r="K79" s="77">
        <f t="shared" si="21"/>
        <v>0</v>
      </c>
      <c r="L79" s="77">
        <f t="shared" si="22"/>
        <v>0</v>
      </c>
      <c r="M79" s="75"/>
      <c r="N79" s="77">
        <f t="shared" si="23"/>
        <v>0</v>
      </c>
      <c r="O79" s="77">
        <f t="shared" si="24"/>
        <v>0</v>
      </c>
      <c r="P79" s="75"/>
      <c r="Q79" s="75"/>
      <c r="R79" s="75"/>
      <c r="S79" s="93">
        <f t="shared" si="25"/>
        <v>0</v>
      </c>
      <c r="T79" s="74" t="str">
        <f t="shared" si="26"/>
        <v>-</v>
      </c>
      <c r="U79" s="74" t="str">
        <f t="shared" si="27"/>
        <v>-</v>
      </c>
      <c r="V79" s="79"/>
      <c r="W79" s="66" t="str">
        <f>IFERROR(+VLOOKUP(D79,Data!$F:$G,2,0),"-")</f>
        <v>-</v>
      </c>
    </row>
    <row r="80" spans="2:23" x14ac:dyDescent="0.25">
      <c r="B80" s="79" t="str">
        <f t="shared" si="19"/>
        <v>-</v>
      </c>
      <c r="C80" s="78"/>
      <c r="D80" s="78"/>
      <c r="E80" s="79"/>
      <c r="F80" s="74" t="str">
        <f>IFERROR(+VLOOKUP(E80,Data!$J$4:$K$303,2,0),"")</f>
        <v/>
      </c>
      <c r="G80" s="80"/>
      <c r="H80" s="80"/>
      <c r="I80" s="76" t="str">
        <f t="shared" si="20"/>
        <v/>
      </c>
      <c r="J80" s="75"/>
      <c r="K80" s="77">
        <f t="shared" si="21"/>
        <v>0</v>
      </c>
      <c r="L80" s="77">
        <f t="shared" si="22"/>
        <v>0</v>
      </c>
      <c r="M80" s="75"/>
      <c r="N80" s="77">
        <f t="shared" si="23"/>
        <v>0</v>
      </c>
      <c r="O80" s="77">
        <f t="shared" si="24"/>
        <v>0</v>
      </c>
      <c r="P80" s="75"/>
      <c r="Q80" s="75"/>
      <c r="R80" s="75"/>
      <c r="S80" s="93">
        <f t="shared" si="25"/>
        <v>0</v>
      </c>
      <c r="T80" s="74" t="str">
        <f t="shared" si="26"/>
        <v>-</v>
      </c>
      <c r="U80" s="74" t="str">
        <f t="shared" si="27"/>
        <v>-</v>
      </c>
      <c r="V80" s="79"/>
      <c r="W80" s="66" t="str">
        <f>IFERROR(+VLOOKUP(D80,Data!$F:$G,2,0),"-")</f>
        <v>-</v>
      </c>
    </row>
    <row r="81" spans="2:23" x14ac:dyDescent="0.25">
      <c r="B81" s="79" t="str">
        <f t="shared" si="19"/>
        <v>-</v>
      </c>
      <c r="C81" s="78"/>
      <c r="D81" s="78"/>
      <c r="E81" s="79"/>
      <c r="F81" s="74" t="str">
        <f>IFERROR(+VLOOKUP(E81,Data!$J$4:$K$303,2,0),"")</f>
        <v/>
      </c>
      <c r="G81" s="80"/>
      <c r="H81" s="80"/>
      <c r="I81" s="76" t="str">
        <f t="shared" si="20"/>
        <v/>
      </c>
      <c r="J81" s="75"/>
      <c r="K81" s="77">
        <f t="shared" si="21"/>
        <v>0</v>
      </c>
      <c r="L81" s="77">
        <f t="shared" si="22"/>
        <v>0</v>
      </c>
      <c r="M81" s="75"/>
      <c r="N81" s="77">
        <f t="shared" si="23"/>
        <v>0</v>
      </c>
      <c r="O81" s="77">
        <f t="shared" si="24"/>
        <v>0</v>
      </c>
      <c r="P81" s="75"/>
      <c r="Q81" s="75"/>
      <c r="R81" s="75"/>
      <c r="S81" s="93">
        <f t="shared" si="25"/>
        <v>0</v>
      </c>
      <c r="T81" s="74" t="str">
        <f t="shared" si="26"/>
        <v>-</v>
      </c>
      <c r="U81" s="74" t="str">
        <f t="shared" si="27"/>
        <v>-</v>
      </c>
      <c r="V81" s="79"/>
      <c r="W81" s="66" t="str">
        <f>IFERROR(+VLOOKUP(D81,Data!$F:$G,2,0),"-")</f>
        <v>-</v>
      </c>
    </row>
    <row r="82" spans="2:23" x14ac:dyDescent="0.25">
      <c r="B82" s="79" t="str">
        <f t="shared" si="19"/>
        <v>-</v>
      </c>
      <c r="C82" s="78"/>
      <c r="D82" s="78"/>
      <c r="E82" s="79"/>
      <c r="F82" s="74" t="str">
        <f>IFERROR(+VLOOKUP(E82,Data!$J$4:$K$303,2,0),"")</f>
        <v/>
      </c>
      <c r="G82" s="80"/>
      <c r="H82" s="80"/>
      <c r="I82" s="76" t="str">
        <f t="shared" si="20"/>
        <v/>
      </c>
      <c r="J82" s="75"/>
      <c r="K82" s="77">
        <f t="shared" si="21"/>
        <v>0</v>
      </c>
      <c r="L82" s="77">
        <f t="shared" si="22"/>
        <v>0</v>
      </c>
      <c r="M82" s="75"/>
      <c r="N82" s="77">
        <f t="shared" si="23"/>
        <v>0</v>
      </c>
      <c r="O82" s="77">
        <f t="shared" si="24"/>
        <v>0</v>
      </c>
      <c r="P82" s="75"/>
      <c r="Q82" s="75"/>
      <c r="R82" s="75"/>
      <c r="S82" s="93">
        <f t="shared" si="25"/>
        <v>0</v>
      </c>
      <c r="T82" s="74" t="str">
        <f t="shared" si="26"/>
        <v>-</v>
      </c>
      <c r="U82" s="74" t="str">
        <f t="shared" si="27"/>
        <v>-</v>
      </c>
      <c r="V82" s="79"/>
      <c r="W82" s="66" t="str">
        <f>IFERROR(+VLOOKUP(D82,Data!$F:$G,2,0),"-")</f>
        <v>-</v>
      </c>
    </row>
    <row r="83" spans="2:23" x14ac:dyDescent="0.25">
      <c r="B83" s="79" t="str">
        <f t="shared" si="19"/>
        <v>-</v>
      </c>
      <c r="C83" s="78"/>
      <c r="D83" s="78"/>
      <c r="E83" s="79"/>
      <c r="F83" s="74" t="str">
        <f>IFERROR(+VLOOKUP(E83,Data!$J$4:$K$303,2,0),"")</f>
        <v/>
      </c>
      <c r="G83" s="80"/>
      <c r="H83" s="80"/>
      <c r="I83" s="76" t="str">
        <f t="shared" si="20"/>
        <v/>
      </c>
      <c r="J83" s="75"/>
      <c r="K83" s="77">
        <f t="shared" si="21"/>
        <v>0</v>
      </c>
      <c r="L83" s="77">
        <f t="shared" si="22"/>
        <v>0</v>
      </c>
      <c r="M83" s="75"/>
      <c r="N83" s="77">
        <f t="shared" si="23"/>
        <v>0</v>
      </c>
      <c r="O83" s="77">
        <f t="shared" si="24"/>
        <v>0</v>
      </c>
      <c r="P83" s="75"/>
      <c r="Q83" s="75"/>
      <c r="R83" s="75"/>
      <c r="S83" s="93">
        <f t="shared" si="25"/>
        <v>0</v>
      </c>
      <c r="T83" s="74" t="str">
        <f t="shared" si="26"/>
        <v>-</v>
      </c>
      <c r="U83" s="74" t="str">
        <f t="shared" si="27"/>
        <v>-</v>
      </c>
      <c r="V83" s="79"/>
      <c r="W83" s="66" t="str">
        <f>IFERROR(+VLOOKUP(D83,Data!$F:$G,2,0),"-")</f>
        <v>-</v>
      </c>
    </row>
    <row r="84" spans="2:23" x14ac:dyDescent="0.25">
      <c r="B84" s="79" t="str">
        <f t="shared" si="19"/>
        <v>-</v>
      </c>
      <c r="C84" s="78"/>
      <c r="D84" s="78"/>
      <c r="E84" s="79"/>
      <c r="F84" s="74" t="str">
        <f>IFERROR(+VLOOKUP(E84,Data!$J$4:$K$303,2,0),"")</f>
        <v/>
      </c>
      <c r="G84" s="80"/>
      <c r="H84" s="80"/>
      <c r="I84" s="76" t="str">
        <f t="shared" si="20"/>
        <v/>
      </c>
      <c r="J84" s="75"/>
      <c r="K84" s="77">
        <f t="shared" si="21"/>
        <v>0</v>
      </c>
      <c r="L84" s="77">
        <f t="shared" si="22"/>
        <v>0</v>
      </c>
      <c r="M84" s="75"/>
      <c r="N84" s="77">
        <f t="shared" si="23"/>
        <v>0</v>
      </c>
      <c r="O84" s="77">
        <f t="shared" si="24"/>
        <v>0</v>
      </c>
      <c r="P84" s="75"/>
      <c r="Q84" s="75"/>
      <c r="R84" s="75"/>
      <c r="S84" s="93">
        <f t="shared" si="25"/>
        <v>0</v>
      </c>
      <c r="T84" s="74" t="str">
        <f t="shared" si="26"/>
        <v>-</v>
      </c>
      <c r="U84" s="74" t="str">
        <f t="shared" si="27"/>
        <v>-</v>
      </c>
      <c r="V84" s="79"/>
      <c r="W84" s="66" t="str">
        <f>IFERROR(+VLOOKUP(D84,Data!$F:$G,2,0),"-")</f>
        <v>-</v>
      </c>
    </row>
    <row r="85" spans="2:23" x14ac:dyDescent="0.25">
      <c r="B85" s="79" t="str">
        <f t="shared" si="19"/>
        <v>-</v>
      </c>
      <c r="C85" s="78"/>
      <c r="D85" s="78"/>
      <c r="E85" s="79"/>
      <c r="F85" s="74" t="str">
        <f>IFERROR(+VLOOKUP(E85,Data!$J$4:$K$303,2,0),"")</f>
        <v/>
      </c>
      <c r="G85" s="80"/>
      <c r="H85" s="80"/>
      <c r="I85" s="76" t="str">
        <f t="shared" si="20"/>
        <v/>
      </c>
      <c r="J85" s="75"/>
      <c r="K85" s="77">
        <f t="shared" si="21"/>
        <v>0</v>
      </c>
      <c r="L85" s="77">
        <f t="shared" si="22"/>
        <v>0</v>
      </c>
      <c r="M85" s="75"/>
      <c r="N85" s="77">
        <f t="shared" si="23"/>
        <v>0</v>
      </c>
      <c r="O85" s="77">
        <f t="shared" si="24"/>
        <v>0</v>
      </c>
      <c r="P85" s="75"/>
      <c r="Q85" s="75"/>
      <c r="R85" s="75"/>
      <c r="S85" s="93">
        <f t="shared" si="25"/>
        <v>0</v>
      </c>
      <c r="T85" s="74" t="str">
        <f t="shared" si="26"/>
        <v>-</v>
      </c>
      <c r="U85" s="74" t="str">
        <f t="shared" si="27"/>
        <v>-</v>
      </c>
      <c r="V85" s="79"/>
      <c r="W85" s="66" t="str">
        <f>IFERROR(+VLOOKUP(D85,Data!$F:$G,2,0),"-")</f>
        <v>-</v>
      </c>
    </row>
    <row r="86" spans="2:23" x14ac:dyDescent="0.25">
      <c r="B86" s="79" t="str">
        <f t="shared" si="19"/>
        <v>-</v>
      </c>
      <c r="C86" s="78"/>
      <c r="D86" s="78"/>
      <c r="E86" s="79"/>
      <c r="F86" s="74" t="str">
        <f>IFERROR(+VLOOKUP(E86,Data!$J$4:$K$303,2,0),"")</f>
        <v/>
      </c>
      <c r="G86" s="80"/>
      <c r="H86" s="80"/>
      <c r="I86" s="76" t="str">
        <f t="shared" si="20"/>
        <v/>
      </c>
      <c r="J86" s="75"/>
      <c r="K86" s="77">
        <f t="shared" si="21"/>
        <v>0</v>
      </c>
      <c r="L86" s="77">
        <f t="shared" si="22"/>
        <v>0</v>
      </c>
      <c r="M86" s="75"/>
      <c r="N86" s="77">
        <f t="shared" si="23"/>
        <v>0</v>
      </c>
      <c r="O86" s="77">
        <f t="shared" si="24"/>
        <v>0</v>
      </c>
      <c r="P86" s="75"/>
      <c r="Q86" s="75"/>
      <c r="R86" s="75"/>
      <c r="S86" s="93">
        <f t="shared" si="25"/>
        <v>0</v>
      </c>
      <c r="T86" s="74" t="str">
        <f t="shared" si="26"/>
        <v>-</v>
      </c>
      <c r="U86" s="74" t="str">
        <f t="shared" si="27"/>
        <v>-</v>
      </c>
      <c r="V86" s="79"/>
      <c r="W86" s="66" t="str">
        <f>IFERROR(+VLOOKUP(D86,Data!$F:$G,2,0),"-")</f>
        <v>-</v>
      </c>
    </row>
    <row r="87" spans="2:23" x14ac:dyDescent="0.25">
      <c r="B87" s="79" t="str">
        <f t="shared" si="19"/>
        <v>-</v>
      </c>
      <c r="C87" s="78"/>
      <c r="D87" s="78"/>
      <c r="E87" s="79"/>
      <c r="F87" s="74" t="str">
        <f>IFERROR(+VLOOKUP(E87,Data!$J$4:$K$303,2,0),"")</f>
        <v/>
      </c>
      <c r="G87" s="80"/>
      <c r="H87" s="80"/>
      <c r="I87" s="76" t="str">
        <f t="shared" si="20"/>
        <v/>
      </c>
      <c r="J87" s="75"/>
      <c r="K87" s="77">
        <f t="shared" si="21"/>
        <v>0</v>
      </c>
      <c r="L87" s="77">
        <f t="shared" si="22"/>
        <v>0</v>
      </c>
      <c r="M87" s="75"/>
      <c r="N87" s="77">
        <f t="shared" si="23"/>
        <v>0</v>
      </c>
      <c r="O87" s="77">
        <f t="shared" si="24"/>
        <v>0</v>
      </c>
      <c r="P87" s="75"/>
      <c r="Q87" s="75"/>
      <c r="R87" s="75"/>
      <c r="S87" s="93">
        <f t="shared" si="25"/>
        <v>0</v>
      </c>
      <c r="T87" s="74" t="str">
        <f t="shared" si="26"/>
        <v>-</v>
      </c>
      <c r="U87" s="74" t="str">
        <f t="shared" si="27"/>
        <v>-</v>
      </c>
      <c r="V87" s="79"/>
      <c r="W87" s="66" t="str">
        <f>IFERROR(+VLOOKUP(D87,Data!$F:$G,2,0),"-")</f>
        <v>-</v>
      </c>
    </row>
    <row r="88" spans="2:23" x14ac:dyDescent="0.25">
      <c r="B88" s="79" t="str">
        <f t="shared" si="19"/>
        <v>-</v>
      </c>
      <c r="C88" s="78"/>
      <c r="D88" s="78"/>
      <c r="E88" s="79"/>
      <c r="F88" s="74" t="str">
        <f>IFERROR(+VLOOKUP(E88,Data!$J$4:$K$303,2,0),"")</f>
        <v/>
      </c>
      <c r="G88" s="80"/>
      <c r="H88" s="80"/>
      <c r="I88" s="76" t="str">
        <f t="shared" si="20"/>
        <v/>
      </c>
      <c r="J88" s="75"/>
      <c r="K88" s="77">
        <f t="shared" si="21"/>
        <v>0</v>
      </c>
      <c r="L88" s="77">
        <f t="shared" si="22"/>
        <v>0</v>
      </c>
      <c r="M88" s="75"/>
      <c r="N88" s="77">
        <f t="shared" si="23"/>
        <v>0</v>
      </c>
      <c r="O88" s="77">
        <f t="shared" si="24"/>
        <v>0</v>
      </c>
      <c r="P88" s="75"/>
      <c r="Q88" s="75"/>
      <c r="R88" s="75"/>
      <c r="S88" s="93">
        <f t="shared" si="25"/>
        <v>0</v>
      </c>
      <c r="T88" s="74" t="str">
        <f t="shared" si="26"/>
        <v>-</v>
      </c>
      <c r="U88" s="74" t="str">
        <f t="shared" si="27"/>
        <v>-</v>
      </c>
      <c r="V88" s="79"/>
      <c r="W88" s="66" t="str">
        <f>IFERROR(+VLOOKUP(D88,Data!$F:$G,2,0),"-")</f>
        <v>-</v>
      </c>
    </row>
    <row r="89" spans="2:23" x14ac:dyDescent="0.25">
      <c r="B89" s="79" t="str">
        <f t="shared" si="19"/>
        <v>-</v>
      </c>
      <c r="C89" s="78"/>
      <c r="D89" s="78"/>
      <c r="E89" s="79"/>
      <c r="F89" s="74" t="str">
        <f>IFERROR(+VLOOKUP(E89,Data!$J$4:$K$303,2,0),"")</f>
        <v/>
      </c>
      <c r="G89" s="80"/>
      <c r="H89" s="80"/>
      <c r="I89" s="76" t="str">
        <f t="shared" si="20"/>
        <v/>
      </c>
      <c r="J89" s="75"/>
      <c r="K89" s="77">
        <f t="shared" si="21"/>
        <v>0</v>
      </c>
      <c r="L89" s="77">
        <f t="shared" si="22"/>
        <v>0</v>
      </c>
      <c r="M89" s="75"/>
      <c r="N89" s="77">
        <f t="shared" si="23"/>
        <v>0</v>
      </c>
      <c r="O89" s="77">
        <f t="shared" si="24"/>
        <v>0</v>
      </c>
      <c r="P89" s="75"/>
      <c r="Q89" s="75"/>
      <c r="R89" s="75"/>
      <c r="S89" s="93">
        <f t="shared" si="25"/>
        <v>0</v>
      </c>
      <c r="T89" s="74" t="str">
        <f t="shared" si="26"/>
        <v>-</v>
      </c>
      <c r="U89" s="74" t="str">
        <f t="shared" si="27"/>
        <v>-</v>
      </c>
      <c r="V89" s="79"/>
      <c r="W89" s="66" t="str">
        <f>IFERROR(+VLOOKUP(D89,Data!$F:$G,2,0),"-")</f>
        <v>-</v>
      </c>
    </row>
    <row r="90" spans="2:23" x14ac:dyDescent="0.25">
      <c r="B90" s="79" t="str">
        <f t="shared" si="19"/>
        <v>-</v>
      </c>
      <c r="C90" s="78"/>
      <c r="D90" s="78"/>
      <c r="E90" s="79"/>
      <c r="F90" s="74" t="str">
        <f>IFERROR(+VLOOKUP(E90,Data!$J$4:$K$303,2,0),"")</f>
        <v/>
      </c>
      <c r="G90" s="80"/>
      <c r="H90" s="80"/>
      <c r="I90" s="76" t="str">
        <f t="shared" si="20"/>
        <v/>
      </c>
      <c r="J90" s="75"/>
      <c r="K90" s="77">
        <f t="shared" si="21"/>
        <v>0</v>
      </c>
      <c r="L90" s="77">
        <f t="shared" si="22"/>
        <v>0</v>
      </c>
      <c r="M90" s="75"/>
      <c r="N90" s="77">
        <f t="shared" si="23"/>
        <v>0</v>
      </c>
      <c r="O90" s="77">
        <f t="shared" si="24"/>
        <v>0</v>
      </c>
      <c r="P90" s="75"/>
      <c r="Q90" s="75"/>
      <c r="R90" s="75"/>
      <c r="S90" s="93">
        <f t="shared" si="25"/>
        <v>0</v>
      </c>
      <c r="T90" s="74" t="str">
        <f t="shared" si="26"/>
        <v>-</v>
      </c>
      <c r="U90" s="74" t="str">
        <f t="shared" si="27"/>
        <v>-</v>
      </c>
      <c r="V90" s="79"/>
      <c r="W90" s="66" t="str">
        <f>IFERROR(+VLOOKUP(D90,Data!$F:$G,2,0),"-")</f>
        <v>-</v>
      </c>
    </row>
    <row r="91" spans="2:23" x14ac:dyDescent="0.25">
      <c r="B91" s="79" t="str">
        <f t="shared" si="19"/>
        <v>-</v>
      </c>
      <c r="C91" s="78"/>
      <c r="D91" s="78"/>
      <c r="E91" s="79"/>
      <c r="F91" s="74" t="str">
        <f>IFERROR(+VLOOKUP(E91,Data!$J$4:$K$303,2,0),"")</f>
        <v/>
      </c>
      <c r="G91" s="80"/>
      <c r="H91" s="80"/>
      <c r="I91" s="76" t="str">
        <f t="shared" si="20"/>
        <v/>
      </c>
      <c r="J91" s="75"/>
      <c r="K91" s="77">
        <f t="shared" si="21"/>
        <v>0</v>
      </c>
      <c r="L91" s="77">
        <f t="shared" si="22"/>
        <v>0</v>
      </c>
      <c r="M91" s="75"/>
      <c r="N91" s="77">
        <f t="shared" si="23"/>
        <v>0</v>
      </c>
      <c r="O91" s="77">
        <f t="shared" si="24"/>
        <v>0</v>
      </c>
      <c r="P91" s="75"/>
      <c r="Q91" s="75"/>
      <c r="R91" s="75"/>
      <c r="S91" s="93">
        <f t="shared" si="25"/>
        <v>0</v>
      </c>
      <c r="T91" s="74" t="str">
        <f t="shared" si="26"/>
        <v>-</v>
      </c>
      <c r="U91" s="74" t="str">
        <f t="shared" si="27"/>
        <v>-</v>
      </c>
      <c r="V91" s="79"/>
      <c r="W91" s="66" t="str">
        <f>IFERROR(+VLOOKUP(D91,Data!$F:$G,2,0),"-")</f>
        <v>-</v>
      </c>
    </row>
    <row r="92" spans="2:23" x14ac:dyDescent="0.25">
      <c r="B92" s="79" t="str">
        <f t="shared" si="19"/>
        <v>-</v>
      </c>
      <c r="C92" s="78"/>
      <c r="D92" s="78"/>
      <c r="E92" s="79"/>
      <c r="F92" s="74" t="str">
        <f>IFERROR(+VLOOKUP(E92,Data!$J$4:$K$303,2,0),"")</f>
        <v/>
      </c>
      <c r="G92" s="80"/>
      <c r="H92" s="80"/>
      <c r="I92" s="76" t="str">
        <f t="shared" si="20"/>
        <v/>
      </c>
      <c r="J92" s="75"/>
      <c r="K92" s="77">
        <f t="shared" si="21"/>
        <v>0</v>
      </c>
      <c r="L92" s="77">
        <f t="shared" si="22"/>
        <v>0</v>
      </c>
      <c r="M92" s="75"/>
      <c r="N92" s="77">
        <f t="shared" si="23"/>
        <v>0</v>
      </c>
      <c r="O92" s="77">
        <f t="shared" si="24"/>
        <v>0</v>
      </c>
      <c r="P92" s="75"/>
      <c r="Q92" s="75"/>
      <c r="R92" s="75"/>
      <c r="S92" s="93">
        <f t="shared" si="25"/>
        <v>0</v>
      </c>
      <c r="T92" s="74" t="str">
        <f t="shared" si="26"/>
        <v>-</v>
      </c>
      <c r="U92" s="74" t="str">
        <f t="shared" si="27"/>
        <v>-</v>
      </c>
      <c r="V92" s="79"/>
      <c r="W92" s="66" t="str">
        <f>IFERROR(+VLOOKUP(D92,Data!$F:$G,2,0),"-")</f>
        <v>-</v>
      </c>
    </row>
    <row r="93" spans="2:23" x14ac:dyDescent="0.25">
      <c r="B93" s="79" t="str">
        <f t="shared" si="19"/>
        <v>-</v>
      </c>
      <c r="C93" s="78"/>
      <c r="D93" s="78"/>
      <c r="E93" s="79"/>
      <c r="F93" s="74" t="str">
        <f>IFERROR(+VLOOKUP(E93,Data!$J$4:$K$303,2,0),"")</f>
        <v/>
      </c>
      <c r="G93" s="80"/>
      <c r="H93" s="80"/>
      <c r="I93" s="76" t="str">
        <f t="shared" si="20"/>
        <v/>
      </c>
      <c r="J93" s="75"/>
      <c r="K93" s="77">
        <f t="shared" si="21"/>
        <v>0</v>
      </c>
      <c r="L93" s="77">
        <f t="shared" si="22"/>
        <v>0</v>
      </c>
      <c r="M93" s="75"/>
      <c r="N93" s="77">
        <f t="shared" si="23"/>
        <v>0</v>
      </c>
      <c r="O93" s="77">
        <f t="shared" si="24"/>
        <v>0</v>
      </c>
      <c r="P93" s="75"/>
      <c r="Q93" s="75"/>
      <c r="R93" s="75"/>
      <c r="S93" s="93">
        <f t="shared" si="25"/>
        <v>0</v>
      </c>
      <c r="T93" s="74" t="str">
        <f t="shared" si="26"/>
        <v>-</v>
      </c>
      <c r="U93" s="74" t="str">
        <f t="shared" si="27"/>
        <v>-</v>
      </c>
      <c r="V93" s="79"/>
      <c r="W93" s="66" t="str">
        <f>IFERROR(+VLOOKUP(D93,Data!$F:$G,2,0),"-")</f>
        <v>-</v>
      </c>
    </row>
    <row r="94" spans="2:23" x14ac:dyDescent="0.25">
      <c r="B94" s="79" t="str">
        <f t="shared" si="19"/>
        <v>-</v>
      </c>
      <c r="C94" s="78"/>
      <c r="D94" s="78"/>
      <c r="E94" s="79"/>
      <c r="F94" s="74" t="str">
        <f>IFERROR(+VLOOKUP(E94,Data!$J$4:$K$303,2,0),"")</f>
        <v/>
      </c>
      <c r="G94" s="80"/>
      <c r="H94" s="80"/>
      <c r="I94" s="76" t="str">
        <f t="shared" si="20"/>
        <v/>
      </c>
      <c r="J94" s="75"/>
      <c r="K94" s="77">
        <f t="shared" si="21"/>
        <v>0</v>
      </c>
      <c r="L94" s="77">
        <f t="shared" si="22"/>
        <v>0</v>
      </c>
      <c r="M94" s="75"/>
      <c r="N94" s="77">
        <f t="shared" si="23"/>
        <v>0</v>
      </c>
      <c r="O94" s="77">
        <f t="shared" si="24"/>
        <v>0</v>
      </c>
      <c r="P94" s="75"/>
      <c r="Q94" s="75"/>
      <c r="R94" s="75"/>
      <c r="S94" s="93">
        <f t="shared" si="25"/>
        <v>0</v>
      </c>
      <c r="T94" s="74" t="str">
        <f t="shared" si="26"/>
        <v>-</v>
      </c>
      <c r="U94" s="74" t="str">
        <f t="shared" si="27"/>
        <v>-</v>
      </c>
      <c r="V94" s="79"/>
      <c r="W94" s="66" t="str">
        <f>IFERROR(+VLOOKUP(D94,Data!$F:$G,2,0),"-")</f>
        <v>-</v>
      </c>
    </row>
    <row r="95" spans="2:23" x14ac:dyDescent="0.25">
      <c r="B95" s="79" t="str">
        <f t="shared" si="19"/>
        <v>-</v>
      </c>
      <c r="C95" s="78"/>
      <c r="D95" s="78"/>
      <c r="E95" s="79"/>
      <c r="F95" s="74" t="str">
        <f>IFERROR(+VLOOKUP(E95,Data!$J$4:$K$303,2,0),"")</f>
        <v/>
      </c>
      <c r="G95" s="80"/>
      <c r="H95" s="80"/>
      <c r="I95" s="76" t="str">
        <f t="shared" si="20"/>
        <v/>
      </c>
      <c r="J95" s="75"/>
      <c r="K95" s="77">
        <f t="shared" si="21"/>
        <v>0</v>
      </c>
      <c r="L95" s="77">
        <f t="shared" si="22"/>
        <v>0</v>
      </c>
      <c r="M95" s="75"/>
      <c r="N95" s="77">
        <f t="shared" si="23"/>
        <v>0</v>
      </c>
      <c r="O95" s="77">
        <f t="shared" si="24"/>
        <v>0</v>
      </c>
      <c r="P95" s="75"/>
      <c r="Q95" s="75"/>
      <c r="R95" s="75"/>
      <c r="S95" s="93">
        <f t="shared" si="25"/>
        <v>0</v>
      </c>
      <c r="T95" s="74" t="str">
        <f t="shared" si="26"/>
        <v>-</v>
      </c>
      <c r="U95" s="74" t="str">
        <f t="shared" si="27"/>
        <v>-</v>
      </c>
      <c r="V95" s="79"/>
      <c r="W95" s="66" t="str">
        <f>IFERROR(+VLOOKUP(D95,Data!$F:$G,2,0),"-")</f>
        <v>-</v>
      </c>
    </row>
    <row r="96" spans="2:23" x14ac:dyDescent="0.25">
      <c r="B96" s="79" t="str">
        <f t="shared" si="19"/>
        <v>-</v>
      </c>
      <c r="C96" s="78"/>
      <c r="D96" s="78"/>
      <c r="E96" s="79"/>
      <c r="F96" s="74" t="str">
        <f>IFERROR(+VLOOKUP(E96,Data!$J$4:$K$303,2,0),"")</f>
        <v/>
      </c>
      <c r="G96" s="80"/>
      <c r="H96" s="80"/>
      <c r="I96" s="76" t="str">
        <f t="shared" si="20"/>
        <v/>
      </c>
      <c r="J96" s="75"/>
      <c r="K96" s="77">
        <f t="shared" si="21"/>
        <v>0</v>
      </c>
      <c r="L96" s="77">
        <f t="shared" si="22"/>
        <v>0</v>
      </c>
      <c r="M96" s="75"/>
      <c r="N96" s="77">
        <f t="shared" si="23"/>
        <v>0</v>
      </c>
      <c r="O96" s="77">
        <f t="shared" si="24"/>
        <v>0</v>
      </c>
      <c r="P96" s="75"/>
      <c r="Q96" s="75"/>
      <c r="R96" s="75"/>
      <c r="S96" s="93">
        <f t="shared" si="25"/>
        <v>0</v>
      </c>
      <c r="T96" s="74" t="str">
        <f t="shared" si="26"/>
        <v>-</v>
      </c>
      <c r="U96" s="74" t="str">
        <f t="shared" si="27"/>
        <v>-</v>
      </c>
      <c r="V96" s="79"/>
      <c r="W96" s="66" t="str">
        <f>IFERROR(+VLOOKUP(D96,Data!$F:$G,2,0),"-")</f>
        <v>-</v>
      </c>
    </row>
    <row r="97" spans="2:23" x14ac:dyDescent="0.25">
      <c r="B97" s="79" t="str">
        <f t="shared" si="19"/>
        <v>-</v>
      </c>
      <c r="C97" s="78"/>
      <c r="D97" s="78"/>
      <c r="E97" s="79"/>
      <c r="F97" s="74" t="str">
        <f>IFERROR(+VLOOKUP(E97,Data!$J$4:$K$303,2,0),"")</f>
        <v/>
      </c>
      <c r="G97" s="80"/>
      <c r="H97" s="80"/>
      <c r="I97" s="76" t="str">
        <f t="shared" si="20"/>
        <v/>
      </c>
      <c r="J97" s="75"/>
      <c r="K97" s="77">
        <f t="shared" si="21"/>
        <v>0</v>
      </c>
      <c r="L97" s="77">
        <f t="shared" si="22"/>
        <v>0</v>
      </c>
      <c r="M97" s="75"/>
      <c r="N97" s="77">
        <f t="shared" si="23"/>
        <v>0</v>
      </c>
      <c r="O97" s="77">
        <f t="shared" si="24"/>
        <v>0</v>
      </c>
      <c r="P97" s="75"/>
      <c r="Q97" s="75"/>
      <c r="R97" s="75"/>
      <c r="S97" s="93">
        <f t="shared" si="25"/>
        <v>0</v>
      </c>
      <c r="T97" s="74" t="str">
        <f t="shared" si="26"/>
        <v>-</v>
      </c>
      <c r="U97" s="74" t="str">
        <f t="shared" si="27"/>
        <v>-</v>
      </c>
      <c r="V97" s="79"/>
      <c r="W97" s="66" t="str">
        <f>IFERROR(+VLOOKUP(D97,Data!$F:$G,2,0),"-")</f>
        <v>-</v>
      </c>
    </row>
    <row r="98" spans="2:23" x14ac:dyDescent="0.25">
      <c r="B98" s="79" t="str">
        <f t="shared" si="19"/>
        <v>-</v>
      </c>
      <c r="C98" s="78"/>
      <c r="D98" s="78"/>
      <c r="E98" s="79"/>
      <c r="F98" s="74" t="str">
        <f>IFERROR(+VLOOKUP(E98,Data!$J$4:$K$303,2,0),"")</f>
        <v/>
      </c>
      <c r="G98" s="80"/>
      <c r="H98" s="80"/>
      <c r="I98" s="76" t="str">
        <f t="shared" si="20"/>
        <v/>
      </c>
      <c r="J98" s="75"/>
      <c r="K98" s="77">
        <f t="shared" si="21"/>
        <v>0</v>
      </c>
      <c r="L98" s="77">
        <f t="shared" si="22"/>
        <v>0</v>
      </c>
      <c r="M98" s="75"/>
      <c r="N98" s="77">
        <f t="shared" si="23"/>
        <v>0</v>
      </c>
      <c r="O98" s="77">
        <f t="shared" si="24"/>
        <v>0</v>
      </c>
      <c r="P98" s="75"/>
      <c r="Q98" s="75"/>
      <c r="R98" s="75"/>
      <c r="S98" s="93">
        <f t="shared" si="25"/>
        <v>0</v>
      </c>
      <c r="T98" s="74" t="str">
        <f t="shared" si="26"/>
        <v>-</v>
      </c>
      <c r="U98" s="74" t="str">
        <f t="shared" si="27"/>
        <v>-</v>
      </c>
      <c r="V98" s="79"/>
      <c r="W98" s="66" t="str">
        <f>IFERROR(+VLOOKUP(D98,Data!$F:$G,2,0),"-")</f>
        <v>-</v>
      </c>
    </row>
    <row r="99" spans="2:23" x14ac:dyDescent="0.25">
      <c r="B99" s="79" t="str">
        <f t="shared" si="19"/>
        <v>-</v>
      </c>
      <c r="C99" s="78"/>
      <c r="D99" s="78"/>
      <c r="E99" s="79"/>
      <c r="F99" s="74" t="str">
        <f>IFERROR(+VLOOKUP(E99,Data!$J$4:$K$303,2,0),"")</f>
        <v/>
      </c>
      <c r="G99" s="80"/>
      <c r="H99" s="80"/>
      <c r="I99" s="76" t="str">
        <f t="shared" si="20"/>
        <v/>
      </c>
      <c r="J99" s="75"/>
      <c r="K99" s="77">
        <f t="shared" si="21"/>
        <v>0</v>
      </c>
      <c r="L99" s="77">
        <f t="shared" si="22"/>
        <v>0</v>
      </c>
      <c r="M99" s="75"/>
      <c r="N99" s="77">
        <f t="shared" si="23"/>
        <v>0</v>
      </c>
      <c r="O99" s="77">
        <f t="shared" si="24"/>
        <v>0</v>
      </c>
      <c r="P99" s="75"/>
      <c r="Q99" s="75"/>
      <c r="R99" s="75"/>
      <c r="S99" s="93">
        <f t="shared" si="25"/>
        <v>0</v>
      </c>
      <c r="T99" s="74" t="str">
        <f t="shared" si="26"/>
        <v>-</v>
      </c>
      <c r="U99" s="74" t="str">
        <f t="shared" si="27"/>
        <v>-</v>
      </c>
      <c r="V99" s="79"/>
      <c r="W99" s="66" t="str">
        <f>IFERROR(+VLOOKUP(D99,Data!$F:$G,2,0),"-")</f>
        <v>-</v>
      </c>
    </row>
    <row r="100" spans="2:23" x14ac:dyDescent="0.25">
      <c r="B100" s="79" t="str">
        <f t="shared" si="19"/>
        <v>-</v>
      </c>
      <c r="C100" s="78"/>
      <c r="D100" s="78"/>
      <c r="E100" s="79"/>
      <c r="F100" s="74" t="str">
        <f>IFERROR(+VLOOKUP(E100,Data!$J$4:$K$303,2,0),"")</f>
        <v/>
      </c>
      <c r="G100" s="80"/>
      <c r="H100" s="80"/>
      <c r="I100" s="76" t="str">
        <f t="shared" si="20"/>
        <v/>
      </c>
      <c r="J100" s="75"/>
      <c r="K100" s="77">
        <f t="shared" si="21"/>
        <v>0</v>
      </c>
      <c r="L100" s="77">
        <f t="shared" si="22"/>
        <v>0</v>
      </c>
      <c r="M100" s="75"/>
      <c r="N100" s="77">
        <f t="shared" si="23"/>
        <v>0</v>
      </c>
      <c r="O100" s="77">
        <f t="shared" si="24"/>
        <v>0</v>
      </c>
      <c r="P100" s="75"/>
      <c r="Q100" s="75"/>
      <c r="R100" s="75"/>
      <c r="S100" s="93">
        <f t="shared" si="25"/>
        <v>0</v>
      </c>
      <c r="T100" s="74" t="str">
        <f t="shared" si="26"/>
        <v>-</v>
      </c>
      <c r="U100" s="74" t="str">
        <f t="shared" si="27"/>
        <v>-</v>
      </c>
      <c r="V100" s="79"/>
      <c r="W100" s="66" t="str">
        <f>IFERROR(+VLOOKUP(D100,Data!$F:$G,2,0),"-")</f>
        <v>-</v>
      </c>
    </row>
    <row r="101" spans="2:23" x14ac:dyDescent="0.25">
      <c r="B101" s="79" t="str">
        <f t="shared" si="19"/>
        <v>-</v>
      </c>
      <c r="C101" s="78"/>
      <c r="D101" s="78"/>
      <c r="E101" s="79"/>
      <c r="F101" s="74" t="str">
        <f>IFERROR(+VLOOKUP(E101,Data!$J$4:$K$303,2,0),"")</f>
        <v/>
      </c>
      <c r="G101" s="80"/>
      <c r="H101" s="80"/>
      <c r="I101" s="76" t="str">
        <f t="shared" si="20"/>
        <v/>
      </c>
      <c r="J101" s="75"/>
      <c r="K101" s="77">
        <f t="shared" si="21"/>
        <v>0</v>
      </c>
      <c r="L101" s="77">
        <f t="shared" si="22"/>
        <v>0</v>
      </c>
      <c r="M101" s="75"/>
      <c r="N101" s="77">
        <f t="shared" si="23"/>
        <v>0</v>
      </c>
      <c r="O101" s="77">
        <f t="shared" si="24"/>
        <v>0</v>
      </c>
      <c r="P101" s="75"/>
      <c r="Q101" s="75"/>
      <c r="R101" s="75"/>
      <c r="S101" s="93">
        <f t="shared" si="25"/>
        <v>0</v>
      </c>
      <c r="T101" s="74" t="str">
        <f t="shared" si="26"/>
        <v>-</v>
      </c>
      <c r="U101" s="74" t="str">
        <f t="shared" si="27"/>
        <v>-</v>
      </c>
      <c r="V101" s="79"/>
      <c r="W101" s="66" t="str">
        <f>IFERROR(+VLOOKUP(D101,Data!$F:$G,2,0),"-")</f>
        <v>-</v>
      </c>
    </row>
    <row r="102" spans="2:23" x14ac:dyDescent="0.25">
      <c r="B102" s="79" t="str">
        <f t="shared" si="19"/>
        <v>-</v>
      </c>
      <c r="C102" s="78"/>
      <c r="D102" s="78"/>
      <c r="E102" s="79"/>
      <c r="F102" s="74" t="str">
        <f>IFERROR(+VLOOKUP(E102,Data!$J$4:$K$303,2,0),"")</f>
        <v/>
      </c>
      <c r="G102" s="80"/>
      <c r="H102" s="80"/>
      <c r="I102" s="76" t="str">
        <f t="shared" si="20"/>
        <v/>
      </c>
      <c r="J102" s="75"/>
      <c r="K102" s="77">
        <f t="shared" si="21"/>
        <v>0</v>
      </c>
      <c r="L102" s="77">
        <f t="shared" si="22"/>
        <v>0</v>
      </c>
      <c r="M102" s="75"/>
      <c r="N102" s="77">
        <f t="shared" si="23"/>
        <v>0</v>
      </c>
      <c r="O102" s="77">
        <f t="shared" si="24"/>
        <v>0</v>
      </c>
      <c r="P102" s="75"/>
      <c r="Q102" s="75"/>
      <c r="R102" s="75"/>
      <c r="S102" s="93">
        <f t="shared" si="25"/>
        <v>0</v>
      </c>
      <c r="T102" s="74" t="str">
        <f t="shared" si="26"/>
        <v>-</v>
      </c>
      <c r="U102" s="74" t="str">
        <f t="shared" si="27"/>
        <v>-</v>
      </c>
      <c r="V102" s="79"/>
      <c r="W102" s="66" t="str">
        <f>IFERROR(+VLOOKUP(D102,Data!$F:$G,2,0),"-")</f>
        <v>-</v>
      </c>
    </row>
    <row r="103" spans="2:23" x14ac:dyDescent="0.25">
      <c r="B103" s="79" t="str">
        <f t="shared" si="19"/>
        <v>-</v>
      </c>
      <c r="C103" s="78"/>
      <c r="D103" s="78"/>
      <c r="E103" s="79"/>
      <c r="F103" s="74" t="str">
        <f>IFERROR(+VLOOKUP(E103,Data!$J$4:$K$303,2,0),"")</f>
        <v/>
      </c>
      <c r="G103" s="80"/>
      <c r="H103" s="80"/>
      <c r="I103" s="76" t="str">
        <f t="shared" si="20"/>
        <v/>
      </c>
      <c r="J103" s="75"/>
      <c r="K103" s="77">
        <f t="shared" si="21"/>
        <v>0</v>
      </c>
      <c r="L103" s="77">
        <f t="shared" si="22"/>
        <v>0</v>
      </c>
      <c r="M103" s="75"/>
      <c r="N103" s="77">
        <f t="shared" si="23"/>
        <v>0</v>
      </c>
      <c r="O103" s="77">
        <f t="shared" si="24"/>
        <v>0</v>
      </c>
      <c r="P103" s="75"/>
      <c r="Q103" s="75"/>
      <c r="R103" s="75"/>
      <c r="S103" s="93">
        <f t="shared" si="25"/>
        <v>0</v>
      </c>
      <c r="T103" s="74" t="str">
        <f t="shared" si="26"/>
        <v>-</v>
      </c>
      <c r="U103" s="74" t="str">
        <f t="shared" si="27"/>
        <v>-</v>
      </c>
      <c r="V103" s="79"/>
      <c r="W103" s="66" t="str">
        <f>IFERROR(+VLOOKUP(D103,Data!$F:$G,2,0),"-")</f>
        <v>-</v>
      </c>
    </row>
    <row r="104" spans="2:23" x14ac:dyDescent="0.25">
      <c r="B104" s="79" t="str">
        <f t="shared" si="19"/>
        <v>-</v>
      </c>
      <c r="C104" s="78"/>
      <c r="D104" s="78"/>
      <c r="E104" s="79"/>
      <c r="F104" s="74" t="str">
        <f>IFERROR(+VLOOKUP(E104,Data!$J$4:$K$303,2,0),"")</f>
        <v/>
      </c>
      <c r="G104" s="80"/>
      <c r="H104" s="80"/>
      <c r="I104" s="76" t="str">
        <f t="shared" si="20"/>
        <v/>
      </c>
      <c r="J104" s="75"/>
      <c r="K104" s="77">
        <f t="shared" si="21"/>
        <v>0</v>
      </c>
      <c r="L104" s="77">
        <f t="shared" si="22"/>
        <v>0</v>
      </c>
      <c r="M104" s="75"/>
      <c r="N104" s="77">
        <f t="shared" si="23"/>
        <v>0</v>
      </c>
      <c r="O104" s="77">
        <f t="shared" si="24"/>
        <v>0</v>
      </c>
      <c r="P104" s="75"/>
      <c r="Q104" s="75"/>
      <c r="R104" s="75"/>
      <c r="S104" s="93">
        <f t="shared" si="25"/>
        <v>0</v>
      </c>
      <c r="T104" s="74" t="str">
        <f t="shared" si="26"/>
        <v>-</v>
      </c>
      <c r="U104" s="74" t="str">
        <f t="shared" si="27"/>
        <v>-</v>
      </c>
      <c r="V104" s="79"/>
      <c r="W104" s="66" t="str">
        <f>IFERROR(+VLOOKUP(D104,Data!$F:$G,2,0),"-")</f>
        <v>-</v>
      </c>
    </row>
    <row r="105" spans="2:23" x14ac:dyDescent="0.25">
      <c r="B105" s="79" t="str">
        <f t="shared" si="19"/>
        <v>-</v>
      </c>
      <c r="C105" s="78"/>
      <c r="D105" s="78"/>
      <c r="E105" s="79"/>
      <c r="F105" s="74" t="str">
        <f>IFERROR(+VLOOKUP(E105,Data!$J$4:$K$303,2,0),"")</f>
        <v/>
      </c>
      <c r="G105" s="80"/>
      <c r="H105" s="80"/>
      <c r="I105" s="76" t="str">
        <f t="shared" si="20"/>
        <v/>
      </c>
      <c r="J105" s="75"/>
      <c r="K105" s="77">
        <f t="shared" si="21"/>
        <v>0</v>
      </c>
      <c r="L105" s="77">
        <f t="shared" si="22"/>
        <v>0</v>
      </c>
      <c r="M105" s="75"/>
      <c r="N105" s="77">
        <f t="shared" si="23"/>
        <v>0</v>
      </c>
      <c r="O105" s="77">
        <f t="shared" si="24"/>
        <v>0</v>
      </c>
      <c r="P105" s="75"/>
      <c r="Q105" s="75"/>
      <c r="R105" s="75"/>
      <c r="S105" s="93">
        <f t="shared" si="25"/>
        <v>0</v>
      </c>
      <c r="T105" s="74" t="str">
        <f t="shared" si="26"/>
        <v>-</v>
      </c>
      <c r="U105" s="74" t="str">
        <f t="shared" si="27"/>
        <v>-</v>
      </c>
      <c r="V105" s="79"/>
      <c r="W105" s="66" t="str">
        <f>IFERROR(+VLOOKUP(D105,Data!$F:$G,2,0),"-")</f>
        <v>-</v>
      </c>
    </row>
    <row r="106" spans="2:23" x14ac:dyDescent="0.25">
      <c r="B106" s="79" t="str">
        <f t="shared" si="19"/>
        <v>-</v>
      </c>
      <c r="C106" s="78"/>
      <c r="D106" s="78"/>
      <c r="E106" s="79"/>
      <c r="F106" s="74" t="str">
        <f>IFERROR(+VLOOKUP(E106,Data!$J$4:$K$303,2,0),"")</f>
        <v/>
      </c>
      <c r="G106" s="80"/>
      <c r="H106" s="80"/>
      <c r="I106" s="76" t="str">
        <f t="shared" si="20"/>
        <v/>
      </c>
      <c r="J106" s="75"/>
      <c r="K106" s="77">
        <f t="shared" si="21"/>
        <v>0</v>
      </c>
      <c r="L106" s="77">
        <f t="shared" si="22"/>
        <v>0</v>
      </c>
      <c r="M106" s="75"/>
      <c r="N106" s="77">
        <f t="shared" si="23"/>
        <v>0</v>
      </c>
      <c r="O106" s="77">
        <f t="shared" si="24"/>
        <v>0</v>
      </c>
      <c r="P106" s="75"/>
      <c r="Q106" s="75"/>
      <c r="R106" s="75"/>
      <c r="S106" s="93">
        <f t="shared" si="25"/>
        <v>0</v>
      </c>
      <c r="T106" s="74" t="str">
        <f t="shared" si="26"/>
        <v>-</v>
      </c>
      <c r="U106" s="74" t="str">
        <f t="shared" si="27"/>
        <v>-</v>
      </c>
      <c r="V106" s="79"/>
      <c r="W106" s="66" t="str">
        <f>IFERROR(+VLOOKUP(D106,Data!$F:$G,2,0),"-")</f>
        <v>-</v>
      </c>
    </row>
    <row r="107" spans="2:23" x14ac:dyDescent="0.25">
      <c r="B107" s="79" t="str">
        <f t="shared" si="19"/>
        <v>-</v>
      </c>
      <c r="C107" s="78"/>
      <c r="D107" s="78"/>
      <c r="E107" s="79"/>
      <c r="F107" s="74" t="str">
        <f>IFERROR(+VLOOKUP(E107,Data!$J$4:$K$303,2,0),"")</f>
        <v/>
      </c>
      <c r="G107" s="80"/>
      <c r="H107" s="80"/>
      <c r="I107" s="76" t="str">
        <f t="shared" si="20"/>
        <v/>
      </c>
      <c r="J107" s="75"/>
      <c r="K107" s="77">
        <f t="shared" si="21"/>
        <v>0</v>
      </c>
      <c r="L107" s="77">
        <f t="shared" si="22"/>
        <v>0</v>
      </c>
      <c r="M107" s="75"/>
      <c r="N107" s="77">
        <f t="shared" si="23"/>
        <v>0</v>
      </c>
      <c r="O107" s="77">
        <f t="shared" si="24"/>
        <v>0</v>
      </c>
      <c r="P107" s="75"/>
      <c r="Q107" s="75"/>
      <c r="R107" s="75"/>
      <c r="S107" s="93">
        <f t="shared" si="25"/>
        <v>0</v>
      </c>
      <c r="T107" s="74" t="str">
        <f t="shared" si="26"/>
        <v>-</v>
      </c>
      <c r="U107" s="74" t="str">
        <f t="shared" si="27"/>
        <v>-</v>
      </c>
      <c r="V107" s="79"/>
      <c r="W107" s="66" t="str">
        <f>IFERROR(+VLOOKUP(D107,Data!$F:$G,2,0),"-")</f>
        <v>-</v>
      </c>
    </row>
    <row r="108" spans="2:23" x14ac:dyDescent="0.25">
      <c r="B108" s="79" t="str">
        <f t="shared" si="19"/>
        <v>-</v>
      </c>
      <c r="C108" s="78"/>
      <c r="D108" s="78"/>
      <c r="E108" s="79"/>
      <c r="F108" s="74" t="str">
        <f>IFERROR(+VLOOKUP(E108,Data!$J$4:$K$303,2,0),"")</f>
        <v/>
      </c>
      <c r="G108" s="80"/>
      <c r="H108" s="80"/>
      <c r="I108" s="76" t="str">
        <f t="shared" si="20"/>
        <v/>
      </c>
      <c r="J108" s="75"/>
      <c r="K108" s="77">
        <f t="shared" si="21"/>
        <v>0</v>
      </c>
      <c r="L108" s="77">
        <f t="shared" si="22"/>
        <v>0</v>
      </c>
      <c r="M108" s="75"/>
      <c r="N108" s="77">
        <f t="shared" si="23"/>
        <v>0</v>
      </c>
      <c r="O108" s="77">
        <f t="shared" si="24"/>
        <v>0</v>
      </c>
      <c r="P108" s="75"/>
      <c r="Q108" s="75"/>
      <c r="R108" s="75"/>
      <c r="S108" s="93">
        <f t="shared" si="25"/>
        <v>0</v>
      </c>
      <c r="T108" s="74" t="str">
        <f t="shared" si="26"/>
        <v>-</v>
      </c>
      <c r="U108" s="74" t="str">
        <f t="shared" si="27"/>
        <v>-</v>
      </c>
      <c r="V108" s="79"/>
      <c r="W108" s="66" t="str">
        <f>IFERROR(+VLOOKUP(D108,Data!$F:$G,2,0),"-")</f>
        <v>-</v>
      </c>
    </row>
    <row r="109" spans="2:23" x14ac:dyDescent="0.25">
      <c r="B109" s="79" t="str">
        <f t="shared" si="19"/>
        <v>-</v>
      </c>
      <c r="C109" s="78"/>
      <c r="D109" s="78"/>
      <c r="E109" s="79"/>
      <c r="F109" s="74" t="str">
        <f>IFERROR(+VLOOKUP(E109,Data!$J$4:$K$303,2,0),"")</f>
        <v/>
      </c>
      <c r="G109" s="80"/>
      <c r="H109" s="80"/>
      <c r="I109" s="76" t="str">
        <f t="shared" si="20"/>
        <v/>
      </c>
      <c r="J109" s="75"/>
      <c r="K109" s="77">
        <f t="shared" si="21"/>
        <v>0</v>
      </c>
      <c r="L109" s="77">
        <f t="shared" si="22"/>
        <v>0</v>
      </c>
      <c r="M109" s="75"/>
      <c r="N109" s="77">
        <f t="shared" si="23"/>
        <v>0</v>
      </c>
      <c r="O109" s="77">
        <f t="shared" si="24"/>
        <v>0</v>
      </c>
      <c r="P109" s="75"/>
      <c r="Q109" s="75"/>
      <c r="R109" s="75"/>
      <c r="S109" s="93">
        <f t="shared" si="25"/>
        <v>0</v>
      </c>
      <c r="T109" s="74" t="str">
        <f t="shared" si="26"/>
        <v>-</v>
      </c>
      <c r="U109" s="74" t="str">
        <f t="shared" si="27"/>
        <v>-</v>
      </c>
      <c r="V109" s="79"/>
      <c r="W109" s="66" t="str">
        <f>IFERROR(+VLOOKUP(D109,Data!$F:$G,2,0),"-")</f>
        <v>-</v>
      </c>
    </row>
    <row r="110" spans="2:23" x14ac:dyDescent="0.25">
      <c r="B110" s="79" t="str">
        <f t="shared" si="19"/>
        <v>-</v>
      </c>
      <c r="C110" s="78"/>
      <c r="D110" s="78"/>
      <c r="E110" s="79"/>
      <c r="F110" s="74" t="str">
        <f>IFERROR(+VLOOKUP(E110,Data!$J$4:$K$303,2,0),"")</f>
        <v/>
      </c>
      <c r="G110" s="80"/>
      <c r="H110" s="80"/>
      <c r="I110" s="76" t="str">
        <f t="shared" si="20"/>
        <v/>
      </c>
      <c r="J110" s="75"/>
      <c r="K110" s="77">
        <f t="shared" si="21"/>
        <v>0</v>
      </c>
      <c r="L110" s="77">
        <f t="shared" si="22"/>
        <v>0</v>
      </c>
      <c r="M110" s="75"/>
      <c r="N110" s="77">
        <f t="shared" si="23"/>
        <v>0</v>
      </c>
      <c r="O110" s="77">
        <f t="shared" si="24"/>
        <v>0</v>
      </c>
      <c r="P110" s="75"/>
      <c r="Q110" s="75"/>
      <c r="R110" s="75"/>
      <c r="S110" s="93">
        <f t="shared" si="25"/>
        <v>0</v>
      </c>
      <c r="T110" s="74" t="str">
        <f t="shared" si="26"/>
        <v>-</v>
      </c>
      <c r="U110" s="74" t="str">
        <f t="shared" si="27"/>
        <v>-</v>
      </c>
      <c r="V110" s="79"/>
      <c r="W110" s="66" t="str">
        <f>IFERROR(+VLOOKUP(D110,Data!$F:$G,2,0),"-")</f>
        <v>-</v>
      </c>
    </row>
    <row r="111" spans="2:23" x14ac:dyDescent="0.25">
      <c r="B111" s="79" t="str">
        <f t="shared" si="19"/>
        <v>-</v>
      </c>
      <c r="C111" s="78"/>
      <c r="D111" s="78"/>
      <c r="E111" s="79"/>
      <c r="F111" s="74" t="str">
        <f>IFERROR(+VLOOKUP(E111,Data!$J$4:$K$303,2,0),"")</f>
        <v/>
      </c>
      <c r="G111" s="80"/>
      <c r="H111" s="80"/>
      <c r="I111" s="76" t="str">
        <f t="shared" si="20"/>
        <v/>
      </c>
      <c r="J111" s="75"/>
      <c r="K111" s="77">
        <f t="shared" si="21"/>
        <v>0</v>
      </c>
      <c r="L111" s="77">
        <f t="shared" si="22"/>
        <v>0</v>
      </c>
      <c r="M111" s="75"/>
      <c r="N111" s="77">
        <f t="shared" si="23"/>
        <v>0</v>
      </c>
      <c r="O111" s="77">
        <f t="shared" si="24"/>
        <v>0</v>
      </c>
      <c r="P111" s="75"/>
      <c r="Q111" s="75"/>
      <c r="R111" s="75"/>
      <c r="S111" s="93">
        <f t="shared" si="25"/>
        <v>0</v>
      </c>
      <c r="T111" s="74" t="str">
        <f t="shared" si="26"/>
        <v>-</v>
      </c>
      <c r="U111" s="74" t="str">
        <f t="shared" si="27"/>
        <v>-</v>
      </c>
      <c r="V111" s="79"/>
      <c r="W111" s="66" t="str">
        <f>IFERROR(+VLOOKUP(D111,Data!$F:$G,2,0),"-")</f>
        <v>-</v>
      </c>
    </row>
    <row r="112" spans="2:23" x14ac:dyDescent="0.25">
      <c r="B112" s="79" t="str">
        <f t="shared" si="19"/>
        <v>-</v>
      </c>
      <c r="C112" s="78"/>
      <c r="D112" s="78"/>
      <c r="E112" s="79"/>
      <c r="F112" s="74" t="str">
        <f>IFERROR(+VLOOKUP(E112,Data!$J$4:$K$303,2,0),"")</f>
        <v/>
      </c>
      <c r="G112" s="80"/>
      <c r="H112" s="80"/>
      <c r="I112" s="76" t="str">
        <f t="shared" si="20"/>
        <v/>
      </c>
      <c r="J112" s="75"/>
      <c r="K112" s="77">
        <f t="shared" si="21"/>
        <v>0</v>
      </c>
      <c r="L112" s="77">
        <f t="shared" si="22"/>
        <v>0</v>
      </c>
      <c r="M112" s="75"/>
      <c r="N112" s="77">
        <f t="shared" si="23"/>
        <v>0</v>
      </c>
      <c r="O112" s="77">
        <f t="shared" si="24"/>
        <v>0</v>
      </c>
      <c r="P112" s="75"/>
      <c r="Q112" s="75"/>
      <c r="R112" s="75"/>
      <c r="S112" s="93">
        <f t="shared" si="25"/>
        <v>0</v>
      </c>
      <c r="T112" s="74" t="str">
        <f t="shared" si="26"/>
        <v>-</v>
      </c>
      <c r="U112" s="74" t="str">
        <f t="shared" si="27"/>
        <v>-</v>
      </c>
      <c r="V112" s="79"/>
      <c r="W112" s="66" t="str">
        <f>IFERROR(+VLOOKUP(D112,Data!$F:$G,2,0),"-")</f>
        <v>-</v>
      </c>
    </row>
    <row r="113" spans="2:23" x14ac:dyDescent="0.25">
      <c r="B113" s="79" t="str">
        <f t="shared" si="19"/>
        <v>-</v>
      </c>
      <c r="C113" s="78"/>
      <c r="D113" s="78"/>
      <c r="E113" s="79"/>
      <c r="F113" s="74" t="str">
        <f>IFERROR(+VLOOKUP(E113,Data!$J$4:$K$303,2,0),"")</f>
        <v/>
      </c>
      <c r="G113" s="80"/>
      <c r="H113" s="80"/>
      <c r="I113" s="76" t="str">
        <f t="shared" si="20"/>
        <v/>
      </c>
      <c r="J113" s="75"/>
      <c r="K113" s="77">
        <f t="shared" si="21"/>
        <v>0</v>
      </c>
      <c r="L113" s="77">
        <f t="shared" si="22"/>
        <v>0</v>
      </c>
      <c r="M113" s="75"/>
      <c r="N113" s="77">
        <f t="shared" si="23"/>
        <v>0</v>
      </c>
      <c r="O113" s="77">
        <f t="shared" si="24"/>
        <v>0</v>
      </c>
      <c r="P113" s="75"/>
      <c r="Q113" s="75"/>
      <c r="R113" s="75"/>
      <c r="S113" s="93">
        <f t="shared" si="25"/>
        <v>0</v>
      </c>
      <c r="T113" s="74" t="str">
        <f t="shared" si="26"/>
        <v>-</v>
      </c>
      <c r="U113" s="74" t="str">
        <f t="shared" si="27"/>
        <v>-</v>
      </c>
      <c r="V113" s="79"/>
      <c r="W113" s="66" t="str">
        <f>IFERROR(+VLOOKUP(D113,Data!$F:$G,2,0),"-")</f>
        <v>-</v>
      </c>
    </row>
    <row r="114" spans="2:23" x14ac:dyDescent="0.25">
      <c r="B114" s="79" t="str">
        <f t="shared" si="19"/>
        <v>-</v>
      </c>
      <c r="C114" s="78"/>
      <c r="D114" s="78"/>
      <c r="E114" s="79"/>
      <c r="F114" s="74" t="str">
        <f>IFERROR(+VLOOKUP(E114,Data!$J$4:$K$303,2,0),"")</f>
        <v/>
      </c>
      <c r="G114" s="80"/>
      <c r="H114" s="80"/>
      <c r="I114" s="76" t="str">
        <f t="shared" si="20"/>
        <v/>
      </c>
      <c r="J114" s="75"/>
      <c r="K114" s="77">
        <f t="shared" si="21"/>
        <v>0</v>
      </c>
      <c r="L114" s="77">
        <f t="shared" si="22"/>
        <v>0</v>
      </c>
      <c r="M114" s="75"/>
      <c r="N114" s="77">
        <f t="shared" si="23"/>
        <v>0</v>
      </c>
      <c r="O114" s="77">
        <f t="shared" si="24"/>
        <v>0</v>
      </c>
      <c r="P114" s="75"/>
      <c r="Q114" s="75"/>
      <c r="R114" s="75"/>
      <c r="S114" s="93">
        <f t="shared" si="25"/>
        <v>0</v>
      </c>
      <c r="T114" s="74" t="str">
        <f t="shared" si="26"/>
        <v>-</v>
      </c>
      <c r="U114" s="74" t="str">
        <f t="shared" si="27"/>
        <v>-</v>
      </c>
      <c r="V114" s="79"/>
      <c r="W114" s="66" t="str">
        <f>IFERROR(+VLOOKUP(D114,Data!$F:$G,2,0),"-")</f>
        <v>-</v>
      </c>
    </row>
    <row r="115" spans="2:23" x14ac:dyDescent="0.25">
      <c r="B115" s="79" t="str">
        <f t="shared" si="19"/>
        <v>-</v>
      </c>
      <c r="C115" s="78"/>
      <c r="D115" s="78"/>
      <c r="E115" s="79"/>
      <c r="F115" s="74" t="str">
        <f>IFERROR(+VLOOKUP(E115,Data!$J$4:$K$303,2,0),"")</f>
        <v/>
      </c>
      <c r="G115" s="80"/>
      <c r="H115" s="80"/>
      <c r="I115" s="76" t="str">
        <f t="shared" si="20"/>
        <v/>
      </c>
      <c r="J115" s="75"/>
      <c r="K115" s="77">
        <f t="shared" si="21"/>
        <v>0</v>
      </c>
      <c r="L115" s="77">
        <f t="shared" si="22"/>
        <v>0</v>
      </c>
      <c r="M115" s="75"/>
      <c r="N115" s="77">
        <f t="shared" si="23"/>
        <v>0</v>
      </c>
      <c r="O115" s="77">
        <f t="shared" si="24"/>
        <v>0</v>
      </c>
      <c r="P115" s="75"/>
      <c r="Q115" s="75"/>
      <c r="R115" s="75"/>
      <c r="S115" s="93">
        <f t="shared" si="25"/>
        <v>0</v>
      </c>
      <c r="T115" s="74" t="str">
        <f t="shared" si="26"/>
        <v>-</v>
      </c>
      <c r="U115" s="74" t="str">
        <f t="shared" si="27"/>
        <v>-</v>
      </c>
      <c r="V115" s="79"/>
      <c r="W115" s="66" t="str">
        <f>IFERROR(+VLOOKUP(D115,Data!$F:$G,2,0),"-")</f>
        <v>-</v>
      </c>
    </row>
    <row r="116" spans="2:23" x14ac:dyDescent="0.25">
      <c r="B116" s="79" t="str">
        <f t="shared" si="19"/>
        <v>-</v>
      </c>
      <c r="C116" s="78"/>
      <c r="D116" s="78"/>
      <c r="E116" s="79"/>
      <c r="F116" s="74" t="str">
        <f>IFERROR(+VLOOKUP(E116,Data!$J$4:$K$303,2,0),"")</f>
        <v/>
      </c>
      <c r="G116" s="80"/>
      <c r="H116" s="80"/>
      <c r="I116" s="76" t="str">
        <f t="shared" si="20"/>
        <v/>
      </c>
      <c r="J116" s="75"/>
      <c r="K116" s="77">
        <f t="shared" si="21"/>
        <v>0</v>
      </c>
      <c r="L116" s="77">
        <f t="shared" si="22"/>
        <v>0</v>
      </c>
      <c r="M116" s="75"/>
      <c r="N116" s="77">
        <f t="shared" si="23"/>
        <v>0</v>
      </c>
      <c r="O116" s="77">
        <f t="shared" si="24"/>
        <v>0</v>
      </c>
      <c r="P116" s="75"/>
      <c r="Q116" s="75"/>
      <c r="R116" s="75"/>
      <c r="S116" s="93">
        <f t="shared" si="25"/>
        <v>0</v>
      </c>
      <c r="T116" s="74" t="str">
        <f t="shared" si="26"/>
        <v>-</v>
      </c>
      <c r="U116" s="74" t="str">
        <f t="shared" si="27"/>
        <v>-</v>
      </c>
      <c r="V116" s="79"/>
      <c r="W116" s="66" t="str">
        <f>IFERROR(+VLOOKUP(D116,Data!$F:$G,2,0),"-")</f>
        <v>-</v>
      </c>
    </row>
    <row r="117" spans="2:23" x14ac:dyDescent="0.25">
      <c r="B117" s="79" t="str">
        <f t="shared" si="19"/>
        <v>-</v>
      </c>
      <c r="C117" s="78"/>
      <c r="D117" s="78"/>
      <c r="E117" s="79"/>
      <c r="F117" s="74" t="str">
        <f>IFERROR(+VLOOKUP(E117,Data!$J$4:$K$303,2,0),"")</f>
        <v/>
      </c>
      <c r="G117" s="80"/>
      <c r="H117" s="80"/>
      <c r="I117" s="76" t="str">
        <f t="shared" si="20"/>
        <v/>
      </c>
      <c r="J117" s="75"/>
      <c r="K117" s="77">
        <f t="shared" si="21"/>
        <v>0</v>
      </c>
      <c r="L117" s="77">
        <f t="shared" si="22"/>
        <v>0</v>
      </c>
      <c r="M117" s="75"/>
      <c r="N117" s="77">
        <f t="shared" si="23"/>
        <v>0</v>
      </c>
      <c r="O117" s="77">
        <f t="shared" si="24"/>
        <v>0</v>
      </c>
      <c r="P117" s="75"/>
      <c r="Q117" s="75"/>
      <c r="R117" s="75"/>
      <c r="S117" s="93">
        <f t="shared" si="25"/>
        <v>0</v>
      </c>
      <c r="T117" s="74" t="str">
        <f t="shared" si="26"/>
        <v>-</v>
      </c>
      <c r="U117" s="74" t="str">
        <f t="shared" si="27"/>
        <v>-</v>
      </c>
      <c r="V117" s="79"/>
      <c r="W117" s="66" t="str">
        <f>IFERROR(+VLOOKUP(D117,Data!$F:$G,2,0),"-")</f>
        <v>-</v>
      </c>
    </row>
    <row r="118" spans="2:23" x14ac:dyDescent="0.25">
      <c r="B118" s="79" t="str">
        <f t="shared" si="19"/>
        <v>-</v>
      </c>
      <c r="C118" s="78"/>
      <c r="D118" s="78"/>
      <c r="E118" s="79"/>
      <c r="F118" s="74" t="str">
        <f>IFERROR(+VLOOKUP(E118,Data!$J$4:$K$303,2,0),"")</f>
        <v/>
      </c>
      <c r="G118" s="80"/>
      <c r="H118" s="80"/>
      <c r="I118" s="76" t="str">
        <f t="shared" si="20"/>
        <v/>
      </c>
      <c r="J118" s="75"/>
      <c r="K118" s="77">
        <f t="shared" si="21"/>
        <v>0</v>
      </c>
      <c r="L118" s="77">
        <f t="shared" si="22"/>
        <v>0</v>
      </c>
      <c r="M118" s="75"/>
      <c r="N118" s="77">
        <f t="shared" si="23"/>
        <v>0</v>
      </c>
      <c r="O118" s="77">
        <f t="shared" si="24"/>
        <v>0</v>
      </c>
      <c r="P118" s="75"/>
      <c r="Q118" s="75"/>
      <c r="R118" s="75"/>
      <c r="S118" s="93">
        <f t="shared" si="25"/>
        <v>0</v>
      </c>
      <c r="T118" s="74" t="str">
        <f t="shared" si="26"/>
        <v>-</v>
      </c>
      <c r="U118" s="74" t="str">
        <f t="shared" si="27"/>
        <v>-</v>
      </c>
      <c r="V118" s="79"/>
      <c r="W118" s="66" t="str">
        <f>IFERROR(+VLOOKUP(D118,Data!$F:$G,2,0),"-")</f>
        <v>-</v>
      </c>
    </row>
    <row r="119" spans="2:23" x14ac:dyDescent="0.25">
      <c r="B119" s="79" t="str">
        <f t="shared" si="19"/>
        <v>-</v>
      </c>
      <c r="C119" s="78"/>
      <c r="D119" s="78"/>
      <c r="E119" s="79"/>
      <c r="F119" s="74" t="str">
        <f>IFERROR(+VLOOKUP(E119,Data!$J$4:$K$303,2,0),"")</f>
        <v/>
      </c>
      <c r="G119" s="80"/>
      <c r="H119" s="80"/>
      <c r="I119" s="76" t="str">
        <f t="shared" si="20"/>
        <v/>
      </c>
      <c r="J119" s="75"/>
      <c r="K119" s="77">
        <f t="shared" si="21"/>
        <v>0</v>
      </c>
      <c r="L119" s="77">
        <f t="shared" si="22"/>
        <v>0</v>
      </c>
      <c r="M119" s="75"/>
      <c r="N119" s="77">
        <f t="shared" si="23"/>
        <v>0</v>
      </c>
      <c r="O119" s="77">
        <f t="shared" si="24"/>
        <v>0</v>
      </c>
      <c r="P119" s="75"/>
      <c r="Q119" s="75"/>
      <c r="R119" s="75"/>
      <c r="S119" s="93">
        <f t="shared" si="25"/>
        <v>0</v>
      </c>
      <c r="T119" s="74" t="str">
        <f t="shared" si="26"/>
        <v>-</v>
      </c>
      <c r="U119" s="74" t="str">
        <f t="shared" si="27"/>
        <v>-</v>
      </c>
      <c r="V119" s="79"/>
      <c r="W119" s="66" t="str">
        <f>IFERROR(+VLOOKUP(D119,Data!$F:$G,2,0),"-")</f>
        <v>-</v>
      </c>
    </row>
    <row r="120" spans="2:23" x14ac:dyDescent="0.25">
      <c r="B120" s="79" t="str">
        <f t="shared" si="19"/>
        <v>-</v>
      </c>
      <c r="C120" s="78"/>
      <c r="D120" s="78"/>
      <c r="E120" s="79"/>
      <c r="F120" s="74" t="str">
        <f>IFERROR(+VLOOKUP(E120,Data!$J$4:$K$303,2,0),"")</f>
        <v/>
      </c>
      <c r="G120" s="80"/>
      <c r="H120" s="80"/>
      <c r="I120" s="76" t="str">
        <f t="shared" si="20"/>
        <v/>
      </c>
      <c r="J120" s="75"/>
      <c r="K120" s="77">
        <f t="shared" si="21"/>
        <v>0</v>
      </c>
      <c r="L120" s="77">
        <f t="shared" si="22"/>
        <v>0</v>
      </c>
      <c r="M120" s="75"/>
      <c r="N120" s="77">
        <f t="shared" si="23"/>
        <v>0</v>
      </c>
      <c r="O120" s="77">
        <f t="shared" si="24"/>
        <v>0</v>
      </c>
      <c r="P120" s="75"/>
      <c r="Q120" s="75"/>
      <c r="R120" s="75"/>
      <c r="S120" s="93">
        <f t="shared" si="25"/>
        <v>0</v>
      </c>
      <c r="T120" s="74" t="str">
        <f t="shared" si="26"/>
        <v>-</v>
      </c>
      <c r="U120" s="74" t="str">
        <f t="shared" si="27"/>
        <v>-</v>
      </c>
      <c r="V120" s="79"/>
      <c r="W120" s="66" t="str">
        <f>IFERROR(+VLOOKUP(D120,Data!$F:$G,2,0),"-")</f>
        <v>-</v>
      </c>
    </row>
    <row r="121" spans="2:23" x14ac:dyDescent="0.25">
      <c r="B121" s="79" t="str">
        <f t="shared" si="19"/>
        <v>-</v>
      </c>
      <c r="C121" s="78"/>
      <c r="D121" s="78"/>
      <c r="E121" s="79"/>
      <c r="F121" s="74" t="str">
        <f>IFERROR(+VLOOKUP(E121,Data!$J$4:$K$303,2,0),"")</f>
        <v/>
      </c>
      <c r="G121" s="80"/>
      <c r="H121" s="80"/>
      <c r="I121" s="76" t="str">
        <f t="shared" si="20"/>
        <v/>
      </c>
      <c r="J121" s="75"/>
      <c r="K121" s="77">
        <f t="shared" si="21"/>
        <v>0</v>
      </c>
      <c r="L121" s="77">
        <f t="shared" si="22"/>
        <v>0</v>
      </c>
      <c r="M121" s="75"/>
      <c r="N121" s="77">
        <f t="shared" si="23"/>
        <v>0</v>
      </c>
      <c r="O121" s="77">
        <f t="shared" si="24"/>
        <v>0</v>
      </c>
      <c r="P121" s="75"/>
      <c r="Q121" s="75"/>
      <c r="R121" s="75"/>
      <c r="S121" s="93">
        <f t="shared" si="25"/>
        <v>0</v>
      </c>
      <c r="T121" s="74" t="str">
        <f t="shared" si="26"/>
        <v>-</v>
      </c>
      <c r="U121" s="74" t="str">
        <f t="shared" si="27"/>
        <v>-</v>
      </c>
      <c r="V121" s="79"/>
      <c r="W121" s="66" t="str">
        <f>IFERROR(+VLOOKUP(D121,Data!$F:$G,2,0),"-")</f>
        <v>-</v>
      </c>
    </row>
    <row r="122" spans="2:23" x14ac:dyDescent="0.25">
      <c r="B122" s="79" t="str">
        <f t="shared" si="19"/>
        <v>-</v>
      </c>
      <c r="C122" s="78"/>
      <c r="D122" s="78"/>
      <c r="E122" s="79"/>
      <c r="F122" s="74" t="str">
        <f>IFERROR(+VLOOKUP(E122,Data!$J$4:$K$303,2,0),"")</f>
        <v/>
      </c>
      <c r="G122" s="80"/>
      <c r="H122" s="80"/>
      <c r="I122" s="76" t="str">
        <f t="shared" si="20"/>
        <v/>
      </c>
      <c r="J122" s="75"/>
      <c r="K122" s="77">
        <f t="shared" si="21"/>
        <v>0</v>
      </c>
      <c r="L122" s="77">
        <f t="shared" si="22"/>
        <v>0</v>
      </c>
      <c r="M122" s="75"/>
      <c r="N122" s="77">
        <f t="shared" si="23"/>
        <v>0</v>
      </c>
      <c r="O122" s="77">
        <f t="shared" si="24"/>
        <v>0</v>
      </c>
      <c r="P122" s="75"/>
      <c r="Q122" s="75"/>
      <c r="R122" s="75"/>
      <c r="S122" s="93">
        <f t="shared" si="25"/>
        <v>0</v>
      </c>
      <c r="T122" s="74" t="str">
        <f t="shared" si="26"/>
        <v>-</v>
      </c>
      <c r="U122" s="74" t="str">
        <f t="shared" si="27"/>
        <v>-</v>
      </c>
      <c r="V122" s="79"/>
      <c r="W122" s="66" t="str">
        <f>IFERROR(+VLOOKUP(D122,Data!$F:$G,2,0),"-")</f>
        <v>-</v>
      </c>
    </row>
    <row r="123" spans="2:23" x14ac:dyDescent="0.25">
      <c r="B123" s="79" t="str">
        <f t="shared" si="19"/>
        <v>-</v>
      </c>
      <c r="C123" s="78"/>
      <c r="D123" s="78"/>
      <c r="E123" s="79"/>
      <c r="F123" s="74" t="str">
        <f>IFERROR(+VLOOKUP(E123,Data!$J$4:$K$303,2,0),"")</f>
        <v/>
      </c>
      <c r="G123" s="80"/>
      <c r="H123" s="80"/>
      <c r="I123" s="76" t="str">
        <f t="shared" si="20"/>
        <v/>
      </c>
      <c r="J123" s="75"/>
      <c r="K123" s="77">
        <f t="shared" si="21"/>
        <v>0</v>
      </c>
      <c r="L123" s="77">
        <f t="shared" si="22"/>
        <v>0</v>
      </c>
      <c r="M123" s="75"/>
      <c r="N123" s="77">
        <f t="shared" si="23"/>
        <v>0</v>
      </c>
      <c r="O123" s="77">
        <f t="shared" si="24"/>
        <v>0</v>
      </c>
      <c r="P123" s="75"/>
      <c r="Q123" s="75"/>
      <c r="R123" s="75"/>
      <c r="S123" s="93">
        <f t="shared" si="25"/>
        <v>0</v>
      </c>
      <c r="T123" s="74" t="str">
        <f t="shared" si="26"/>
        <v>-</v>
      </c>
      <c r="U123" s="74" t="str">
        <f t="shared" si="27"/>
        <v>-</v>
      </c>
      <c r="V123" s="79"/>
      <c r="W123" s="66" t="str">
        <f>IFERROR(+VLOOKUP(D123,Data!$F:$G,2,0),"-")</f>
        <v>-</v>
      </c>
    </row>
    <row r="124" spans="2:23" x14ac:dyDescent="0.25">
      <c r="B124" s="79" t="str">
        <f t="shared" si="19"/>
        <v>-</v>
      </c>
      <c r="C124" s="78"/>
      <c r="D124" s="78"/>
      <c r="E124" s="79"/>
      <c r="F124" s="74" t="str">
        <f>IFERROR(+VLOOKUP(E124,Data!$J$4:$K$303,2,0),"")</f>
        <v/>
      </c>
      <c r="G124" s="80"/>
      <c r="H124" s="80"/>
      <c r="I124" s="76" t="str">
        <f t="shared" si="20"/>
        <v/>
      </c>
      <c r="J124" s="75"/>
      <c r="K124" s="77">
        <f t="shared" si="21"/>
        <v>0</v>
      </c>
      <c r="L124" s="77">
        <f t="shared" si="22"/>
        <v>0</v>
      </c>
      <c r="M124" s="75"/>
      <c r="N124" s="77">
        <f t="shared" si="23"/>
        <v>0</v>
      </c>
      <c r="O124" s="77">
        <f t="shared" si="24"/>
        <v>0</v>
      </c>
      <c r="P124" s="75"/>
      <c r="Q124" s="75"/>
      <c r="R124" s="75"/>
      <c r="S124" s="93">
        <f t="shared" si="25"/>
        <v>0</v>
      </c>
      <c r="T124" s="74" t="str">
        <f t="shared" si="26"/>
        <v>-</v>
      </c>
      <c r="U124" s="74" t="str">
        <f t="shared" si="27"/>
        <v>-</v>
      </c>
      <c r="V124" s="79"/>
      <c r="W124" s="66" t="str">
        <f>IFERROR(+VLOOKUP(D124,Data!$F:$G,2,0),"-")</f>
        <v>-</v>
      </c>
    </row>
    <row r="125" spans="2:23" x14ac:dyDescent="0.25">
      <c r="B125" s="79" t="str">
        <f t="shared" si="19"/>
        <v>-</v>
      </c>
      <c r="C125" s="78"/>
      <c r="D125" s="78"/>
      <c r="E125" s="79"/>
      <c r="F125" s="74" t="str">
        <f>IFERROR(+VLOOKUP(E125,Data!$J$4:$K$303,2,0),"")</f>
        <v/>
      </c>
      <c r="G125" s="80"/>
      <c r="H125" s="80"/>
      <c r="I125" s="76" t="str">
        <f t="shared" si="20"/>
        <v/>
      </c>
      <c r="J125" s="75"/>
      <c r="K125" s="77">
        <f t="shared" si="21"/>
        <v>0</v>
      </c>
      <c r="L125" s="77">
        <f t="shared" si="22"/>
        <v>0</v>
      </c>
      <c r="M125" s="75"/>
      <c r="N125" s="77">
        <f t="shared" si="23"/>
        <v>0</v>
      </c>
      <c r="O125" s="77">
        <f t="shared" si="24"/>
        <v>0</v>
      </c>
      <c r="P125" s="75"/>
      <c r="Q125" s="75"/>
      <c r="R125" s="75"/>
      <c r="S125" s="93">
        <f t="shared" si="25"/>
        <v>0</v>
      </c>
      <c r="T125" s="74" t="str">
        <f t="shared" si="26"/>
        <v>-</v>
      </c>
      <c r="U125" s="74" t="str">
        <f t="shared" si="27"/>
        <v>-</v>
      </c>
      <c r="V125" s="79"/>
      <c r="W125" s="66" t="str">
        <f>IFERROR(+VLOOKUP(D125,Data!$F:$G,2,0),"-")</f>
        <v>-</v>
      </c>
    </row>
    <row r="126" spans="2:23" x14ac:dyDescent="0.25">
      <c r="B126" s="79" t="str">
        <f t="shared" si="19"/>
        <v>-</v>
      </c>
      <c r="C126" s="78"/>
      <c r="D126" s="78"/>
      <c r="E126" s="79"/>
      <c r="F126" s="74" t="str">
        <f>IFERROR(+VLOOKUP(E126,Data!$J$4:$K$303,2,0),"")</f>
        <v/>
      </c>
      <c r="G126" s="80"/>
      <c r="H126" s="80"/>
      <c r="I126" s="76" t="str">
        <f t="shared" si="20"/>
        <v/>
      </c>
      <c r="J126" s="75"/>
      <c r="K126" s="77">
        <f t="shared" si="21"/>
        <v>0</v>
      </c>
      <c r="L126" s="77">
        <f t="shared" si="22"/>
        <v>0</v>
      </c>
      <c r="M126" s="75"/>
      <c r="N126" s="77">
        <f t="shared" si="23"/>
        <v>0</v>
      </c>
      <c r="O126" s="77">
        <f t="shared" si="24"/>
        <v>0</v>
      </c>
      <c r="P126" s="75"/>
      <c r="Q126" s="75"/>
      <c r="R126" s="75"/>
      <c r="S126" s="93">
        <f t="shared" si="25"/>
        <v>0</v>
      </c>
      <c r="T126" s="74" t="str">
        <f t="shared" si="26"/>
        <v>-</v>
      </c>
      <c r="U126" s="74" t="str">
        <f t="shared" si="27"/>
        <v>-</v>
      </c>
      <c r="V126" s="79"/>
      <c r="W126" s="66" t="str">
        <f>IFERROR(+VLOOKUP(D126,Data!$F:$G,2,0),"-")</f>
        <v>-</v>
      </c>
    </row>
    <row r="127" spans="2:23" x14ac:dyDescent="0.25">
      <c r="B127" s="79" t="str">
        <f t="shared" si="19"/>
        <v>-</v>
      </c>
      <c r="C127" s="78"/>
      <c r="D127" s="78"/>
      <c r="E127" s="79"/>
      <c r="F127" s="74" t="str">
        <f>IFERROR(+VLOOKUP(E127,Data!$J$4:$K$303,2,0),"")</f>
        <v/>
      </c>
      <c r="G127" s="80"/>
      <c r="H127" s="80"/>
      <c r="I127" s="76" t="str">
        <f t="shared" si="20"/>
        <v/>
      </c>
      <c r="J127" s="75"/>
      <c r="K127" s="77">
        <f t="shared" si="21"/>
        <v>0</v>
      </c>
      <c r="L127" s="77">
        <f t="shared" si="22"/>
        <v>0</v>
      </c>
      <c r="M127" s="75"/>
      <c r="N127" s="77">
        <f t="shared" si="23"/>
        <v>0</v>
      </c>
      <c r="O127" s="77">
        <f t="shared" si="24"/>
        <v>0</v>
      </c>
      <c r="P127" s="75"/>
      <c r="Q127" s="75"/>
      <c r="R127" s="75"/>
      <c r="S127" s="93">
        <f t="shared" si="25"/>
        <v>0</v>
      </c>
      <c r="T127" s="74" t="str">
        <f t="shared" si="26"/>
        <v>-</v>
      </c>
      <c r="U127" s="74" t="str">
        <f t="shared" si="27"/>
        <v>-</v>
      </c>
      <c r="V127" s="79"/>
      <c r="W127" s="66" t="str">
        <f>IFERROR(+VLOOKUP(D127,Data!$F:$G,2,0),"-")</f>
        <v>-</v>
      </c>
    </row>
    <row r="128" spans="2:23" x14ac:dyDescent="0.25">
      <c r="B128" s="79" t="str">
        <f t="shared" si="19"/>
        <v>-</v>
      </c>
      <c r="C128" s="78"/>
      <c r="D128" s="78"/>
      <c r="E128" s="79"/>
      <c r="F128" s="74" t="str">
        <f>IFERROR(+VLOOKUP(E128,Data!$J$4:$K$303,2,0),"")</f>
        <v/>
      </c>
      <c r="G128" s="80"/>
      <c r="H128" s="80"/>
      <c r="I128" s="76" t="str">
        <f t="shared" si="20"/>
        <v/>
      </c>
      <c r="J128" s="75"/>
      <c r="K128" s="77">
        <f t="shared" si="21"/>
        <v>0</v>
      </c>
      <c r="L128" s="77">
        <f t="shared" si="22"/>
        <v>0</v>
      </c>
      <c r="M128" s="75"/>
      <c r="N128" s="77">
        <f t="shared" si="23"/>
        <v>0</v>
      </c>
      <c r="O128" s="77">
        <f t="shared" si="24"/>
        <v>0</v>
      </c>
      <c r="P128" s="75"/>
      <c r="Q128" s="75"/>
      <c r="R128" s="75"/>
      <c r="S128" s="93">
        <f t="shared" si="25"/>
        <v>0</v>
      </c>
      <c r="T128" s="74" t="str">
        <f t="shared" si="26"/>
        <v>-</v>
      </c>
      <c r="U128" s="74" t="str">
        <f t="shared" si="27"/>
        <v>-</v>
      </c>
      <c r="V128" s="79"/>
      <c r="W128" s="66" t="str">
        <f>IFERROR(+VLOOKUP(D128,Data!$F:$G,2,0),"-")</f>
        <v>-</v>
      </c>
    </row>
    <row r="129" spans="2:23" x14ac:dyDescent="0.25">
      <c r="B129" s="79" t="str">
        <f t="shared" si="19"/>
        <v>-</v>
      </c>
      <c r="C129" s="78"/>
      <c r="D129" s="78"/>
      <c r="E129" s="79"/>
      <c r="F129" s="74" t="str">
        <f>IFERROR(+VLOOKUP(E129,Data!$J$4:$K$303,2,0),"")</f>
        <v/>
      </c>
      <c r="G129" s="80"/>
      <c r="H129" s="80"/>
      <c r="I129" s="76" t="str">
        <f t="shared" si="20"/>
        <v/>
      </c>
      <c r="J129" s="75"/>
      <c r="K129" s="77">
        <f t="shared" si="21"/>
        <v>0</v>
      </c>
      <c r="L129" s="77">
        <f t="shared" si="22"/>
        <v>0</v>
      </c>
      <c r="M129" s="75"/>
      <c r="N129" s="77">
        <f t="shared" si="23"/>
        <v>0</v>
      </c>
      <c r="O129" s="77">
        <f t="shared" si="24"/>
        <v>0</v>
      </c>
      <c r="P129" s="75"/>
      <c r="Q129" s="75"/>
      <c r="R129" s="75"/>
      <c r="S129" s="93">
        <f t="shared" si="25"/>
        <v>0</v>
      </c>
      <c r="T129" s="74" t="str">
        <f t="shared" si="26"/>
        <v>-</v>
      </c>
      <c r="U129" s="74" t="str">
        <f t="shared" si="27"/>
        <v>-</v>
      </c>
      <c r="V129" s="79"/>
      <c r="W129" s="66" t="str">
        <f>IFERROR(+VLOOKUP(D129,Data!$F:$G,2,0),"-")</f>
        <v>-</v>
      </c>
    </row>
    <row r="130" spans="2:23" x14ac:dyDescent="0.25">
      <c r="B130" s="79" t="str">
        <f t="shared" si="19"/>
        <v>-</v>
      </c>
      <c r="C130" s="78"/>
      <c r="D130" s="78"/>
      <c r="E130" s="79"/>
      <c r="F130" s="74" t="str">
        <f>IFERROR(+VLOOKUP(E130,Data!$J$4:$K$303,2,0),"")</f>
        <v/>
      </c>
      <c r="G130" s="80"/>
      <c r="H130" s="80"/>
      <c r="I130" s="76" t="str">
        <f t="shared" si="20"/>
        <v/>
      </c>
      <c r="J130" s="75"/>
      <c r="K130" s="77">
        <f t="shared" si="21"/>
        <v>0</v>
      </c>
      <c r="L130" s="77">
        <f t="shared" si="22"/>
        <v>0</v>
      </c>
      <c r="M130" s="75"/>
      <c r="N130" s="77">
        <f t="shared" si="23"/>
        <v>0</v>
      </c>
      <c r="O130" s="77">
        <f t="shared" si="24"/>
        <v>0</v>
      </c>
      <c r="P130" s="75"/>
      <c r="Q130" s="75"/>
      <c r="R130" s="75"/>
      <c r="S130" s="93">
        <f t="shared" si="25"/>
        <v>0</v>
      </c>
      <c r="T130" s="74" t="str">
        <f t="shared" si="26"/>
        <v>-</v>
      </c>
      <c r="U130" s="74" t="str">
        <f t="shared" si="27"/>
        <v>-</v>
      </c>
      <c r="V130" s="79"/>
      <c r="W130" s="66" t="str">
        <f>IFERROR(+VLOOKUP(D130,Data!$F:$G,2,0),"-")</f>
        <v>-</v>
      </c>
    </row>
    <row r="131" spans="2:23" x14ac:dyDescent="0.25">
      <c r="B131" s="79" t="str">
        <f t="shared" si="19"/>
        <v>-</v>
      </c>
      <c r="C131" s="78"/>
      <c r="D131" s="78"/>
      <c r="E131" s="79"/>
      <c r="F131" s="74" t="str">
        <f>IFERROR(+VLOOKUP(E131,Data!$J$4:$K$303,2,0),"")</f>
        <v/>
      </c>
      <c r="G131" s="80"/>
      <c r="H131" s="80"/>
      <c r="I131" s="76" t="str">
        <f t="shared" si="20"/>
        <v/>
      </c>
      <c r="J131" s="75"/>
      <c r="K131" s="77">
        <f t="shared" si="21"/>
        <v>0</v>
      </c>
      <c r="L131" s="77">
        <f t="shared" si="22"/>
        <v>0</v>
      </c>
      <c r="M131" s="75"/>
      <c r="N131" s="77">
        <f t="shared" si="23"/>
        <v>0</v>
      </c>
      <c r="O131" s="77">
        <f t="shared" si="24"/>
        <v>0</v>
      </c>
      <c r="P131" s="75"/>
      <c r="Q131" s="75"/>
      <c r="R131" s="75"/>
      <c r="S131" s="93">
        <f t="shared" si="25"/>
        <v>0</v>
      </c>
      <c r="T131" s="74" t="str">
        <f t="shared" si="26"/>
        <v>-</v>
      </c>
      <c r="U131" s="74" t="str">
        <f t="shared" si="27"/>
        <v>-</v>
      </c>
      <c r="V131" s="79"/>
      <c r="W131" s="66" t="str">
        <f>IFERROR(+VLOOKUP(D131,Data!$F:$G,2,0),"-")</f>
        <v>-</v>
      </c>
    </row>
    <row r="132" spans="2:23" x14ac:dyDescent="0.25">
      <c r="B132" s="79" t="str">
        <f t="shared" si="19"/>
        <v>-</v>
      </c>
      <c r="C132" s="78"/>
      <c r="D132" s="78"/>
      <c r="E132" s="79"/>
      <c r="F132" s="74" t="str">
        <f>IFERROR(+VLOOKUP(E132,Data!$J$4:$K$303,2,0),"")</f>
        <v/>
      </c>
      <c r="G132" s="80"/>
      <c r="H132" s="80"/>
      <c r="I132" s="76" t="str">
        <f t="shared" si="20"/>
        <v/>
      </c>
      <c r="J132" s="75"/>
      <c r="K132" s="77">
        <f t="shared" si="21"/>
        <v>0</v>
      </c>
      <c r="L132" s="77">
        <f t="shared" si="22"/>
        <v>0</v>
      </c>
      <c r="M132" s="75"/>
      <c r="N132" s="77">
        <f t="shared" si="23"/>
        <v>0</v>
      </c>
      <c r="O132" s="77">
        <f t="shared" si="24"/>
        <v>0</v>
      </c>
      <c r="P132" s="75"/>
      <c r="Q132" s="75"/>
      <c r="R132" s="75"/>
      <c r="S132" s="93">
        <f t="shared" si="25"/>
        <v>0</v>
      </c>
      <c r="T132" s="74" t="str">
        <f t="shared" si="26"/>
        <v>-</v>
      </c>
      <c r="U132" s="74" t="str">
        <f t="shared" si="27"/>
        <v>-</v>
      </c>
      <c r="V132" s="79"/>
      <c r="W132" s="66" t="str">
        <f>IFERROR(+VLOOKUP(D132,Data!$F:$G,2,0),"-")</f>
        <v>-</v>
      </c>
    </row>
    <row r="133" spans="2:23" x14ac:dyDescent="0.25">
      <c r="B133" s="79" t="str">
        <f t="shared" ref="B133:B155" si="28">+W133</f>
        <v>-</v>
      </c>
      <c r="C133" s="78"/>
      <c r="D133" s="78"/>
      <c r="E133" s="79"/>
      <c r="F133" s="74" t="str">
        <f>IFERROR(+VLOOKUP(E133,Data!$J$4:$K$303,2,0),"")</f>
        <v/>
      </c>
      <c r="G133" s="80"/>
      <c r="H133" s="80"/>
      <c r="I133" s="76" t="str">
        <f t="shared" ref="I133:I155" si="29">IFERROR(+H133/G133,"")</f>
        <v/>
      </c>
      <c r="J133" s="75"/>
      <c r="K133" s="77">
        <f t="shared" ref="K133:K155" si="30">IFERROR(+G133*J133,"")</f>
        <v>0</v>
      </c>
      <c r="L133" s="77">
        <f t="shared" ref="L133:L155" si="31">IFERROR(IF(I133&lt;&gt;0,H133-G133*6,""),0)</f>
        <v>0</v>
      </c>
      <c r="M133" s="75"/>
      <c r="N133" s="77">
        <f t="shared" ref="N133:N155" si="32">IFERROR(IF(L133&lt;&gt;"",M133*L133,0),"")</f>
        <v>0</v>
      </c>
      <c r="O133" s="77">
        <f t="shared" ref="O133:O155" si="33">+K133+N133</f>
        <v>0</v>
      </c>
      <c r="P133" s="75"/>
      <c r="Q133" s="75"/>
      <c r="R133" s="75"/>
      <c r="S133" s="93">
        <f t="shared" ref="S133:S155" si="34">+P133+Q133+R133</f>
        <v>0</v>
      </c>
      <c r="T133" s="74" t="str">
        <f t="shared" ref="T133:T155" si="35">+IF((O133-P133-Q133-R133)&gt;0,(O133-P133-Q133-R133),"-")</f>
        <v>-</v>
      </c>
      <c r="U133" s="74" t="str">
        <f t="shared" ref="U133:U155" si="36">+IF((O133-P133-Q133-R133)&lt;0,(P133+Q133+R133-O133),"-")</f>
        <v>-</v>
      </c>
      <c r="V133" s="79"/>
      <c r="W133" s="66" t="str">
        <f>IFERROR(+VLOOKUP(D133,Data!$F:$G,2,0),"-")</f>
        <v>-</v>
      </c>
    </row>
    <row r="134" spans="2:23" x14ac:dyDescent="0.25">
      <c r="B134" s="79" t="str">
        <f t="shared" si="28"/>
        <v>-</v>
      </c>
      <c r="C134" s="78"/>
      <c r="D134" s="78"/>
      <c r="E134" s="79"/>
      <c r="F134" s="74" t="str">
        <f>IFERROR(+VLOOKUP(E134,Data!$J$4:$K$303,2,0),"")</f>
        <v/>
      </c>
      <c r="G134" s="80"/>
      <c r="H134" s="80"/>
      <c r="I134" s="76" t="str">
        <f t="shared" si="29"/>
        <v/>
      </c>
      <c r="J134" s="75"/>
      <c r="K134" s="77">
        <f t="shared" si="30"/>
        <v>0</v>
      </c>
      <c r="L134" s="77">
        <f t="shared" si="31"/>
        <v>0</v>
      </c>
      <c r="M134" s="75"/>
      <c r="N134" s="77">
        <f t="shared" si="32"/>
        <v>0</v>
      </c>
      <c r="O134" s="77">
        <f t="shared" si="33"/>
        <v>0</v>
      </c>
      <c r="P134" s="75"/>
      <c r="Q134" s="75"/>
      <c r="R134" s="75"/>
      <c r="S134" s="93">
        <f t="shared" si="34"/>
        <v>0</v>
      </c>
      <c r="T134" s="74" t="str">
        <f t="shared" si="35"/>
        <v>-</v>
      </c>
      <c r="U134" s="74" t="str">
        <f t="shared" si="36"/>
        <v>-</v>
      </c>
      <c r="V134" s="79"/>
      <c r="W134" s="66" t="str">
        <f>IFERROR(+VLOOKUP(D134,Data!$F:$G,2,0),"-")</f>
        <v>-</v>
      </c>
    </row>
    <row r="135" spans="2:23" x14ac:dyDescent="0.25">
      <c r="B135" s="79" t="str">
        <f t="shared" si="28"/>
        <v>-</v>
      </c>
      <c r="C135" s="78"/>
      <c r="D135" s="78"/>
      <c r="E135" s="79"/>
      <c r="F135" s="74" t="str">
        <f>IFERROR(+VLOOKUP(E135,Data!$J$4:$K$303,2,0),"")</f>
        <v/>
      </c>
      <c r="G135" s="80"/>
      <c r="H135" s="80"/>
      <c r="I135" s="76" t="str">
        <f t="shared" si="29"/>
        <v/>
      </c>
      <c r="J135" s="75"/>
      <c r="K135" s="77">
        <f t="shared" si="30"/>
        <v>0</v>
      </c>
      <c r="L135" s="77">
        <f t="shared" si="31"/>
        <v>0</v>
      </c>
      <c r="M135" s="75"/>
      <c r="N135" s="77">
        <f t="shared" si="32"/>
        <v>0</v>
      </c>
      <c r="O135" s="77">
        <f t="shared" si="33"/>
        <v>0</v>
      </c>
      <c r="P135" s="75"/>
      <c r="Q135" s="75"/>
      <c r="R135" s="75"/>
      <c r="S135" s="93">
        <f t="shared" si="34"/>
        <v>0</v>
      </c>
      <c r="T135" s="74" t="str">
        <f t="shared" si="35"/>
        <v>-</v>
      </c>
      <c r="U135" s="74" t="str">
        <f t="shared" si="36"/>
        <v>-</v>
      </c>
      <c r="V135" s="79"/>
      <c r="W135" s="66" t="str">
        <f>IFERROR(+VLOOKUP(D135,Data!$F:$G,2,0),"-")</f>
        <v>-</v>
      </c>
    </row>
    <row r="136" spans="2:23" x14ac:dyDescent="0.25">
      <c r="B136" s="79" t="str">
        <f t="shared" si="28"/>
        <v>-</v>
      </c>
      <c r="C136" s="78"/>
      <c r="D136" s="78"/>
      <c r="E136" s="79"/>
      <c r="F136" s="74" t="str">
        <f>IFERROR(+VLOOKUP(E136,Data!$J$4:$K$303,2,0),"")</f>
        <v/>
      </c>
      <c r="G136" s="80"/>
      <c r="H136" s="80"/>
      <c r="I136" s="76" t="str">
        <f t="shared" si="29"/>
        <v/>
      </c>
      <c r="J136" s="75"/>
      <c r="K136" s="77">
        <f t="shared" si="30"/>
        <v>0</v>
      </c>
      <c r="L136" s="77">
        <f t="shared" si="31"/>
        <v>0</v>
      </c>
      <c r="M136" s="75"/>
      <c r="N136" s="77">
        <f t="shared" si="32"/>
        <v>0</v>
      </c>
      <c r="O136" s="77">
        <f t="shared" si="33"/>
        <v>0</v>
      </c>
      <c r="P136" s="75"/>
      <c r="Q136" s="75"/>
      <c r="R136" s="75"/>
      <c r="S136" s="93">
        <f t="shared" si="34"/>
        <v>0</v>
      </c>
      <c r="T136" s="74" t="str">
        <f t="shared" si="35"/>
        <v>-</v>
      </c>
      <c r="U136" s="74" t="str">
        <f t="shared" si="36"/>
        <v>-</v>
      </c>
      <c r="V136" s="79"/>
      <c r="W136" s="66" t="str">
        <f>IFERROR(+VLOOKUP(D136,Data!$F:$G,2,0),"-")</f>
        <v>-</v>
      </c>
    </row>
    <row r="137" spans="2:23" x14ac:dyDescent="0.25">
      <c r="B137" s="79" t="str">
        <f t="shared" si="28"/>
        <v>-</v>
      </c>
      <c r="C137" s="78"/>
      <c r="D137" s="78"/>
      <c r="E137" s="79"/>
      <c r="F137" s="74" t="str">
        <f>IFERROR(+VLOOKUP(E137,Data!$J$4:$K$303,2,0),"")</f>
        <v/>
      </c>
      <c r="G137" s="80"/>
      <c r="H137" s="80"/>
      <c r="I137" s="76" t="str">
        <f t="shared" si="29"/>
        <v/>
      </c>
      <c r="J137" s="75"/>
      <c r="K137" s="77">
        <f t="shared" si="30"/>
        <v>0</v>
      </c>
      <c r="L137" s="77">
        <f t="shared" si="31"/>
        <v>0</v>
      </c>
      <c r="M137" s="75"/>
      <c r="N137" s="77">
        <f t="shared" si="32"/>
        <v>0</v>
      </c>
      <c r="O137" s="77">
        <f t="shared" si="33"/>
        <v>0</v>
      </c>
      <c r="P137" s="75"/>
      <c r="Q137" s="75"/>
      <c r="R137" s="75"/>
      <c r="S137" s="93">
        <f t="shared" si="34"/>
        <v>0</v>
      </c>
      <c r="T137" s="74" t="str">
        <f t="shared" si="35"/>
        <v>-</v>
      </c>
      <c r="U137" s="74" t="str">
        <f t="shared" si="36"/>
        <v>-</v>
      </c>
      <c r="V137" s="79"/>
      <c r="W137" s="66" t="str">
        <f>IFERROR(+VLOOKUP(D137,Data!$F:$G,2,0),"-")</f>
        <v>-</v>
      </c>
    </row>
    <row r="138" spans="2:23" x14ac:dyDescent="0.25">
      <c r="B138" s="79" t="str">
        <f t="shared" si="28"/>
        <v>-</v>
      </c>
      <c r="C138" s="78"/>
      <c r="D138" s="78"/>
      <c r="E138" s="79"/>
      <c r="F138" s="74" t="str">
        <f>IFERROR(+VLOOKUP(E138,Data!$J$4:$K$303,2,0),"")</f>
        <v/>
      </c>
      <c r="G138" s="80"/>
      <c r="H138" s="80"/>
      <c r="I138" s="76" t="str">
        <f t="shared" si="29"/>
        <v/>
      </c>
      <c r="J138" s="75"/>
      <c r="K138" s="77">
        <f t="shared" si="30"/>
        <v>0</v>
      </c>
      <c r="L138" s="77">
        <f t="shared" si="31"/>
        <v>0</v>
      </c>
      <c r="M138" s="75"/>
      <c r="N138" s="77">
        <f t="shared" si="32"/>
        <v>0</v>
      </c>
      <c r="O138" s="77">
        <f t="shared" si="33"/>
        <v>0</v>
      </c>
      <c r="P138" s="75"/>
      <c r="Q138" s="75"/>
      <c r="R138" s="75"/>
      <c r="S138" s="93">
        <f t="shared" si="34"/>
        <v>0</v>
      </c>
      <c r="T138" s="74" t="str">
        <f t="shared" si="35"/>
        <v>-</v>
      </c>
      <c r="U138" s="74" t="str">
        <f t="shared" si="36"/>
        <v>-</v>
      </c>
      <c r="V138" s="79"/>
      <c r="W138" s="66" t="str">
        <f>IFERROR(+VLOOKUP(D138,Data!$F:$G,2,0),"-")</f>
        <v>-</v>
      </c>
    </row>
    <row r="139" spans="2:23" x14ac:dyDescent="0.25">
      <c r="B139" s="79" t="str">
        <f t="shared" si="28"/>
        <v>-</v>
      </c>
      <c r="C139" s="78"/>
      <c r="D139" s="78"/>
      <c r="E139" s="79"/>
      <c r="F139" s="74" t="str">
        <f>IFERROR(+VLOOKUP(E139,Data!$J$4:$K$303,2,0),"")</f>
        <v/>
      </c>
      <c r="G139" s="80"/>
      <c r="H139" s="80"/>
      <c r="I139" s="76" t="str">
        <f t="shared" si="29"/>
        <v/>
      </c>
      <c r="J139" s="75"/>
      <c r="K139" s="77">
        <f t="shared" si="30"/>
        <v>0</v>
      </c>
      <c r="L139" s="77">
        <f t="shared" si="31"/>
        <v>0</v>
      </c>
      <c r="M139" s="75"/>
      <c r="N139" s="77">
        <f t="shared" si="32"/>
        <v>0</v>
      </c>
      <c r="O139" s="77">
        <f t="shared" si="33"/>
        <v>0</v>
      </c>
      <c r="P139" s="75"/>
      <c r="Q139" s="75"/>
      <c r="R139" s="75"/>
      <c r="S139" s="93">
        <f t="shared" si="34"/>
        <v>0</v>
      </c>
      <c r="T139" s="74" t="str">
        <f t="shared" si="35"/>
        <v>-</v>
      </c>
      <c r="U139" s="74" t="str">
        <f t="shared" si="36"/>
        <v>-</v>
      </c>
      <c r="V139" s="79"/>
      <c r="W139" s="66" t="str">
        <f>IFERROR(+VLOOKUP(D139,Data!$F:$G,2,0),"-")</f>
        <v>-</v>
      </c>
    </row>
    <row r="140" spans="2:23" x14ac:dyDescent="0.25">
      <c r="B140" s="79" t="str">
        <f t="shared" si="28"/>
        <v>-</v>
      </c>
      <c r="C140" s="78"/>
      <c r="D140" s="78"/>
      <c r="E140" s="79"/>
      <c r="F140" s="74" t="str">
        <f>IFERROR(+VLOOKUP(E140,Data!$J$4:$K$303,2,0),"")</f>
        <v/>
      </c>
      <c r="G140" s="80"/>
      <c r="H140" s="80"/>
      <c r="I140" s="76" t="str">
        <f t="shared" si="29"/>
        <v/>
      </c>
      <c r="J140" s="75"/>
      <c r="K140" s="77">
        <f t="shared" si="30"/>
        <v>0</v>
      </c>
      <c r="L140" s="77">
        <f t="shared" si="31"/>
        <v>0</v>
      </c>
      <c r="M140" s="75"/>
      <c r="N140" s="77">
        <f t="shared" si="32"/>
        <v>0</v>
      </c>
      <c r="O140" s="77">
        <f t="shared" si="33"/>
        <v>0</v>
      </c>
      <c r="P140" s="75"/>
      <c r="Q140" s="75"/>
      <c r="R140" s="75"/>
      <c r="S140" s="93">
        <f t="shared" si="34"/>
        <v>0</v>
      </c>
      <c r="T140" s="74" t="str">
        <f t="shared" si="35"/>
        <v>-</v>
      </c>
      <c r="U140" s="74" t="str">
        <f t="shared" si="36"/>
        <v>-</v>
      </c>
      <c r="V140" s="79"/>
      <c r="W140" s="66" t="str">
        <f>IFERROR(+VLOOKUP(D140,Data!$F:$G,2,0),"-")</f>
        <v>-</v>
      </c>
    </row>
    <row r="141" spans="2:23" x14ac:dyDescent="0.25">
      <c r="B141" s="79" t="str">
        <f t="shared" si="28"/>
        <v>-</v>
      </c>
      <c r="C141" s="78"/>
      <c r="D141" s="78"/>
      <c r="E141" s="79"/>
      <c r="F141" s="74" t="str">
        <f>IFERROR(+VLOOKUP(E141,Data!$J$4:$K$303,2,0),"")</f>
        <v/>
      </c>
      <c r="G141" s="80"/>
      <c r="H141" s="80"/>
      <c r="I141" s="76" t="str">
        <f t="shared" si="29"/>
        <v/>
      </c>
      <c r="J141" s="75"/>
      <c r="K141" s="77">
        <f t="shared" si="30"/>
        <v>0</v>
      </c>
      <c r="L141" s="77">
        <f t="shared" si="31"/>
        <v>0</v>
      </c>
      <c r="M141" s="75"/>
      <c r="N141" s="77">
        <f t="shared" si="32"/>
        <v>0</v>
      </c>
      <c r="O141" s="77">
        <f t="shared" si="33"/>
        <v>0</v>
      </c>
      <c r="P141" s="75"/>
      <c r="Q141" s="75"/>
      <c r="R141" s="75"/>
      <c r="S141" s="93">
        <f t="shared" si="34"/>
        <v>0</v>
      </c>
      <c r="T141" s="74" t="str">
        <f t="shared" si="35"/>
        <v>-</v>
      </c>
      <c r="U141" s="74" t="str">
        <f t="shared" si="36"/>
        <v>-</v>
      </c>
      <c r="V141" s="79"/>
      <c r="W141" s="66" t="str">
        <f>IFERROR(+VLOOKUP(D141,Data!$F:$G,2,0),"-")</f>
        <v>-</v>
      </c>
    </row>
    <row r="142" spans="2:23" x14ac:dyDescent="0.25">
      <c r="B142" s="79" t="str">
        <f t="shared" si="28"/>
        <v>-</v>
      </c>
      <c r="C142" s="78"/>
      <c r="D142" s="78"/>
      <c r="E142" s="79"/>
      <c r="F142" s="74" t="str">
        <f>IFERROR(+VLOOKUP(E142,Data!$J$4:$K$303,2,0),"")</f>
        <v/>
      </c>
      <c r="G142" s="80"/>
      <c r="H142" s="80"/>
      <c r="I142" s="76" t="str">
        <f t="shared" si="29"/>
        <v/>
      </c>
      <c r="J142" s="75"/>
      <c r="K142" s="77">
        <f t="shared" si="30"/>
        <v>0</v>
      </c>
      <c r="L142" s="77">
        <f t="shared" si="31"/>
        <v>0</v>
      </c>
      <c r="M142" s="75"/>
      <c r="N142" s="77">
        <f t="shared" si="32"/>
        <v>0</v>
      </c>
      <c r="O142" s="77">
        <f t="shared" si="33"/>
        <v>0</v>
      </c>
      <c r="P142" s="75"/>
      <c r="Q142" s="75"/>
      <c r="R142" s="75"/>
      <c r="S142" s="93">
        <f t="shared" si="34"/>
        <v>0</v>
      </c>
      <c r="T142" s="74" t="str">
        <f t="shared" si="35"/>
        <v>-</v>
      </c>
      <c r="U142" s="74" t="str">
        <f t="shared" si="36"/>
        <v>-</v>
      </c>
      <c r="V142" s="79"/>
      <c r="W142" s="66" t="str">
        <f>IFERROR(+VLOOKUP(D142,Data!$F:$G,2,0),"-")</f>
        <v>-</v>
      </c>
    </row>
    <row r="143" spans="2:23" x14ac:dyDescent="0.25">
      <c r="B143" s="79" t="str">
        <f t="shared" si="28"/>
        <v>-</v>
      </c>
      <c r="C143" s="78"/>
      <c r="D143" s="78"/>
      <c r="E143" s="79"/>
      <c r="F143" s="74" t="str">
        <f>IFERROR(+VLOOKUP(E143,Data!$J$4:$K$303,2,0),"")</f>
        <v/>
      </c>
      <c r="G143" s="80"/>
      <c r="H143" s="80"/>
      <c r="I143" s="76" t="str">
        <f t="shared" si="29"/>
        <v/>
      </c>
      <c r="J143" s="75"/>
      <c r="K143" s="77">
        <f t="shared" si="30"/>
        <v>0</v>
      </c>
      <c r="L143" s="77">
        <f t="shared" si="31"/>
        <v>0</v>
      </c>
      <c r="M143" s="75"/>
      <c r="N143" s="77">
        <f t="shared" si="32"/>
        <v>0</v>
      </c>
      <c r="O143" s="77">
        <f t="shared" si="33"/>
        <v>0</v>
      </c>
      <c r="P143" s="75"/>
      <c r="Q143" s="75"/>
      <c r="R143" s="75"/>
      <c r="S143" s="93">
        <f t="shared" si="34"/>
        <v>0</v>
      </c>
      <c r="T143" s="74" t="str">
        <f t="shared" si="35"/>
        <v>-</v>
      </c>
      <c r="U143" s="74" t="str">
        <f t="shared" si="36"/>
        <v>-</v>
      </c>
      <c r="V143" s="79"/>
      <c r="W143" s="66" t="str">
        <f>IFERROR(+VLOOKUP(D143,Data!$F:$G,2,0),"-")</f>
        <v>-</v>
      </c>
    </row>
    <row r="144" spans="2:23" x14ac:dyDescent="0.25">
      <c r="B144" s="79" t="str">
        <f t="shared" si="28"/>
        <v>-</v>
      </c>
      <c r="C144" s="78"/>
      <c r="D144" s="78"/>
      <c r="E144" s="79"/>
      <c r="F144" s="74" t="str">
        <f>IFERROR(+VLOOKUP(E144,Data!$J$4:$K$303,2,0),"")</f>
        <v/>
      </c>
      <c r="G144" s="80"/>
      <c r="H144" s="80"/>
      <c r="I144" s="76" t="str">
        <f t="shared" si="29"/>
        <v/>
      </c>
      <c r="J144" s="75"/>
      <c r="K144" s="77">
        <f t="shared" si="30"/>
        <v>0</v>
      </c>
      <c r="L144" s="77">
        <f t="shared" si="31"/>
        <v>0</v>
      </c>
      <c r="M144" s="75"/>
      <c r="N144" s="77">
        <f t="shared" si="32"/>
        <v>0</v>
      </c>
      <c r="O144" s="77">
        <f t="shared" si="33"/>
        <v>0</v>
      </c>
      <c r="P144" s="75"/>
      <c r="Q144" s="75"/>
      <c r="R144" s="75"/>
      <c r="S144" s="93">
        <f t="shared" si="34"/>
        <v>0</v>
      </c>
      <c r="T144" s="74" t="str">
        <f t="shared" si="35"/>
        <v>-</v>
      </c>
      <c r="U144" s="74" t="str">
        <f t="shared" si="36"/>
        <v>-</v>
      </c>
      <c r="V144" s="79"/>
      <c r="W144" s="66" t="str">
        <f>IFERROR(+VLOOKUP(D144,Data!$F:$G,2,0),"-")</f>
        <v>-</v>
      </c>
    </row>
    <row r="145" spans="2:23" x14ac:dyDescent="0.25">
      <c r="B145" s="79" t="str">
        <f t="shared" si="28"/>
        <v>-</v>
      </c>
      <c r="C145" s="78"/>
      <c r="D145" s="78"/>
      <c r="E145" s="79"/>
      <c r="F145" s="74" t="str">
        <f>IFERROR(+VLOOKUP(E145,Data!$J$4:$K$303,2,0),"")</f>
        <v/>
      </c>
      <c r="G145" s="80"/>
      <c r="H145" s="80"/>
      <c r="I145" s="76" t="str">
        <f t="shared" si="29"/>
        <v/>
      </c>
      <c r="J145" s="75"/>
      <c r="K145" s="77">
        <f t="shared" si="30"/>
        <v>0</v>
      </c>
      <c r="L145" s="77">
        <f t="shared" si="31"/>
        <v>0</v>
      </c>
      <c r="M145" s="75"/>
      <c r="N145" s="77">
        <f t="shared" si="32"/>
        <v>0</v>
      </c>
      <c r="O145" s="77">
        <f t="shared" si="33"/>
        <v>0</v>
      </c>
      <c r="P145" s="75"/>
      <c r="Q145" s="75"/>
      <c r="R145" s="75"/>
      <c r="S145" s="93">
        <f t="shared" si="34"/>
        <v>0</v>
      </c>
      <c r="T145" s="74" t="str">
        <f t="shared" si="35"/>
        <v>-</v>
      </c>
      <c r="U145" s="74" t="str">
        <f t="shared" si="36"/>
        <v>-</v>
      </c>
      <c r="V145" s="79"/>
      <c r="W145" s="66" t="str">
        <f>IFERROR(+VLOOKUP(D145,Data!$F:$G,2,0),"-")</f>
        <v>-</v>
      </c>
    </row>
    <row r="146" spans="2:23" x14ac:dyDescent="0.25">
      <c r="B146" s="79" t="str">
        <f t="shared" si="28"/>
        <v>-</v>
      </c>
      <c r="C146" s="78"/>
      <c r="D146" s="78"/>
      <c r="E146" s="79"/>
      <c r="F146" s="74" t="str">
        <f>IFERROR(+VLOOKUP(E146,Data!$J$4:$K$303,2,0),"")</f>
        <v/>
      </c>
      <c r="G146" s="80"/>
      <c r="H146" s="80"/>
      <c r="I146" s="76" t="str">
        <f t="shared" si="29"/>
        <v/>
      </c>
      <c r="J146" s="75"/>
      <c r="K146" s="77">
        <f t="shared" si="30"/>
        <v>0</v>
      </c>
      <c r="L146" s="77">
        <f t="shared" si="31"/>
        <v>0</v>
      </c>
      <c r="M146" s="75"/>
      <c r="N146" s="77">
        <f t="shared" si="32"/>
        <v>0</v>
      </c>
      <c r="O146" s="77">
        <f t="shared" si="33"/>
        <v>0</v>
      </c>
      <c r="P146" s="75"/>
      <c r="Q146" s="75"/>
      <c r="R146" s="75"/>
      <c r="S146" s="93">
        <f t="shared" si="34"/>
        <v>0</v>
      </c>
      <c r="T146" s="74" t="str">
        <f t="shared" si="35"/>
        <v>-</v>
      </c>
      <c r="U146" s="74" t="str">
        <f t="shared" si="36"/>
        <v>-</v>
      </c>
      <c r="V146" s="79"/>
      <c r="W146" s="66" t="str">
        <f>IFERROR(+VLOOKUP(D146,Data!$F:$G,2,0),"-")</f>
        <v>-</v>
      </c>
    </row>
    <row r="147" spans="2:23" x14ac:dyDescent="0.25">
      <c r="B147" s="79" t="str">
        <f t="shared" si="28"/>
        <v>-</v>
      </c>
      <c r="C147" s="78"/>
      <c r="D147" s="78"/>
      <c r="E147" s="79"/>
      <c r="F147" s="74" t="str">
        <f>IFERROR(+VLOOKUP(E147,Data!$J$4:$K$303,2,0),"")</f>
        <v/>
      </c>
      <c r="G147" s="80"/>
      <c r="H147" s="80"/>
      <c r="I147" s="76" t="str">
        <f t="shared" si="29"/>
        <v/>
      </c>
      <c r="J147" s="75"/>
      <c r="K147" s="77">
        <f t="shared" si="30"/>
        <v>0</v>
      </c>
      <c r="L147" s="77">
        <f t="shared" si="31"/>
        <v>0</v>
      </c>
      <c r="M147" s="75"/>
      <c r="N147" s="77">
        <f t="shared" si="32"/>
        <v>0</v>
      </c>
      <c r="O147" s="77">
        <f t="shared" si="33"/>
        <v>0</v>
      </c>
      <c r="P147" s="75"/>
      <c r="Q147" s="75"/>
      <c r="R147" s="75"/>
      <c r="S147" s="93">
        <f t="shared" si="34"/>
        <v>0</v>
      </c>
      <c r="T147" s="74" t="str">
        <f t="shared" si="35"/>
        <v>-</v>
      </c>
      <c r="U147" s="74" t="str">
        <f t="shared" si="36"/>
        <v>-</v>
      </c>
      <c r="V147" s="79"/>
      <c r="W147" s="66" t="str">
        <f>IFERROR(+VLOOKUP(D147,Data!$F:$G,2,0),"-")</f>
        <v>-</v>
      </c>
    </row>
    <row r="148" spans="2:23" x14ac:dyDescent="0.25">
      <c r="B148" s="79" t="str">
        <f t="shared" si="28"/>
        <v>-</v>
      </c>
      <c r="C148" s="78"/>
      <c r="D148" s="78"/>
      <c r="E148" s="79"/>
      <c r="F148" s="74" t="str">
        <f>IFERROR(+VLOOKUP(E148,Data!$J$4:$K$303,2,0),"")</f>
        <v/>
      </c>
      <c r="G148" s="80"/>
      <c r="H148" s="80"/>
      <c r="I148" s="76" t="str">
        <f t="shared" si="29"/>
        <v/>
      </c>
      <c r="J148" s="75"/>
      <c r="K148" s="77">
        <f t="shared" si="30"/>
        <v>0</v>
      </c>
      <c r="L148" s="77">
        <f t="shared" si="31"/>
        <v>0</v>
      </c>
      <c r="M148" s="75"/>
      <c r="N148" s="77">
        <f t="shared" si="32"/>
        <v>0</v>
      </c>
      <c r="O148" s="77">
        <f t="shared" si="33"/>
        <v>0</v>
      </c>
      <c r="P148" s="75"/>
      <c r="Q148" s="75"/>
      <c r="R148" s="75"/>
      <c r="S148" s="93">
        <f t="shared" si="34"/>
        <v>0</v>
      </c>
      <c r="T148" s="74" t="str">
        <f t="shared" si="35"/>
        <v>-</v>
      </c>
      <c r="U148" s="74" t="str">
        <f t="shared" si="36"/>
        <v>-</v>
      </c>
      <c r="V148" s="79"/>
      <c r="W148" s="66" t="str">
        <f>IFERROR(+VLOOKUP(D148,Data!$F:$G,2,0),"-")</f>
        <v>-</v>
      </c>
    </row>
    <row r="149" spans="2:23" x14ac:dyDescent="0.25">
      <c r="B149" s="79" t="str">
        <f t="shared" si="28"/>
        <v>-</v>
      </c>
      <c r="C149" s="78"/>
      <c r="D149" s="78"/>
      <c r="E149" s="79"/>
      <c r="F149" s="74" t="str">
        <f>IFERROR(+VLOOKUP(E149,Data!$J$4:$K$303,2,0),"")</f>
        <v/>
      </c>
      <c r="G149" s="80"/>
      <c r="H149" s="80"/>
      <c r="I149" s="76" t="str">
        <f t="shared" si="29"/>
        <v/>
      </c>
      <c r="J149" s="75"/>
      <c r="K149" s="77">
        <f t="shared" si="30"/>
        <v>0</v>
      </c>
      <c r="L149" s="77">
        <f t="shared" si="31"/>
        <v>0</v>
      </c>
      <c r="M149" s="75"/>
      <c r="N149" s="77">
        <f t="shared" si="32"/>
        <v>0</v>
      </c>
      <c r="O149" s="77">
        <f t="shared" si="33"/>
        <v>0</v>
      </c>
      <c r="P149" s="75"/>
      <c r="Q149" s="75"/>
      <c r="R149" s="75"/>
      <c r="S149" s="93">
        <f t="shared" si="34"/>
        <v>0</v>
      </c>
      <c r="T149" s="74" t="str">
        <f t="shared" si="35"/>
        <v>-</v>
      </c>
      <c r="U149" s="74" t="str">
        <f t="shared" si="36"/>
        <v>-</v>
      </c>
      <c r="V149" s="79"/>
      <c r="W149" s="66" t="str">
        <f>IFERROR(+VLOOKUP(D149,Data!$F:$G,2,0),"-")</f>
        <v>-</v>
      </c>
    </row>
    <row r="150" spans="2:23" x14ac:dyDescent="0.25">
      <c r="B150" s="79" t="str">
        <f t="shared" si="28"/>
        <v>-</v>
      </c>
      <c r="C150" s="78"/>
      <c r="D150" s="78"/>
      <c r="E150" s="79"/>
      <c r="F150" s="74" t="str">
        <f>IFERROR(+VLOOKUP(E150,Data!$J$4:$K$303,2,0),"")</f>
        <v/>
      </c>
      <c r="G150" s="80"/>
      <c r="H150" s="80"/>
      <c r="I150" s="76" t="str">
        <f t="shared" si="29"/>
        <v/>
      </c>
      <c r="J150" s="75"/>
      <c r="K150" s="77">
        <f t="shared" si="30"/>
        <v>0</v>
      </c>
      <c r="L150" s="77">
        <f t="shared" si="31"/>
        <v>0</v>
      </c>
      <c r="M150" s="75"/>
      <c r="N150" s="77">
        <f t="shared" si="32"/>
        <v>0</v>
      </c>
      <c r="O150" s="77">
        <f t="shared" si="33"/>
        <v>0</v>
      </c>
      <c r="P150" s="75"/>
      <c r="Q150" s="75"/>
      <c r="R150" s="75"/>
      <c r="S150" s="93">
        <f t="shared" si="34"/>
        <v>0</v>
      </c>
      <c r="T150" s="74" t="str">
        <f t="shared" si="35"/>
        <v>-</v>
      </c>
      <c r="U150" s="74" t="str">
        <f t="shared" si="36"/>
        <v>-</v>
      </c>
      <c r="V150" s="79"/>
      <c r="W150" s="66" t="str">
        <f>IFERROR(+VLOOKUP(D150,Data!$F:$G,2,0),"-")</f>
        <v>-</v>
      </c>
    </row>
    <row r="151" spans="2:23" x14ac:dyDescent="0.25">
      <c r="B151" s="79" t="str">
        <f t="shared" si="28"/>
        <v>-</v>
      </c>
      <c r="C151" s="78"/>
      <c r="D151" s="78"/>
      <c r="E151" s="79"/>
      <c r="F151" s="74" t="str">
        <f>IFERROR(+VLOOKUP(E151,Data!$J$4:$K$303,2,0),"")</f>
        <v/>
      </c>
      <c r="G151" s="80"/>
      <c r="H151" s="80"/>
      <c r="I151" s="76" t="str">
        <f t="shared" si="29"/>
        <v/>
      </c>
      <c r="J151" s="75"/>
      <c r="K151" s="77">
        <f t="shared" si="30"/>
        <v>0</v>
      </c>
      <c r="L151" s="77">
        <f t="shared" si="31"/>
        <v>0</v>
      </c>
      <c r="M151" s="75"/>
      <c r="N151" s="77">
        <f t="shared" si="32"/>
        <v>0</v>
      </c>
      <c r="O151" s="77">
        <f t="shared" si="33"/>
        <v>0</v>
      </c>
      <c r="P151" s="75"/>
      <c r="Q151" s="75"/>
      <c r="R151" s="75"/>
      <c r="S151" s="93">
        <f t="shared" si="34"/>
        <v>0</v>
      </c>
      <c r="T151" s="74" t="str">
        <f t="shared" si="35"/>
        <v>-</v>
      </c>
      <c r="U151" s="74" t="str">
        <f t="shared" si="36"/>
        <v>-</v>
      </c>
      <c r="V151" s="79"/>
      <c r="W151" s="66" t="str">
        <f>IFERROR(+VLOOKUP(D151,Data!$F:$G,2,0),"-")</f>
        <v>-</v>
      </c>
    </row>
    <row r="152" spans="2:23" x14ac:dyDescent="0.25">
      <c r="B152" s="79" t="str">
        <f t="shared" si="28"/>
        <v>-</v>
      </c>
      <c r="C152" s="78"/>
      <c r="D152" s="78"/>
      <c r="E152" s="79"/>
      <c r="F152" s="74" t="str">
        <f>IFERROR(+VLOOKUP(E152,Data!$J$4:$K$303,2,0),"")</f>
        <v/>
      </c>
      <c r="G152" s="80"/>
      <c r="H152" s="80"/>
      <c r="I152" s="76" t="str">
        <f t="shared" si="29"/>
        <v/>
      </c>
      <c r="J152" s="75"/>
      <c r="K152" s="77">
        <f t="shared" si="30"/>
        <v>0</v>
      </c>
      <c r="L152" s="77">
        <f t="shared" si="31"/>
        <v>0</v>
      </c>
      <c r="M152" s="75"/>
      <c r="N152" s="77">
        <f t="shared" si="32"/>
        <v>0</v>
      </c>
      <c r="O152" s="77">
        <f t="shared" si="33"/>
        <v>0</v>
      </c>
      <c r="P152" s="75"/>
      <c r="Q152" s="75"/>
      <c r="R152" s="75"/>
      <c r="S152" s="93">
        <f t="shared" si="34"/>
        <v>0</v>
      </c>
      <c r="T152" s="74" t="str">
        <f t="shared" si="35"/>
        <v>-</v>
      </c>
      <c r="U152" s="74" t="str">
        <f t="shared" si="36"/>
        <v>-</v>
      </c>
      <c r="V152" s="79"/>
      <c r="W152" s="66" t="str">
        <f>IFERROR(+VLOOKUP(D152,Data!$F:$G,2,0),"-")</f>
        <v>-</v>
      </c>
    </row>
    <row r="153" spans="2:23" x14ac:dyDescent="0.25">
      <c r="B153" s="79" t="str">
        <f t="shared" si="28"/>
        <v>-</v>
      </c>
      <c r="C153" s="78"/>
      <c r="D153" s="78"/>
      <c r="E153" s="79"/>
      <c r="F153" s="74" t="str">
        <f>IFERROR(+VLOOKUP(E153,Data!$J$4:$K$303,2,0),"")</f>
        <v/>
      </c>
      <c r="G153" s="80"/>
      <c r="H153" s="80"/>
      <c r="I153" s="76" t="str">
        <f t="shared" si="29"/>
        <v/>
      </c>
      <c r="J153" s="75"/>
      <c r="K153" s="77">
        <f t="shared" si="30"/>
        <v>0</v>
      </c>
      <c r="L153" s="77">
        <f t="shared" si="31"/>
        <v>0</v>
      </c>
      <c r="M153" s="75"/>
      <c r="N153" s="77">
        <f t="shared" si="32"/>
        <v>0</v>
      </c>
      <c r="O153" s="77">
        <f t="shared" si="33"/>
        <v>0</v>
      </c>
      <c r="P153" s="75"/>
      <c r="Q153" s="75"/>
      <c r="R153" s="75"/>
      <c r="S153" s="93">
        <f t="shared" si="34"/>
        <v>0</v>
      </c>
      <c r="T153" s="74" t="str">
        <f t="shared" si="35"/>
        <v>-</v>
      </c>
      <c r="U153" s="74" t="str">
        <f t="shared" si="36"/>
        <v>-</v>
      </c>
      <c r="V153" s="79"/>
      <c r="W153" s="66" t="str">
        <f>IFERROR(+VLOOKUP(D153,Data!$F:$G,2,0),"-")</f>
        <v>-</v>
      </c>
    </row>
    <row r="154" spans="2:23" x14ac:dyDescent="0.25">
      <c r="B154" s="79" t="str">
        <f t="shared" si="28"/>
        <v>-</v>
      </c>
      <c r="C154" s="78"/>
      <c r="D154" s="78"/>
      <c r="E154" s="79"/>
      <c r="F154" s="74" t="str">
        <f>IFERROR(+VLOOKUP(E154,Data!$J$4:$K$303,2,0),"")</f>
        <v/>
      </c>
      <c r="G154" s="80"/>
      <c r="H154" s="80"/>
      <c r="I154" s="76" t="str">
        <f t="shared" si="29"/>
        <v/>
      </c>
      <c r="J154" s="75"/>
      <c r="K154" s="77">
        <f t="shared" si="30"/>
        <v>0</v>
      </c>
      <c r="L154" s="77">
        <f t="shared" si="31"/>
        <v>0</v>
      </c>
      <c r="M154" s="75"/>
      <c r="N154" s="77">
        <f t="shared" si="32"/>
        <v>0</v>
      </c>
      <c r="O154" s="77">
        <f t="shared" si="33"/>
        <v>0</v>
      </c>
      <c r="P154" s="75"/>
      <c r="Q154" s="75"/>
      <c r="R154" s="75"/>
      <c r="S154" s="93">
        <f t="shared" si="34"/>
        <v>0</v>
      </c>
      <c r="T154" s="74" t="str">
        <f t="shared" si="35"/>
        <v>-</v>
      </c>
      <c r="U154" s="74" t="str">
        <f t="shared" si="36"/>
        <v>-</v>
      </c>
      <c r="V154" s="79"/>
      <c r="W154" s="66" t="str">
        <f>IFERROR(+VLOOKUP(D154,Data!$F:$G,2,0),"-")</f>
        <v>-</v>
      </c>
    </row>
    <row r="155" spans="2:23" x14ac:dyDescent="0.25">
      <c r="B155" s="79" t="str">
        <f t="shared" si="28"/>
        <v>-</v>
      </c>
      <c r="C155" s="78"/>
      <c r="D155" s="78"/>
      <c r="E155" s="79"/>
      <c r="F155" s="74" t="str">
        <f>IFERROR(+VLOOKUP(E155,Data!$J$4:$K$303,2,0),"")</f>
        <v/>
      </c>
      <c r="G155" s="80"/>
      <c r="H155" s="80"/>
      <c r="I155" s="76" t="str">
        <f t="shared" si="29"/>
        <v/>
      </c>
      <c r="J155" s="75"/>
      <c r="K155" s="77">
        <f t="shared" si="30"/>
        <v>0</v>
      </c>
      <c r="L155" s="77">
        <f t="shared" si="31"/>
        <v>0</v>
      </c>
      <c r="M155" s="75"/>
      <c r="N155" s="77">
        <f t="shared" si="32"/>
        <v>0</v>
      </c>
      <c r="O155" s="77">
        <f t="shared" si="33"/>
        <v>0</v>
      </c>
      <c r="P155" s="75"/>
      <c r="Q155" s="75"/>
      <c r="R155" s="75"/>
      <c r="S155" s="93">
        <f t="shared" si="34"/>
        <v>0</v>
      </c>
      <c r="T155" s="74" t="str">
        <f t="shared" si="35"/>
        <v>-</v>
      </c>
      <c r="U155" s="74" t="str">
        <f t="shared" si="36"/>
        <v>-</v>
      </c>
      <c r="V155" s="79"/>
      <c r="W155" s="66" t="str">
        <f>IFERROR(+VLOOKUP(D155,Data!$F:$G,2,0),"-")</f>
        <v>-</v>
      </c>
    </row>
  </sheetData>
  <autoFilter ref="B3:W3" xr:uid="{00000000-0009-0000-0000-000006000000}"/>
  <phoneticPr fontId="25" type="noConversion"/>
  <conditionalFormatting sqref="D4:D1048576">
    <cfRule type="containsText" dxfId="4" priority="3" operator="containsText" text="Phú Thọ">
      <formula>NOT(ISERROR(SEARCH("Phú Thọ",D4)))</formula>
    </cfRule>
    <cfRule type="containsText" dxfId="3" priority="4" operator="containsText" text="Bắc Giang Nái">
      <formula>NOT(ISERROR(SEARCH("Bắc Giang Nái",D4)))</formula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600-000000000000}">
          <x14:formula1>
            <xm:f>Data!$M$4:$M$18</xm:f>
          </x14:formula1>
          <xm:sqref>D801:D1048576</xm:sqref>
        </x14:dataValidation>
        <x14:dataValidation type="list" allowBlank="1" showInputMessage="1" showErrorMessage="1" xr:uid="{00000000-0002-0000-0600-000001000000}">
          <x14:formula1>
            <xm:f>Data!$J$4:$J$103</xm:f>
          </x14:formula1>
          <xm:sqref>E156:E1048576</xm:sqref>
        </x14:dataValidation>
        <x14:dataValidation type="list" allowBlank="1" showInputMessage="1" showErrorMessage="1" xr:uid="{00000000-0002-0000-0600-000002000000}">
          <x14:formula1>
            <xm:f>Data!$F$4:$F$28</xm:f>
          </x14:formula1>
          <xm:sqref>D4:D800</xm:sqref>
        </x14:dataValidation>
        <x14:dataValidation type="list" allowBlank="1" showInputMessage="1" showErrorMessage="1" xr:uid="{00000000-0002-0000-0600-000003000000}">
          <x14:formula1>
            <xm:f>Data!$J$4:$J$200</xm:f>
          </x14:formula1>
          <xm:sqref>E4:E155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183"/>
  <sheetViews>
    <sheetView topLeftCell="A6" workbookViewId="0">
      <selection activeCell="K21" sqref="K21"/>
    </sheetView>
  </sheetViews>
  <sheetFormatPr defaultColWidth="9.109375" defaultRowHeight="13.2" x14ac:dyDescent="0.3"/>
  <cols>
    <col min="1" max="1" width="2.6640625" style="23" customWidth="1"/>
    <col min="2" max="2" width="15.33203125" style="35" bestFit="1" customWidth="1"/>
    <col min="3" max="3" width="63" style="23" bestFit="1" customWidth="1"/>
    <col min="4" max="4" width="23.6640625" style="36" bestFit="1" customWidth="1"/>
    <col min="5" max="5" width="19" style="23" bestFit="1" customWidth="1"/>
    <col min="6" max="7" width="16.5546875" style="23" customWidth="1"/>
    <col min="8" max="9" width="16.5546875" style="23" bestFit="1" customWidth="1"/>
    <col min="10" max="10" width="10" style="23" bestFit="1" customWidth="1"/>
    <col min="11" max="11" width="24.33203125" style="23" customWidth="1"/>
    <col min="12" max="12" width="25.6640625" style="40" customWidth="1"/>
    <col min="13" max="16384" width="9.109375" style="23"/>
  </cols>
  <sheetData>
    <row r="1" spans="2:12" ht="15.6" x14ac:dyDescent="0.3">
      <c r="B1" s="22" t="s">
        <v>42</v>
      </c>
      <c r="D1" s="23"/>
      <c r="H1" s="274">
        <f>SUMIF(G:G,$G$20,D:D)</f>
        <v>0</v>
      </c>
      <c r="L1" s="23"/>
    </row>
    <row r="2" spans="2:12" x14ac:dyDescent="0.3">
      <c r="B2" s="24" t="s">
        <v>43</v>
      </c>
      <c r="D2" s="23"/>
      <c r="L2" s="23"/>
    </row>
    <row r="3" spans="2:12" x14ac:dyDescent="0.3">
      <c r="B3" s="24" t="s">
        <v>44</v>
      </c>
      <c r="D3" s="23"/>
      <c r="L3" s="23"/>
    </row>
    <row r="4" spans="2:12" x14ac:dyDescent="0.3">
      <c r="B4" s="117" t="s">
        <v>45</v>
      </c>
      <c r="C4" s="117"/>
      <c r="D4" s="117"/>
      <c r="E4" s="117"/>
      <c r="L4" s="23"/>
    </row>
    <row r="5" spans="2:12" x14ac:dyDescent="0.3">
      <c r="B5" s="24" t="s">
        <v>44</v>
      </c>
      <c r="D5" s="23"/>
      <c r="L5" s="23"/>
    </row>
    <row r="6" spans="2:12" ht="15.6" x14ac:dyDescent="0.3">
      <c r="B6" s="187" t="s">
        <v>34</v>
      </c>
      <c r="C6" s="188">
        <f>+SUM(C8:C13)</f>
        <v>0</v>
      </c>
      <c r="D6" s="188">
        <f>+SUM(D8:D13)</f>
        <v>0</v>
      </c>
      <c r="E6" s="163"/>
      <c r="L6" s="23"/>
    </row>
    <row r="7" spans="2:12" ht="15.6" x14ac:dyDescent="0.3">
      <c r="B7" s="187" t="s">
        <v>25</v>
      </c>
      <c r="C7" s="189" t="s">
        <v>136</v>
      </c>
      <c r="D7" s="191" t="s">
        <v>141</v>
      </c>
      <c r="E7" s="163"/>
      <c r="L7" s="23"/>
    </row>
    <row r="8" spans="2:12" ht="15.6" x14ac:dyDescent="0.3">
      <c r="B8" s="190" t="s">
        <v>116</v>
      </c>
      <c r="C8" s="188">
        <f t="shared" ref="C8:C13" si="0">+SUMIFS($D:$D,$F:$F,$B8)</f>
        <v>0</v>
      </c>
      <c r="D8" s="188"/>
      <c r="E8" s="163"/>
      <c r="L8" s="23"/>
    </row>
    <row r="9" spans="2:12" ht="15.6" x14ac:dyDescent="0.3">
      <c r="B9" s="190" t="s">
        <v>123</v>
      </c>
      <c r="C9" s="188">
        <f t="shared" si="0"/>
        <v>0</v>
      </c>
      <c r="D9" s="188"/>
      <c r="E9" s="163"/>
      <c r="L9" s="23"/>
    </row>
    <row r="10" spans="2:12" ht="15.6" x14ac:dyDescent="0.3">
      <c r="B10" s="190" t="s">
        <v>122</v>
      </c>
      <c r="C10" s="188">
        <f t="shared" si="0"/>
        <v>0</v>
      </c>
      <c r="D10" s="188"/>
      <c r="E10" s="163"/>
      <c r="L10" s="23"/>
    </row>
    <row r="11" spans="2:12" ht="15.6" x14ac:dyDescent="0.3">
      <c r="B11" s="190" t="s">
        <v>133</v>
      </c>
      <c r="C11" s="188">
        <f t="shared" si="0"/>
        <v>0</v>
      </c>
      <c r="D11" s="188"/>
      <c r="E11" s="163"/>
      <c r="L11" s="23"/>
    </row>
    <row r="12" spans="2:12" ht="15.6" x14ac:dyDescent="0.3">
      <c r="B12" s="190" t="s">
        <v>126</v>
      </c>
      <c r="C12" s="188">
        <f t="shared" si="0"/>
        <v>0</v>
      </c>
      <c r="D12" s="188"/>
      <c r="E12" s="163"/>
      <c r="L12" s="23"/>
    </row>
    <row r="13" spans="2:12" ht="15.6" x14ac:dyDescent="0.3">
      <c r="B13" s="190" t="s">
        <v>134</v>
      </c>
      <c r="C13" s="188">
        <f t="shared" si="0"/>
        <v>0</v>
      </c>
      <c r="D13" s="188"/>
      <c r="E13" s="163"/>
      <c r="L13" s="23"/>
    </row>
    <row r="14" spans="2:12" ht="15.6" x14ac:dyDescent="0.3">
      <c r="B14" s="160"/>
      <c r="C14" s="161"/>
      <c r="D14" s="162"/>
      <c r="E14" s="163"/>
      <c r="L14" s="23"/>
    </row>
    <row r="15" spans="2:12" ht="15.6" x14ac:dyDescent="0.3">
      <c r="B15" s="160"/>
      <c r="C15" s="161"/>
      <c r="D15" s="162"/>
      <c r="E15" s="163"/>
      <c r="L15" s="23"/>
    </row>
    <row r="16" spans="2:12" ht="15.6" x14ac:dyDescent="0.3">
      <c r="B16" s="160"/>
      <c r="C16" s="161"/>
      <c r="D16" s="162"/>
      <c r="E16" s="163"/>
      <c r="L16" s="23"/>
    </row>
    <row r="17" spans="2:12" ht="15.6" x14ac:dyDescent="0.3">
      <c r="B17" s="160"/>
      <c r="C17" s="161"/>
      <c r="D17" s="162"/>
      <c r="E17" s="163"/>
      <c r="L17" s="23"/>
    </row>
    <row r="18" spans="2:12" ht="13.8" thickBot="1" x14ac:dyDescent="0.35">
      <c r="B18" s="23"/>
      <c r="D18" s="23"/>
      <c r="L18" s="23"/>
    </row>
    <row r="19" spans="2:12" ht="16.2" thickBot="1" x14ac:dyDescent="0.35">
      <c r="B19" s="37" t="s">
        <v>3</v>
      </c>
      <c r="C19" s="38" t="s">
        <v>46</v>
      </c>
      <c r="D19" s="38" t="s">
        <v>47</v>
      </c>
      <c r="E19" s="38"/>
      <c r="F19" s="165"/>
      <c r="G19" s="39"/>
      <c r="L19" s="23"/>
    </row>
    <row r="20" spans="2:12" ht="15.6" x14ac:dyDescent="0.3">
      <c r="B20" s="34"/>
      <c r="C20" s="25"/>
      <c r="D20" s="26"/>
      <c r="E20" s="27"/>
      <c r="F20" s="164"/>
      <c r="G20" s="33"/>
      <c r="L20" s="23"/>
    </row>
    <row r="21" spans="2:12" ht="15.6" x14ac:dyDescent="0.3">
      <c r="B21" s="34"/>
      <c r="C21" s="25"/>
      <c r="D21" s="26"/>
      <c r="E21" s="27"/>
      <c r="F21" s="164"/>
      <c r="G21" s="33"/>
      <c r="L21" s="23"/>
    </row>
    <row r="22" spans="2:12" ht="15.6" x14ac:dyDescent="0.3">
      <c r="B22" s="34"/>
      <c r="C22" s="25"/>
      <c r="D22" s="26"/>
      <c r="E22" s="27"/>
      <c r="F22" s="164"/>
      <c r="G22" s="33"/>
      <c r="L22" s="23"/>
    </row>
    <row r="23" spans="2:12" ht="15.6" x14ac:dyDescent="0.3">
      <c r="B23" s="34"/>
      <c r="C23" s="25"/>
      <c r="D23" s="26"/>
      <c r="E23" s="27"/>
      <c r="F23" s="164"/>
      <c r="G23" s="33"/>
    </row>
    <row r="24" spans="2:12" ht="15.6" x14ac:dyDescent="0.3">
      <c r="B24" s="34"/>
      <c r="C24" s="25"/>
      <c r="D24" s="26"/>
      <c r="E24" s="27"/>
      <c r="F24" s="164"/>
      <c r="G24" s="33"/>
    </row>
    <row r="25" spans="2:12" ht="15.6" x14ac:dyDescent="0.3">
      <c r="B25" s="34"/>
      <c r="C25" s="25"/>
      <c r="D25" s="26"/>
      <c r="E25" s="27"/>
      <c r="F25" s="164"/>
      <c r="G25" s="33"/>
    </row>
    <row r="26" spans="2:12" ht="15.6" x14ac:dyDescent="0.3">
      <c r="B26" s="34"/>
      <c r="C26" s="25"/>
      <c r="D26" s="26"/>
      <c r="E26" s="27"/>
      <c r="F26" s="164"/>
      <c r="G26" s="33"/>
      <c r="H26"/>
    </row>
    <row r="27" spans="2:12" ht="15.6" x14ac:dyDescent="0.3">
      <c r="B27" s="34"/>
      <c r="C27" s="25"/>
      <c r="D27" s="26"/>
      <c r="E27" s="27"/>
      <c r="F27" s="164"/>
      <c r="G27" s="33"/>
      <c r="H27"/>
    </row>
    <row r="28" spans="2:12" ht="15.6" x14ac:dyDescent="0.3">
      <c r="B28" s="34"/>
      <c r="C28" s="25"/>
      <c r="D28" s="26"/>
      <c r="E28" s="27"/>
      <c r="F28" s="164"/>
      <c r="G28" s="33"/>
      <c r="H28"/>
    </row>
    <row r="29" spans="2:12" ht="15.6" x14ac:dyDescent="0.3">
      <c r="B29" s="34"/>
      <c r="C29" s="25"/>
      <c r="D29" s="26"/>
      <c r="E29" s="27"/>
      <c r="F29" s="164"/>
      <c r="G29" s="33"/>
      <c r="H29"/>
    </row>
    <row r="30" spans="2:12" ht="14.25" customHeight="1" x14ac:dyDescent="0.3">
      <c r="B30" s="34"/>
      <c r="C30" s="25"/>
      <c r="D30" s="26"/>
      <c r="E30" s="27"/>
      <c r="F30" s="164"/>
      <c r="G30" s="33"/>
      <c r="H30"/>
    </row>
    <row r="31" spans="2:12" ht="14.25" customHeight="1" x14ac:dyDescent="0.3">
      <c r="B31" s="34"/>
      <c r="C31" s="25"/>
      <c r="D31" s="26"/>
      <c r="E31" s="27"/>
      <c r="F31" s="164"/>
      <c r="G31" s="33"/>
      <c r="H31"/>
    </row>
    <row r="32" spans="2:12" ht="14.25" customHeight="1" x14ac:dyDescent="0.3">
      <c r="B32" s="34"/>
      <c r="C32" s="25"/>
      <c r="D32" s="26"/>
      <c r="E32" s="27"/>
      <c r="F32" s="164"/>
      <c r="G32" s="33"/>
      <c r="H32"/>
    </row>
    <row r="33" spans="2:8" ht="14.25" customHeight="1" x14ac:dyDescent="0.3">
      <c r="B33" s="34"/>
      <c r="C33" s="25"/>
      <c r="D33" s="26"/>
      <c r="E33" s="27"/>
      <c r="F33" s="164"/>
      <c r="G33" s="33"/>
      <c r="H33"/>
    </row>
    <row r="34" spans="2:8" ht="14.25" customHeight="1" x14ac:dyDescent="0.3">
      <c r="B34" s="34"/>
      <c r="C34" s="25"/>
      <c r="D34" s="26"/>
      <c r="E34" s="27"/>
      <c r="F34" s="164"/>
      <c r="G34" s="33"/>
      <c r="H34"/>
    </row>
    <row r="35" spans="2:8" ht="14.25" customHeight="1" x14ac:dyDescent="0.3">
      <c r="B35" s="34"/>
      <c r="C35" s="25"/>
      <c r="D35" s="26"/>
      <c r="E35" s="27"/>
      <c r="F35" s="164"/>
      <c r="G35" s="33"/>
      <c r="H35"/>
    </row>
    <row r="36" spans="2:8" ht="15.6" x14ac:dyDescent="0.3">
      <c r="B36" s="34"/>
      <c r="C36" s="25"/>
      <c r="D36" s="26"/>
      <c r="E36" s="27"/>
      <c r="F36" s="164"/>
      <c r="G36" s="33"/>
      <c r="H36"/>
    </row>
    <row r="37" spans="2:8" ht="15.6" x14ac:dyDescent="0.3">
      <c r="B37" s="34"/>
      <c r="C37" s="25"/>
      <c r="D37" s="26"/>
      <c r="E37" s="27"/>
      <c r="F37" s="164"/>
      <c r="G37" s="33"/>
      <c r="H37"/>
    </row>
    <row r="38" spans="2:8" ht="15.6" x14ac:dyDescent="0.3">
      <c r="B38" s="34"/>
      <c r="C38" s="25"/>
      <c r="D38" s="26"/>
      <c r="E38" s="27"/>
      <c r="F38" s="164"/>
      <c r="G38" s="33"/>
      <c r="H38" s="257"/>
    </row>
    <row r="39" spans="2:8" ht="15.6" x14ac:dyDescent="0.3">
      <c r="B39" s="34"/>
      <c r="C39" s="25"/>
      <c r="D39" s="26"/>
      <c r="E39" s="27"/>
      <c r="F39" s="164"/>
      <c r="G39" s="33"/>
      <c r="H39"/>
    </row>
    <row r="40" spans="2:8" ht="15.6" x14ac:dyDescent="0.3">
      <c r="B40" s="34"/>
      <c r="C40" s="25"/>
      <c r="D40" s="26"/>
      <c r="E40" s="27"/>
      <c r="F40" s="164"/>
      <c r="G40" s="33"/>
      <c r="H40"/>
    </row>
    <row r="41" spans="2:8" ht="15.6" x14ac:dyDescent="0.3">
      <c r="B41" s="34"/>
      <c r="C41" s="25"/>
      <c r="D41" s="26"/>
      <c r="E41" s="27"/>
      <c r="F41" s="164"/>
      <c r="G41" s="33"/>
      <c r="H41"/>
    </row>
    <row r="42" spans="2:8" ht="15.6" x14ac:dyDescent="0.3">
      <c r="B42" s="34"/>
      <c r="C42" s="25"/>
      <c r="D42" s="26"/>
      <c r="E42" s="27"/>
      <c r="F42" s="164"/>
      <c r="G42" s="33"/>
      <c r="H42"/>
    </row>
    <row r="43" spans="2:8" ht="15.6" x14ac:dyDescent="0.3">
      <c r="B43" s="34"/>
      <c r="C43" s="25"/>
      <c r="D43" s="26"/>
      <c r="E43" s="27"/>
      <c r="F43" s="164"/>
      <c r="G43" s="33"/>
      <c r="H43"/>
    </row>
    <row r="44" spans="2:8" ht="15.6" x14ac:dyDescent="0.3">
      <c r="B44" s="34"/>
      <c r="C44" s="25"/>
      <c r="D44" s="26"/>
      <c r="E44" s="27"/>
      <c r="F44" s="164"/>
      <c r="G44" s="33"/>
      <c r="H44"/>
    </row>
    <row r="45" spans="2:8" ht="15.6" x14ac:dyDescent="0.3">
      <c r="B45" s="34"/>
      <c r="C45" s="25"/>
      <c r="D45" s="26"/>
      <c r="E45" s="27"/>
      <c r="F45" s="164"/>
      <c r="G45" s="33"/>
      <c r="H45"/>
    </row>
    <row r="46" spans="2:8" ht="15.6" x14ac:dyDescent="0.3">
      <c r="B46" s="34"/>
      <c r="C46" s="25"/>
      <c r="D46" s="26"/>
      <c r="E46" s="27"/>
      <c r="F46" s="164"/>
      <c r="G46" s="33"/>
      <c r="H46"/>
    </row>
    <row r="47" spans="2:8" ht="15.6" x14ac:dyDescent="0.3">
      <c r="B47" s="34"/>
      <c r="C47" s="25"/>
      <c r="D47" s="26"/>
      <c r="E47" s="27"/>
      <c r="F47" s="164"/>
      <c r="G47" s="33"/>
      <c r="H47"/>
    </row>
    <row r="48" spans="2:8" ht="15.6" x14ac:dyDescent="0.3">
      <c r="B48" s="34"/>
      <c r="C48" s="25"/>
      <c r="D48" s="26"/>
      <c r="E48" s="27"/>
      <c r="F48" s="164"/>
      <c r="G48" s="33"/>
      <c r="H48"/>
    </row>
    <row r="49" spans="2:9" ht="15.6" x14ac:dyDescent="0.3">
      <c r="B49" s="34"/>
      <c r="C49" s="25"/>
      <c r="D49" s="26"/>
      <c r="E49" s="27"/>
      <c r="F49" s="164"/>
      <c r="G49" s="33"/>
      <c r="I49" s="251"/>
    </row>
    <row r="50" spans="2:9" ht="15.6" x14ac:dyDescent="0.3">
      <c r="B50" s="34"/>
      <c r="C50" s="25"/>
      <c r="D50" s="26"/>
      <c r="E50" s="27"/>
      <c r="F50" s="164"/>
      <c r="G50" s="33"/>
      <c r="I50" s="251"/>
    </row>
    <row r="51" spans="2:9" ht="15.6" x14ac:dyDescent="0.3">
      <c r="B51" s="34"/>
      <c r="C51" s="25"/>
      <c r="D51" s="26"/>
      <c r="E51" s="27"/>
      <c r="F51" s="164"/>
      <c r="G51" s="33"/>
    </row>
    <row r="52" spans="2:9" ht="15.6" x14ac:dyDescent="0.3">
      <c r="B52" s="34"/>
      <c r="C52" s="25"/>
      <c r="D52" s="26"/>
      <c r="E52" s="27"/>
      <c r="F52" s="164"/>
      <c r="G52" s="33"/>
    </row>
    <row r="53" spans="2:9" ht="15.6" x14ac:dyDescent="0.3">
      <c r="B53" s="34"/>
      <c r="C53" s="25"/>
      <c r="D53" s="26"/>
      <c r="E53" s="27"/>
      <c r="F53" s="164"/>
      <c r="G53" s="33"/>
    </row>
    <row r="54" spans="2:9" ht="15.6" x14ac:dyDescent="0.3">
      <c r="B54" s="34"/>
      <c r="C54" s="25"/>
      <c r="D54" s="26"/>
      <c r="E54" s="27"/>
      <c r="F54" s="164"/>
      <c r="G54" s="33"/>
    </row>
    <row r="55" spans="2:9" ht="15.6" x14ac:dyDescent="0.3">
      <c r="B55" s="34"/>
      <c r="C55" s="25"/>
      <c r="D55" s="26"/>
      <c r="E55" s="27"/>
      <c r="F55" s="164"/>
      <c r="G55" s="33"/>
    </row>
    <row r="56" spans="2:9" ht="15.6" x14ac:dyDescent="0.3">
      <c r="B56" s="34"/>
      <c r="C56" s="25"/>
      <c r="D56" s="26"/>
      <c r="E56" s="27"/>
      <c r="F56" s="164"/>
      <c r="G56" s="33"/>
    </row>
    <row r="57" spans="2:9" ht="15.6" x14ac:dyDescent="0.3">
      <c r="B57" s="34"/>
      <c r="C57" s="25"/>
      <c r="D57" s="26"/>
      <c r="E57" s="27"/>
      <c r="F57" s="164"/>
      <c r="G57" s="33"/>
    </row>
    <row r="58" spans="2:9" ht="15.6" x14ac:dyDescent="0.3">
      <c r="B58" s="34"/>
      <c r="C58" s="25"/>
      <c r="D58" s="26"/>
      <c r="E58" s="27"/>
      <c r="F58" s="164"/>
      <c r="G58" s="33"/>
    </row>
    <row r="59" spans="2:9" ht="15.6" x14ac:dyDescent="0.3">
      <c r="B59" s="34"/>
      <c r="C59" s="25"/>
      <c r="D59" s="26"/>
      <c r="E59" s="27"/>
      <c r="F59" s="164"/>
      <c r="G59" s="33"/>
    </row>
    <row r="60" spans="2:9" ht="15.6" x14ac:dyDescent="0.3">
      <c r="B60" s="34"/>
      <c r="C60" s="25"/>
      <c r="D60" s="26"/>
      <c r="E60" s="27"/>
      <c r="F60" s="164"/>
      <c r="G60" s="33"/>
    </row>
    <row r="61" spans="2:9" ht="15.6" x14ac:dyDescent="0.3">
      <c r="B61" s="34"/>
      <c r="C61" s="25"/>
      <c r="D61" s="26"/>
      <c r="E61" s="27"/>
      <c r="F61" s="164"/>
      <c r="G61" s="33"/>
    </row>
    <row r="62" spans="2:9" ht="15.6" x14ac:dyDescent="0.3">
      <c r="B62" s="34"/>
      <c r="C62" s="25"/>
      <c r="D62" s="26"/>
      <c r="E62" s="27"/>
      <c r="F62" s="164"/>
      <c r="G62" s="33"/>
    </row>
    <row r="63" spans="2:9" ht="15.6" x14ac:dyDescent="0.3">
      <c r="B63" s="34"/>
      <c r="C63" s="25"/>
      <c r="D63" s="26"/>
      <c r="E63" s="27"/>
      <c r="F63" s="164"/>
      <c r="G63" s="33"/>
    </row>
    <row r="64" spans="2:9" ht="15.6" x14ac:dyDescent="0.3">
      <c r="B64" s="34"/>
      <c r="C64" s="25"/>
      <c r="D64" s="26"/>
      <c r="E64" s="27"/>
      <c r="F64" s="164"/>
      <c r="G64" s="33"/>
    </row>
    <row r="65" spans="2:7" ht="15.6" x14ac:dyDescent="0.3">
      <c r="B65" s="34"/>
      <c r="C65" s="25"/>
      <c r="D65" s="26"/>
      <c r="E65" s="27"/>
      <c r="F65" s="164"/>
      <c r="G65" s="33"/>
    </row>
    <row r="66" spans="2:7" ht="15.6" x14ac:dyDescent="0.3">
      <c r="B66" s="34"/>
      <c r="C66" s="25"/>
      <c r="D66" s="26"/>
      <c r="E66" s="27"/>
      <c r="F66" s="164"/>
      <c r="G66" s="33"/>
    </row>
    <row r="67" spans="2:7" ht="15.6" x14ac:dyDescent="0.3">
      <c r="B67" s="34"/>
      <c r="C67" s="25"/>
      <c r="D67" s="26"/>
      <c r="E67" s="27"/>
      <c r="F67" s="164"/>
      <c r="G67" s="33"/>
    </row>
    <row r="68" spans="2:7" ht="15.6" x14ac:dyDescent="0.3">
      <c r="B68" s="34"/>
      <c r="C68" s="25"/>
      <c r="D68" s="26"/>
      <c r="E68" s="27"/>
      <c r="F68" s="164"/>
      <c r="G68" s="33"/>
    </row>
    <row r="69" spans="2:7" ht="15.6" x14ac:dyDescent="0.3">
      <c r="B69" s="34"/>
      <c r="C69" s="25"/>
      <c r="D69" s="26"/>
      <c r="E69" s="27"/>
      <c r="F69" s="164"/>
      <c r="G69" s="33"/>
    </row>
    <row r="70" spans="2:7" ht="15.6" x14ac:dyDescent="0.3">
      <c r="B70" s="34"/>
      <c r="C70" s="25"/>
      <c r="D70" s="26"/>
      <c r="E70" s="27"/>
      <c r="F70" s="164"/>
      <c r="G70" s="33"/>
    </row>
    <row r="71" spans="2:7" ht="15.6" x14ac:dyDescent="0.3">
      <c r="B71" s="34"/>
      <c r="C71" s="25"/>
      <c r="D71" s="26"/>
      <c r="E71" s="27"/>
      <c r="F71" s="164"/>
      <c r="G71" s="33"/>
    </row>
    <row r="72" spans="2:7" ht="15.6" x14ac:dyDescent="0.3">
      <c r="B72" s="34"/>
      <c r="C72" s="25"/>
      <c r="D72" s="26"/>
      <c r="E72" s="27"/>
      <c r="F72" s="164"/>
      <c r="G72" s="33"/>
    </row>
    <row r="73" spans="2:7" ht="15.6" x14ac:dyDescent="0.3">
      <c r="B73" s="34"/>
      <c r="C73" s="25"/>
      <c r="D73" s="26"/>
      <c r="E73" s="27"/>
      <c r="F73" s="164"/>
      <c r="G73" s="33"/>
    </row>
    <row r="74" spans="2:7" ht="15.6" x14ac:dyDescent="0.3">
      <c r="B74" s="34"/>
      <c r="C74" s="25"/>
      <c r="D74" s="26"/>
      <c r="E74" s="27"/>
      <c r="F74" s="164"/>
      <c r="G74" s="33"/>
    </row>
    <row r="75" spans="2:7" ht="15.6" x14ac:dyDescent="0.3">
      <c r="B75" s="34"/>
      <c r="C75" s="25"/>
      <c r="D75" s="26"/>
      <c r="E75" s="27"/>
      <c r="F75" s="164"/>
      <c r="G75" s="33"/>
    </row>
    <row r="76" spans="2:7" ht="15.6" x14ac:dyDescent="0.3">
      <c r="B76" s="34"/>
      <c r="C76" s="25"/>
      <c r="D76" s="26"/>
      <c r="E76" s="27"/>
      <c r="F76" s="164"/>
      <c r="G76" s="33"/>
    </row>
    <row r="77" spans="2:7" ht="15.6" x14ac:dyDescent="0.3">
      <c r="B77" s="34"/>
      <c r="C77" s="25"/>
      <c r="D77" s="26"/>
      <c r="E77" s="27"/>
      <c r="F77" s="164"/>
      <c r="G77" s="33"/>
    </row>
    <row r="78" spans="2:7" ht="15.6" x14ac:dyDescent="0.3">
      <c r="B78" s="34"/>
      <c r="C78" s="25"/>
      <c r="D78" s="26"/>
      <c r="E78" s="27"/>
      <c r="F78" s="164"/>
      <c r="G78" s="33"/>
    </row>
    <row r="79" spans="2:7" ht="15.6" x14ac:dyDescent="0.3">
      <c r="B79" s="34"/>
      <c r="C79" s="25"/>
      <c r="D79" s="26"/>
      <c r="E79" s="27"/>
      <c r="F79" s="164"/>
      <c r="G79" s="33"/>
    </row>
    <row r="80" spans="2:7" ht="15.6" x14ac:dyDescent="0.3">
      <c r="B80" s="34"/>
      <c r="C80" s="25"/>
      <c r="D80" s="26"/>
      <c r="E80" s="27"/>
      <c r="F80" s="164"/>
      <c r="G80" s="33"/>
    </row>
    <row r="81" spans="2:7" ht="15.6" x14ac:dyDescent="0.3">
      <c r="B81" s="34"/>
      <c r="C81" s="25"/>
      <c r="D81" s="26"/>
      <c r="E81" s="27"/>
      <c r="F81" s="164"/>
      <c r="G81" s="33"/>
    </row>
    <row r="82" spans="2:7" ht="15.6" x14ac:dyDescent="0.3">
      <c r="B82" s="34"/>
      <c r="C82" s="25"/>
      <c r="D82" s="26"/>
      <c r="E82" s="27"/>
      <c r="F82" s="164"/>
      <c r="G82" s="33"/>
    </row>
    <row r="83" spans="2:7" ht="15.6" x14ac:dyDescent="0.3">
      <c r="B83" s="34"/>
      <c r="C83" s="25"/>
      <c r="D83" s="26"/>
      <c r="E83" s="27"/>
      <c r="F83" s="164"/>
      <c r="G83" s="33"/>
    </row>
    <row r="84" spans="2:7" ht="15.6" x14ac:dyDescent="0.3">
      <c r="B84" s="34"/>
      <c r="C84" s="25"/>
      <c r="D84" s="26"/>
      <c r="E84" s="27"/>
      <c r="F84" s="164"/>
      <c r="G84" s="33"/>
    </row>
    <row r="85" spans="2:7" ht="15.6" x14ac:dyDescent="0.3">
      <c r="B85" s="34"/>
      <c r="C85" s="25"/>
      <c r="D85" s="26"/>
      <c r="E85" s="27"/>
      <c r="F85" s="164"/>
      <c r="G85" s="33"/>
    </row>
    <row r="86" spans="2:7" ht="15.6" x14ac:dyDescent="0.3">
      <c r="B86" s="34"/>
      <c r="C86" s="25"/>
      <c r="D86" s="28"/>
      <c r="E86" s="27"/>
      <c r="F86" s="164"/>
      <c r="G86" s="33"/>
    </row>
    <row r="87" spans="2:7" ht="15.6" x14ac:dyDescent="0.3">
      <c r="B87" s="34"/>
      <c r="C87" s="25"/>
      <c r="D87" s="26"/>
      <c r="E87" s="27"/>
      <c r="F87" s="164"/>
      <c r="G87" s="33"/>
    </row>
    <row r="88" spans="2:7" ht="15.6" x14ac:dyDescent="0.3">
      <c r="B88" s="34"/>
      <c r="C88" s="25"/>
      <c r="D88" s="26"/>
      <c r="E88" s="27"/>
      <c r="F88" s="164"/>
      <c r="G88" s="33"/>
    </row>
    <row r="89" spans="2:7" ht="15.6" x14ac:dyDescent="0.3">
      <c r="B89" s="34"/>
      <c r="C89" s="25"/>
      <c r="D89" s="26"/>
      <c r="E89" s="27"/>
      <c r="F89" s="164"/>
      <c r="G89" s="33"/>
    </row>
    <row r="90" spans="2:7" ht="15.6" x14ac:dyDescent="0.3">
      <c r="B90" s="34"/>
      <c r="C90" s="25"/>
      <c r="D90" s="26"/>
      <c r="E90" s="27"/>
      <c r="F90" s="164"/>
      <c r="G90" s="33"/>
    </row>
    <row r="91" spans="2:7" ht="15.6" x14ac:dyDescent="0.3">
      <c r="B91" s="34"/>
      <c r="C91" s="25"/>
      <c r="D91" s="26"/>
      <c r="E91" s="27"/>
      <c r="F91" s="164"/>
      <c r="G91" s="33"/>
    </row>
    <row r="92" spans="2:7" ht="15.6" x14ac:dyDescent="0.3">
      <c r="B92" s="34"/>
      <c r="C92" s="25"/>
      <c r="D92" s="26"/>
      <c r="E92" s="27"/>
      <c r="F92" s="164"/>
      <c r="G92" s="33"/>
    </row>
    <row r="93" spans="2:7" ht="15.6" x14ac:dyDescent="0.3">
      <c r="B93" s="34"/>
      <c r="C93" s="25"/>
      <c r="D93" s="26"/>
      <c r="E93" s="27"/>
      <c r="F93" s="164"/>
      <c r="G93" s="33"/>
    </row>
    <row r="94" spans="2:7" ht="15.6" x14ac:dyDescent="0.3">
      <c r="B94" s="34"/>
      <c r="C94" s="25"/>
      <c r="D94" s="28"/>
      <c r="E94" s="27"/>
      <c r="F94" s="164"/>
      <c r="G94" s="33"/>
    </row>
    <row r="95" spans="2:7" ht="15.6" x14ac:dyDescent="0.3">
      <c r="B95" s="34"/>
      <c r="C95" s="25"/>
      <c r="D95" s="26"/>
      <c r="E95" s="27"/>
      <c r="F95" s="164"/>
      <c r="G95" s="33"/>
    </row>
    <row r="96" spans="2:7" ht="15.6" x14ac:dyDescent="0.3">
      <c r="B96" s="34"/>
      <c r="C96" s="25"/>
      <c r="D96" s="26"/>
      <c r="E96" s="27"/>
      <c r="F96" s="164"/>
      <c r="G96" s="33"/>
    </row>
    <row r="97" spans="2:7" ht="15.6" x14ac:dyDescent="0.3">
      <c r="B97" s="34"/>
      <c r="C97" s="25"/>
      <c r="D97" s="26"/>
      <c r="E97" s="27"/>
      <c r="F97" s="164"/>
      <c r="G97" s="33"/>
    </row>
    <row r="98" spans="2:7" ht="15.6" x14ac:dyDescent="0.3">
      <c r="B98" s="34"/>
      <c r="C98" s="25"/>
      <c r="D98" s="26"/>
      <c r="E98" s="27"/>
      <c r="F98" s="164"/>
      <c r="G98" s="33"/>
    </row>
    <row r="99" spans="2:7" ht="15.6" x14ac:dyDescent="0.3">
      <c r="B99" s="34"/>
      <c r="C99" s="25"/>
      <c r="D99" s="26"/>
      <c r="E99" s="27"/>
      <c r="F99" s="164"/>
      <c r="G99" s="33"/>
    </row>
    <row r="100" spans="2:7" ht="16.5" customHeight="1" x14ac:dyDescent="0.3">
      <c r="B100" s="34"/>
      <c r="C100" s="25"/>
      <c r="D100" s="26"/>
      <c r="E100" s="27"/>
      <c r="F100" s="164"/>
      <c r="G100" s="33"/>
    </row>
    <row r="101" spans="2:7" ht="15.6" x14ac:dyDescent="0.3">
      <c r="B101" s="34"/>
      <c r="C101" s="25"/>
      <c r="D101" s="26"/>
      <c r="E101" s="27"/>
      <c r="F101" s="164"/>
      <c r="G101" s="33"/>
    </row>
    <row r="102" spans="2:7" ht="15.6" x14ac:dyDescent="0.3">
      <c r="B102" s="34"/>
      <c r="C102" s="25"/>
      <c r="D102" s="26"/>
      <c r="E102" s="27"/>
      <c r="F102" s="164"/>
      <c r="G102" s="33"/>
    </row>
    <row r="103" spans="2:7" ht="15.6" x14ac:dyDescent="0.3">
      <c r="B103" s="34"/>
      <c r="C103" s="25"/>
      <c r="D103" s="26"/>
      <c r="E103" s="27"/>
      <c r="F103" s="164"/>
      <c r="G103" s="33"/>
    </row>
    <row r="104" spans="2:7" ht="15.6" x14ac:dyDescent="0.3">
      <c r="B104" s="34"/>
      <c r="C104" s="25"/>
      <c r="D104" s="26"/>
      <c r="E104" s="27"/>
      <c r="F104" s="164"/>
      <c r="G104" s="33"/>
    </row>
    <row r="105" spans="2:7" ht="15.6" x14ac:dyDescent="0.3">
      <c r="B105" s="34"/>
      <c r="C105" s="25"/>
      <c r="D105" s="26"/>
      <c r="E105" s="27"/>
      <c r="F105" s="164"/>
      <c r="G105" s="33"/>
    </row>
    <row r="106" spans="2:7" ht="15.6" x14ac:dyDescent="0.3">
      <c r="B106" s="34"/>
      <c r="C106" s="25"/>
      <c r="D106" s="26"/>
      <c r="E106" s="27"/>
      <c r="F106" s="164"/>
      <c r="G106" s="33"/>
    </row>
    <row r="107" spans="2:7" ht="15.6" x14ac:dyDescent="0.3">
      <c r="B107" s="34"/>
      <c r="C107" s="25"/>
      <c r="D107" s="26"/>
      <c r="E107" s="27"/>
      <c r="F107" s="164"/>
      <c r="G107" s="33"/>
    </row>
    <row r="108" spans="2:7" ht="15.6" x14ac:dyDescent="0.3">
      <c r="B108" s="34"/>
      <c r="C108" s="25"/>
      <c r="D108" s="26"/>
      <c r="E108" s="27"/>
      <c r="F108" s="164"/>
      <c r="G108" s="33"/>
    </row>
    <row r="109" spans="2:7" ht="15.6" x14ac:dyDescent="0.3">
      <c r="B109" s="34"/>
      <c r="C109" s="25"/>
      <c r="D109" s="26"/>
      <c r="E109" s="27"/>
      <c r="F109" s="164"/>
      <c r="G109" s="33"/>
    </row>
    <row r="110" spans="2:7" ht="15.6" x14ac:dyDescent="0.3">
      <c r="B110" s="34"/>
      <c r="C110" s="25"/>
      <c r="D110" s="26"/>
      <c r="E110" s="27"/>
      <c r="F110" s="164"/>
      <c r="G110" s="33"/>
    </row>
    <row r="111" spans="2:7" ht="15.6" x14ac:dyDescent="0.3">
      <c r="B111" s="34"/>
      <c r="C111" s="25"/>
      <c r="D111" s="26"/>
      <c r="E111" s="27"/>
      <c r="F111" s="164"/>
      <c r="G111" s="33"/>
    </row>
    <row r="112" spans="2:7" ht="15.6" x14ac:dyDescent="0.3">
      <c r="B112" s="34"/>
      <c r="C112" s="25"/>
      <c r="D112" s="26"/>
      <c r="E112" s="27"/>
      <c r="F112" s="164"/>
      <c r="G112" s="33"/>
    </row>
    <row r="113" spans="2:7" ht="15.6" x14ac:dyDescent="0.3">
      <c r="B113" s="34"/>
      <c r="C113" s="25"/>
      <c r="D113" s="26"/>
      <c r="E113" s="27"/>
      <c r="F113" s="164"/>
      <c r="G113" s="33"/>
    </row>
    <row r="114" spans="2:7" ht="15.6" x14ac:dyDescent="0.3">
      <c r="B114" s="34"/>
      <c r="C114" s="25"/>
      <c r="D114" s="26"/>
      <c r="E114" s="27"/>
      <c r="F114" s="164"/>
      <c r="G114" s="33"/>
    </row>
    <row r="115" spans="2:7" ht="15.6" x14ac:dyDescent="0.3">
      <c r="B115" s="34"/>
      <c r="C115" s="25"/>
      <c r="D115" s="26"/>
      <c r="E115" s="27"/>
      <c r="F115" s="164"/>
      <c r="G115" s="33"/>
    </row>
    <row r="116" spans="2:7" ht="15.6" x14ac:dyDescent="0.3">
      <c r="B116" s="34"/>
      <c r="C116" s="25"/>
      <c r="D116" s="26"/>
      <c r="E116" s="27"/>
      <c r="F116" s="164"/>
      <c r="G116" s="33"/>
    </row>
    <row r="117" spans="2:7" ht="15.6" x14ac:dyDescent="0.3">
      <c r="B117" s="34"/>
      <c r="C117" s="25"/>
      <c r="D117" s="26"/>
      <c r="E117" s="27"/>
      <c r="F117" s="164"/>
      <c r="G117" s="33"/>
    </row>
    <row r="118" spans="2:7" ht="15.6" x14ac:dyDescent="0.3">
      <c r="B118" s="34"/>
      <c r="C118" s="25"/>
      <c r="D118" s="26"/>
      <c r="E118" s="27"/>
      <c r="F118" s="164"/>
      <c r="G118" s="33"/>
    </row>
    <row r="119" spans="2:7" ht="15.6" x14ac:dyDescent="0.3">
      <c r="B119" s="34"/>
      <c r="C119" s="25"/>
      <c r="D119" s="26"/>
      <c r="E119" s="27"/>
      <c r="F119" s="164"/>
      <c r="G119" s="33"/>
    </row>
    <row r="120" spans="2:7" ht="15.6" x14ac:dyDescent="0.3">
      <c r="B120" s="34"/>
      <c r="C120" s="25"/>
      <c r="D120" s="26"/>
      <c r="E120" s="27"/>
      <c r="F120" s="164"/>
      <c r="G120" s="33"/>
    </row>
    <row r="121" spans="2:7" ht="15.6" x14ac:dyDescent="0.3">
      <c r="B121" s="34"/>
      <c r="C121" s="25"/>
      <c r="D121" s="26"/>
      <c r="E121" s="27"/>
      <c r="F121" s="164"/>
      <c r="G121" s="33"/>
    </row>
    <row r="122" spans="2:7" ht="15.6" x14ac:dyDescent="0.3">
      <c r="B122" s="34"/>
      <c r="C122" s="25"/>
      <c r="D122" s="26"/>
      <c r="E122" s="27"/>
      <c r="F122" s="164"/>
      <c r="G122" s="33"/>
    </row>
    <row r="123" spans="2:7" ht="15.6" x14ac:dyDescent="0.3">
      <c r="B123" s="34"/>
      <c r="C123" s="25"/>
      <c r="D123" s="26"/>
      <c r="E123" s="27"/>
      <c r="F123" s="164"/>
      <c r="G123" s="33"/>
    </row>
    <row r="124" spans="2:7" ht="15.6" x14ac:dyDescent="0.3">
      <c r="B124" s="34"/>
      <c r="C124" s="25"/>
      <c r="D124" s="26"/>
      <c r="E124" s="27"/>
      <c r="F124" s="164"/>
      <c r="G124" s="33"/>
    </row>
    <row r="125" spans="2:7" ht="15.6" x14ac:dyDescent="0.3">
      <c r="B125" s="34"/>
      <c r="C125" s="25"/>
      <c r="D125" s="26"/>
      <c r="E125" s="27"/>
      <c r="F125" s="164"/>
      <c r="G125" s="33"/>
    </row>
    <row r="126" spans="2:7" ht="15.6" x14ac:dyDescent="0.3">
      <c r="B126" s="34"/>
      <c r="C126" s="25"/>
      <c r="D126" s="26"/>
      <c r="E126" s="27"/>
      <c r="F126" s="164"/>
      <c r="G126" s="33"/>
    </row>
    <row r="127" spans="2:7" ht="15.6" x14ac:dyDescent="0.3">
      <c r="B127" s="34"/>
      <c r="C127" s="25"/>
      <c r="D127" s="26"/>
      <c r="E127" s="27"/>
      <c r="F127" s="164"/>
      <c r="G127" s="33"/>
    </row>
    <row r="128" spans="2:7" ht="15.6" x14ac:dyDescent="0.3">
      <c r="B128" s="34"/>
      <c r="C128" s="25"/>
      <c r="D128" s="26"/>
      <c r="E128" s="27"/>
      <c r="F128" s="164"/>
      <c r="G128" s="33"/>
    </row>
    <row r="129" spans="2:7" ht="15.6" x14ac:dyDescent="0.3">
      <c r="B129" s="34"/>
      <c r="C129" s="25"/>
      <c r="D129" s="26"/>
      <c r="E129" s="27"/>
      <c r="F129" s="164"/>
      <c r="G129" s="33"/>
    </row>
    <row r="130" spans="2:7" ht="15.6" x14ac:dyDescent="0.3">
      <c r="B130" s="34"/>
      <c r="C130" s="25"/>
      <c r="D130" s="26"/>
      <c r="E130" s="27"/>
      <c r="F130" s="164"/>
      <c r="G130" s="33"/>
    </row>
    <row r="131" spans="2:7" ht="15.6" x14ac:dyDescent="0.3">
      <c r="B131" s="34"/>
      <c r="C131" s="25"/>
      <c r="D131" s="26"/>
      <c r="E131" s="27"/>
      <c r="F131" s="164"/>
      <c r="G131" s="33"/>
    </row>
    <row r="132" spans="2:7" ht="15.6" x14ac:dyDescent="0.3">
      <c r="B132" s="34"/>
      <c r="C132" s="25"/>
      <c r="D132" s="26"/>
      <c r="E132" s="27"/>
      <c r="F132" s="164"/>
      <c r="G132" s="33"/>
    </row>
    <row r="133" spans="2:7" ht="15.6" x14ac:dyDescent="0.3">
      <c r="B133" s="34"/>
      <c r="C133" s="25"/>
      <c r="D133" s="26"/>
      <c r="E133" s="27"/>
      <c r="F133" s="164"/>
      <c r="G133" s="33"/>
    </row>
    <row r="134" spans="2:7" ht="15.6" x14ac:dyDescent="0.3">
      <c r="B134" s="34"/>
      <c r="C134" s="25"/>
      <c r="D134" s="26"/>
      <c r="E134" s="27"/>
      <c r="F134" s="164"/>
      <c r="G134" s="33"/>
    </row>
    <row r="135" spans="2:7" ht="15.6" x14ac:dyDescent="0.3">
      <c r="B135" s="34"/>
      <c r="C135" s="25"/>
      <c r="D135" s="26"/>
      <c r="E135" s="27"/>
      <c r="F135" s="164"/>
      <c r="G135" s="33"/>
    </row>
    <row r="136" spans="2:7" ht="15.6" x14ac:dyDescent="0.3">
      <c r="B136" s="34"/>
      <c r="C136" s="25"/>
      <c r="D136" s="26"/>
      <c r="E136" s="27"/>
      <c r="F136" s="164"/>
      <c r="G136" s="33"/>
    </row>
    <row r="137" spans="2:7" ht="15.6" x14ac:dyDescent="0.3">
      <c r="B137" s="34"/>
      <c r="C137" s="25"/>
      <c r="D137" s="26"/>
      <c r="E137" s="27"/>
      <c r="F137" s="164"/>
      <c r="G137" s="33"/>
    </row>
    <row r="138" spans="2:7" ht="15.6" x14ac:dyDescent="0.3">
      <c r="B138" s="34"/>
      <c r="C138" s="25"/>
      <c r="D138" s="26"/>
      <c r="E138" s="27"/>
      <c r="F138" s="164"/>
      <c r="G138" s="33"/>
    </row>
    <row r="139" spans="2:7" ht="15.6" x14ac:dyDescent="0.3">
      <c r="B139" s="34"/>
      <c r="C139" s="25"/>
      <c r="D139" s="26"/>
      <c r="E139" s="27"/>
      <c r="F139" s="164"/>
      <c r="G139" s="33"/>
    </row>
    <row r="140" spans="2:7" ht="15.6" x14ac:dyDescent="0.3">
      <c r="B140" s="34"/>
      <c r="C140" s="25"/>
      <c r="D140" s="26"/>
      <c r="E140" s="27"/>
      <c r="F140" s="164"/>
      <c r="G140" s="33"/>
    </row>
    <row r="141" spans="2:7" ht="15.6" x14ac:dyDescent="0.3">
      <c r="B141" s="34"/>
      <c r="C141" s="25"/>
      <c r="D141" s="26"/>
      <c r="E141" s="27"/>
      <c r="F141" s="164"/>
      <c r="G141" s="33"/>
    </row>
    <row r="142" spans="2:7" ht="15.6" x14ac:dyDescent="0.3">
      <c r="B142" s="34"/>
      <c r="C142" s="25"/>
      <c r="D142" s="26"/>
      <c r="E142" s="27"/>
      <c r="F142" s="164"/>
      <c r="G142" s="33"/>
    </row>
    <row r="143" spans="2:7" ht="15.6" x14ac:dyDescent="0.3">
      <c r="B143" s="34"/>
      <c r="C143" s="25"/>
      <c r="D143" s="26"/>
      <c r="E143" s="27"/>
      <c r="F143" s="164"/>
      <c r="G143" s="33"/>
    </row>
    <row r="144" spans="2:7" ht="15.6" x14ac:dyDescent="0.3">
      <c r="B144" s="34"/>
      <c r="C144" s="25"/>
      <c r="D144" s="26"/>
      <c r="E144" s="27"/>
      <c r="F144" s="164"/>
      <c r="G144" s="33"/>
    </row>
    <row r="145" spans="2:7" ht="15.6" x14ac:dyDescent="0.3">
      <c r="B145" s="34"/>
      <c r="C145" s="25"/>
      <c r="D145" s="26"/>
      <c r="E145" s="27"/>
      <c r="F145" s="164"/>
      <c r="G145" s="33"/>
    </row>
    <row r="146" spans="2:7" ht="15.6" x14ac:dyDescent="0.3">
      <c r="B146" s="34"/>
      <c r="C146" s="25"/>
      <c r="D146" s="26"/>
      <c r="E146" s="27"/>
      <c r="F146" s="164"/>
      <c r="G146" s="33"/>
    </row>
    <row r="147" spans="2:7" ht="15.6" x14ac:dyDescent="0.3">
      <c r="B147" s="34"/>
      <c r="C147" s="25"/>
      <c r="D147" s="26"/>
      <c r="E147" s="27"/>
      <c r="F147" s="164"/>
      <c r="G147" s="33"/>
    </row>
    <row r="148" spans="2:7" ht="15.6" x14ac:dyDescent="0.3">
      <c r="B148" s="34"/>
      <c r="C148" s="25"/>
      <c r="D148" s="26"/>
      <c r="E148" s="27"/>
      <c r="F148" s="164"/>
      <c r="G148" s="33"/>
    </row>
    <row r="149" spans="2:7" ht="15.6" x14ac:dyDescent="0.3">
      <c r="B149" s="34"/>
      <c r="C149" s="25"/>
      <c r="D149" s="26"/>
      <c r="E149" s="27"/>
      <c r="F149" s="164"/>
      <c r="G149" s="33"/>
    </row>
    <row r="150" spans="2:7" ht="15.6" x14ac:dyDescent="0.3">
      <c r="B150" s="34"/>
      <c r="C150" s="25"/>
      <c r="D150" s="26"/>
      <c r="E150" s="27"/>
      <c r="F150" s="164"/>
      <c r="G150" s="33"/>
    </row>
    <row r="151" spans="2:7" ht="15.6" x14ac:dyDescent="0.3">
      <c r="B151" s="34"/>
      <c r="C151" s="25"/>
      <c r="D151" s="26"/>
      <c r="E151" s="27"/>
      <c r="F151" s="164"/>
      <c r="G151" s="33"/>
    </row>
    <row r="152" spans="2:7" ht="15.6" x14ac:dyDescent="0.3">
      <c r="B152" s="34"/>
      <c r="C152" s="25"/>
      <c r="D152" s="26"/>
      <c r="E152" s="27"/>
      <c r="F152" s="164"/>
      <c r="G152" s="33"/>
    </row>
    <row r="153" spans="2:7" ht="15.6" x14ac:dyDescent="0.3">
      <c r="B153" s="34"/>
      <c r="C153" s="25"/>
      <c r="D153" s="26"/>
      <c r="E153" s="27"/>
      <c r="F153" s="164"/>
      <c r="G153" s="33"/>
    </row>
    <row r="154" spans="2:7" ht="15.6" x14ac:dyDescent="0.3">
      <c r="B154" s="34"/>
      <c r="C154" s="25"/>
      <c r="D154" s="26"/>
      <c r="E154" s="27"/>
      <c r="F154" s="164"/>
      <c r="G154" s="33"/>
    </row>
    <row r="155" spans="2:7" ht="15.6" x14ac:dyDescent="0.3">
      <c r="B155" s="34"/>
      <c r="C155" s="25"/>
      <c r="D155" s="26"/>
      <c r="E155" s="27"/>
      <c r="F155" s="164"/>
      <c r="G155" s="33"/>
    </row>
    <row r="156" spans="2:7" ht="15.6" x14ac:dyDescent="0.3">
      <c r="B156" s="34"/>
      <c r="C156" s="25"/>
      <c r="D156" s="26"/>
      <c r="E156" s="27"/>
      <c r="F156" s="164"/>
      <c r="G156" s="33"/>
    </row>
    <row r="157" spans="2:7" ht="15.6" x14ac:dyDescent="0.3">
      <c r="B157" s="34"/>
      <c r="C157" s="25"/>
      <c r="D157" s="26"/>
      <c r="E157" s="27"/>
      <c r="F157" s="164"/>
      <c r="G157" s="33"/>
    </row>
    <row r="158" spans="2:7" ht="15.6" x14ac:dyDescent="0.3">
      <c r="B158" s="34"/>
      <c r="C158" s="25"/>
      <c r="D158" s="26"/>
      <c r="E158" s="27"/>
      <c r="F158" s="164"/>
      <c r="G158" s="33"/>
    </row>
    <row r="159" spans="2:7" ht="15.6" x14ac:dyDescent="0.3">
      <c r="B159" s="34"/>
      <c r="C159" s="25"/>
      <c r="D159" s="26"/>
      <c r="E159" s="27"/>
      <c r="F159" s="164"/>
      <c r="G159" s="33"/>
    </row>
    <row r="160" spans="2:7" ht="15.6" x14ac:dyDescent="0.3">
      <c r="B160" s="34"/>
      <c r="C160" s="25"/>
      <c r="D160" s="26"/>
      <c r="E160" s="27"/>
      <c r="F160" s="164"/>
      <c r="G160" s="33"/>
    </row>
    <row r="161" spans="2:7" ht="15.6" x14ac:dyDescent="0.3">
      <c r="B161" s="34"/>
      <c r="C161" s="25"/>
      <c r="D161" s="26"/>
      <c r="E161" s="27"/>
      <c r="F161" s="164"/>
      <c r="G161" s="33"/>
    </row>
    <row r="162" spans="2:7" ht="15.6" x14ac:dyDescent="0.3">
      <c r="B162" s="34"/>
      <c r="C162" s="25"/>
      <c r="D162" s="26"/>
      <c r="E162" s="27"/>
      <c r="F162" s="164"/>
      <c r="G162" s="33"/>
    </row>
    <row r="163" spans="2:7" ht="15.6" x14ac:dyDescent="0.3">
      <c r="B163" s="34"/>
      <c r="C163" s="25"/>
      <c r="D163" s="26"/>
      <c r="E163" s="27"/>
      <c r="F163" s="164"/>
      <c r="G163" s="33"/>
    </row>
    <row r="164" spans="2:7" ht="15.6" x14ac:dyDescent="0.3">
      <c r="B164" s="34"/>
      <c r="C164" s="25"/>
      <c r="D164" s="26"/>
      <c r="E164" s="27"/>
      <c r="F164" s="164"/>
      <c r="G164" s="33"/>
    </row>
    <row r="165" spans="2:7" ht="15.6" x14ac:dyDescent="0.3">
      <c r="B165" s="34"/>
      <c r="C165" s="25"/>
      <c r="D165" s="26"/>
      <c r="E165" s="27"/>
      <c r="F165" s="164"/>
      <c r="G165" s="33"/>
    </row>
    <row r="166" spans="2:7" ht="15.6" x14ac:dyDescent="0.3">
      <c r="B166" s="34"/>
      <c r="C166" s="25"/>
      <c r="D166" s="26"/>
      <c r="E166" s="27"/>
      <c r="F166" s="164"/>
      <c r="G166" s="33"/>
    </row>
    <row r="167" spans="2:7" ht="15.6" x14ac:dyDescent="0.3">
      <c r="B167" s="34"/>
      <c r="C167" s="25"/>
      <c r="D167" s="26"/>
      <c r="E167" s="27"/>
      <c r="F167" s="164"/>
      <c r="G167" s="33"/>
    </row>
    <row r="168" spans="2:7" ht="15.6" x14ac:dyDescent="0.3">
      <c r="B168" s="34"/>
      <c r="C168" s="25"/>
      <c r="D168" s="26"/>
      <c r="E168" s="27"/>
      <c r="F168" s="164"/>
      <c r="G168" s="33"/>
    </row>
    <row r="169" spans="2:7" ht="15.6" x14ac:dyDescent="0.3">
      <c r="B169" s="34"/>
      <c r="C169" s="25"/>
      <c r="D169" s="26"/>
      <c r="E169" s="27"/>
      <c r="F169" s="164"/>
      <c r="G169" s="33"/>
    </row>
    <row r="170" spans="2:7" ht="15.6" x14ac:dyDescent="0.3">
      <c r="B170" s="34"/>
      <c r="C170" s="25"/>
      <c r="D170" s="26"/>
      <c r="E170" s="27"/>
      <c r="F170" s="164"/>
      <c r="G170" s="33"/>
    </row>
    <row r="171" spans="2:7" ht="15.6" x14ac:dyDescent="0.3">
      <c r="B171" s="34"/>
      <c r="C171" s="25"/>
      <c r="D171" s="26"/>
      <c r="E171" s="27"/>
      <c r="F171" s="164"/>
      <c r="G171" s="33"/>
    </row>
    <row r="172" spans="2:7" ht="15.6" x14ac:dyDescent="0.3">
      <c r="B172" s="34"/>
      <c r="C172" s="25"/>
      <c r="D172" s="26"/>
      <c r="E172" s="27"/>
      <c r="F172" s="164"/>
      <c r="G172" s="33"/>
    </row>
    <row r="173" spans="2:7" ht="15.6" x14ac:dyDescent="0.3">
      <c r="B173" s="34"/>
      <c r="C173" s="25"/>
      <c r="D173" s="26"/>
      <c r="E173" s="27"/>
      <c r="F173" s="164"/>
      <c r="G173" s="33"/>
    </row>
    <row r="174" spans="2:7" ht="15.6" x14ac:dyDescent="0.3">
      <c r="B174" s="34"/>
      <c r="C174" s="25"/>
      <c r="D174" s="26"/>
      <c r="E174" s="27"/>
      <c r="F174" s="164"/>
      <c r="G174" s="33"/>
    </row>
    <row r="175" spans="2:7" ht="15.6" x14ac:dyDescent="0.3">
      <c r="B175" s="34"/>
      <c r="C175" s="25"/>
      <c r="D175" s="26"/>
      <c r="E175" s="27"/>
      <c r="F175" s="164"/>
      <c r="G175" s="33"/>
    </row>
    <row r="176" spans="2:7" ht="15.6" x14ac:dyDescent="0.3">
      <c r="B176" s="34"/>
      <c r="C176" s="25"/>
      <c r="D176" s="26"/>
      <c r="E176" s="27"/>
      <c r="F176" s="164"/>
      <c r="G176" s="33"/>
    </row>
    <row r="177" spans="2:7" ht="15.6" x14ac:dyDescent="0.3">
      <c r="B177" s="34"/>
      <c r="C177" s="25"/>
      <c r="D177" s="26"/>
      <c r="E177" s="27"/>
      <c r="F177" s="164"/>
      <c r="G177" s="33"/>
    </row>
    <row r="178" spans="2:7" ht="15.6" x14ac:dyDescent="0.3">
      <c r="B178" s="34"/>
      <c r="C178" s="25"/>
      <c r="D178" s="26"/>
      <c r="E178" s="27"/>
      <c r="F178" s="164"/>
      <c r="G178" s="33"/>
    </row>
    <row r="179" spans="2:7" ht="15.6" x14ac:dyDescent="0.3">
      <c r="B179" s="34"/>
      <c r="C179" s="25"/>
      <c r="D179" s="26"/>
      <c r="E179" s="27"/>
      <c r="F179" s="164"/>
      <c r="G179" s="33"/>
    </row>
    <row r="180" spans="2:7" ht="15.6" x14ac:dyDescent="0.3">
      <c r="B180" s="34"/>
      <c r="C180" s="25"/>
      <c r="D180" s="26"/>
      <c r="E180" s="27"/>
      <c r="F180" s="164"/>
      <c r="G180" s="33"/>
    </row>
    <row r="181" spans="2:7" ht="15.6" x14ac:dyDescent="0.3">
      <c r="B181" s="34"/>
      <c r="C181" s="25"/>
      <c r="D181" s="26"/>
      <c r="E181" s="27"/>
      <c r="F181" s="164"/>
      <c r="G181" s="33"/>
    </row>
    <row r="182" spans="2:7" ht="15.6" x14ac:dyDescent="0.3">
      <c r="B182" s="34"/>
      <c r="C182" s="25"/>
      <c r="D182" s="26"/>
      <c r="E182" s="27"/>
      <c r="F182" s="164"/>
      <c r="G182" s="33"/>
    </row>
    <row r="183" spans="2:7" ht="15.6" x14ac:dyDescent="0.3">
      <c r="B183" s="34"/>
      <c r="C183" s="25"/>
      <c r="D183" s="26"/>
      <c r="E183" s="27"/>
      <c r="F183" s="164"/>
      <c r="G183" s="33"/>
    </row>
  </sheetData>
  <autoFilter ref="B19:G63" xr:uid="{00000000-0009-0000-0000-000007000000}"/>
  <conditionalFormatting sqref="D14:D17">
    <cfRule type="cellIs" dxfId="2" priority="135" operator="greaterThan">
      <formula>1</formula>
    </cfRule>
  </conditionalFormatting>
  <conditionalFormatting sqref="D20:D93">
    <cfRule type="cellIs" dxfId="1" priority="2" operator="greaterThan">
      <formula>1</formula>
    </cfRule>
  </conditionalFormatting>
  <conditionalFormatting sqref="E7:E8 D95:D183">
    <cfRule type="cellIs" dxfId="0" priority="136" operator="greaterThan">
      <formula>1</formula>
    </cfRule>
  </conditionalFormatting>
  <dataValidations count="5">
    <dataValidation type="list" allowBlank="1" showInputMessage="1" showErrorMessage="1" sqref="G184:G1048576" xr:uid="{00000000-0002-0000-0700-000000000000}">
      <formula1>"VCB,Techcombank,Khác"</formula1>
    </dataValidation>
    <dataValidation type="list" allowBlank="1" showInputMessage="1" showErrorMessage="1" sqref="F20:F1048576" xr:uid="{00000000-0002-0000-0700-000001000000}">
      <formula1>$B$8:$B$15</formula1>
    </dataValidation>
    <dataValidation type="list" allowBlank="1" showInputMessage="1" showErrorMessage="1" sqref="E184:E1048576" xr:uid="{00000000-0002-0000-0700-000002000000}">
      <formula1>"Chuyển Mai, Chuyển Ánh, Nộp công ty, Chuyển Nga"</formula1>
    </dataValidation>
    <dataValidation type="list" allowBlank="1" showInputMessage="1" showErrorMessage="1" sqref="E19:E183" xr:uid="{00000000-0002-0000-0700-000003000000}">
      <formula1>"Chuyển Mai, Chuyển Ánh, Nộp công ty, Chuyển Nga, Chị Phương"</formula1>
    </dataValidation>
    <dataValidation type="list" allowBlank="1" showInputMessage="1" showErrorMessage="1" sqref="G19:G183" xr:uid="{00000000-0002-0000-0700-000004000000}">
      <formula1>"VCB,Techcombank,Khác, Tiền mặt"</formula1>
    </dataValidation>
  </dataValidations>
  <pageMargins left="0.75" right="0.75" top="1" bottom="1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E2:M21"/>
  <sheetViews>
    <sheetView workbookViewId="0">
      <selection activeCell="F14" sqref="F14:F21"/>
    </sheetView>
  </sheetViews>
  <sheetFormatPr defaultRowHeight="14.4" x14ac:dyDescent="0.3"/>
  <cols>
    <col min="5" max="5" width="31.88671875" bestFit="1" customWidth="1"/>
    <col min="6" max="6" width="10.6640625" bestFit="1" customWidth="1"/>
    <col min="12" max="12" width="34.109375" bestFit="1" customWidth="1"/>
  </cols>
  <sheetData>
    <row r="2" spans="5:13" x14ac:dyDescent="0.3">
      <c r="E2" t="s">
        <v>87</v>
      </c>
      <c r="F2">
        <v>830500</v>
      </c>
      <c r="G2">
        <f>+F2*(-1)</f>
        <v>-830500</v>
      </c>
      <c r="L2" t="s">
        <v>145</v>
      </c>
      <c r="M2">
        <v>87367500</v>
      </c>
    </row>
    <row r="3" spans="5:13" x14ac:dyDescent="0.3">
      <c r="E3" t="s">
        <v>88</v>
      </c>
      <c r="F3">
        <v>19150036</v>
      </c>
      <c r="G3">
        <f t="shared" ref="G3:G8" si="0">+F3*(-1)</f>
        <v>-19150036</v>
      </c>
      <c r="L3" t="s">
        <v>121</v>
      </c>
      <c r="M3">
        <v>-902480000</v>
      </c>
    </row>
    <row r="4" spans="5:13" x14ac:dyDescent="0.3">
      <c r="E4" t="s">
        <v>96</v>
      </c>
      <c r="F4">
        <v>755500</v>
      </c>
      <c r="G4">
        <f t="shared" si="0"/>
        <v>-755500</v>
      </c>
      <c r="L4" t="s">
        <v>146</v>
      </c>
      <c r="M4">
        <v>-31433000</v>
      </c>
    </row>
    <row r="5" spans="5:13" x14ac:dyDescent="0.3">
      <c r="E5" t="s">
        <v>93</v>
      </c>
      <c r="F5">
        <v>13233336</v>
      </c>
      <c r="G5">
        <f t="shared" si="0"/>
        <v>-13233336</v>
      </c>
      <c r="L5" t="s">
        <v>148</v>
      </c>
      <c r="M5">
        <v>50000000</v>
      </c>
    </row>
    <row r="6" spans="5:13" x14ac:dyDescent="0.3">
      <c r="E6" t="s">
        <v>97</v>
      </c>
      <c r="F6">
        <v>207839000</v>
      </c>
      <c r="G6">
        <f t="shared" si="0"/>
        <v>-207839000</v>
      </c>
      <c r="L6" t="s">
        <v>147</v>
      </c>
      <c r="M6">
        <v>-451136000</v>
      </c>
    </row>
    <row r="7" spans="5:13" x14ac:dyDescent="0.3">
      <c r="E7" t="s">
        <v>119</v>
      </c>
      <c r="F7">
        <v>2000000</v>
      </c>
      <c r="G7">
        <f t="shared" si="0"/>
        <v>-2000000</v>
      </c>
    </row>
    <row r="8" spans="5:13" x14ac:dyDescent="0.3">
      <c r="E8" t="s">
        <v>121</v>
      </c>
      <c r="F8">
        <v>159955000</v>
      </c>
      <c r="G8">
        <f t="shared" si="0"/>
        <v>-159955000</v>
      </c>
    </row>
    <row r="14" spans="5:13" x14ac:dyDescent="0.3">
      <c r="E14" t="s">
        <v>87</v>
      </c>
      <c r="F14">
        <v>-64093000</v>
      </c>
    </row>
    <row r="15" spans="5:13" x14ac:dyDescent="0.3">
      <c r="E15" t="s">
        <v>88</v>
      </c>
      <c r="F15">
        <v>-42899920</v>
      </c>
    </row>
    <row r="16" spans="5:13" x14ac:dyDescent="0.3">
      <c r="E16" t="s">
        <v>89</v>
      </c>
      <c r="F16">
        <v>-513112300</v>
      </c>
    </row>
    <row r="17" spans="5:6" x14ac:dyDescent="0.3">
      <c r="E17" t="s">
        <v>94</v>
      </c>
      <c r="F17">
        <v>-37324000</v>
      </c>
    </row>
    <row r="18" spans="5:6" x14ac:dyDescent="0.3">
      <c r="E18" t="s">
        <v>144</v>
      </c>
      <c r="F18">
        <v>-532006154</v>
      </c>
    </row>
    <row r="19" spans="5:6" x14ac:dyDescent="0.3">
      <c r="E19" t="s">
        <v>118</v>
      </c>
      <c r="F19">
        <v>260490950</v>
      </c>
    </row>
    <row r="20" spans="5:6" x14ac:dyDescent="0.3">
      <c r="E20" t="s">
        <v>152</v>
      </c>
      <c r="F20">
        <v>1025700</v>
      </c>
    </row>
    <row r="21" spans="5:6" x14ac:dyDescent="0.3">
      <c r="E21" t="s">
        <v>153</v>
      </c>
      <c r="F21">
        <v>-282914500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BÁO CÁO MỚI</vt:lpstr>
      <vt:lpstr>Theo dõi khách hàng heo thịt</vt:lpstr>
      <vt:lpstr>BÁO CÁO KẾ TOÁN</vt:lpstr>
      <vt:lpstr>Heo thịt_Nhập dữ liệu hàng ngày</vt:lpstr>
      <vt:lpstr>Data</vt:lpstr>
      <vt:lpstr>Heo con_Theo dõi khách hàng</vt:lpstr>
      <vt:lpstr>Heo con_Nhập dữ liệu</vt:lpstr>
      <vt:lpstr>MAIL CÔNG NỢ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Lam Anh</dc:creator>
  <cp:lastModifiedBy>tran lam anh</cp:lastModifiedBy>
  <dcterms:created xsi:type="dcterms:W3CDTF">2019-08-03T06:21:02Z</dcterms:created>
  <dcterms:modified xsi:type="dcterms:W3CDTF">2025-10-11T09:20:10Z</dcterms:modified>
</cp:coreProperties>
</file>